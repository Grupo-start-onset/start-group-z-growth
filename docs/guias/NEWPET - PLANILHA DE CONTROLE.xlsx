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PRODUTOS" sheetId="2" state="visible" r:id="rId4"/>
    <sheet name="ARQUIVOS" sheetId="3" state="visible" r:id="rId5"/>
    <sheet name="MODELOS" sheetId="4" state="visible" r:id="rId6"/>
  </sheets>
  <definedNames>
    <definedName function="false" hidden="true" localSheetId="2" name="_xlnm._FilterDatabase" vbProcedure="false">ARQUIVOS!$A$3:$L$1023</definedName>
    <definedName function="false" hidden="true" localSheetId="1" name="_xlnm._FilterDatabase" vbProcedure="false">PRODUTOS!$A$3:$O$63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3" authorId="0">
      <text>
        <r>
          <rPr>
            <sz val="10"/>
            <rFont val="Arial"/>
            <family val="2"/>
          </rPr>
          <t xml:space="preserve">A = Essencial (7 imagens + COMP). B = Destaques (6 imagens + COMP). Ver guia, seção 6.</t>
        </r>
      </text>
    </comment>
    <comment ref="J3" authorId="0">
      <text>
        <r>
          <rPr>
            <sz val="10"/>
            <rFont val="Arial"/>
            <family val="2"/>
          </rPr>
          <t xml:space="preserve">Preencha com o EAN do produto cujo A+ este vai repetir. Vazio = este produto tem A+ próprio e precisa das imagens AP.</t>
        </r>
      </text>
    </comment>
  </commentList>
</comments>
</file>

<file path=xl/sharedStrings.xml><?xml version="1.0" encoding="utf-8"?>
<sst xmlns="http://schemas.openxmlformats.org/spreadsheetml/2006/main" count="3777" uniqueCount="421">
  <si>
    <t xml:space="preserve">PLANILHA DE CONTROLE · IMAGENS AMAZON · NEW PET</t>
  </si>
  <si>
    <t xml:space="preserve">Acompanha o "Guia de Imagens Amazon – New Pet". Produtos e EANs puxados do cadastro da New Pet na Amazon em 10/10/2026.</t>
  </si>
  <si>
    <t xml:space="preserve">Como usar</t>
  </si>
  <si>
    <t xml:space="preserve">1. Coloque esta planilha</t>
  </si>
  <si>
    <t xml:space="preserve">Dentro da pasta "NEWPET - IMAGENS AMAZON" no Google Drive (Arquivo → Importar ou arrastar o arquivo e abrir com Google Planilhas). A mesma pasta onde ficam as imagens, sem subpastas.</t>
  </si>
  <si>
    <t xml:space="preserve">2. Aba PRODUTOS</t>
  </si>
  <si>
    <t xml:space="preserve">Uma linha por produto à venda. Escolha o Modelo de A+ (A ou B) e confira a coluna "A+ igual ao EAN" (já sugerida: tamanhos do mesmo produto usam o A+ do maior tamanho).</t>
  </si>
  <si>
    <t xml:space="preserve">3. Aba ARQUIVOS</t>
  </si>
  <si>
    <t xml:space="preserve">A lista exata de arquivos que cada produto precisa, com o nome pronto. Copie o nome da coluna "Nome exato do arquivo" ao salvar a imagem e marque o Status como "Na pasta" quando ela estiver no Drive.</t>
  </si>
  <si>
    <t xml:space="preserve">4. Aba MODELOS</t>
  </si>
  <si>
    <t xml:space="preserve">O que mostrar em cada posição e o tamanho de cada imagem, para a ração e para petiscos e higiene. Consulta apenas.</t>
  </si>
  <si>
    <t xml:space="preserve">5. Avise a START</t>
  </si>
  <si>
    <t xml:space="preserve">Quando a coluna "Completo?" da aba PRODUTOS estiver "SIM" para os produtos do lote. "Completo" considera as imagens obrigatórias; as recomendadas aparecem em coluna própria e devem ser enviadas sempre que possível.</t>
  </si>
  <si>
    <t xml:space="preserve">Cores</t>
  </si>
  <si>
    <t xml:space="preserve">Amarelo</t>
  </si>
  <si>
    <t xml:space="preserve">Preencher ou escolher (Modelo de A+, A+ igual ao EAN, Status, Observações).</t>
  </si>
  <si>
    <t xml:space="preserve">Cinza</t>
  </si>
  <si>
    <t xml:space="preserve">Dados do cadastro e fórmulas. Não alterar: são eles que garantem que a imagem vai para o produto certo.</t>
  </si>
  <si>
    <t xml:space="preserve">Regras dos nomes de arquivo</t>
  </si>
  <si>
    <t xml:space="preserve">Formato</t>
  </si>
  <si>
    <t xml:space="preserve">EAN.CÓDIGO.jpg  →  exemplo: 7898968541504.MAIN.jpg (separado por ponto, código em maiúsculas, sem espaços).</t>
  </si>
  <si>
    <t xml:space="preserve">Não renomear</t>
  </si>
  <si>
    <t xml:space="preserve">Use exatamente o nome da aba ARQUIVOS. Não acrescente sabor, peso, "final", "(1)" ou "cópia".</t>
  </si>
  <si>
    <t xml:space="preserve">Formato da imagem</t>
  </si>
  <si>
    <t xml:space="preserve">Galeria: JPG 2000 × 2000 px, RGB. A+: JPG ou PNG no tamanho exato indicado.</t>
  </si>
  <si>
    <t xml:space="preserve">Extras e vídeo</t>
  </si>
  <si>
    <t xml:space="preserve">Opcionais: EAN.EXTRA1.jpg, EAN.EXTRA2.jpg e EAN.VIDEO.mp4 podem ir para a pasta sem constar nesta planilha.</t>
  </si>
  <si>
    <t xml:space="preserve">Textos</t>
  </si>
  <si>
    <t xml:space="preserve">Não é preciso enviar textos. Título, bullets, descrição e textos do A+ são criados pela START. De vocês, só o texto desenhado dentro das imagens.</t>
  </si>
  <si>
    <t xml:space="preserve">Atenção</t>
  </si>
  <si>
    <t xml:space="preserve">Palito 8" Rígido 10 un.</t>
  </si>
  <si>
    <t xml:space="preserve">Cadastrado na Amazon com código de 14 dígitos (17908591301158). Usar esse código no nome dos arquivos, exatamente como está na aba ARQUIVOS.</t>
  </si>
  <si>
    <t xml:space="preserve">Produto faltando?</t>
  </si>
  <si>
    <t xml:space="preserve">Se algum produto à venda não aparece aqui, ou um EAN não corresponde à embalagem, avise a START antes de produzir as imagens.</t>
  </si>
  <si>
    <t xml:space="preserve">PRODUTOS · New Pet · uma linha por produto à venda (cadastro Amazon em 10/10/2026)</t>
  </si>
  <si>
    <t xml:space="preserve">Amarelo = preencher/escolher · Cinza = cadastro e fórmulas, não alterar. "A+ igual ao EAN" já vem sugerido (tamanhos menores usam o A+ do maior); apague para o produto ter A+ próprio.</t>
  </si>
  <si>
    <t xml:space="preserve">Nº</t>
  </si>
  <si>
    <t xml:space="preserve">EAN</t>
  </si>
  <si>
    <t xml:space="preserve">SKU</t>
  </si>
  <si>
    <t xml:space="preserve">ASIN</t>
  </si>
  <si>
    <t xml:space="preserve">Produto (cadastro Amazon)</t>
  </si>
  <si>
    <t xml:space="preserve">Tipo</t>
  </si>
  <si>
    <t xml:space="preserve">Família (mesmo produto, outros tamanhos)</t>
  </si>
  <si>
    <t xml:space="preserve">Peso / tamanho</t>
  </si>
  <si>
    <t xml:space="preserve">Modelo de A+</t>
  </si>
  <si>
    <t xml:space="preserve">A+ igual ao EAN</t>
  </si>
  <si>
    <t xml:space="preserve">Obrigatórias (total)</t>
  </si>
  <si>
    <t xml:space="preserve">Obrigatórias na pasta</t>
  </si>
  <si>
    <t xml:space="preserve">Recomendadas na pasta</t>
  </si>
  <si>
    <t xml:space="preserve">Completo?</t>
  </si>
  <si>
    <t xml:space="preserve">Observações</t>
  </si>
  <si>
    <t xml:space="preserve">7898968541504</t>
  </si>
  <si>
    <t xml:space="preserve">B0H7LGC65H</t>
  </si>
  <si>
    <t xml:space="preserve">New Dots Ração Seca Premium para Cães Adultos - 15 kg</t>
  </si>
  <si>
    <t xml:space="preserve">Ração</t>
  </si>
  <si>
    <t xml:space="preserve">New Dots Ração Seca Premium para Cães Adultos</t>
  </si>
  <si>
    <t xml:space="preserve">15 kg</t>
  </si>
  <si>
    <t xml:space="preserve">A</t>
  </si>
  <si>
    <t xml:space="preserve">7908591301144</t>
  </si>
  <si>
    <t xml:space="preserve">B0H7L955P6</t>
  </si>
  <si>
    <t xml:space="preserve">New Dots Ração Seca Premium para Cães Adultos - 10,1 kg</t>
  </si>
  <si>
    <t xml:space="preserve">10,1 kg</t>
  </si>
  <si>
    <t xml:space="preserve">7898968541467</t>
  </si>
  <si>
    <t xml:space="preserve">B0H7KXDGD7</t>
  </si>
  <si>
    <t xml:space="preserve">New Dots Ração Seca Premium para Cães Adultos - 5 kg</t>
  </si>
  <si>
    <t xml:space="preserve">5 kg</t>
  </si>
  <si>
    <t xml:space="preserve">7898968541450</t>
  </si>
  <si>
    <t xml:space="preserve">B0H7KWY5KT</t>
  </si>
  <si>
    <t xml:space="preserve">New Dots Ração Seca Premium para Cães Adultos - 1 kg</t>
  </si>
  <si>
    <t xml:space="preserve">1 kg</t>
  </si>
  <si>
    <t xml:space="preserve">7898968541535</t>
  </si>
  <si>
    <t xml:space="preserve">B0H7LGV2SK</t>
  </si>
  <si>
    <t xml:space="preserve">New Dots Ração Seca Premium para Cães Adultos de Raças Pequenas - 20 kg</t>
  </si>
  <si>
    <t xml:space="preserve">New Dots Ração Seca Premium para Cães Adultos de Raças Pequenas</t>
  </si>
  <si>
    <t xml:space="preserve">20 kg</t>
  </si>
  <si>
    <t xml:space="preserve">7898968541528</t>
  </si>
  <si>
    <t xml:space="preserve">B0H7KZH2XV</t>
  </si>
  <si>
    <t xml:space="preserve">New Dots Ração Seca Premium para Cães Adultos de Raças Pequenas - 5 kg</t>
  </si>
  <si>
    <t xml:space="preserve">7898968541511</t>
  </si>
  <si>
    <t xml:space="preserve">B0H7KZFSLZ</t>
  </si>
  <si>
    <t xml:space="preserve">New Dots Ração Seca Premium para Cães Adultos de Raças Pequenas - 1 kg</t>
  </si>
  <si>
    <t xml:space="preserve">7898968541566</t>
  </si>
  <si>
    <t xml:space="preserve">B0H7L1QMMZ</t>
  </si>
  <si>
    <t xml:space="preserve">New Dots Ração Seca Premium para Cães Filhotes - 20 kg</t>
  </si>
  <si>
    <t xml:space="preserve">New Dots Ração Seca Premium para Cães Filhotes</t>
  </si>
  <si>
    <t xml:space="preserve">7898968541559</t>
  </si>
  <si>
    <t xml:space="preserve">B0H7LG9LK2</t>
  </si>
  <si>
    <t xml:space="preserve">New Dots Ração Seca Premium para Cães Filhotes - 5 kg</t>
  </si>
  <si>
    <t xml:space="preserve">7898968541542</t>
  </si>
  <si>
    <t xml:space="preserve">B0H7L3BHLH</t>
  </si>
  <si>
    <t xml:space="preserve">New Dots Ração Seca Premium para Cães Filhotes - 1 kg</t>
  </si>
  <si>
    <t xml:space="preserve">7898968541597</t>
  </si>
  <si>
    <t xml:space="preserve">B0H7LG5GWZ</t>
  </si>
  <si>
    <t xml:space="preserve">New Dots Ração Seca Premium para Gatos Adultos - 20 kg</t>
  </si>
  <si>
    <t xml:space="preserve">New Dots Ração Seca Premium para Gatos Adultos</t>
  </si>
  <si>
    <t xml:space="preserve">7898968541573</t>
  </si>
  <si>
    <t xml:space="preserve">B0H7LD2TGC</t>
  </si>
  <si>
    <t xml:space="preserve">New Dots Ração Seca Premium para Gatos Adultos - 1 kg</t>
  </si>
  <si>
    <t xml:space="preserve">7908591300666</t>
  </si>
  <si>
    <t xml:space="preserve">B0H7KWW8M4</t>
  </si>
  <si>
    <t xml:space="preserve">New Dots Ração Seca Premium para Gatos Adultos Castrados - 20 kg</t>
  </si>
  <si>
    <t xml:space="preserve">New Dots Ração Seca Premium para Gatos Adultos Castrados</t>
  </si>
  <si>
    <t xml:space="preserve">7908591300413</t>
  </si>
  <si>
    <t xml:space="preserve">B0H7L2N7GF</t>
  </si>
  <si>
    <t xml:space="preserve">New Dots Ração Seca Premium para Gatos Adultos Castrados - 11 kg</t>
  </si>
  <si>
    <t xml:space="preserve">11 kg</t>
  </si>
  <si>
    <t xml:space="preserve">7908591300406</t>
  </si>
  <si>
    <t xml:space="preserve">B0H7KWTZ9P</t>
  </si>
  <si>
    <t xml:space="preserve">New Dots Ração Seca Premium para Gatos Adultos Castrados - 1 kg</t>
  </si>
  <si>
    <t xml:space="preserve">7898968541283</t>
  </si>
  <si>
    <t xml:space="preserve">1001</t>
  </si>
  <si>
    <t xml:space="preserve">B0FH32BP56</t>
  </si>
  <si>
    <t xml:space="preserve">Ração Seca Natural Dots para Cães Adultos - Pacote 15 kg</t>
  </si>
  <si>
    <t xml:space="preserve">Ração Seca Natural Dots para Cães Adultos</t>
  </si>
  <si>
    <t xml:space="preserve">7898968541269</t>
  </si>
  <si>
    <t xml:space="preserve">1195</t>
  </si>
  <si>
    <t xml:space="preserve">B0FH347L7H</t>
  </si>
  <si>
    <t xml:space="preserve">Ração Seca Natural Dots para Cães Adultos - Pacote 1 kg</t>
  </si>
  <si>
    <t xml:space="preserve">7898968541313</t>
  </si>
  <si>
    <t xml:space="preserve">1075</t>
  </si>
  <si>
    <t xml:space="preserve">B0FH34VLTD</t>
  </si>
  <si>
    <t xml:space="preserve">Ração Seca Natural Dots para Cães Filhotes - Pacote 15 kg</t>
  </si>
  <si>
    <t xml:space="preserve">Ração Seca Natural Dots para Cães Filhotes</t>
  </si>
  <si>
    <t xml:space="preserve">7898968541290</t>
  </si>
  <si>
    <t xml:space="preserve">1070</t>
  </si>
  <si>
    <t xml:space="preserve">B0FH2ZVVMK</t>
  </si>
  <si>
    <t xml:space="preserve">Ração Seca Natural Dots para Cães Filhotes - Pacote 1 kg</t>
  </si>
  <si>
    <t xml:space="preserve">7898968541276</t>
  </si>
  <si>
    <t xml:space="preserve">1199</t>
  </si>
  <si>
    <t xml:space="preserve">B0FH337MZK</t>
  </si>
  <si>
    <t xml:space="preserve">Ração Seca Natural Dots para Cães Sênior - Pacote 15 kg</t>
  </si>
  <si>
    <t xml:space="preserve">Ração Seca Natural Dots para Cães Sênior</t>
  </si>
  <si>
    <t xml:space="preserve">7908591300154</t>
  </si>
  <si>
    <t xml:space="preserve">1198</t>
  </si>
  <si>
    <t xml:space="preserve">B0FH341T47</t>
  </si>
  <si>
    <t xml:space="preserve">Ração Seca Natural Dots para Cães Sênior - Pacote 1 kg</t>
  </si>
  <si>
    <t xml:space="preserve">7898968541344</t>
  </si>
  <si>
    <t xml:space="preserve">1196</t>
  </si>
  <si>
    <t xml:space="preserve">B0FH31K58G</t>
  </si>
  <si>
    <t xml:space="preserve">Ração Seca Natural Dots para Cães de Raças Pequenas - Pacote 15 kg</t>
  </si>
  <si>
    <t xml:space="preserve">Ração Seca Natural Dots para Cães de Raças Pequenas</t>
  </si>
  <si>
    <t xml:space="preserve">7898968541320</t>
  </si>
  <si>
    <t xml:space="preserve">1071</t>
  </si>
  <si>
    <t xml:space="preserve">B0FH31X2DG</t>
  </si>
  <si>
    <t xml:space="preserve">Ração Seca Natural Dots para Cães de Raças Pequenas - Pacote 1 kg</t>
  </si>
  <si>
    <t xml:space="preserve">7898968541382</t>
  </si>
  <si>
    <t xml:space="preserve">1081</t>
  </si>
  <si>
    <t xml:space="preserve">B0FH34LMJT</t>
  </si>
  <si>
    <t xml:space="preserve">Ração Seca Natural Dots para Gatos Adultos - Pacote 11 kg</t>
  </si>
  <si>
    <t xml:space="preserve">Ração Seca Natural Dots para Gatos Adultos</t>
  </si>
  <si>
    <t xml:space="preserve">7898968541368</t>
  </si>
  <si>
    <t xml:space="preserve">1080</t>
  </si>
  <si>
    <t xml:space="preserve">B0FH33YSNK</t>
  </si>
  <si>
    <t xml:space="preserve">Ração Seca Natural Dots para Gatos Adultos - Pacote 1 kg</t>
  </si>
  <si>
    <t xml:space="preserve">7898968541399</t>
  </si>
  <si>
    <t xml:space="preserve">1083</t>
  </si>
  <si>
    <t xml:space="preserve">B0FH34NGCJ</t>
  </si>
  <si>
    <t xml:space="preserve">Ração Seca Natural Dots para Gatos Castrados - Pacote 11 kg</t>
  </si>
  <si>
    <t xml:space="preserve">Ração Seca Natural Dots para Gatos Castrados</t>
  </si>
  <si>
    <t xml:space="preserve">7898968541375</t>
  </si>
  <si>
    <t xml:space="preserve">1073</t>
  </si>
  <si>
    <t xml:space="preserve">B0FH32M1DZ</t>
  </si>
  <si>
    <t xml:space="preserve">Ração Seca Natural Dots para Gatos Castrados - Pacote 1 kg</t>
  </si>
  <si>
    <t xml:space="preserve">7898968541412</t>
  </si>
  <si>
    <t xml:space="preserve">1050</t>
  </si>
  <si>
    <t xml:space="preserve">B0FH343T7F</t>
  </si>
  <si>
    <t xml:space="preserve">Ração Seca Natural Dots para Gatos Filhotes - Pacote 11 kg</t>
  </si>
  <si>
    <t xml:space="preserve">Ração Seca Natural Dots para Gatos Filhotes</t>
  </si>
  <si>
    <t xml:space="preserve">7898968541405</t>
  </si>
  <si>
    <t xml:space="preserve">1074</t>
  </si>
  <si>
    <t xml:space="preserve">B0FH35DMQ2</t>
  </si>
  <si>
    <t xml:space="preserve">Ração Seca Natural Dots para Gatos Filhotes - Pacote 1 kg</t>
  </si>
  <si>
    <t xml:space="preserve">7908591301007</t>
  </si>
  <si>
    <t xml:space="preserve">1918</t>
  </si>
  <si>
    <t xml:space="preserve">B0H3WVWSMC</t>
  </si>
  <si>
    <t xml:space="preserve">Ração Natural Dots Super Premium Cães Adultos Sabor Frango 2,5 kg</t>
  </si>
  <si>
    <t xml:space="preserve">2,5 kg</t>
  </si>
  <si>
    <t xml:space="preserve">7908591301021</t>
  </si>
  <si>
    <t xml:space="preserve">1920</t>
  </si>
  <si>
    <t xml:space="preserve">B0H3WSSZCB</t>
  </si>
  <si>
    <t xml:space="preserve">Ração Natural Dots Super Premium Cães Raças Pequenas Sabor Frango 1 kg</t>
  </si>
  <si>
    <t xml:space="preserve">7908591301038</t>
  </si>
  <si>
    <t xml:space="preserve">1921</t>
  </si>
  <si>
    <t xml:space="preserve">B0H3WP6GV3</t>
  </si>
  <si>
    <t xml:space="preserve">Ração Natural Dots Super Premium Gatos Castrados Sabor Peixe 1 kg</t>
  </si>
  <si>
    <t xml:space="preserve">7908591300147</t>
  </si>
  <si>
    <t xml:space="preserve">1197</t>
  </si>
  <si>
    <t xml:space="preserve">B0FH3464Z6</t>
  </si>
  <si>
    <t xml:space="preserve">Ração Seca Natural Dots Light para Cães - Pacote 1 kg</t>
  </si>
  <si>
    <t xml:space="preserve">7908591300376</t>
  </si>
  <si>
    <t xml:space="preserve">1330</t>
  </si>
  <si>
    <t xml:space="preserve">B0H3WXJWT1</t>
  </si>
  <si>
    <t xml:space="preserve">Sachê Natural Dots Livre de Trangênico Cães Carne ao Molho 85 g</t>
  </si>
  <si>
    <t xml:space="preserve">85 g</t>
  </si>
  <si>
    <t xml:space="preserve">7908591300383</t>
  </si>
  <si>
    <t xml:space="preserve">1331</t>
  </si>
  <si>
    <t xml:space="preserve">B0H3WSGSKF</t>
  </si>
  <si>
    <t xml:space="preserve">Sachê Natural Dots Livre de Trangênico Cães Cordeiro 85 g</t>
  </si>
  <si>
    <t xml:space="preserve">7908591300390</t>
  </si>
  <si>
    <t xml:space="preserve">1332</t>
  </si>
  <si>
    <t xml:space="preserve">B0H3WS6T81</t>
  </si>
  <si>
    <t xml:space="preserve">Sachê Natural Dots Livre de Trangênico Gato Carne 85 g</t>
  </si>
  <si>
    <t xml:space="preserve">7908591300673</t>
  </si>
  <si>
    <t xml:space="preserve">1333</t>
  </si>
  <si>
    <t xml:space="preserve">B0H3WK52X1</t>
  </si>
  <si>
    <t xml:space="preserve">Sachê Natural Dots para Gatos Sabor Salmão 85 g - Livre de Transgênicos</t>
  </si>
  <si>
    <t xml:space="preserve">7898968541887</t>
  </si>
  <si>
    <t xml:space="preserve">1249</t>
  </si>
  <si>
    <t xml:space="preserve">B0H9K77WGC</t>
  </si>
  <si>
    <t xml:space="preserve">Bifinhos New Dots Cães Carne, Vegetais e Cereais 50 g</t>
  </si>
  <si>
    <t xml:space="preserve">Petisco</t>
  </si>
  <si>
    <t xml:space="preserve">50 g</t>
  </si>
  <si>
    <t xml:space="preserve">7898968541863</t>
  </si>
  <si>
    <t xml:space="preserve">1821</t>
  </si>
  <si>
    <t xml:space="preserve">B0H9JR5JLF</t>
  </si>
  <si>
    <t xml:space="preserve">Bifinhos New Dots Cães Churrasco 400 g</t>
  </si>
  <si>
    <t xml:space="preserve">400 g</t>
  </si>
  <si>
    <t xml:space="preserve">7898968541856</t>
  </si>
  <si>
    <t xml:space="preserve">1706</t>
  </si>
  <si>
    <t xml:space="preserve">B0H9K93V3B</t>
  </si>
  <si>
    <t xml:space="preserve">Bifinhos New Dots Cães Churrasco 50 g</t>
  </si>
  <si>
    <t xml:space="preserve">7898968541870</t>
  </si>
  <si>
    <t xml:space="preserve">1708</t>
  </si>
  <si>
    <t xml:space="preserve">B0H9K4QF9C</t>
  </si>
  <si>
    <t xml:space="preserve">Bifinhos New Dots Cães RPM Cordeiro 50 g</t>
  </si>
  <si>
    <t xml:space="preserve">7908591300000</t>
  </si>
  <si>
    <t xml:space="preserve">1289</t>
  </si>
  <si>
    <t xml:space="preserve">B0H9K65MS1</t>
  </si>
  <si>
    <t xml:space="preserve">Biscoito Cães Adultos New Dots 400 g</t>
  </si>
  <si>
    <t xml:space="preserve">7908591300017</t>
  </si>
  <si>
    <t xml:space="preserve">1290</t>
  </si>
  <si>
    <t xml:space="preserve">B0H9JZZCH8</t>
  </si>
  <si>
    <t xml:space="preserve">Biscoito Cães Raças Pequenas e Médias New Dots 400 g</t>
  </si>
  <si>
    <t xml:space="preserve">7908591300758</t>
  </si>
  <si>
    <t xml:space="preserve">1831</t>
  </si>
  <si>
    <t xml:space="preserve">B0FH34BY4P</t>
  </si>
  <si>
    <t xml:space="preserve">Cookie Natural Dots Petisco para Pets Sabor Maracujá e Camomila 250 g</t>
  </si>
  <si>
    <t xml:space="preserve">250 g</t>
  </si>
  <si>
    <t xml:space="preserve">7908591300727</t>
  </si>
  <si>
    <t xml:space="preserve">1826</t>
  </si>
  <si>
    <t xml:space="preserve">B0H9K9CCBP</t>
  </si>
  <si>
    <t xml:space="preserve">Nuggets Recheados Gatos New Dots Bolas de Pelo 40 g</t>
  </si>
  <si>
    <t xml:space="preserve">40 g</t>
  </si>
  <si>
    <t xml:space="preserve">7908591300741</t>
  </si>
  <si>
    <t xml:space="preserve">1828</t>
  </si>
  <si>
    <t xml:space="preserve">B0H9JZ1Z9V</t>
  </si>
  <si>
    <t xml:space="preserve">Nuggets Recheados Gatos New Dots Controle PH Urinário 40 g</t>
  </si>
  <si>
    <t xml:space="preserve">7908591300734</t>
  </si>
  <si>
    <t xml:space="preserve">1827</t>
  </si>
  <si>
    <t xml:space="preserve">B0H9K92VM1</t>
  </si>
  <si>
    <t xml:space="preserve">Nuggets Recheados Gatos New Dots Dental 40 g</t>
  </si>
  <si>
    <t xml:space="preserve">17908591301158</t>
  </si>
  <si>
    <t xml:space="preserve">1238</t>
  </si>
  <si>
    <t xml:space="preserve">B0H9JXY85F</t>
  </si>
  <si>
    <t xml:space="preserve">Palito 8 “ Rígido Natural Dots Encartelado 10 un</t>
  </si>
  <si>
    <t xml:space="preserve">10 un.</t>
  </si>
  <si>
    <t xml:space="preserve">Código de 14 dígitos no cadastro: usar exatamente este nos arquivos</t>
  </si>
  <si>
    <t xml:space="preserve">7908591301168</t>
  </si>
  <si>
    <t xml:space="preserve">1329</t>
  </si>
  <si>
    <t xml:space="preserve">B0H9K3MWC2</t>
  </si>
  <si>
    <t xml:space="preserve">Palito 8 ” Rígido Bacon Natural Dots Encartelado 10 un</t>
  </si>
  <si>
    <t xml:space="preserve">7908591301113</t>
  </si>
  <si>
    <t xml:space="preserve">1326</t>
  </si>
  <si>
    <t xml:space="preserve">B0H9K6XW3G</t>
  </si>
  <si>
    <t xml:space="preserve">Palito Flex Natural Dots Hortelã 70 g</t>
  </si>
  <si>
    <t xml:space="preserve">70 g</t>
  </si>
  <si>
    <t xml:space="preserve">7908591301120</t>
  </si>
  <si>
    <t xml:space="preserve">1325</t>
  </si>
  <si>
    <t xml:space="preserve">B0H9K1D2MQ</t>
  </si>
  <si>
    <t xml:space="preserve">Palito Flex Natural Dots Leite 70 g</t>
  </si>
  <si>
    <t xml:space="preserve">7908591301137</t>
  </si>
  <si>
    <t xml:space="preserve">1327</t>
  </si>
  <si>
    <t xml:space="preserve">B0H9K7WC5G</t>
  </si>
  <si>
    <t xml:space="preserve">Palito Flex Natural Dots Maracujá 70 g</t>
  </si>
  <si>
    <t xml:space="preserve">7908591300239</t>
  </si>
  <si>
    <t xml:space="preserve">1202</t>
  </si>
  <si>
    <t xml:space="preserve">B0FH338CT4</t>
  </si>
  <si>
    <t xml:space="preserve">Granulado Higiênico de Madeira Natural Dots para Pets - Pacote 20 kg</t>
  </si>
  <si>
    <t xml:space="preserve">Higiene</t>
  </si>
  <si>
    <t xml:space="preserve">Granulado Higiênico de Madeira Natural Dots para Pets</t>
  </si>
  <si>
    <t xml:space="preserve">7908591300482</t>
  </si>
  <si>
    <t xml:space="preserve">1211</t>
  </si>
  <si>
    <t xml:space="preserve">B0FH34NXMB</t>
  </si>
  <si>
    <t xml:space="preserve">Granulado Higiênico de Madeira Natural Dots para Pets - Pacote 10 kg</t>
  </si>
  <si>
    <t xml:space="preserve">10 kg</t>
  </si>
  <si>
    <t xml:space="preserve">7908591300024</t>
  </si>
  <si>
    <t xml:space="preserve">1210</t>
  </si>
  <si>
    <t xml:space="preserve">B0FH33F6XS</t>
  </si>
  <si>
    <t xml:space="preserve">Granulado Higiênico de Madeira Natural Dots para Pets - Pacote 2 kg</t>
  </si>
  <si>
    <t xml:space="preserve">2 kg</t>
  </si>
  <si>
    <t xml:space="preserve">7898968541924</t>
  </si>
  <si>
    <t xml:space="preserve">1209</t>
  </si>
  <si>
    <t xml:space="preserve">B0F3V344Y5</t>
  </si>
  <si>
    <t xml:space="preserve">Granulado Sanitário Natural Dots de Bentonita Perfumada - Pacote 4 kg</t>
  </si>
  <si>
    <t xml:space="preserve">4 kg</t>
  </si>
  <si>
    <t xml:space="preserve">7908591300185</t>
  </si>
  <si>
    <t xml:space="preserve">1208</t>
  </si>
  <si>
    <t xml:space="preserve">B0FH33JK77</t>
  </si>
  <si>
    <t xml:space="preserve">Granulado Sanitário de Bentonita Natural Dots para Pets - Pacote 4 kg</t>
  </si>
  <si>
    <t xml:space="preserve">7908591300840</t>
  </si>
  <si>
    <t xml:space="preserve">2000</t>
  </si>
  <si>
    <t xml:space="preserve">B0FH34P5ZZ</t>
  </si>
  <si>
    <t xml:space="preserve">Kit Porta Cata Caca Natural Dots com 4 Refis Biodegradáveis</t>
  </si>
  <si>
    <t xml:space="preserve">7908591300857</t>
  </si>
  <si>
    <t xml:space="preserve">2001</t>
  </si>
  <si>
    <t xml:space="preserve">B0FH33K7VX</t>
  </si>
  <si>
    <t xml:space="preserve">Refil Cata Caca Biodegradável Natural Dots com 3 Unidades</t>
  </si>
  <si>
    <t xml:space="preserve">3 un.</t>
  </si>
  <si>
    <t xml:space="preserve">7898968541979</t>
  </si>
  <si>
    <t xml:space="preserve">1231</t>
  </si>
  <si>
    <t xml:space="preserve">B0FH33ZPNW</t>
  </si>
  <si>
    <t xml:space="preserve">Tapete Higiênico Natural Dots Super Premium 80 x 60 cm com 7 Unidades</t>
  </si>
  <si>
    <t xml:space="preserve">7 un.</t>
  </si>
  <si>
    <t xml:space="preserve">ARQUIVOS · lista exata de imagens por produto. Copie o nome da coluna E e marque o Status quando a imagem estiver na pasta.</t>
  </si>
  <si>
    <t xml:space="preserve">Linhas com "NÃO" em Necessário? não precisam de arquivo (o produto usa o A+ de outro EAN, ou o código não existe no modelo escolhido).</t>
  </si>
  <si>
    <t xml:space="preserve">Produto</t>
  </si>
  <si>
    <t xml:space="preserve">Código</t>
  </si>
  <si>
    <t xml:space="preserve">Nome exato do arquivo</t>
  </si>
  <si>
    <t xml:space="preserve">Onde entra</t>
  </si>
  <si>
    <t xml:space="preserve">O que mostrar</t>
  </si>
  <si>
    <t xml:space="preserve">Tamanho (px)</t>
  </si>
  <si>
    <t xml:space="preserve">Obrigatória?</t>
  </si>
  <si>
    <t xml:space="preserve">Necessário?</t>
  </si>
  <si>
    <t xml:space="preserve">Status</t>
  </si>
  <si>
    <t xml:space="preserve">MAIN</t>
  </si>
  <si>
    <t xml:space="preserve">Pendente</t>
  </si>
  <si>
    <t xml:space="preserve">PT01</t>
  </si>
  <si>
    <t xml:space="preserve">PT02</t>
  </si>
  <si>
    <t xml:space="preserve">PT03</t>
  </si>
  <si>
    <t xml:space="preserve">PT04</t>
  </si>
  <si>
    <t xml:space="preserve">PT05</t>
  </si>
  <si>
    <t xml:space="preserve">PT06</t>
  </si>
  <si>
    <t xml:space="preserve">PT07</t>
  </si>
  <si>
    <t xml:space="preserve">PT08</t>
  </si>
  <si>
    <t xml:space="preserve">AP01</t>
  </si>
  <si>
    <t xml:space="preserve">AP02</t>
  </si>
  <si>
    <t xml:space="preserve">AP03</t>
  </si>
  <si>
    <t xml:space="preserve">AP04</t>
  </si>
  <si>
    <t xml:space="preserve">AP05</t>
  </si>
  <si>
    <t xml:space="preserve">AP06</t>
  </si>
  <si>
    <t xml:space="preserve">AP07</t>
  </si>
  <si>
    <t xml:space="preserve">COMP</t>
  </si>
  <si>
    <t xml:space="preserve">O que mostrar em cada arquivo · consulta (não alterar). Na galeria, os modelos A e B são iguais; mudam só as imagens do A+.</t>
  </si>
  <si>
    <t xml:space="preserve">Modelo A · Onde entra</t>
  </si>
  <si>
    <t xml:space="preserve">Modelo A · O que mostrar (Ração)</t>
  </si>
  <si>
    <t xml:space="preserve">Modelo A · O que mostrar (Petiscos e higiene)</t>
  </si>
  <si>
    <t xml:space="preserve">Modelo A · Tamanho (px)</t>
  </si>
  <si>
    <t xml:space="preserve">Modelo B · Onde entra</t>
  </si>
  <si>
    <t xml:space="preserve">Modelo B · O que mostrar (Ração)</t>
  </si>
  <si>
    <t xml:space="preserve">Modelo B · O que mostrar (Petiscos e higiene)</t>
  </si>
  <si>
    <t xml:space="preserve">Modelo B · Tamanho (px)</t>
  </si>
  <si>
    <t xml:space="preserve">Capa (posição 1)</t>
  </si>
  <si>
    <t xml:space="preserve">Embalagem de frente, fundo branco puro, 85% da área, nada adicionado</t>
  </si>
  <si>
    <t xml:space="preserve">2000 × 2000</t>
  </si>
  <si>
    <t xml:space="preserve">SIM</t>
  </si>
  <si>
    <t xml:space="preserve">Galeria · posição 2</t>
  </si>
  <si>
    <t xml:space="preserve">Grande diferencial da linha (número ou promessa forte + grão e ingrediente)</t>
  </si>
  <si>
    <t xml:space="preserve">Grande diferencial (ex.: natural, biodegradável, perfumado)</t>
  </si>
  <si>
    <t xml:space="preserve">Galeria · posição 3</t>
  </si>
  <si>
    <t xml:space="preserve">Benefícios com ícones (4 a 6, impressos na embalagem) + ingrediente</t>
  </si>
  <si>
    <t xml:space="preserve">Benefícios com ícones (4 a 6, impressos na embalagem)</t>
  </si>
  <si>
    <t xml:space="preserve">Galeria · posição 4</t>
  </si>
  <si>
    <t xml:space="preserve">Formato e tamanho do grão, com medida em mm e referência de tamanho</t>
  </si>
  <si>
    <t xml:space="preserve">Detalhe e tamanho real (petisco, grânulo ou tapete aberto), com medidas</t>
  </si>
  <si>
    <t xml:space="preserve">Galeria · posição 5</t>
  </si>
  <si>
    <t xml:space="preserve">Quantidade diária por peso do cão/gato (números idênticos à embalagem)</t>
  </si>
  <si>
    <t xml:space="preserve">Modo de uso (como oferecer o petisco / como usar o produto)</t>
  </si>
  <si>
    <t xml:space="preserve">Galeria · posição 6</t>
  </si>
  <si>
    <t xml:space="preserve">Transição alimentar dia a dia (igual ao verso da embalagem)</t>
  </si>
  <si>
    <t xml:space="preserve">Quantidade por dia ou rendimento do pacote</t>
  </si>
  <si>
    <t xml:space="preserve">Recomendada</t>
  </si>
  <si>
    <t xml:space="preserve">Galeria · posição 7</t>
  </si>
  <si>
    <t xml:space="preserve">Composição e níveis de garantia em letra grande</t>
  </si>
  <si>
    <t xml:space="preserve">Composição/níveis de garantia (petiscos) ou especificações (higiene)</t>
  </si>
  <si>
    <t xml:space="preserve">Galeria · posição 8</t>
  </si>
  <si>
    <t xml:space="preserve">Emocional / momento de uso (pet do porte certo, pote cheio)</t>
  </si>
  <si>
    <t xml:space="preserve">Emocional / momento de uso</t>
  </si>
  <si>
    <t xml:space="preserve">Galeria · posição 9</t>
  </si>
  <si>
    <t xml:space="preserve">Linha da marca ou embalagem anterior × nova</t>
  </si>
  <si>
    <t xml:space="preserve">Linha da marca ("conheça também")</t>
  </si>
  <si>
    <t xml:space="preserve">A+ · Módulo 1 · Banner</t>
  </si>
  <si>
    <t xml:space="preserve">Embalagem + pet + ingredientes, com o nome da linha</t>
  </si>
  <si>
    <t xml:space="preserve">Produto + pet, com o nome da linha</t>
  </si>
  <si>
    <t xml:space="preserve">970 × 600</t>
  </si>
  <si>
    <t xml:space="preserve">Cena principal da linha</t>
  </si>
  <si>
    <t xml:space="preserve">Conforme modelo</t>
  </si>
  <si>
    <t xml:space="preserve">A+ · Módulo 2 · Texto sobreposto</t>
  </si>
  <si>
    <t xml:space="preserve">Principal diferencial; deixar o lado direito limpo</t>
  </si>
  <si>
    <t xml:space="preserve">970 × 300</t>
  </si>
  <si>
    <t xml:space="preserve">A+ · Módulo 2 · Imagem com destaques</t>
  </si>
  <si>
    <t xml:space="preserve">Pacote ou grão em destaque</t>
  </si>
  <si>
    <t xml:space="preserve">Produto em destaque</t>
  </si>
  <si>
    <t xml:space="preserve">300 × 300</t>
  </si>
  <si>
    <t xml:space="preserve">A+ · Módulo 3 · Benefício 1 de 4</t>
  </si>
  <si>
    <t xml:space="preserve">Foto/ilustração do benefício 1</t>
  </si>
  <si>
    <t xml:space="preserve">220 × 200</t>
  </si>
  <si>
    <t xml:space="preserve">A+ · Módulo 3 · Imagem 1 de 3</t>
  </si>
  <si>
    <t xml:space="preserve">Ingrediente 1 (ex.: frango)</t>
  </si>
  <si>
    <t xml:space="preserve">Benefício 1</t>
  </si>
  <si>
    <t xml:space="preserve">A+ · Módulo 3 · Benefício 2 de 4</t>
  </si>
  <si>
    <t xml:space="preserve">Foto/ilustração do benefício 2</t>
  </si>
  <si>
    <t xml:space="preserve">A+ · Módulo 3 · Imagem 2 de 3</t>
  </si>
  <si>
    <t xml:space="preserve">Ingrediente 2 (ex.: arroz)</t>
  </si>
  <si>
    <t xml:space="preserve">Benefício 2</t>
  </si>
  <si>
    <t xml:space="preserve">A+ · Módulo 3 · Benefício 3 de 4</t>
  </si>
  <si>
    <t xml:space="preserve">Foto/ilustração do benefício 3</t>
  </si>
  <si>
    <t xml:space="preserve">A+ · Módulo 3 · Imagem 3 de 3</t>
  </si>
  <si>
    <t xml:space="preserve">Ingrediente 3 (ex.: linhaça)</t>
  </si>
  <si>
    <t xml:space="preserve">Benefício 3</t>
  </si>
  <si>
    <t xml:space="preserve">A+ · Módulo 3 · Benefício 4 de 4</t>
  </si>
  <si>
    <t xml:space="preserve">Foto/ilustração do benefício 4</t>
  </si>
  <si>
    <t xml:space="preserve">A+ · Módulo 4 · Texto sobreposto</t>
  </si>
  <si>
    <t xml:space="preserve">Momento de uso; deixar o lado direito limpo</t>
  </si>
  <si>
    <t xml:space="preserve">A+ · Módulo 4 · Especificações</t>
  </si>
  <si>
    <t xml:space="preserve">Grão ou pacote em destaque</t>
  </si>
  <si>
    <t xml:space="preserve">Não usado no modelo B</t>
  </si>
  <si>
    <t xml:space="preserve">-</t>
  </si>
  <si>
    <t xml:space="preserve">A+ · Tabela comparativa</t>
  </si>
  <si>
    <t xml:space="preserve">Pacote na vertical, sem fundo colorido</t>
  </si>
  <si>
    <t xml:space="preserve">Produto na vertical, sem fundo colorido</t>
  </si>
  <si>
    <t xml:space="preserve">150 × 300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</si>
</sst>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color rgb="FF5B5B63"/>
      <name val="Arial"/>
      <family val="0"/>
      <charset val="1"/>
    </font>
    <font>
      <b val="true"/>
      <sz val="12"/>
      <color rgb="FFE8711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B5B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Courier New"/>
      <family val="0"/>
      <charset val="1"/>
    </font>
    <font>
      <sz val="10"/>
      <name val="Arial"/>
      <family val="2"/>
    </font>
    <font>
      <i val="true"/>
      <sz val="10"/>
      <color rgb="FF5B5B6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FEFF2"/>
      </patternFill>
    </fill>
    <fill>
      <patternFill patternType="solid">
        <fgColor rgb="FFEFEFF2"/>
        <bgColor rgb="FFD9F0E1"/>
      </patternFill>
    </fill>
    <fill>
      <patternFill patternType="solid">
        <fgColor rgb="FF1D1D1F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6"/>
      </left>
      <right style="thin">
        <color rgb="FFD0D0D6"/>
      </right>
      <top style="thin">
        <color rgb="FFD0D0D6"/>
      </top>
      <bottom style="thin">
        <color rgb="FFD0D0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D1D1F"/>
          <bgColor rgb="FF000000"/>
        </patternFill>
      </fill>
    </dxf>
    <dxf>
      <fill>
        <patternFill patternType="solid">
          <fgColor rgb="FFEFEF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8DADA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Arial"/>
        <charset val="1"/>
        <family val="0"/>
        <b val="1"/>
        <color rgb="FF1F7A3F"/>
      </font>
      <fill>
        <patternFill>
          <bgColor rgb="FFD9F0E1"/>
        </patternFill>
      </fill>
    </dxf>
    <dxf>
      <font>
        <name val="Arial"/>
        <charset val="1"/>
        <family val="0"/>
        <color rgb="FFB3261E"/>
      </font>
      <fill>
        <patternFill>
          <bgColor rgb="FFF8DADA"/>
        </patternFill>
      </fill>
    </dxf>
    <dxf>
      <fill>
        <patternFill patternType="solid">
          <fgColor rgb="FF9A9AA2"/>
          <bgColor rgb="FF000000"/>
        </patternFill>
      </fill>
    </dxf>
    <dxf>
      <font>
        <name val="Arial"/>
        <charset val="1"/>
        <family val="0"/>
        <color rgb="FF9A9AA2"/>
      </font>
    </dxf>
    <dxf>
      <fill>
        <patternFill>
          <bgColor rgb="FFD9F0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3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FF2"/>
      <rgbColor rgb="FF660066"/>
      <rgbColor rgb="FFFF8080"/>
      <rgbColor rgb="FF0066CC"/>
      <rgbColor rgb="FFD0D0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E1"/>
      <rgbColor rgb="FFFFFF99"/>
      <rgbColor rgb="FF99CCFF"/>
      <rgbColor rgb="FFFF99CC"/>
      <rgbColor rgb="FFCC99FF"/>
      <rgbColor rgb="FFF8DADA"/>
      <rgbColor rgb="FF3366FF"/>
      <rgbColor rgb="FF33CCCC"/>
      <rgbColor rgb="FF99CC00"/>
      <rgbColor rgb="FFFFCC00"/>
      <rgbColor rgb="FFFF9900"/>
      <rgbColor rgb="FFE8711C"/>
      <rgbColor rgb="FF5B5B63"/>
      <rgbColor rgb="FF9A9AA2"/>
      <rgbColor rgb="FF003366"/>
      <rgbColor rgb="FF339966"/>
      <rgbColor rgb="FF003300"/>
      <rgbColor rgb="FF333300"/>
      <rgbColor rgb="FFB3261E"/>
      <rgbColor rgb="FF993366"/>
      <rgbColor rgb="FF333399"/>
      <rgbColor rgb="FF1D1D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7.75" hidden="false" customHeight="true" outlineLevel="0" collapsed="false">
      <c r="B6" s="4" t="s">
        <v>3</v>
      </c>
      <c r="C6" s="5" t="s">
        <v>4</v>
      </c>
    </row>
    <row r="7" customFormat="false" ht="27.75" hidden="false" customHeight="true" outlineLevel="0" collapsed="false">
      <c r="B7" s="4" t="s">
        <v>5</v>
      </c>
      <c r="C7" s="5" t="s">
        <v>6</v>
      </c>
    </row>
    <row r="8" customFormat="false" ht="27.75" hidden="false" customHeight="true" outlineLevel="0" collapsed="false">
      <c r="B8" s="4" t="s">
        <v>7</v>
      </c>
      <c r="C8" s="5" t="s">
        <v>8</v>
      </c>
    </row>
    <row r="9" customFormat="false" ht="27.75" hidden="false" customHeight="true" outlineLevel="0" collapsed="false">
      <c r="B9" s="4" t="s">
        <v>9</v>
      </c>
      <c r="C9" s="5" t="s">
        <v>10</v>
      </c>
    </row>
    <row r="10" customFormat="false" ht="27.75" hidden="false" customHeight="true" outlineLevel="0" collapsed="false">
      <c r="B10" s="4" t="s">
        <v>11</v>
      </c>
      <c r="C10" s="5" t="s">
        <v>12</v>
      </c>
    </row>
    <row r="12" customFormat="false" ht="15" hidden="false" customHeight="false" outlineLevel="0" collapsed="false">
      <c r="B12" s="3" t="s">
        <v>13</v>
      </c>
    </row>
    <row r="13" customFormat="false" ht="27.75" hidden="false" customHeight="true" outlineLevel="0" collapsed="false">
      <c r="B13" s="6" t="s">
        <v>14</v>
      </c>
      <c r="C13" s="5" t="s">
        <v>15</v>
      </c>
    </row>
    <row r="14" customFormat="false" ht="27.75" hidden="false" customHeight="true" outlineLevel="0" collapsed="false">
      <c r="B14" s="7" t="s">
        <v>16</v>
      </c>
      <c r="C14" s="5" t="s">
        <v>17</v>
      </c>
    </row>
    <row r="16" customFormat="false" ht="15" hidden="false" customHeight="false" outlineLevel="0" collapsed="false">
      <c r="B16" s="3" t="s">
        <v>18</v>
      </c>
    </row>
    <row r="17" customFormat="false" ht="27.75" hidden="false" customHeight="true" outlineLevel="0" collapsed="false">
      <c r="B17" s="4" t="s">
        <v>19</v>
      </c>
      <c r="C17" s="5" t="s">
        <v>20</v>
      </c>
    </row>
    <row r="18" customFormat="false" ht="27.75" hidden="false" customHeight="true" outlineLevel="0" collapsed="false">
      <c r="B18" s="4" t="s">
        <v>21</v>
      </c>
      <c r="C18" s="5" t="s">
        <v>22</v>
      </c>
    </row>
    <row r="19" customFormat="false" ht="27.75" hidden="false" customHeight="true" outlineLevel="0" collapsed="false">
      <c r="B19" s="4" t="s">
        <v>23</v>
      </c>
      <c r="C19" s="5" t="s">
        <v>24</v>
      </c>
    </row>
    <row r="20" customFormat="false" ht="27.75" hidden="false" customHeight="true" outlineLevel="0" collapsed="false">
      <c r="B20" s="4" t="s">
        <v>25</v>
      </c>
      <c r="C20" s="5" t="s">
        <v>26</v>
      </c>
    </row>
    <row r="21" customFormat="false" ht="27.75" hidden="false" customHeight="true" outlineLevel="0" collapsed="false">
      <c r="B21" s="4" t="s">
        <v>27</v>
      </c>
      <c r="C21" s="5" t="s">
        <v>28</v>
      </c>
    </row>
    <row r="23" customFormat="false" ht="15" hidden="false" customHeight="false" outlineLevel="0" collapsed="false">
      <c r="B23" s="3" t="s">
        <v>29</v>
      </c>
    </row>
    <row r="24" customFormat="false" ht="27.75" hidden="false" customHeight="true" outlineLevel="0" collapsed="false">
      <c r="B24" s="4" t="s">
        <v>30</v>
      </c>
      <c r="C24" s="5" t="s">
        <v>31</v>
      </c>
    </row>
    <row r="25" customFormat="false" ht="27.75" hidden="false" customHeight="true" outlineLevel="0" collapsed="false">
      <c r="B25" s="4" t="s">
        <v>32</v>
      </c>
      <c r="C25" s="5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62"/>
    <col collapsed="false" customWidth="true" hidden="false" outlineLevel="0" max="6" min="6" style="0" width="9"/>
    <col collapsed="false" customWidth="true" hidden="false" outlineLevel="0" max="7" min="7" style="0" width="44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7"/>
    <col collapsed="false" customWidth="true" hidden="false" outlineLevel="0" max="12" min="11" style="0" width="12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40"/>
  </cols>
  <sheetData>
    <row r="1" customFormat="false" ht="15" hidden="false" customHeight="false" outlineLevel="0" collapsed="false">
      <c r="A1" s="8" t="s">
        <v>34</v>
      </c>
    </row>
    <row r="2" customFormat="false" ht="15" hidden="false" customHeight="false" outlineLevel="0" collapsed="false">
      <c r="A2" s="9" t="s">
        <v>35</v>
      </c>
    </row>
    <row r="3" customFormat="false" ht="30" hidden="false" customHeight="true" outlineLevel="0" collapsed="false">
      <c r="A3" s="10" t="s">
        <v>36</v>
      </c>
      <c r="B3" s="10" t="s">
        <v>37</v>
      </c>
      <c r="C3" s="10" t="s">
        <v>38</v>
      </c>
      <c r="D3" s="10" t="s">
        <v>39</v>
      </c>
      <c r="E3" s="10" t="s">
        <v>40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  <c r="O3" s="10" t="s">
        <v>50</v>
      </c>
    </row>
    <row r="4" customFormat="false" ht="15" hidden="false" customHeight="false" outlineLevel="0" collapsed="false">
      <c r="A4" s="11" t="n">
        <v>1</v>
      </c>
      <c r="B4" s="12" t="s">
        <v>51</v>
      </c>
      <c r="C4" s="11" t="s">
        <v>51</v>
      </c>
      <c r="D4" s="11" t="s">
        <v>52</v>
      </c>
      <c r="E4" s="11" t="s">
        <v>53</v>
      </c>
      <c r="F4" s="11" t="s">
        <v>54</v>
      </c>
      <c r="G4" s="11" t="s">
        <v>55</v>
      </c>
      <c r="H4" s="11" t="s">
        <v>56</v>
      </c>
      <c r="I4" s="13" t="s">
        <v>57</v>
      </c>
      <c r="J4" s="14"/>
      <c r="K4" s="11" t="n">
        <f aca="false">COUNTIFS(ARQUIVOS!$A:$A,$B4,ARQUIVOS!$J:$J,"SIM")</f>
        <v>14</v>
      </c>
      <c r="L4" s="11" t="n">
        <f aca="false">COUNTIFS(ARQUIVOS!$A:$A,$B4,ARQUIVOS!$J:$J,"SIM",ARQUIVOS!$K:$K,"Na pasta")</f>
        <v>0</v>
      </c>
      <c r="M4" s="11" t="str">
        <f aca="false">COUNTIFS(ARQUIVOS!$A:$A,$B4,ARQUIVOS!$J:$J,"RECOMENDADA",ARQUIVOS!$K:$K,"Na pasta")&amp;" de "&amp;COUNTIFS(ARQUIVOS!$A:$A,$B4,ARQUIVOS!$J:$J,"RECOMENDADA")</f>
        <v>0 de 3</v>
      </c>
      <c r="N4" s="11" t="str">
        <f aca="false">IF(L4&gt;=K4,"SIM","NÃO")</f>
        <v>NÃO</v>
      </c>
      <c r="O4" s="13"/>
    </row>
    <row r="5" customFormat="false" ht="15" hidden="false" customHeight="false" outlineLevel="0" collapsed="false">
      <c r="A5" s="11" t="n">
        <v>2</v>
      </c>
      <c r="B5" s="12" t="s">
        <v>58</v>
      </c>
      <c r="C5" s="11" t="s">
        <v>58</v>
      </c>
      <c r="D5" s="11" t="s">
        <v>59</v>
      </c>
      <c r="E5" s="11" t="s">
        <v>60</v>
      </c>
      <c r="F5" s="11" t="s">
        <v>54</v>
      </c>
      <c r="G5" s="11" t="s">
        <v>55</v>
      </c>
      <c r="H5" s="11" t="s">
        <v>61</v>
      </c>
      <c r="I5" s="13" t="s">
        <v>57</v>
      </c>
      <c r="J5" s="14" t="s">
        <v>51</v>
      </c>
      <c r="K5" s="11" t="n">
        <f aca="false">COUNTIFS(ARQUIVOS!$A:$A,$B5,ARQUIVOS!$J:$J,"SIM")</f>
        <v>7</v>
      </c>
      <c r="L5" s="11" t="n">
        <f aca="false">COUNTIFS(ARQUIVOS!$A:$A,$B5,ARQUIVOS!$J:$J,"SIM",ARQUIVOS!$K:$K,"Na pasta")</f>
        <v>0</v>
      </c>
      <c r="M5" s="11" t="str">
        <f aca="false">COUNTIFS(ARQUIVOS!$A:$A,$B5,ARQUIVOS!$J:$J,"RECOMENDADA",ARQUIVOS!$K:$K,"Na pasta")&amp;" de "&amp;COUNTIFS(ARQUIVOS!$A:$A,$B5,ARQUIVOS!$J:$J,"RECOMENDADA")</f>
        <v>0 de 3</v>
      </c>
      <c r="N5" s="11" t="str">
        <f aca="false">IF(L5&gt;=K5,"SIM","NÃO")</f>
        <v>NÃO</v>
      </c>
      <c r="O5" s="13"/>
    </row>
    <row r="6" customFormat="false" ht="15" hidden="false" customHeight="false" outlineLevel="0" collapsed="false">
      <c r="A6" s="11" t="n">
        <v>3</v>
      </c>
      <c r="B6" s="12" t="s">
        <v>62</v>
      </c>
      <c r="C6" s="11" t="s">
        <v>62</v>
      </c>
      <c r="D6" s="11" t="s">
        <v>63</v>
      </c>
      <c r="E6" s="11" t="s">
        <v>64</v>
      </c>
      <c r="F6" s="11" t="s">
        <v>54</v>
      </c>
      <c r="G6" s="11" t="s">
        <v>55</v>
      </c>
      <c r="H6" s="11" t="s">
        <v>65</v>
      </c>
      <c r="I6" s="13" t="s">
        <v>57</v>
      </c>
      <c r="J6" s="14" t="s">
        <v>51</v>
      </c>
      <c r="K6" s="11" t="n">
        <f aca="false">COUNTIFS(ARQUIVOS!$A:$A,$B6,ARQUIVOS!$J:$J,"SIM")</f>
        <v>7</v>
      </c>
      <c r="L6" s="11" t="n">
        <f aca="false">COUNTIFS(ARQUIVOS!$A:$A,$B6,ARQUIVOS!$J:$J,"SIM",ARQUIVOS!$K:$K,"Na pasta")</f>
        <v>0</v>
      </c>
      <c r="M6" s="11" t="str">
        <f aca="false">COUNTIFS(ARQUIVOS!$A:$A,$B6,ARQUIVOS!$J:$J,"RECOMENDADA",ARQUIVOS!$K:$K,"Na pasta")&amp;" de "&amp;COUNTIFS(ARQUIVOS!$A:$A,$B6,ARQUIVOS!$J:$J,"RECOMENDADA")</f>
        <v>0 de 3</v>
      </c>
      <c r="N6" s="11" t="str">
        <f aca="false">IF(L6&gt;=K6,"SIM","NÃO")</f>
        <v>NÃO</v>
      </c>
      <c r="O6" s="13"/>
    </row>
    <row r="7" customFormat="false" ht="15" hidden="false" customHeight="false" outlineLevel="0" collapsed="false">
      <c r="A7" s="11" t="n">
        <v>4</v>
      </c>
      <c r="B7" s="12" t="s">
        <v>66</v>
      </c>
      <c r="C7" s="11" t="s">
        <v>66</v>
      </c>
      <c r="D7" s="11" t="s">
        <v>67</v>
      </c>
      <c r="E7" s="11" t="s">
        <v>68</v>
      </c>
      <c r="F7" s="11" t="s">
        <v>54</v>
      </c>
      <c r="G7" s="11" t="s">
        <v>55</v>
      </c>
      <c r="H7" s="11" t="s">
        <v>69</v>
      </c>
      <c r="I7" s="13" t="s">
        <v>57</v>
      </c>
      <c r="J7" s="14" t="s">
        <v>51</v>
      </c>
      <c r="K7" s="11" t="n">
        <f aca="false">COUNTIFS(ARQUIVOS!$A:$A,$B7,ARQUIVOS!$J:$J,"SIM")</f>
        <v>7</v>
      </c>
      <c r="L7" s="11" t="n">
        <f aca="false">COUNTIFS(ARQUIVOS!$A:$A,$B7,ARQUIVOS!$J:$J,"SIM",ARQUIVOS!$K:$K,"Na pasta")</f>
        <v>0</v>
      </c>
      <c r="M7" s="11" t="str">
        <f aca="false">COUNTIFS(ARQUIVOS!$A:$A,$B7,ARQUIVOS!$J:$J,"RECOMENDADA",ARQUIVOS!$K:$K,"Na pasta")&amp;" de "&amp;COUNTIFS(ARQUIVOS!$A:$A,$B7,ARQUIVOS!$J:$J,"RECOMENDADA")</f>
        <v>0 de 3</v>
      </c>
      <c r="N7" s="11" t="str">
        <f aca="false">IF(L7&gt;=K7,"SIM","NÃO")</f>
        <v>NÃO</v>
      </c>
      <c r="O7" s="13"/>
    </row>
    <row r="8" customFormat="false" ht="15" hidden="false" customHeight="false" outlineLevel="0" collapsed="false">
      <c r="A8" s="11" t="n">
        <v>5</v>
      </c>
      <c r="B8" s="12" t="s">
        <v>70</v>
      </c>
      <c r="C8" s="11" t="s">
        <v>70</v>
      </c>
      <c r="D8" s="11" t="s">
        <v>71</v>
      </c>
      <c r="E8" s="11" t="s">
        <v>72</v>
      </c>
      <c r="F8" s="11" t="s">
        <v>54</v>
      </c>
      <c r="G8" s="11" t="s">
        <v>73</v>
      </c>
      <c r="H8" s="11" t="s">
        <v>74</v>
      </c>
      <c r="I8" s="13" t="s">
        <v>57</v>
      </c>
      <c r="J8" s="14"/>
      <c r="K8" s="11" t="n">
        <f aca="false">COUNTIFS(ARQUIVOS!$A:$A,$B8,ARQUIVOS!$J:$J,"SIM")</f>
        <v>14</v>
      </c>
      <c r="L8" s="11" t="n">
        <f aca="false">COUNTIFS(ARQUIVOS!$A:$A,$B8,ARQUIVOS!$J:$J,"SIM",ARQUIVOS!$K:$K,"Na pasta")</f>
        <v>0</v>
      </c>
      <c r="M8" s="11" t="str">
        <f aca="false">COUNTIFS(ARQUIVOS!$A:$A,$B8,ARQUIVOS!$J:$J,"RECOMENDADA",ARQUIVOS!$K:$K,"Na pasta")&amp;" de "&amp;COUNTIFS(ARQUIVOS!$A:$A,$B8,ARQUIVOS!$J:$J,"RECOMENDADA")</f>
        <v>0 de 3</v>
      </c>
      <c r="N8" s="11" t="str">
        <f aca="false">IF(L8&gt;=K8,"SIM","NÃO")</f>
        <v>NÃO</v>
      </c>
      <c r="O8" s="13"/>
    </row>
    <row r="9" customFormat="false" ht="15" hidden="false" customHeight="false" outlineLevel="0" collapsed="false">
      <c r="A9" s="11" t="n">
        <v>6</v>
      </c>
      <c r="B9" s="12" t="s">
        <v>75</v>
      </c>
      <c r="C9" s="11" t="s">
        <v>75</v>
      </c>
      <c r="D9" s="11" t="s">
        <v>76</v>
      </c>
      <c r="E9" s="11" t="s">
        <v>77</v>
      </c>
      <c r="F9" s="11" t="s">
        <v>54</v>
      </c>
      <c r="G9" s="11" t="s">
        <v>73</v>
      </c>
      <c r="H9" s="11" t="s">
        <v>65</v>
      </c>
      <c r="I9" s="13" t="s">
        <v>57</v>
      </c>
      <c r="J9" s="14" t="s">
        <v>70</v>
      </c>
      <c r="K9" s="11" t="n">
        <f aca="false">COUNTIFS(ARQUIVOS!$A:$A,$B9,ARQUIVOS!$J:$J,"SIM")</f>
        <v>7</v>
      </c>
      <c r="L9" s="11" t="n">
        <f aca="false">COUNTIFS(ARQUIVOS!$A:$A,$B9,ARQUIVOS!$J:$J,"SIM",ARQUIVOS!$K:$K,"Na pasta")</f>
        <v>0</v>
      </c>
      <c r="M9" s="11" t="str">
        <f aca="false">COUNTIFS(ARQUIVOS!$A:$A,$B9,ARQUIVOS!$J:$J,"RECOMENDADA",ARQUIVOS!$K:$K,"Na pasta")&amp;" de "&amp;COUNTIFS(ARQUIVOS!$A:$A,$B9,ARQUIVOS!$J:$J,"RECOMENDADA")</f>
        <v>0 de 3</v>
      </c>
      <c r="N9" s="11" t="str">
        <f aca="false">IF(L9&gt;=K9,"SIM","NÃO")</f>
        <v>NÃO</v>
      </c>
      <c r="O9" s="13"/>
    </row>
    <row r="10" customFormat="false" ht="15" hidden="false" customHeight="false" outlineLevel="0" collapsed="false">
      <c r="A10" s="11" t="n">
        <v>7</v>
      </c>
      <c r="B10" s="12" t="s">
        <v>78</v>
      </c>
      <c r="C10" s="11" t="s">
        <v>78</v>
      </c>
      <c r="D10" s="11" t="s">
        <v>79</v>
      </c>
      <c r="E10" s="11" t="s">
        <v>80</v>
      </c>
      <c r="F10" s="11" t="s">
        <v>54</v>
      </c>
      <c r="G10" s="11" t="s">
        <v>73</v>
      </c>
      <c r="H10" s="11" t="s">
        <v>69</v>
      </c>
      <c r="I10" s="13" t="s">
        <v>57</v>
      </c>
      <c r="J10" s="14" t="s">
        <v>70</v>
      </c>
      <c r="K10" s="11" t="n">
        <f aca="false">COUNTIFS(ARQUIVOS!$A:$A,$B10,ARQUIVOS!$J:$J,"SIM")</f>
        <v>7</v>
      </c>
      <c r="L10" s="11" t="n">
        <f aca="false">COUNTIFS(ARQUIVOS!$A:$A,$B10,ARQUIVOS!$J:$J,"SIM",ARQUIVOS!$K:$K,"Na pasta")</f>
        <v>0</v>
      </c>
      <c r="M10" s="11" t="str">
        <f aca="false">COUNTIFS(ARQUIVOS!$A:$A,$B10,ARQUIVOS!$J:$J,"RECOMENDADA",ARQUIVOS!$K:$K,"Na pasta")&amp;" de "&amp;COUNTIFS(ARQUIVOS!$A:$A,$B10,ARQUIVOS!$J:$J,"RECOMENDADA")</f>
        <v>0 de 3</v>
      </c>
      <c r="N10" s="11" t="str">
        <f aca="false">IF(L10&gt;=K10,"SIM","NÃO")</f>
        <v>NÃO</v>
      </c>
      <c r="O10" s="13"/>
    </row>
    <row r="11" customFormat="false" ht="15" hidden="false" customHeight="false" outlineLevel="0" collapsed="false">
      <c r="A11" s="11" t="n">
        <v>8</v>
      </c>
      <c r="B11" s="12" t="s">
        <v>81</v>
      </c>
      <c r="C11" s="11" t="s">
        <v>81</v>
      </c>
      <c r="D11" s="11" t="s">
        <v>82</v>
      </c>
      <c r="E11" s="11" t="s">
        <v>83</v>
      </c>
      <c r="F11" s="11" t="s">
        <v>54</v>
      </c>
      <c r="G11" s="11" t="s">
        <v>84</v>
      </c>
      <c r="H11" s="11" t="s">
        <v>74</v>
      </c>
      <c r="I11" s="13" t="s">
        <v>57</v>
      </c>
      <c r="J11" s="14"/>
      <c r="K11" s="11" t="n">
        <f aca="false">COUNTIFS(ARQUIVOS!$A:$A,$B11,ARQUIVOS!$J:$J,"SIM")</f>
        <v>14</v>
      </c>
      <c r="L11" s="11" t="n">
        <f aca="false">COUNTIFS(ARQUIVOS!$A:$A,$B11,ARQUIVOS!$J:$J,"SIM",ARQUIVOS!$K:$K,"Na pasta")</f>
        <v>0</v>
      </c>
      <c r="M11" s="11" t="str">
        <f aca="false">COUNTIFS(ARQUIVOS!$A:$A,$B11,ARQUIVOS!$J:$J,"RECOMENDADA",ARQUIVOS!$K:$K,"Na pasta")&amp;" de "&amp;COUNTIFS(ARQUIVOS!$A:$A,$B11,ARQUIVOS!$J:$J,"RECOMENDADA")</f>
        <v>0 de 3</v>
      </c>
      <c r="N11" s="11" t="str">
        <f aca="false">IF(L11&gt;=K11,"SIM","NÃO")</f>
        <v>NÃO</v>
      </c>
      <c r="O11" s="13"/>
    </row>
    <row r="12" customFormat="false" ht="15" hidden="false" customHeight="false" outlineLevel="0" collapsed="false">
      <c r="A12" s="11" t="n">
        <v>9</v>
      </c>
      <c r="B12" s="12" t="s">
        <v>85</v>
      </c>
      <c r="C12" s="11" t="s">
        <v>85</v>
      </c>
      <c r="D12" s="11" t="s">
        <v>86</v>
      </c>
      <c r="E12" s="11" t="s">
        <v>87</v>
      </c>
      <c r="F12" s="11" t="s">
        <v>54</v>
      </c>
      <c r="G12" s="11" t="s">
        <v>84</v>
      </c>
      <c r="H12" s="11" t="s">
        <v>65</v>
      </c>
      <c r="I12" s="13" t="s">
        <v>57</v>
      </c>
      <c r="J12" s="14" t="s">
        <v>81</v>
      </c>
      <c r="K12" s="11" t="n">
        <f aca="false">COUNTIFS(ARQUIVOS!$A:$A,$B12,ARQUIVOS!$J:$J,"SIM")</f>
        <v>7</v>
      </c>
      <c r="L12" s="11" t="n">
        <f aca="false">COUNTIFS(ARQUIVOS!$A:$A,$B12,ARQUIVOS!$J:$J,"SIM",ARQUIVOS!$K:$K,"Na pasta")</f>
        <v>0</v>
      </c>
      <c r="M12" s="11" t="str">
        <f aca="false">COUNTIFS(ARQUIVOS!$A:$A,$B12,ARQUIVOS!$J:$J,"RECOMENDADA",ARQUIVOS!$K:$K,"Na pasta")&amp;" de "&amp;COUNTIFS(ARQUIVOS!$A:$A,$B12,ARQUIVOS!$J:$J,"RECOMENDADA")</f>
        <v>0 de 3</v>
      </c>
      <c r="N12" s="11" t="str">
        <f aca="false">IF(L12&gt;=K12,"SIM","NÃO")</f>
        <v>NÃO</v>
      </c>
      <c r="O12" s="13"/>
    </row>
    <row r="13" customFormat="false" ht="15" hidden="false" customHeight="false" outlineLevel="0" collapsed="false">
      <c r="A13" s="11" t="n">
        <v>10</v>
      </c>
      <c r="B13" s="12" t="s">
        <v>88</v>
      </c>
      <c r="C13" s="11" t="s">
        <v>88</v>
      </c>
      <c r="D13" s="11" t="s">
        <v>89</v>
      </c>
      <c r="E13" s="11" t="s">
        <v>90</v>
      </c>
      <c r="F13" s="11" t="s">
        <v>54</v>
      </c>
      <c r="G13" s="11" t="s">
        <v>84</v>
      </c>
      <c r="H13" s="11" t="s">
        <v>69</v>
      </c>
      <c r="I13" s="13" t="s">
        <v>57</v>
      </c>
      <c r="J13" s="14" t="s">
        <v>81</v>
      </c>
      <c r="K13" s="11" t="n">
        <f aca="false">COUNTIFS(ARQUIVOS!$A:$A,$B13,ARQUIVOS!$J:$J,"SIM")</f>
        <v>7</v>
      </c>
      <c r="L13" s="11" t="n">
        <f aca="false">COUNTIFS(ARQUIVOS!$A:$A,$B13,ARQUIVOS!$J:$J,"SIM",ARQUIVOS!$K:$K,"Na pasta")</f>
        <v>0</v>
      </c>
      <c r="M13" s="11" t="str">
        <f aca="false">COUNTIFS(ARQUIVOS!$A:$A,$B13,ARQUIVOS!$J:$J,"RECOMENDADA",ARQUIVOS!$K:$K,"Na pasta")&amp;" de "&amp;COUNTIFS(ARQUIVOS!$A:$A,$B13,ARQUIVOS!$J:$J,"RECOMENDADA")</f>
        <v>0 de 3</v>
      </c>
      <c r="N13" s="11" t="str">
        <f aca="false">IF(L13&gt;=K13,"SIM","NÃO")</f>
        <v>NÃO</v>
      </c>
      <c r="O13" s="13"/>
    </row>
    <row r="14" customFormat="false" ht="15" hidden="false" customHeight="false" outlineLevel="0" collapsed="false">
      <c r="A14" s="11" t="n">
        <v>11</v>
      </c>
      <c r="B14" s="12" t="s">
        <v>91</v>
      </c>
      <c r="C14" s="11" t="s">
        <v>91</v>
      </c>
      <c r="D14" s="11" t="s">
        <v>92</v>
      </c>
      <c r="E14" s="11" t="s">
        <v>93</v>
      </c>
      <c r="F14" s="11" t="s">
        <v>54</v>
      </c>
      <c r="G14" s="11" t="s">
        <v>94</v>
      </c>
      <c r="H14" s="11" t="s">
        <v>74</v>
      </c>
      <c r="I14" s="13" t="s">
        <v>57</v>
      </c>
      <c r="J14" s="14"/>
      <c r="K14" s="11" t="n">
        <f aca="false">COUNTIFS(ARQUIVOS!$A:$A,$B14,ARQUIVOS!$J:$J,"SIM")</f>
        <v>14</v>
      </c>
      <c r="L14" s="11" t="n">
        <f aca="false">COUNTIFS(ARQUIVOS!$A:$A,$B14,ARQUIVOS!$J:$J,"SIM",ARQUIVOS!$K:$K,"Na pasta")</f>
        <v>0</v>
      </c>
      <c r="M14" s="11" t="str">
        <f aca="false">COUNTIFS(ARQUIVOS!$A:$A,$B14,ARQUIVOS!$J:$J,"RECOMENDADA",ARQUIVOS!$K:$K,"Na pasta")&amp;" de "&amp;COUNTIFS(ARQUIVOS!$A:$A,$B14,ARQUIVOS!$J:$J,"RECOMENDADA")</f>
        <v>0 de 3</v>
      </c>
      <c r="N14" s="11" t="str">
        <f aca="false">IF(L14&gt;=K14,"SIM","NÃO")</f>
        <v>NÃO</v>
      </c>
      <c r="O14" s="13"/>
    </row>
    <row r="15" customFormat="false" ht="15" hidden="false" customHeight="false" outlineLevel="0" collapsed="false">
      <c r="A15" s="11" t="n">
        <v>12</v>
      </c>
      <c r="B15" s="12" t="s">
        <v>95</v>
      </c>
      <c r="C15" s="11" t="s">
        <v>95</v>
      </c>
      <c r="D15" s="11" t="s">
        <v>96</v>
      </c>
      <c r="E15" s="11" t="s">
        <v>97</v>
      </c>
      <c r="F15" s="11" t="s">
        <v>54</v>
      </c>
      <c r="G15" s="11" t="s">
        <v>94</v>
      </c>
      <c r="H15" s="11" t="s">
        <v>69</v>
      </c>
      <c r="I15" s="13" t="s">
        <v>57</v>
      </c>
      <c r="J15" s="14" t="s">
        <v>91</v>
      </c>
      <c r="K15" s="11" t="n">
        <f aca="false">COUNTIFS(ARQUIVOS!$A:$A,$B15,ARQUIVOS!$J:$J,"SIM")</f>
        <v>7</v>
      </c>
      <c r="L15" s="11" t="n">
        <f aca="false">COUNTIFS(ARQUIVOS!$A:$A,$B15,ARQUIVOS!$J:$J,"SIM",ARQUIVOS!$K:$K,"Na pasta")</f>
        <v>0</v>
      </c>
      <c r="M15" s="11" t="str">
        <f aca="false">COUNTIFS(ARQUIVOS!$A:$A,$B15,ARQUIVOS!$J:$J,"RECOMENDADA",ARQUIVOS!$K:$K,"Na pasta")&amp;" de "&amp;COUNTIFS(ARQUIVOS!$A:$A,$B15,ARQUIVOS!$J:$J,"RECOMENDADA")</f>
        <v>0 de 3</v>
      </c>
      <c r="N15" s="11" t="str">
        <f aca="false">IF(L15&gt;=K15,"SIM","NÃO")</f>
        <v>NÃO</v>
      </c>
      <c r="O15" s="13"/>
    </row>
    <row r="16" customFormat="false" ht="15" hidden="false" customHeight="false" outlineLevel="0" collapsed="false">
      <c r="A16" s="11" t="n">
        <v>13</v>
      </c>
      <c r="B16" s="12" t="s">
        <v>98</v>
      </c>
      <c r="C16" s="11" t="s">
        <v>98</v>
      </c>
      <c r="D16" s="11" t="s">
        <v>99</v>
      </c>
      <c r="E16" s="11" t="s">
        <v>100</v>
      </c>
      <c r="F16" s="11" t="s">
        <v>54</v>
      </c>
      <c r="G16" s="11" t="s">
        <v>101</v>
      </c>
      <c r="H16" s="11" t="s">
        <v>74</v>
      </c>
      <c r="I16" s="13" t="s">
        <v>57</v>
      </c>
      <c r="J16" s="14"/>
      <c r="K16" s="11" t="n">
        <f aca="false">COUNTIFS(ARQUIVOS!$A:$A,$B16,ARQUIVOS!$J:$J,"SIM")</f>
        <v>14</v>
      </c>
      <c r="L16" s="11" t="n">
        <f aca="false">COUNTIFS(ARQUIVOS!$A:$A,$B16,ARQUIVOS!$J:$J,"SIM",ARQUIVOS!$K:$K,"Na pasta")</f>
        <v>0</v>
      </c>
      <c r="M16" s="11" t="str">
        <f aca="false">COUNTIFS(ARQUIVOS!$A:$A,$B16,ARQUIVOS!$J:$J,"RECOMENDADA",ARQUIVOS!$K:$K,"Na pasta")&amp;" de "&amp;COUNTIFS(ARQUIVOS!$A:$A,$B16,ARQUIVOS!$J:$J,"RECOMENDADA")</f>
        <v>0 de 3</v>
      </c>
      <c r="N16" s="11" t="str">
        <f aca="false">IF(L16&gt;=K16,"SIM","NÃO")</f>
        <v>NÃO</v>
      </c>
      <c r="O16" s="13"/>
    </row>
    <row r="17" customFormat="false" ht="15" hidden="false" customHeight="false" outlineLevel="0" collapsed="false">
      <c r="A17" s="11" t="n">
        <v>14</v>
      </c>
      <c r="B17" s="12" t="s">
        <v>102</v>
      </c>
      <c r="C17" s="11" t="s">
        <v>102</v>
      </c>
      <c r="D17" s="11" t="s">
        <v>103</v>
      </c>
      <c r="E17" s="11" t="s">
        <v>104</v>
      </c>
      <c r="F17" s="11" t="s">
        <v>54</v>
      </c>
      <c r="G17" s="11" t="s">
        <v>101</v>
      </c>
      <c r="H17" s="11" t="s">
        <v>105</v>
      </c>
      <c r="I17" s="13" t="s">
        <v>57</v>
      </c>
      <c r="J17" s="14" t="s">
        <v>98</v>
      </c>
      <c r="K17" s="11" t="n">
        <f aca="false">COUNTIFS(ARQUIVOS!$A:$A,$B17,ARQUIVOS!$J:$J,"SIM")</f>
        <v>7</v>
      </c>
      <c r="L17" s="11" t="n">
        <f aca="false">COUNTIFS(ARQUIVOS!$A:$A,$B17,ARQUIVOS!$J:$J,"SIM",ARQUIVOS!$K:$K,"Na pasta")</f>
        <v>0</v>
      </c>
      <c r="M17" s="11" t="str">
        <f aca="false">COUNTIFS(ARQUIVOS!$A:$A,$B17,ARQUIVOS!$J:$J,"RECOMENDADA",ARQUIVOS!$K:$K,"Na pasta")&amp;" de "&amp;COUNTIFS(ARQUIVOS!$A:$A,$B17,ARQUIVOS!$J:$J,"RECOMENDADA")</f>
        <v>0 de 3</v>
      </c>
      <c r="N17" s="11" t="str">
        <f aca="false">IF(L17&gt;=K17,"SIM","NÃO")</f>
        <v>NÃO</v>
      </c>
      <c r="O17" s="13"/>
    </row>
    <row r="18" customFormat="false" ht="15" hidden="false" customHeight="false" outlineLevel="0" collapsed="false">
      <c r="A18" s="11" t="n">
        <v>15</v>
      </c>
      <c r="B18" s="12" t="s">
        <v>106</v>
      </c>
      <c r="C18" s="11" t="s">
        <v>106</v>
      </c>
      <c r="D18" s="11" t="s">
        <v>107</v>
      </c>
      <c r="E18" s="11" t="s">
        <v>108</v>
      </c>
      <c r="F18" s="11" t="s">
        <v>54</v>
      </c>
      <c r="G18" s="11" t="s">
        <v>101</v>
      </c>
      <c r="H18" s="11" t="s">
        <v>69</v>
      </c>
      <c r="I18" s="13" t="s">
        <v>57</v>
      </c>
      <c r="J18" s="14" t="s">
        <v>98</v>
      </c>
      <c r="K18" s="11" t="n">
        <f aca="false">COUNTIFS(ARQUIVOS!$A:$A,$B18,ARQUIVOS!$J:$J,"SIM")</f>
        <v>7</v>
      </c>
      <c r="L18" s="11" t="n">
        <f aca="false">COUNTIFS(ARQUIVOS!$A:$A,$B18,ARQUIVOS!$J:$J,"SIM",ARQUIVOS!$K:$K,"Na pasta")</f>
        <v>0</v>
      </c>
      <c r="M18" s="11" t="str">
        <f aca="false">COUNTIFS(ARQUIVOS!$A:$A,$B18,ARQUIVOS!$J:$J,"RECOMENDADA",ARQUIVOS!$K:$K,"Na pasta")&amp;" de "&amp;COUNTIFS(ARQUIVOS!$A:$A,$B18,ARQUIVOS!$J:$J,"RECOMENDADA")</f>
        <v>0 de 3</v>
      </c>
      <c r="N18" s="11" t="str">
        <f aca="false">IF(L18&gt;=K18,"SIM","NÃO")</f>
        <v>NÃO</v>
      </c>
      <c r="O18" s="13"/>
    </row>
    <row r="19" customFormat="false" ht="15" hidden="false" customHeight="false" outlineLevel="0" collapsed="false">
      <c r="A19" s="11" t="n">
        <v>16</v>
      </c>
      <c r="B19" s="12" t="s">
        <v>109</v>
      </c>
      <c r="C19" s="11" t="s">
        <v>110</v>
      </c>
      <c r="D19" s="11" t="s">
        <v>111</v>
      </c>
      <c r="E19" s="11" t="s">
        <v>112</v>
      </c>
      <c r="F19" s="11" t="s">
        <v>54</v>
      </c>
      <c r="G19" s="11" t="s">
        <v>113</v>
      </c>
      <c r="H19" s="11" t="s">
        <v>56</v>
      </c>
      <c r="I19" s="13" t="s">
        <v>57</v>
      </c>
      <c r="J19" s="14"/>
      <c r="K19" s="11" t="n">
        <f aca="false">COUNTIFS(ARQUIVOS!$A:$A,$B19,ARQUIVOS!$J:$J,"SIM")</f>
        <v>14</v>
      </c>
      <c r="L19" s="11" t="n">
        <f aca="false">COUNTIFS(ARQUIVOS!$A:$A,$B19,ARQUIVOS!$J:$J,"SIM",ARQUIVOS!$K:$K,"Na pasta")</f>
        <v>0</v>
      </c>
      <c r="M19" s="11" t="str">
        <f aca="false">COUNTIFS(ARQUIVOS!$A:$A,$B19,ARQUIVOS!$J:$J,"RECOMENDADA",ARQUIVOS!$K:$K,"Na pasta")&amp;" de "&amp;COUNTIFS(ARQUIVOS!$A:$A,$B19,ARQUIVOS!$J:$J,"RECOMENDADA")</f>
        <v>0 de 3</v>
      </c>
      <c r="N19" s="11" t="str">
        <f aca="false">IF(L19&gt;=K19,"SIM","NÃO")</f>
        <v>NÃO</v>
      </c>
      <c r="O19" s="13"/>
    </row>
    <row r="20" customFormat="false" ht="15" hidden="false" customHeight="false" outlineLevel="0" collapsed="false">
      <c r="A20" s="11" t="n">
        <v>17</v>
      </c>
      <c r="B20" s="12" t="s">
        <v>114</v>
      </c>
      <c r="C20" s="11" t="s">
        <v>115</v>
      </c>
      <c r="D20" s="11" t="s">
        <v>116</v>
      </c>
      <c r="E20" s="11" t="s">
        <v>117</v>
      </c>
      <c r="F20" s="11" t="s">
        <v>54</v>
      </c>
      <c r="G20" s="11" t="s">
        <v>113</v>
      </c>
      <c r="H20" s="11" t="s">
        <v>69</v>
      </c>
      <c r="I20" s="13" t="s">
        <v>57</v>
      </c>
      <c r="J20" s="14" t="s">
        <v>109</v>
      </c>
      <c r="K20" s="11" t="n">
        <f aca="false">COUNTIFS(ARQUIVOS!$A:$A,$B20,ARQUIVOS!$J:$J,"SIM")</f>
        <v>7</v>
      </c>
      <c r="L20" s="11" t="n">
        <f aca="false">COUNTIFS(ARQUIVOS!$A:$A,$B20,ARQUIVOS!$J:$J,"SIM",ARQUIVOS!$K:$K,"Na pasta")</f>
        <v>0</v>
      </c>
      <c r="M20" s="11" t="str">
        <f aca="false">COUNTIFS(ARQUIVOS!$A:$A,$B20,ARQUIVOS!$J:$J,"RECOMENDADA",ARQUIVOS!$K:$K,"Na pasta")&amp;" de "&amp;COUNTIFS(ARQUIVOS!$A:$A,$B20,ARQUIVOS!$J:$J,"RECOMENDADA")</f>
        <v>0 de 3</v>
      </c>
      <c r="N20" s="11" t="str">
        <f aca="false">IF(L20&gt;=K20,"SIM","NÃO")</f>
        <v>NÃO</v>
      </c>
      <c r="O20" s="13"/>
    </row>
    <row r="21" customFormat="false" ht="15" hidden="false" customHeight="false" outlineLevel="0" collapsed="false">
      <c r="A21" s="11" t="n">
        <v>18</v>
      </c>
      <c r="B21" s="12" t="s">
        <v>118</v>
      </c>
      <c r="C21" s="11" t="s">
        <v>119</v>
      </c>
      <c r="D21" s="11" t="s">
        <v>120</v>
      </c>
      <c r="E21" s="11" t="s">
        <v>121</v>
      </c>
      <c r="F21" s="11" t="s">
        <v>54</v>
      </c>
      <c r="G21" s="11" t="s">
        <v>122</v>
      </c>
      <c r="H21" s="11" t="s">
        <v>56</v>
      </c>
      <c r="I21" s="13" t="s">
        <v>57</v>
      </c>
      <c r="J21" s="14"/>
      <c r="K21" s="11" t="n">
        <f aca="false">COUNTIFS(ARQUIVOS!$A:$A,$B21,ARQUIVOS!$J:$J,"SIM")</f>
        <v>14</v>
      </c>
      <c r="L21" s="11" t="n">
        <f aca="false">COUNTIFS(ARQUIVOS!$A:$A,$B21,ARQUIVOS!$J:$J,"SIM",ARQUIVOS!$K:$K,"Na pasta")</f>
        <v>0</v>
      </c>
      <c r="M21" s="11" t="str">
        <f aca="false">COUNTIFS(ARQUIVOS!$A:$A,$B21,ARQUIVOS!$J:$J,"RECOMENDADA",ARQUIVOS!$K:$K,"Na pasta")&amp;" de "&amp;COUNTIFS(ARQUIVOS!$A:$A,$B21,ARQUIVOS!$J:$J,"RECOMENDADA")</f>
        <v>0 de 3</v>
      </c>
      <c r="N21" s="11" t="str">
        <f aca="false">IF(L21&gt;=K21,"SIM","NÃO")</f>
        <v>NÃO</v>
      </c>
      <c r="O21" s="13"/>
    </row>
    <row r="22" customFormat="false" ht="15" hidden="false" customHeight="false" outlineLevel="0" collapsed="false">
      <c r="A22" s="11" t="n">
        <v>19</v>
      </c>
      <c r="B22" s="12" t="s">
        <v>123</v>
      </c>
      <c r="C22" s="11" t="s">
        <v>124</v>
      </c>
      <c r="D22" s="11" t="s">
        <v>125</v>
      </c>
      <c r="E22" s="11" t="s">
        <v>126</v>
      </c>
      <c r="F22" s="11" t="s">
        <v>54</v>
      </c>
      <c r="G22" s="11" t="s">
        <v>122</v>
      </c>
      <c r="H22" s="11" t="s">
        <v>69</v>
      </c>
      <c r="I22" s="13" t="s">
        <v>57</v>
      </c>
      <c r="J22" s="14" t="s">
        <v>118</v>
      </c>
      <c r="K22" s="11" t="n">
        <f aca="false">COUNTIFS(ARQUIVOS!$A:$A,$B22,ARQUIVOS!$J:$J,"SIM")</f>
        <v>7</v>
      </c>
      <c r="L22" s="11" t="n">
        <f aca="false">COUNTIFS(ARQUIVOS!$A:$A,$B22,ARQUIVOS!$J:$J,"SIM",ARQUIVOS!$K:$K,"Na pasta")</f>
        <v>0</v>
      </c>
      <c r="M22" s="11" t="str">
        <f aca="false">COUNTIFS(ARQUIVOS!$A:$A,$B22,ARQUIVOS!$J:$J,"RECOMENDADA",ARQUIVOS!$K:$K,"Na pasta")&amp;" de "&amp;COUNTIFS(ARQUIVOS!$A:$A,$B22,ARQUIVOS!$J:$J,"RECOMENDADA")</f>
        <v>0 de 3</v>
      </c>
      <c r="N22" s="11" t="str">
        <f aca="false">IF(L22&gt;=K22,"SIM","NÃO")</f>
        <v>NÃO</v>
      </c>
      <c r="O22" s="13"/>
    </row>
    <row r="23" customFormat="false" ht="15" hidden="false" customHeight="false" outlineLevel="0" collapsed="false">
      <c r="A23" s="11" t="n">
        <v>20</v>
      </c>
      <c r="B23" s="12" t="s">
        <v>127</v>
      </c>
      <c r="C23" s="11" t="s">
        <v>128</v>
      </c>
      <c r="D23" s="11" t="s">
        <v>129</v>
      </c>
      <c r="E23" s="11" t="s">
        <v>130</v>
      </c>
      <c r="F23" s="11" t="s">
        <v>54</v>
      </c>
      <c r="G23" s="11" t="s">
        <v>131</v>
      </c>
      <c r="H23" s="11" t="s">
        <v>56</v>
      </c>
      <c r="I23" s="13" t="s">
        <v>57</v>
      </c>
      <c r="J23" s="14"/>
      <c r="K23" s="11" t="n">
        <f aca="false">COUNTIFS(ARQUIVOS!$A:$A,$B23,ARQUIVOS!$J:$J,"SIM")</f>
        <v>14</v>
      </c>
      <c r="L23" s="11" t="n">
        <f aca="false">COUNTIFS(ARQUIVOS!$A:$A,$B23,ARQUIVOS!$J:$J,"SIM",ARQUIVOS!$K:$K,"Na pasta")</f>
        <v>0</v>
      </c>
      <c r="M23" s="11" t="str">
        <f aca="false">COUNTIFS(ARQUIVOS!$A:$A,$B23,ARQUIVOS!$J:$J,"RECOMENDADA",ARQUIVOS!$K:$K,"Na pasta")&amp;" de "&amp;COUNTIFS(ARQUIVOS!$A:$A,$B23,ARQUIVOS!$J:$J,"RECOMENDADA")</f>
        <v>0 de 3</v>
      </c>
      <c r="N23" s="11" t="str">
        <f aca="false">IF(L23&gt;=K23,"SIM","NÃO")</f>
        <v>NÃO</v>
      </c>
      <c r="O23" s="13"/>
    </row>
    <row r="24" customFormat="false" ht="15" hidden="false" customHeight="false" outlineLevel="0" collapsed="false">
      <c r="A24" s="11" t="n">
        <v>21</v>
      </c>
      <c r="B24" s="12" t="s">
        <v>132</v>
      </c>
      <c r="C24" s="11" t="s">
        <v>133</v>
      </c>
      <c r="D24" s="11" t="s">
        <v>134</v>
      </c>
      <c r="E24" s="11" t="s">
        <v>135</v>
      </c>
      <c r="F24" s="11" t="s">
        <v>54</v>
      </c>
      <c r="G24" s="11" t="s">
        <v>131</v>
      </c>
      <c r="H24" s="11" t="s">
        <v>69</v>
      </c>
      <c r="I24" s="13" t="s">
        <v>57</v>
      </c>
      <c r="J24" s="14" t="s">
        <v>127</v>
      </c>
      <c r="K24" s="11" t="n">
        <f aca="false">COUNTIFS(ARQUIVOS!$A:$A,$B24,ARQUIVOS!$J:$J,"SIM")</f>
        <v>7</v>
      </c>
      <c r="L24" s="11" t="n">
        <f aca="false">COUNTIFS(ARQUIVOS!$A:$A,$B24,ARQUIVOS!$J:$J,"SIM",ARQUIVOS!$K:$K,"Na pasta")</f>
        <v>0</v>
      </c>
      <c r="M24" s="11" t="str">
        <f aca="false">COUNTIFS(ARQUIVOS!$A:$A,$B24,ARQUIVOS!$J:$J,"RECOMENDADA",ARQUIVOS!$K:$K,"Na pasta")&amp;" de "&amp;COUNTIFS(ARQUIVOS!$A:$A,$B24,ARQUIVOS!$J:$J,"RECOMENDADA")</f>
        <v>0 de 3</v>
      </c>
      <c r="N24" s="11" t="str">
        <f aca="false">IF(L24&gt;=K24,"SIM","NÃO")</f>
        <v>NÃO</v>
      </c>
      <c r="O24" s="13"/>
    </row>
    <row r="25" customFormat="false" ht="15" hidden="false" customHeight="false" outlineLevel="0" collapsed="false">
      <c r="A25" s="11" t="n">
        <v>22</v>
      </c>
      <c r="B25" s="12" t="s">
        <v>136</v>
      </c>
      <c r="C25" s="11" t="s">
        <v>137</v>
      </c>
      <c r="D25" s="11" t="s">
        <v>138</v>
      </c>
      <c r="E25" s="11" t="s">
        <v>139</v>
      </c>
      <c r="F25" s="11" t="s">
        <v>54</v>
      </c>
      <c r="G25" s="11" t="s">
        <v>140</v>
      </c>
      <c r="H25" s="11" t="s">
        <v>56</v>
      </c>
      <c r="I25" s="13" t="s">
        <v>57</v>
      </c>
      <c r="J25" s="14"/>
      <c r="K25" s="11" t="n">
        <f aca="false">COUNTIFS(ARQUIVOS!$A:$A,$B25,ARQUIVOS!$J:$J,"SIM")</f>
        <v>14</v>
      </c>
      <c r="L25" s="11" t="n">
        <f aca="false">COUNTIFS(ARQUIVOS!$A:$A,$B25,ARQUIVOS!$J:$J,"SIM",ARQUIVOS!$K:$K,"Na pasta")</f>
        <v>0</v>
      </c>
      <c r="M25" s="11" t="str">
        <f aca="false">COUNTIFS(ARQUIVOS!$A:$A,$B25,ARQUIVOS!$J:$J,"RECOMENDADA",ARQUIVOS!$K:$K,"Na pasta")&amp;" de "&amp;COUNTIFS(ARQUIVOS!$A:$A,$B25,ARQUIVOS!$J:$J,"RECOMENDADA")</f>
        <v>0 de 3</v>
      </c>
      <c r="N25" s="11" t="str">
        <f aca="false">IF(L25&gt;=K25,"SIM","NÃO")</f>
        <v>NÃO</v>
      </c>
      <c r="O25" s="13"/>
    </row>
    <row r="26" customFormat="false" ht="15" hidden="false" customHeight="false" outlineLevel="0" collapsed="false">
      <c r="A26" s="11" t="n">
        <v>23</v>
      </c>
      <c r="B26" s="12" t="s">
        <v>141</v>
      </c>
      <c r="C26" s="11" t="s">
        <v>142</v>
      </c>
      <c r="D26" s="11" t="s">
        <v>143</v>
      </c>
      <c r="E26" s="11" t="s">
        <v>144</v>
      </c>
      <c r="F26" s="11" t="s">
        <v>54</v>
      </c>
      <c r="G26" s="11" t="s">
        <v>140</v>
      </c>
      <c r="H26" s="11" t="s">
        <v>69</v>
      </c>
      <c r="I26" s="13" t="s">
        <v>57</v>
      </c>
      <c r="J26" s="14" t="s">
        <v>136</v>
      </c>
      <c r="K26" s="11" t="n">
        <f aca="false">COUNTIFS(ARQUIVOS!$A:$A,$B26,ARQUIVOS!$J:$J,"SIM")</f>
        <v>7</v>
      </c>
      <c r="L26" s="11" t="n">
        <f aca="false">COUNTIFS(ARQUIVOS!$A:$A,$B26,ARQUIVOS!$J:$J,"SIM",ARQUIVOS!$K:$K,"Na pasta")</f>
        <v>0</v>
      </c>
      <c r="M26" s="11" t="str">
        <f aca="false">COUNTIFS(ARQUIVOS!$A:$A,$B26,ARQUIVOS!$J:$J,"RECOMENDADA",ARQUIVOS!$K:$K,"Na pasta")&amp;" de "&amp;COUNTIFS(ARQUIVOS!$A:$A,$B26,ARQUIVOS!$J:$J,"RECOMENDADA")</f>
        <v>0 de 3</v>
      </c>
      <c r="N26" s="11" t="str">
        <f aca="false">IF(L26&gt;=K26,"SIM","NÃO")</f>
        <v>NÃO</v>
      </c>
      <c r="O26" s="13"/>
    </row>
    <row r="27" customFormat="false" ht="15" hidden="false" customHeight="false" outlineLevel="0" collapsed="false">
      <c r="A27" s="11" t="n">
        <v>24</v>
      </c>
      <c r="B27" s="12" t="s">
        <v>145</v>
      </c>
      <c r="C27" s="11" t="s">
        <v>146</v>
      </c>
      <c r="D27" s="11" t="s">
        <v>147</v>
      </c>
      <c r="E27" s="11" t="s">
        <v>148</v>
      </c>
      <c r="F27" s="11" t="s">
        <v>54</v>
      </c>
      <c r="G27" s="11" t="s">
        <v>149</v>
      </c>
      <c r="H27" s="11" t="s">
        <v>105</v>
      </c>
      <c r="I27" s="13" t="s">
        <v>57</v>
      </c>
      <c r="J27" s="14"/>
      <c r="K27" s="11" t="n">
        <f aca="false">COUNTIFS(ARQUIVOS!$A:$A,$B27,ARQUIVOS!$J:$J,"SIM")</f>
        <v>14</v>
      </c>
      <c r="L27" s="11" t="n">
        <f aca="false">COUNTIFS(ARQUIVOS!$A:$A,$B27,ARQUIVOS!$J:$J,"SIM",ARQUIVOS!$K:$K,"Na pasta")</f>
        <v>0</v>
      </c>
      <c r="M27" s="11" t="str">
        <f aca="false">COUNTIFS(ARQUIVOS!$A:$A,$B27,ARQUIVOS!$J:$J,"RECOMENDADA",ARQUIVOS!$K:$K,"Na pasta")&amp;" de "&amp;COUNTIFS(ARQUIVOS!$A:$A,$B27,ARQUIVOS!$J:$J,"RECOMENDADA")</f>
        <v>0 de 3</v>
      </c>
      <c r="N27" s="11" t="str">
        <f aca="false">IF(L27&gt;=K27,"SIM","NÃO")</f>
        <v>NÃO</v>
      </c>
      <c r="O27" s="13"/>
    </row>
    <row r="28" customFormat="false" ht="15" hidden="false" customHeight="false" outlineLevel="0" collapsed="false">
      <c r="A28" s="11" t="n">
        <v>25</v>
      </c>
      <c r="B28" s="12" t="s">
        <v>150</v>
      </c>
      <c r="C28" s="11" t="s">
        <v>151</v>
      </c>
      <c r="D28" s="11" t="s">
        <v>152</v>
      </c>
      <c r="E28" s="11" t="s">
        <v>153</v>
      </c>
      <c r="F28" s="11" t="s">
        <v>54</v>
      </c>
      <c r="G28" s="11" t="s">
        <v>149</v>
      </c>
      <c r="H28" s="11" t="s">
        <v>69</v>
      </c>
      <c r="I28" s="13" t="s">
        <v>57</v>
      </c>
      <c r="J28" s="14" t="s">
        <v>145</v>
      </c>
      <c r="K28" s="11" t="n">
        <f aca="false">COUNTIFS(ARQUIVOS!$A:$A,$B28,ARQUIVOS!$J:$J,"SIM")</f>
        <v>7</v>
      </c>
      <c r="L28" s="11" t="n">
        <f aca="false">COUNTIFS(ARQUIVOS!$A:$A,$B28,ARQUIVOS!$J:$J,"SIM",ARQUIVOS!$K:$K,"Na pasta")</f>
        <v>0</v>
      </c>
      <c r="M28" s="11" t="str">
        <f aca="false">COUNTIFS(ARQUIVOS!$A:$A,$B28,ARQUIVOS!$J:$J,"RECOMENDADA",ARQUIVOS!$K:$K,"Na pasta")&amp;" de "&amp;COUNTIFS(ARQUIVOS!$A:$A,$B28,ARQUIVOS!$J:$J,"RECOMENDADA")</f>
        <v>0 de 3</v>
      </c>
      <c r="N28" s="11" t="str">
        <f aca="false">IF(L28&gt;=K28,"SIM","NÃO")</f>
        <v>NÃO</v>
      </c>
      <c r="O28" s="13"/>
    </row>
    <row r="29" customFormat="false" ht="15" hidden="false" customHeight="false" outlineLevel="0" collapsed="false">
      <c r="A29" s="11" t="n">
        <v>26</v>
      </c>
      <c r="B29" s="12" t="s">
        <v>154</v>
      </c>
      <c r="C29" s="11" t="s">
        <v>155</v>
      </c>
      <c r="D29" s="11" t="s">
        <v>156</v>
      </c>
      <c r="E29" s="11" t="s">
        <v>157</v>
      </c>
      <c r="F29" s="11" t="s">
        <v>54</v>
      </c>
      <c r="G29" s="11" t="s">
        <v>158</v>
      </c>
      <c r="H29" s="11" t="s">
        <v>105</v>
      </c>
      <c r="I29" s="13" t="s">
        <v>57</v>
      </c>
      <c r="J29" s="14"/>
      <c r="K29" s="11" t="n">
        <f aca="false">COUNTIFS(ARQUIVOS!$A:$A,$B29,ARQUIVOS!$J:$J,"SIM")</f>
        <v>14</v>
      </c>
      <c r="L29" s="11" t="n">
        <f aca="false">COUNTIFS(ARQUIVOS!$A:$A,$B29,ARQUIVOS!$J:$J,"SIM",ARQUIVOS!$K:$K,"Na pasta")</f>
        <v>0</v>
      </c>
      <c r="M29" s="11" t="str">
        <f aca="false">COUNTIFS(ARQUIVOS!$A:$A,$B29,ARQUIVOS!$J:$J,"RECOMENDADA",ARQUIVOS!$K:$K,"Na pasta")&amp;" de "&amp;COUNTIFS(ARQUIVOS!$A:$A,$B29,ARQUIVOS!$J:$J,"RECOMENDADA")</f>
        <v>0 de 3</v>
      </c>
      <c r="N29" s="11" t="str">
        <f aca="false">IF(L29&gt;=K29,"SIM","NÃO")</f>
        <v>NÃO</v>
      </c>
      <c r="O29" s="13"/>
    </row>
    <row r="30" customFormat="false" ht="15" hidden="false" customHeight="false" outlineLevel="0" collapsed="false">
      <c r="A30" s="11" t="n">
        <v>27</v>
      </c>
      <c r="B30" s="12" t="s">
        <v>159</v>
      </c>
      <c r="C30" s="11" t="s">
        <v>160</v>
      </c>
      <c r="D30" s="11" t="s">
        <v>161</v>
      </c>
      <c r="E30" s="11" t="s">
        <v>162</v>
      </c>
      <c r="F30" s="11" t="s">
        <v>54</v>
      </c>
      <c r="G30" s="11" t="s">
        <v>158</v>
      </c>
      <c r="H30" s="11" t="s">
        <v>69</v>
      </c>
      <c r="I30" s="13" t="s">
        <v>57</v>
      </c>
      <c r="J30" s="14" t="s">
        <v>154</v>
      </c>
      <c r="K30" s="11" t="n">
        <f aca="false">COUNTIFS(ARQUIVOS!$A:$A,$B30,ARQUIVOS!$J:$J,"SIM")</f>
        <v>7</v>
      </c>
      <c r="L30" s="11" t="n">
        <f aca="false">COUNTIFS(ARQUIVOS!$A:$A,$B30,ARQUIVOS!$J:$J,"SIM",ARQUIVOS!$K:$K,"Na pasta")</f>
        <v>0</v>
      </c>
      <c r="M30" s="11" t="str">
        <f aca="false">COUNTIFS(ARQUIVOS!$A:$A,$B30,ARQUIVOS!$J:$J,"RECOMENDADA",ARQUIVOS!$K:$K,"Na pasta")&amp;" de "&amp;COUNTIFS(ARQUIVOS!$A:$A,$B30,ARQUIVOS!$J:$J,"RECOMENDADA")</f>
        <v>0 de 3</v>
      </c>
      <c r="N30" s="11" t="str">
        <f aca="false">IF(L30&gt;=K30,"SIM","NÃO")</f>
        <v>NÃO</v>
      </c>
      <c r="O30" s="13"/>
    </row>
    <row r="31" customFormat="false" ht="15" hidden="false" customHeight="false" outlineLevel="0" collapsed="false">
      <c r="A31" s="11" t="n">
        <v>28</v>
      </c>
      <c r="B31" s="12" t="s">
        <v>163</v>
      </c>
      <c r="C31" s="11" t="s">
        <v>164</v>
      </c>
      <c r="D31" s="11" t="s">
        <v>165</v>
      </c>
      <c r="E31" s="11" t="s">
        <v>166</v>
      </c>
      <c r="F31" s="11" t="s">
        <v>54</v>
      </c>
      <c r="G31" s="11" t="s">
        <v>167</v>
      </c>
      <c r="H31" s="11" t="s">
        <v>105</v>
      </c>
      <c r="I31" s="13" t="s">
        <v>57</v>
      </c>
      <c r="J31" s="14"/>
      <c r="K31" s="11" t="n">
        <f aca="false">COUNTIFS(ARQUIVOS!$A:$A,$B31,ARQUIVOS!$J:$J,"SIM")</f>
        <v>14</v>
      </c>
      <c r="L31" s="11" t="n">
        <f aca="false">COUNTIFS(ARQUIVOS!$A:$A,$B31,ARQUIVOS!$J:$J,"SIM",ARQUIVOS!$K:$K,"Na pasta")</f>
        <v>0</v>
      </c>
      <c r="M31" s="11" t="str">
        <f aca="false">COUNTIFS(ARQUIVOS!$A:$A,$B31,ARQUIVOS!$J:$J,"RECOMENDADA",ARQUIVOS!$K:$K,"Na pasta")&amp;" de "&amp;COUNTIFS(ARQUIVOS!$A:$A,$B31,ARQUIVOS!$J:$J,"RECOMENDADA")</f>
        <v>0 de 3</v>
      </c>
      <c r="N31" s="11" t="str">
        <f aca="false">IF(L31&gt;=K31,"SIM","NÃO")</f>
        <v>NÃO</v>
      </c>
      <c r="O31" s="13"/>
    </row>
    <row r="32" customFormat="false" ht="15" hidden="false" customHeight="false" outlineLevel="0" collapsed="false">
      <c r="A32" s="11" t="n">
        <v>29</v>
      </c>
      <c r="B32" s="12" t="s">
        <v>168</v>
      </c>
      <c r="C32" s="11" t="s">
        <v>169</v>
      </c>
      <c r="D32" s="11" t="s">
        <v>170</v>
      </c>
      <c r="E32" s="11" t="s">
        <v>171</v>
      </c>
      <c r="F32" s="11" t="s">
        <v>54</v>
      </c>
      <c r="G32" s="11" t="s">
        <v>167</v>
      </c>
      <c r="H32" s="11" t="s">
        <v>69</v>
      </c>
      <c r="I32" s="13" t="s">
        <v>57</v>
      </c>
      <c r="J32" s="14" t="s">
        <v>163</v>
      </c>
      <c r="K32" s="11" t="n">
        <f aca="false">COUNTIFS(ARQUIVOS!$A:$A,$B32,ARQUIVOS!$J:$J,"SIM")</f>
        <v>7</v>
      </c>
      <c r="L32" s="11" t="n">
        <f aca="false">COUNTIFS(ARQUIVOS!$A:$A,$B32,ARQUIVOS!$J:$J,"SIM",ARQUIVOS!$K:$K,"Na pasta")</f>
        <v>0</v>
      </c>
      <c r="M32" s="11" t="str">
        <f aca="false">COUNTIFS(ARQUIVOS!$A:$A,$B32,ARQUIVOS!$J:$J,"RECOMENDADA",ARQUIVOS!$K:$K,"Na pasta")&amp;" de "&amp;COUNTIFS(ARQUIVOS!$A:$A,$B32,ARQUIVOS!$J:$J,"RECOMENDADA")</f>
        <v>0 de 3</v>
      </c>
      <c r="N32" s="11" t="str">
        <f aca="false">IF(L32&gt;=K32,"SIM","NÃO")</f>
        <v>NÃO</v>
      </c>
      <c r="O32" s="13"/>
    </row>
    <row r="33" customFormat="false" ht="15" hidden="false" customHeight="false" outlineLevel="0" collapsed="false">
      <c r="A33" s="11" t="n">
        <v>30</v>
      </c>
      <c r="B33" s="12" t="s">
        <v>172</v>
      </c>
      <c r="C33" s="11" t="s">
        <v>173</v>
      </c>
      <c r="D33" s="11" t="s">
        <v>174</v>
      </c>
      <c r="E33" s="11" t="s">
        <v>175</v>
      </c>
      <c r="F33" s="11" t="s">
        <v>54</v>
      </c>
      <c r="G33" s="11"/>
      <c r="H33" s="11" t="s">
        <v>176</v>
      </c>
      <c r="I33" s="13" t="s">
        <v>57</v>
      </c>
      <c r="J33" s="14"/>
      <c r="K33" s="11" t="n">
        <f aca="false">COUNTIFS(ARQUIVOS!$A:$A,$B33,ARQUIVOS!$J:$J,"SIM")</f>
        <v>14</v>
      </c>
      <c r="L33" s="11" t="n">
        <f aca="false">COUNTIFS(ARQUIVOS!$A:$A,$B33,ARQUIVOS!$J:$J,"SIM",ARQUIVOS!$K:$K,"Na pasta")</f>
        <v>0</v>
      </c>
      <c r="M33" s="11" t="str">
        <f aca="false">COUNTIFS(ARQUIVOS!$A:$A,$B33,ARQUIVOS!$J:$J,"RECOMENDADA",ARQUIVOS!$K:$K,"Na pasta")&amp;" de "&amp;COUNTIFS(ARQUIVOS!$A:$A,$B33,ARQUIVOS!$J:$J,"RECOMENDADA")</f>
        <v>0 de 3</v>
      </c>
      <c r="N33" s="11" t="str">
        <f aca="false">IF(L33&gt;=K33,"SIM","NÃO")</f>
        <v>NÃO</v>
      </c>
      <c r="O33" s="13"/>
    </row>
    <row r="34" customFormat="false" ht="15" hidden="false" customHeight="false" outlineLevel="0" collapsed="false">
      <c r="A34" s="11" t="n">
        <v>31</v>
      </c>
      <c r="B34" s="12" t="s">
        <v>177</v>
      </c>
      <c r="C34" s="11" t="s">
        <v>178</v>
      </c>
      <c r="D34" s="11" t="s">
        <v>179</v>
      </c>
      <c r="E34" s="11" t="s">
        <v>180</v>
      </c>
      <c r="F34" s="11" t="s">
        <v>54</v>
      </c>
      <c r="G34" s="11"/>
      <c r="H34" s="11" t="s">
        <v>69</v>
      </c>
      <c r="I34" s="13" t="s">
        <v>57</v>
      </c>
      <c r="J34" s="14"/>
      <c r="K34" s="11" t="n">
        <f aca="false">COUNTIFS(ARQUIVOS!$A:$A,$B34,ARQUIVOS!$J:$J,"SIM")</f>
        <v>14</v>
      </c>
      <c r="L34" s="11" t="n">
        <f aca="false">COUNTIFS(ARQUIVOS!$A:$A,$B34,ARQUIVOS!$J:$J,"SIM",ARQUIVOS!$K:$K,"Na pasta")</f>
        <v>0</v>
      </c>
      <c r="M34" s="11" t="str">
        <f aca="false">COUNTIFS(ARQUIVOS!$A:$A,$B34,ARQUIVOS!$J:$J,"RECOMENDADA",ARQUIVOS!$K:$K,"Na pasta")&amp;" de "&amp;COUNTIFS(ARQUIVOS!$A:$A,$B34,ARQUIVOS!$J:$J,"RECOMENDADA")</f>
        <v>0 de 3</v>
      </c>
      <c r="N34" s="11" t="str">
        <f aca="false">IF(L34&gt;=K34,"SIM","NÃO")</f>
        <v>NÃO</v>
      </c>
      <c r="O34" s="13"/>
    </row>
    <row r="35" customFormat="false" ht="15" hidden="false" customHeight="false" outlineLevel="0" collapsed="false">
      <c r="A35" s="11" t="n">
        <v>32</v>
      </c>
      <c r="B35" s="12" t="s">
        <v>181</v>
      </c>
      <c r="C35" s="11" t="s">
        <v>182</v>
      </c>
      <c r="D35" s="11" t="s">
        <v>183</v>
      </c>
      <c r="E35" s="11" t="s">
        <v>184</v>
      </c>
      <c r="F35" s="11" t="s">
        <v>54</v>
      </c>
      <c r="G35" s="11"/>
      <c r="H35" s="11" t="s">
        <v>69</v>
      </c>
      <c r="I35" s="13" t="s">
        <v>57</v>
      </c>
      <c r="J35" s="14"/>
      <c r="K35" s="11" t="n">
        <f aca="false">COUNTIFS(ARQUIVOS!$A:$A,$B35,ARQUIVOS!$J:$J,"SIM")</f>
        <v>14</v>
      </c>
      <c r="L35" s="11" t="n">
        <f aca="false">COUNTIFS(ARQUIVOS!$A:$A,$B35,ARQUIVOS!$J:$J,"SIM",ARQUIVOS!$K:$K,"Na pasta")</f>
        <v>0</v>
      </c>
      <c r="M35" s="11" t="str">
        <f aca="false">COUNTIFS(ARQUIVOS!$A:$A,$B35,ARQUIVOS!$J:$J,"RECOMENDADA",ARQUIVOS!$K:$K,"Na pasta")&amp;" de "&amp;COUNTIFS(ARQUIVOS!$A:$A,$B35,ARQUIVOS!$J:$J,"RECOMENDADA")</f>
        <v>0 de 3</v>
      </c>
      <c r="N35" s="11" t="str">
        <f aca="false">IF(L35&gt;=K35,"SIM","NÃO")</f>
        <v>NÃO</v>
      </c>
      <c r="O35" s="13"/>
    </row>
    <row r="36" customFormat="false" ht="15" hidden="false" customHeight="false" outlineLevel="0" collapsed="false">
      <c r="A36" s="11" t="n">
        <v>33</v>
      </c>
      <c r="B36" s="12" t="s">
        <v>185</v>
      </c>
      <c r="C36" s="11" t="s">
        <v>186</v>
      </c>
      <c r="D36" s="11" t="s">
        <v>187</v>
      </c>
      <c r="E36" s="11" t="s">
        <v>188</v>
      </c>
      <c r="F36" s="11" t="s">
        <v>54</v>
      </c>
      <c r="G36" s="11"/>
      <c r="H36" s="11" t="s">
        <v>69</v>
      </c>
      <c r="I36" s="13" t="s">
        <v>57</v>
      </c>
      <c r="J36" s="14"/>
      <c r="K36" s="11" t="n">
        <f aca="false">COUNTIFS(ARQUIVOS!$A:$A,$B36,ARQUIVOS!$J:$J,"SIM")</f>
        <v>14</v>
      </c>
      <c r="L36" s="11" t="n">
        <f aca="false">COUNTIFS(ARQUIVOS!$A:$A,$B36,ARQUIVOS!$J:$J,"SIM",ARQUIVOS!$K:$K,"Na pasta")</f>
        <v>0</v>
      </c>
      <c r="M36" s="11" t="str">
        <f aca="false">COUNTIFS(ARQUIVOS!$A:$A,$B36,ARQUIVOS!$J:$J,"RECOMENDADA",ARQUIVOS!$K:$K,"Na pasta")&amp;" de "&amp;COUNTIFS(ARQUIVOS!$A:$A,$B36,ARQUIVOS!$J:$J,"RECOMENDADA")</f>
        <v>0 de 3</v>
      </c>
      <c r="N36" s="11" t="str">
        <f aca="false">IF(L36&gt;=K36,"SIM","NÃO")</f>
        <v>NÃO</v>
      </c>
      <c r="O36" s="13"/>
    </row>
    <row r="37" customFormat="false" ht="15" hidden="false" customHeight="false" outlineLevel="0" collapsed="false">
      <c r="A37" s="11" t="n">
        <v>34</v>
      </c>
      <c r="B37" s="12" t="s">
        <v>189</v>
      </c>
      <c r="C37" s="11" t="s">
        <v>190</v>
      </c>
      <c r="D37" s="11" t="s">
        <v>191</v>
      </c>
      <c r="E37" s="11" t="s">
        <v>192</v>
      </c>
      <c r="F37" s="11" t="s">
        <v>54</v>
      </c>
      <c r="G37" s="11"/>
      <c r="H37" s="11" t="s">
        <v>193</v>
      </c>
      <c r="I37" s="13" t="s">
        <v>57</v>
      </c>
      <c r="J37" s="14"/>
      <c r="K37" s="11" t="n">
        <f aca="false">COUNTIFS(ARQUIVOS!$A:$A,$B37,ARQUIVOS!$J:$J,"SIM")</f>
        <v>14</v>
      </c>
      <c r="L37" s="11" t="n">
        <f aca="false">COUNTIFS(ARQUIVOS!$A:$A,$B37,ARQUIVOS!$J:$J,"SIM",ARQUIVOS!$K:$K,"Na pasta")</f>
        <v>0</v>
      </c>
      <c r="M37" s="11" t="str">
        <f aca="false">COUNTIFS(ARQUIVOS!$A:$A,$B37,ARQUIVOS!$J:$J,"RECOMENDADA",ARQUIVOS!$K:$K,"Na pasta")&amp;" de "&amp;COUNTIFS(ARQUIVOS!$A:$A,$B37,ARQUIVOS!$J:$J,"RECOMENDADA")</f>
        <v>0 de 3</v>
      </c>
      <c r="N37" s="11" t="str">
        <f aca="false">IF(L37&gt;=K37,"SIM","NÃO")</f>
        <v>NÃO</v>
      </c>
      <c r="O37" s="13"/>
    </row>
    <row r="38" customFormat="false" ht="15" hidden="false" customHeight="false" outlineLevel="0" collapsed="false">
      <c r="A38" s="11" t="n">
        <v>35</v>
      </c>
      <c r="B38" s="12" t="s">
        <v>194</v>
      </c>
      <c r="C38" s="11" t="s">
        <v>195</v>
      </c>
      <c r="D38" s="11" t="s">
        <v>196</v>
      </c>
      <c r="E38" s="11" t="s">
        <v>197</v>
      </c>
      <c r="F38" s="11" t="s">
        <v>54</v>
      </c>
      <c r="G38" s="11"/>
      <c r="H38" s="11" t="s">
        <v>193</v>
      </c>
      <c r="I38" s="13" t="s">
        <v>57</v>
      </c>
      <c r="J38" s="14"/>
      <c r="K38" s="11" t="n">
        <f aca="false">COUNTIFS(ARQUIVOS!$A:$A,$B38,ARQUIVOS!$J:$J,"SIM")</f>
        <v>14</v>
      </c>
      <c r="L38" s="11" t="n">
        <f aca="false">COUNTIFS(ARQUIVOS!$A:$A,$B38,ARQUIVOS!$J:$J,"SIM",ARQUIVOS!$K:$K,"Na pasta")</f>
        <v>0</v>
      </c>
      <c r="M38" s="11" t="str">
        <f aca="false">COUNTIFS(ARQUIVOS!$A:$A,$B38,ARQUIVOS!$J:$J,"RECOMENDADA",ARQUIVOS!$K:$K,"Na pasta")&amp;" de "&amp;COUNTIFS(ARQUIVOS!$A:$A,$B38,ARQUIVOS!$J:$J,"RECOMENDADA")</f>
        <v>0 de 3</v>
      </c>
      <c r="N38" s="11" t="str">
        <f aca="false">IF(L38&gt;=K38,"SIM","NÃO")</f>
        <v>NÃO</v>
      </c>
      <c r="O38" s="13"/>
    </row>
    <row r="39" customFormat="false" ht="15" hidden="false" customHeight="false" outlineLevel="0" collapsed="false">
      <c r="A39" s="11" t="n">
        <v>36</v>
      </c>
      <c r="B39" s="12" t="s">
        <v>198</v>
      </c>
      <c r="C39" s="11" t="s">
        <v>199</v>
      </c>
      <c r="D39" s="11" t="s">
        <v>200</v>
      </c>
      <c r="E39" s="11" t="s">
        <v>201</v>
      </c>
      <c r="F39" s="11" t="s">
        <v>54</v>
      </c>
      <c r="G39" s="11"/>
      <c r="H39" s="11" t="s">
        <v>193</v>
      </c>
      <c r="I39" s="13" t="s">
        <v>57</v>
      </c>
      <c r="J39" s="14"/>
      <c r="K39" s="11" t="n">
        <f aca="false">COUNTIFS(ARQUIVOS!$A:$A,$B39,ARQUIVOS!$J:$J,"SIM")</f>
        <v>14</v>
      </c>
      <c r="L39" s="11" t="n">
        <f aca="false">COUNTIFS(ARQUIVOS!$A:$A,$B39,ARQUIVOS!$J:$J,"SIM",ARQUIVOS!$K:$K,"Na pasta")</f>
        <v>0</v>
      </c>
      <c r="M39" s="11" t="str">
        <f aca="false">COUNTIFS(ARQUIVOS!$A:$A,$B39,ARQUIVOS!$J:$J,"RECOMENDADA",ARQUIVOS!$K:$K,"Na pasta")&amp;" de "&amp;COUNTIFS(ARQUIVOS!$A:$A,$B39,ARQUIVOS!$J:$J,"RECOMENDADA")</f>
        <v>0 de 3</v>
      </c>
      <c r="N39" s="11" t="str">
        <f aca="false">IF(L39&gt;=K39,"SIM","NÃO")</f>
        <v>NÃO</v>
      </c>
      <c r="O39" s="13"/>
    </row>
    <row r="40" customFormat="false" ht="15" hidden="false" customHeight="false" outlineLevel="0" collapsed="false">
      <c r="A40" s="11" t="n">
        <v>37</v>
      </c>
      <c r="B40" s="12" t="s">
        <v>202</v>
      </c>
      <c r="C40" s="11" t="s">
        <v>203</v>
      </c>
      <c r="D40" s="11" t="s">
        <v>204</v>
      </c>
      <c r="E40" s="11" t="s">
        <v>205</v>
      </c>
      <c r="F40" s="11" t="s">
        <v>54</v>
      </c>
      <c r="G40" s="11"/>
      <c r="H40" s="11" t="s">
        <v>193</v>
      </c>
      <c r="I40" s="13" t="s">
        <v>57</v>
      </c>
      <c r="J40" s="14"/>
      <c r="K40" s="11" t="n">
        <f aca="false">COUNTIFS(ARQUIVOS!$A:$A,$B40,ARQUIVOS!$J:$J,"SIM")</f>
        <v>14</v>
      </c>
      <c r="L40" s="11" t="n">
        <f aca="false">COUNTIFS(ARQUIVOS!$A:$A,$B40,ARQUIVOS!$J:$J,"SIM",ARQUIVOS!$K:$K,"Na pasta")</f>
        <v>0</v>
      </c>
      <c r="M40" s="11" t="str">
        <f aca="false">COUNTIFS(ARQUIVOS!$A:$A,$B40,ARQUIVOS!$J:$J,"RECOMENDADA",ARQUIVOS!$K:$K,"Na pasta")&amp;" de "&amp;COUNTIFS(ARQUIVOS!$A:$A,$B40,ARQUIVOS!$J:$J,"RECOMENDADA")</f>
        <v>0 de 3</v>
      </c>
      <c r="N40" s="11" t="str">
        <f aca="false">IF(L40&gt;=K40,"SIM","NÃO")</f>
        <v>NÃO</v>
      </c>
      <c r="O40" s="13"/>
    </row>
    <row r="41" customFormat="false" ht="15" hidden="false" customHeight="false" outlineLevel="0" collapsed="false">
      <c r="A41" s="11" t="n">
        <v>38</v>
      </c>
      <c r="B41" s="12" t="s">
        <v>206</v>
      </c>
      <c r="C41" s="11" t="s">
        <v>207</v>
      </c>
      <c r="D41" s="11" t="s">
        <v>208</v>
      </c>
      <c r="E41" s="11" t="s">
        <v>209</v>
      </c>
      <c r="F41" s="11" t="s">
        <v>210</v>
      </c>
      <c r="G41" s="11"/>
      <c r="H41" s="11" t="s">
        <v>211</v>
      </c>
      <c r="I41" s="13" t="s">
        <v>57</v>
      </c>
      <c r="J41" s="14"/>
      <c r="K41" s="11" t="n">
        <f aca="false">COUNTIFS(ARQUIVOS!$A:$A,$B41,ARQUIVOS!$J:$J,"SIM")</f>
        <v>14</v>
      </c>
      <c r="L41" s="11" t="n">
        <f aca="false">COUNTIFS(ARQUIVOS!$A:$A,$B41,ARQUIVOS!$J:$J,"SIM",ARQUIVOS!$K:$K,"Na pasta")</f>
        <v>0</v>
      </c>
      <c r="M41" s="11" t="str">
        <f aca="false">COUNTIFS(ARQUIVOS!$A:$A,$B41,ARQUIVOS!$J:$J,"RECOMENDADA",ARQUIVOS!$K:$K,"Na pasta")&amp;" de "&amp;COUNTIFS(ARQUIVOS!$A:$A,$B41,ARQUIVOS!$J:$J,"RECOMENDADA")</f>
        <v>0 de 3</v>
      </c>
      <c r="N41" s="11" t="str">
        <f aca="false">IF(L41&gt;=K41,"SIM","NÃO")</f>
        <v>NÃO</v>
      </c>
      <c r="O41" s="13"/>
    </row>
    <row r="42" customFormat="false" ht="15" hidden="false" customHeight="false" outlineLevel="0" collapsed="false">
      <c r="A42" s="11" t="n">
        <v>39</v>
      </c>
      <c r="B42" s="12" t="s">
        <v>212</v>
      </c>
      <c r="C42" s="11" t="s">
        <v>213</v>
      </c>
      <c r="D42" s="11" t="s">
        <v>214</v>
      </c>
      <c r="E42" s="11" t="s">
        <v>215</v>
      </c>
      <c r="F42" s="11" t="s">
        <v>210</v>
      </c>
      <c r="G42" s="11"/>
      <c r="H42" s="11" t="s">
        <v>216</v>
      </c>
      <c r="I42" s="13" t="s">
        <v>57</v>
      </c>
      <c r="J42" s="14"/>
      <c r="K42" s="11" t="n">
        <f aca="false">COUNTIFS(ARQUIVOS!$A:$A,$B42,ARQUIVOS!$J:$J,"SIM")</f>
        <v>14</v>
      </c>
      <c r="L42" s="11" t="n">
        <f aca="false">COUNTIFS(ARQUIVOS!$A:$A,$B42,ARQUIVOS!$J:$J,"SIM",ARQUIVOS!$K:$K,"Na pasta")</f>
        <v>0</v>
      </c>
      <c r="M42" s="11" t="str">
        <f aca="false">COUNTIFS(ARQUIVOS!$A:$A,$B42,ARQUIVOS!$J:$J,"RECOMENDADA",ARQUIVOS!$K:$K,"Na pasta")&amp;" de "&amp;COUNTIFS(ARQUIVOS!$A:$A,$B42,ARQUIVOS!$J:$J,"RECOMENDADA")</f>
        <v>0 de 3</v>
      </c>
      <c r="N42" s="11" t="str">
        <f aca="false">IF(L42&gt;=K42,"SIM","NÃO")</f>
        <v>NÃO</v>
      </c>
      <c r="O42" s="13"/>
    </row>
    <row r="43" customFormat="false" ht="15" hidden="false" customHeight="false" outlineLevel="0" collapsed="false">
      <c r="A43" s="11" t="n">
        <v>40</v>
      </c>
      <c r="B43" s="12" t="s">
        <v>217</v>
      </c>
      <c r="C43" s="11" t="s">
        <v>218</v>
      </c>
      <c r="D43" s="11" t="s">
        <v>219</v>
      </c>
      <c r="E43" s="11" t="s">
        <v>220</v>
      </c>
      <c r="F43" s="11" t="s">
        <v>210</v>
      </c>
      <c r="G43" s="11"/>
      <c r="H43" s="11" t="s">
        <v>211</v>
      </c>
      <c r="I43" s="13" t="s">
        <v>57</v>
      </c>
      <c r="J43" s="14"/>
      <c r="K43" s="11" t="n">
        <f aca="false">COUNTIFS(ARQUIVOS!$A:$A,$B43,ARQUIVOS!$J:$J,"SIM")</f>
        <v>14</v>
      </c>
      <c r="L43" s="11" t="n">
        <f aca="false">COUNTIFS(ARQUIVOS!$A:$A,$B43,ARQUIVOS!$J:$J,"SIM",ARQUIVOS!$K:$K,"Na pasta")</f>
        <v>0</v>
      </c>
      <c r="M43" s="11" t="str">
        <f aca="false">COUNTIFS(ARQUIVOS!$A:$A,$B43,ARQUIVOS!$J:$J,"RECOMENDADA",ARQUIVOS!$K:$K,"Na pasta")&amp;" de "&amp;COUNTIFS(ARQUIVOS!$A:$A,$B43,ARQUIVOS!$J:$J,"RECOMENDADA")</f>
        <v>0 de 3</v>
      </c>
      <c r="N43" s="11" t="str">
        <f aca="false">IF(L43&gt;=K43,"SIM","NÃO")</f>
        <v>NÃO</v>
      </c>
      <c r="O43" s="13"/>
    </row>
    <row r="44" customFormat="false" ht="15" hidden="false" customHeight="false" outlineLevel="0" collapsed="false">
      <c r="A44" s="11" t="n">
        <v>41</v>
      </c>
      <c r="B44" s="12" t="s">
        <v>221</v>
      </c>
      <c r="C44" s="11" t="s">
        <v>222</v>
      </c>
      <c r="D44" s="11" t="s">
        <v>223</v>
      </c>
      <c r="E44" s="11" t="s">
        <v>224</v>
      </c>
      <c r="F44" s="11" t="s">
        <v>210</v>
      </c>
      <c r="G44" s="11"/>
      <c r="H44" s="11" t="s">
        <v>211</v>
      </c>
      <c r="I44" s="13" t="s">
        <v>57</v>
      </c>
      <c r="J44" s="14"/>
      <c r="K44" s="11" t="n">
        <f aca="false">COUNTIFS(ARQUIVOS!$A:$A,$B44,ARQUIVOS!$J:$J,"SIM")</f>
        <v>14</v>
      </c>
      <c r="L44" s="11" t="n">
        <f aca="false">COUNTIFS(ARQUIVOS!$A:$A,$B44,ARQUIVOS!$J:$J,"SIM",ARQUIVOS!$K:$K,"Na pasta")</f>
        <v>0</v>
      </c>
      <c r="M44" s="11" t="str">
        <f aca="false">COUNTIFS(ARQUIVOS!$A:$A,$B44,ARQUIVOS!$J:$J,"RECOMENDADA",ARQUIVOS!$K:$K,"Na pasta")&amp;" de "&amp;COUNTIFS(ARQUIVOS!$A:$A,$B44,ARQUIVOS!$J:$J,"RECOMENDADA")</f>
        <v>0 de 3</v>
      </c>
      <c r="N44" s="11" t="str">
        <f aca="false">IF(L44&gt;=K44,"SIM","NÃO")</f>
        <v>NÃO</v>
      </c>
      <c r="O44" s="13"/>
    </row>
    <row r="45" customFormat="false" ht="15" hidden="false" customHeight="false" outlineLevel="0" collapsed="false">
      <c r="A45" s="11" t="n">
        <v>42</v>
      </c>
      <c r="B45" s="12" t="s">
        <v>225</v>
      </c>
      <c r="C45" s="11" t="s">
        <v>226</v>
      </c>
      <c r="D45" s="11" t="s">
        <v>227</v>
      </c>
      <c r="E45" s="11" t="s">
        <v>228</v>
      </c>
      <c r="F45" s="11" t="s">
        <v>210</v>
      </c>
      <c r="G45" s="11"/>
      <c r="H45" s="11" t="s">
        <v>216</v>
      </c>
      <c r="I45" s="13" t="s">
        <v>57</v>
      </c>
      <c r="J45" s="14"/>
      <c r="K45" s="11" t="n">
        <f aca="false">COUNTIFS(ARQUIVOS!$A:$A,$B45,ARQUIVOS!$J:$J,"SIM")</f>
        <v>14</v>
      </c>
      <c r="L45" s="11" t="n">
        <f aca="false">COUNTIFS(ARQUIVOS!$A:$A,$B45,ARQUIVOS!$J:$J,"SIM",ARQUIVOS!$K:$K,"Na pasta")</f>
        <v>0</v>
      </c>
      <c r="M45" s="11" t="str">
        <f aca="false">COUNTIFS(ARQUIVOS!$A:$A,$B45,ARQUIVOS!$J:$J,"RECOMENDADA",ARQUIVOS!$K:$K,"Na pasta")&amp;" de "&amp;COUNTIFS(ARQUIVOS!$A:$A,$B45,ARQUIVOS!$J:$J,"RECOMENDADA")</f>
        <v>0 de 3</v>
      </c>
      <c r="N45" s="11" t="str">
        <f aca="false">IF(L45&gt;=K45,"SIM","NÃO")</f>
        <v>NÃO</v>
      </c>
      <c r="O45" s="13"/>
    </row>
    <row r="46" customFormat="false" ht="15" hidden="false" customHeight="false" outlineLevel="0" collapsed="false">
      <c r="A46" s="11" t="n">
        <v>43</v>
      </c>
      <c r="B46" s="12" t="s">
        <v>229</v>
      </c>
      <c r="C46" s="11" t="s">
        <v>230</v>
      </c>
      <c r="D46" s="11" t="s">
        <v>231</v>
      </c>
      <c r="E46" s="11" t="s">
        <v>232</v>
      </c>
      <c r="F46" s="11" t="s">
        <v>210</v>
      </c>
      <c r="G46" s="11"/>
      <c r="H46" s="11" t="s">
        <v>216</v>
      </c>
      <c r="I46" s="13" t="s">
        <v>57</v>
      </c>
      <c r="J46" s="14"/>
      <c r="K46" s="11" t="n">
        <f aca="false">COUNTIFS(ARQUIVOS!$A:$A,$B46,ARQUIVOS!$J:$J,"SIM")</f>
        <v>14</v>
      </c>
      <c r="L46" s="11" t="n">
        <f aca="false">COUNTIFS(ARQUIVOS!$A:$A,$B46,ARQUIVOS!$J:$J,"SIM",ARQUIVOS!$K:$K,"Na pasta")</f>
        <v>0</v>
      </c>
      <c r="M46" s="11" t="str">
        <f aca="false">COUNTIFS(ARQUIVOS!$A:$A,$B46,ARQUIVOS!$J:$J,"RECOMENDADA",ARQUIVOS!$K:$K,"Na pasta")&amp;" de "&amp;COUNTIFS(ARQUIVOS!$A:$A,$B46,ARQUIVOS!$J:$J,"RECOMENDADA")</f>
        <v>0 de 3</v>
      </c>
      <c r="N46" s="11" t="str">
        <f aca="false">IF(L46&gt;=K46,"SIM","NÃO")</f>
        <v>NÃO</v>
      </c>
      <c r="O46" s="13"/>
    </row>
    <row r="47" customFormat="false" ht="15" hidden="false" customHeight="false" outlineLevel="0" collapsed="false">
      <c r="A47" s="11" t="n">
        <v>44</v>
      </c>
      <c r="B47" s="12" t="s">
        <v>233</v>
      </c>
      <c r="C47" s="11" t="s">
        <v>234</v>
      </c>
      <c r="D47" s="11" t="s">
        <v>235</v>
      </c>
      <c r="E47" s="11" t="s">
        <v>236</v>
      </c>
      <c r="F47" s="11" t="s">
        <v>210</v>
      </c>
      <c r="G47" s="11"/>
      <c r="H47" s="11" t="s">
        <v>237</v>
      </c>
      <c r="I47" s="13" t="s">
        <v>57</v>
      </c>
      <c r="J47" s="14"/>
      <c r="K47" s="11" t="n">
        <f aca="false">COUNTIFS(ARQUIVOS!$A:$A,$B47,ARQUIVOS!$J:$J,"SIM")</f>
        <v>14</v>
      </c>
      <c r="L47" s="11" t="n">
        <f aca="false">COUNTIFS(ARQUIVOS!$A:$A,$B47,ARQUIVOS!$J:$J,"SIM",ARQUIVOS!$K:$K,"Na pasta")</f>
        <v>0</v>
      </c>
      <c r="M47" s="11" t="str">
        <f aca="false">COUNTIFS(ARQUIVOS!$A:$A,$B47,ARQUIVOS!$J:$J,"RECOMENDADA",ARQUIVOS!$K:$K,"Na pasta")&amp;" de "&amp;COUNTIFS(ARQUIVOS!$A:$A,$B47,ARQUIVOS!$J:$J,"RECOMENDADA")</f>
        <v>0 de 3</v>
      </c>
      <c r="N47" s="11" t="str">
        <f aca="false">IF(L47&gt;=K47,"SIM","NÃO")</f>
        <v>NÃO</v>
      </c>
      <c r="O47" s="13"/>
    </row>
    <row r="48" customFormat="false" ht="15" hidden="false" customHeight="false" outlineLevel="0" collapsed="false">
      <c r="A48" s="11" t="n">
        <v>45</v>
      </c>
      <c r="B48" s="12" t="s">
        <v>238</v>
      </c>
      <c r="C48" s="11" t="s">
        <v>239</v>
      </c>
      <c r="D48" s="11" t="s">
        <v>240</v>
      </c>
      <c r="E48" s="11" t="s">
        <v>241</v>
      </c>
      <c r="F48" s="11" t="s">
        <v>210</v>
      </c>
      <c r="G48" s="11"/>
      <c r="H48" s="11" t="s">
        <v>242</v>
      </c>
      <c r="I48" s="13" t="s">
        <v>57</v>
      </c>
      <c r="J48" s="14"/>
      <c r="K48" s="11" t="n">
        <f aca="false">COUNTIFS(ARQUIVOS!$A:$A,$B48,ARQUIVOS!$J:$J,"SIM")</f>
        <v>14</v>
      </c>
      <c r="L48" s="11" t="n">
        <f aca="false">COUNTIFS(ARQUIVOS!$A:$A,$B48,ARQUIVOS!$J:$J,"SIM",ARQUIVOS!$K:$K,"Na pasta")</f>
        <v>0</v>
      </c>
      <c r="M48" s="11" t="str">
        <f aca="false">COUNTIFS(ARQUIVOS!$A:$A,$B48,ARQUIVOS!$J:$J,"RECOMENDADA",ARQUIVOS!$K:$K,"Na pasta")&amp;" de "&amp;COUNTIFS(ARQUIVOS!$A:$A,$B48,ARQUIVOS!$J:$J,"RECOMENDADA")</f>
        <v>0 de 3</v>
      </c>
      <c r="N48" s="11" t="str">
        <f aca="false">IF(L48&gt;=K48,"SIM","NÃO")</f>
        <v>NÃO</v>
      </c>
      <c r="O48" s="13"/>
    </row>
    <row r="49" customFormat="false" ht="15" hidden="false" customHeight="false" outlineLevel="0" collapsed="false">
      <c r="A49" s="11" t="n">
        <v>46</v>
      </c>
      <c r="B49" s="12" t="s">
        <v>243</v>
      </c>
      <c r="C49" s="11" t="s">
        <v>244</v>
      </c>
      <c r="D49" s="11" t="s">
        <v>245</v>
      </c>
      <c r="E49" s="11" t="s">
        <v>246</v>
      </c>
      <c r="F49" s="11" t="s">
        <v>210</v>
      </c>
      <c r="G49" s="11"/>
      <c r="H49" s="11" t="s">
        <v>242</v>
      </c>
      <c r="I49" s="13" t="s">
        <v>57</v>
      </c>
      <c r="J49" s="14"/>
      <c r="K49" s="11" t="n">
        <f aca="false">COUNTIFS(ARQUIVOS!$A:$A,$B49,ARQUIVOS!$J:$J,"SIM")</f>
        <v>14</v>
      </c>
      <c r="L49" s="11" t="n">
        <f aca="false">COUNTIFS(ARQUIVOS!$A:$A,$B49,ARQUIVOS!$J:$J,"SIM",ARQUIVOS!$K:$K,"Na pasta")</f>
        <v>0</v>
      </c>
      <c r="M49" s="11" t="str">
        <f aca="false">COUNTIFS(ARQUIVOS!$A:$A,$B49,ARQUIVOS!$J:$J,"RECOMENDADA",ARQUIVOS!$K:$K,"Na pasta")&amp;" de "&amp;COUNTIFS(ARQUIVOS!$A:$A,$B49,ARQUIVOS!$J:$J,"RECOMENDADA")</f>
        <v>0 de 3</v>
      </c>
      <c r="N49" s="11" t="str">
        <f aca="false">IF(L49&gt;=K49,"SIM","NÃO")</f>
        <v>NÃO</v>
      </c>
      <c r="O49" s="13"/>
    </row>
    <row r="50" customFormat="false" ht="15" hidden="false" customHeight="false" outlineLevel="0" collapsed="false">
      <c r="A50" s="11" t="n">
        <v>47</v>
      </c>
      <c r="B50" s="12" t="s">
        <v>247</v>
      </c>
      <c r="C50" s="11" t="s">
        <v>248</v>
      </c>
      <c r="D50" s="11" t="s">
        <v>249</v>
      </c>
      <c r="E50" s="11" t="s">
        <v>250</v>
      </c>
      <c r="F50" s="11" t="s">
        <v>210</v>
      </c>
      <c r="G50" s="11"/>
      <c r="H50" s="11" t="s">
        <v>242</v>
      </c>
      <c r="I50" s="13" t="s">
        <v>57</v>
      </c>
      <c r="J50" s="14"/>
      <c r="K50" s="11" t="n">
        <f aca="false">COUNTIFS(ARQUIVOS!$A:$A,$B50,ARQUIVOS!$J:$J,"SIM")</f>
        <v>14</v>
      </c>
      <c r="L50" s="11" t="n">
        <f aca="false">COUNTIFS(ARQUIVOS!$A:$A,$B50,ARQUIVOS!$J:$J,"SIM",ARQUIVOS!$K:$K,"Na pasta")</f>
        <v>0</v>
      </c>
      <c r="M50" s="11" t="str">
        <f aca="false">COUNTIFS(ARQUIVOS!$A:$A,$B50,ARQUIVOS!$J:$J,"RECOMENDADA",ARQUIVOS!$K:$K,"Na pasta")&amp;" de "&amp;COUNTIFS(ARQUIVOS!$A:$A,$B50,ARQUIVOS!$J:$J,"RECOMENDADA")</f>
        <v>0 de 3</v>
      </c>
      <c r="N50" s="11" t="str">
        <f aca="false">IF(L50&gt;=K50,"SIM","NÃO")</f>
        <v>NÃO</v>
      </c>
      <c r="O50" s="13"/>
    </row>
    <row r="51" customFormat="false" ht="15" hidden="false" customHeight="false" outlineLevel="0" collapsed="false">
      <c r="A51" s="11" t="n">
        <v>48</v>
      </c>
      <c r="B51" s="12" t="s">
        <v>251</v>
      </c>
      <c r="C51" s="11" t="s">
        <v>252</v>
      </c>
      <c r="D51" s="11" t="s">
        <v>253</v>
      </c>
      <c r="E51" s="11" t="s">
        <v>254</v>
      </c>
      <c r="F51" s="11" t="s">
        <v>210</v>
      </c>
      <c r="G51" s="11"/>
      <c r="H51" s="11" t="s">
        <v>255</v>
      </c>
      <c r="I51" s="13" t="s">
        <v>57</v>
      </c>
      <c r="J51" s="14"/>
      <c r="K51" s="11" t="n">
        <f aca="false">COUNTIFS(ARQUIVOS!$A:$A,$B51,ARQUIVOS!$J:$J,"SIM")</f>
        <v>14</v>
      </c>
      <c r="L51" s="11" t="n">
        <f aca="false">COUNTIFS(ARQUIVOS!$A:$A,$B51,ARQUIVOS!$J:$J,"SIM",ARQUIVOS!$K:$K,"Na pasta")</f>
        <v>0</v>
      </c>
      <c r="M51" s="11" t="str">
        <f aca="false">COUNTIFS(ARQUIVOS!$A:$A,$B51,ARQUIVOS!$J:$J,"RECOMENDADA",ARQUIVOS!$K:$K,"Na pasta")&amp;" de "&amp;COUNTIFS(ARQUIVOS!$A:$A,$B51,ARQUIVOS!$J:$J,"RECOMENDADA")</f>
        <v>0 de 3</v>
      </c>
      <c r="N51" s="11" t="str">
        <f aca="false">IF(L51&gt;=K51,"SIM","NÃO")</f>
        <v>NÃO</v>
      </c>
      <c r="O51" s="13" t="s">
        <v>256</v>
      </c>
    </row>
    <row r="52" customFormat="false" ht="15" hidden="false" customHeight="false" outlineLevel="0" collapsed="false">
      <c r="A52" s="11" t="n">
        <v>49</v>
      </c>
      <c r="B52" s="12" t="s">
        <v>257</v>
      </c>
      <c r="C52" s="11" t="s">
        <v>258</v>
      </c>
      <c r="D52" s="11" t="s">
        <v>259</v>
      </c>
      <c r="E52" s="11" t="s">
        <v>260</v>
      </c>
      <c r="F52" s="11" t="s">
        <v>210</v>
      </c>
      <c r="G52" s="11"/>
      <c r="H52" s="11" t="s">
        <v>255</v>
      </c>
      <c r="I52" s="13" t="s">
        <v>57</v>
      </c>
      <c r="J52" s="14"/>
      <c r="K52" s="11" t="n">
        <f aca="false">COUNTIFS(ARQUIVOS!$A:$A,$B52,ARQUIVOS!$J:$J,"SIM")</f>
        <v>14</v>
      </c>
      <c r="L52" s="11" t="n">
        <f aca="false">COUNTIFS(ARQUIVOS!$A:$A,$B52,ARQUIVOS!$J:$J,"SIM",ARQUIVOS!$K:$K,"Na pasta")</f>
        <v>0</v>
      </c>
      <c r="M52" s="11" t="str">
        <f aca="false">COUNTIFS(ARQUIVOS!$A:$A,$B52,ARQUIVOS!$J:$J,"RECOMENDADA",ARQUIVOS!$K:$K,"Na pasta")&amp;" de "&amp;COUNTIFS(ARQUIVOS!$A:$A,$B52,ARQUIVOS!$J:$J,"RECOMENDADA")</f>
        <v>0 de 3</v>
      </c>
      <c r="N52" s="11" t="str">
        <f aca="false">IF(L52&gt;=K52,"SIM","NÃO")</f>
        <v>NÃO</v>
      </c>
      <c r="O52" s="13"/>
    </row>
    <row r="53" customFormat="false" ht="15" hidden="false" customHeight="false" outlineLevel="0" collapsed="false">
      <c r="A53" s="11" t="n">
        <v>50</v>
      </c>
      <c r="B53" s="12" t="s">
        <v>261</v>
      </c>
      <c r="C53" s="11" t="s">
        <v>262</v>
      </c>
      <c r="D53" s="11" t="s">
        <v>263</v>
      </c>
      <c r="E53" s="11" t="s">
        <v>264</v>
      </c>
      <c r="F53" s="11" t="s">
        <v>210</v>
      </c>
      <c r="G53" s="11"/>
      <c r="H53" s="11" t="s">
        <v>265</v>
      </c>
      <c r="I53" s="13" t="s">
        <v>57</v>
      </c>
      <c r="J53" s="14"/>
      <c r="K53" s="11" t="n">
        <f aca="false">COUNTIFS(ARQUIVOS!$A:$A,$B53,ARQUIVOS!$J:$J,"SIM")</f>
        <v>14</v>
      </c>
      <c r="L53" s="11" t="n">
        <f aca="false">COUNTIFS(ARQUIVOS!$A:$A,$B53,ARQUIVOS!$J:$J,"SIM",ARQUIVOS!$K:$K,"Na pasta")</f>
        <v>0</v>
      </c>
      <c r="M53" s="11" t="str">
        <f aca="false">COUNTIFS(ARQUIVOS!$A:$A,$B53,ARQUIVOS!$J:$J,"RECOMENDADA",ARQUIVOS!$K:$K,"Na pasta")&amp;" de "&amp;COUNTIFS(ARQUIVOS!$A:$A,$B53,ARQUIVOS!$J:$J,"RECOMENDADA")</f>
        <v>0 de 3</v>
      </c>
      <c r="N53" s="11" t="str">
        <f aca="false">IF(L53&gt;=K53,"SIM","NÃO")</f>
        <v>NÃO</v>
      </c>
      <c r="O53" s="13"/>
    </row>
    <row r="54" customFormat="false" ht="15" hidden="false" customHeight="false" outlineLevel="0" collapsed="false">
      <c r="A54" s="11" t="n">
        <v>51</v>
      </c>
      <c r="B54" s="12" t="s">
        <v>266</v>
      </c>
      <c r="C54" s="11" t="s">
        <v>267</v>
      </c>
      <c r="D54" s="11" t="s">
        <v>268</v>
      </c>
      <c r="E54" s="11" t="s">
        <v>269</v>
      </c>
      <c r="F54" s="11" t="s">
        <v>210</v>
      </c>
      <c r="G54" s="11"/>
      <c r="H54" s="11" t="s">
        <v>265</v>
      </c>
      <c r="I54" s="13" t="s">
        <v>57</v>
      </c>
      <c r="J54" s="14"/>
      <c r="K54" s="11" t="n">
        <f aca="false">COUNTIFS(ARQUIVOS!$A:$A,$B54,ARQUIVOS!$J:$J,"SIM")</f>
        <v>14</v>
      </c>
      <c r="L54" s="11" t="n">
        <f aca="false">COUNTIFS(ARQUIVOS!$A:$A,$B54,ARQUIVOS!$J:$J,"SIM",ARQUIVOS!$K:$K,"Na pasta")</f>
        <v>0</v>
      </c>
      <c r="M54" s="11" t="str">
        <f aca="false">COUNTIFS(ARQUIVOS!$A:$A,$B54,ARQUIVOS!$J:$J,"RECOMENDADA",ARQUIVOS!$K:$K,"Na pasta")&amp;" de "&amp;COUNTIFS(ARQUIVOS!$A:$A,$B54,ARQUIVOS!$J:$J,"RECOMENDADA")</f>
        <v>0 de 3</v>
      </c>
      <c r="N54" s="11" t="str">
        <f aca="false">IF(L54&gt;=K54,"SIM","NÃO")</f>
        <v>NÃO</v>
      </c>
      <c r="O54" s="13"/>
    </row>
    <row r="55" customFormat="false" ht="15" hidden="false" customHeight="false" outlineLevel="0" collapsed="false">
      <c r="A55" s="11" t="n">
        <v>52</v>
      </c>
      <c r="B55" s="12" t="s">
        <v>270</v>
      </c>
      <c r="C55" s="11" t="s">
        <v>271</v>
      </c>
      <c r="D55" s="11" t="s">
        <v>272</v>
      </c>
      <c r="E55" s="11" t="s">
        <v>273</v>
      </c>
      <c r="F55" s="11" t="s">
        <v>210</v>
      </c>
      <c r="G55" s="11"/>
      <c r="H55" s="11" t="s">
        <v>265</v>
      </c>
      <c r="I55" s="13" t="s">
        <v>57</v>
      </c>
      <c r="J55" s="14"/>
      <c r="K55" s="11" t="n">
        <f aca="false">COUNTIFS(ARQUIVOS!$A:$A,$B55,ARQUIVOS!$J:$J,"SIM")</f>
        <v>14</v>
      </c>
      <c r="L55" s="11" t="n">
        <f aca="false">COUNTIFS(ARQUIVOS!$A:$A,$B55,ARQUIVOS!$J:$J,"SIM",ARQUIVOS!$K:$K,"Na pasta")</f>
        <v>0</v>
      </c>
      <c r="M55" s="11" t="str">
        <f aca="false">COUNTIFS(ARQUIVOS!$A:$A,$B55,ARQUIVOS!$J:$J,"RECOMENDADA",ARQUIVOS!$K:$K,"Na pasta")&amp;" de "&amp;COUNTIFS(ARQUIVOS!$A:$A,$B55,ARQUIVOS!$J:$J,"RECOMENDADA")</f>
        <v>0 de 3</v>
      </c>
      <c r="N55" s="11" t="str">
        <f aca="false">IF(L55&gt;=K55,"SIM","NÃO")</f>
        <v>NÃO</v>
      </c>
      <c r="O55" s="13"/>
    </row>
    <row r="56" customFormat="false" ht="15" hidden="false" customHeight="false" outlineLevel="0" collapsed="false">
      <c r="A56" s="11" t="n">
        <v>53</v>
      </c>
      <c r="B56" s="12" t="s">
        <v>274</v>
      </c>
      <c r="C56" s="11" t="s">
        <v>275</v>
      </c>
      <c r="D56" s="11" t="s">
        <v>276</v>
      </c>
      <c r="E56" s="11" t="s">
        <v>277</v>
      </c>
      <c r="F56" s="11" t="s">
        <v>278</v>
      </c>
      <c r="G56" s="11" t="s">
        <v>279</v>
      </c>
      <c r="H56" s="11" t="s">
        <v>74</v>
      </c>
      <c r="I56" s="13" t="s">
        <v>57</v>
      </c>
      <c r="J56" s="14"/>
      <c r="K56" s="11" t="n">
        <f aca="false">COUNTIFS(ARQUIVOS!$A:$A,$B56,ARQUIVOS!$J:$J,"SIM")</f>
        <v>14</v>
      </c>
      <c r="L56" s="11" t="n">
        <f aca="false">COUNTIFS(ARQUIVOS!$A:$A,$B56,ARQUIVOS!$J:$J,"SIM",ARQUIVOS!$K:$K,"Na pasta")</f>
        <v>0</v>
      </c>
      <c r="M56" s="11" t="str">
        <f aca="false">COUNTIFS(ARQUIVOS!$A:$A,$B56,ARQUIVOS!$J:$J,"RECOMENDADA",ARQUIVOS!$K:$K,"Na pasta")&amp;" de "&amp;COUNTIFS(ARQUIVOS!$A:$A,$B56,ARQUIVOS!$J:$J,"RECOMENDADA")</f>
        <v>0 de 3</v>
      </c>
      <c r="N56" s="11" t="str">
        <f aca="false">IF(L56&gt;=K56,"SIM","NÃO")</f>
        <v>NÃO</v>
      </c>
      <c r="O56" s="13"/>
    </row>
    <row r="57" customFormat="false" ht="15" hidden="false" customHeight="false" outlineLevel="0" collapsed="false">
      <c r="A57" s="11" t="n">
        <v>54</v>
      </c>
      <c r="B57" s="12" t="s">
        <v>280</v>
      </c>
      <c r="C57" s="11" t="s">
        <v>281</v>
      </c>
      <c r="D57" s="11" t="s">
        <v>282</v>
      </c>
      <c r="E57" s="11" t="s">
        <v>283</v>
      </c>
      <c r="F57" s="11" t="s">
        <v>278</v>
      </c>
      <c r="G57" s="11" t="s">
        <v>279</v>
      </c>
      <c r="H57" s="11" t="s">
        <v>284</v>
      </c>
      <c r="I57" s="13" t="s">
        <v>57</v>
      </c>
      <c r="J57" s="14" t="s">
        <v>274</v>
      </c>
      <c r="K57" s="11" t="n">
        <f aca="false">COUNTIFS(ARQUIVOS!$A:$A,$B57,ARQUIVOS!$J:$J,"SIM")</f>
        <v>7</v>
      </c>
      <c r="L57" s="11" t="n">
        <f aca="false">COUNTIFS(ARQUIVOS!$A:$A,$B57,ARQUIVOS!$J:$J,"SIM",ARQUIVOS!$K:$K,"Na pasta")</f>
        <v>0</v>
      </c>
      <c r="M57" s="11" t="str">
        <f aca="false">COUNTIFS(ARQUIVOS!$A:$A,$B57,ARQUIVOS!$J:$J,"RECOMENDADA",ARQUIVOS!$K:$K,"Na pasta")&amp;" de "&amp;COUNTIFS(ARQUIVOS!$A:$A,$B57,ARQUIVOS!$J:$J,"RECOMENDADA")</f>
        <v>0 de 3</v>
      </c>
      <c r="N57" s="11" t="str">
        <f aca="false">IF(L57&gt;=K57,"SIM","NÃO")</f>
        <v>NÃO</v>
      </c>
      <c r="O57" s="13"/>
    </row>
    <row r="58" customFormat="false" ht="15" hidden="false" customHeight="false" outlineLevel="0" collapsed="false">
      <c r="A58" s="11" t="n">
        <v>55</v>
      </c>
      <c r="B58" s="12" t="s">
        <v>285</v>
      </c>
      <c r="C58" s="11" t="s">
        <v>286</v>
      </c>
      <c r="D58" s="11" t="s">
        <v>287</v>
      </c>
      <c r="E58" s="11" t="s">
        <v>288</v>
      </c>
      <c r="F58" s="11" t="s">
        <v>278</v>
      </c>
      <c r="G58" s="11" t="s">
        <v>279</v>
      </c>
      <c r="H58" s="11" t="s">
        <v>289</v>
      </c>
      <c r="I58" s="13" t="s">
        <v>57</v>
      </c>
      <c r="J58" s="14" t="s">
        <v>274</v>
      </c>
      <c r="K58" s="11" t="n">
        <f aca="false">COUNTIFS(ARQUIVOS!$A:$A,$B58,ARQUIVOS!$J:$J,"SIM")</f>
        <v>7</v>
      </c>
      <c r="L58" s="11" t="n">
        <f aca="false">COUNTIFS(ARQUIVOS!$A:$A,$B58,ARQUIVOS!$J:$J,"SIM",ARQUIVOS!$K:$K,"Na pasta")</f>
        <v>0</v>
      </c>
      <c r="M58" s="11" t="str">
        <f aca="false">COUNTIFS(ARQUIVOS!$A:$A,$B58,ARQUIVOS!$J:$J,"RECOMENDADA",ARQUIVOS!$K:$K,"Na pasta")&amp;" de "&amp;COUNTIFS(ARQUIVOS!$A:$A,$B58,ARQUIVOS!$J:$J,"RECOMENDADA")</f>
        <v>0 de 3</v>
      </c>
      <c r="N58" s="11" t="str">
        <f aca="false">IF(L58&gt;=K58,"SIM","NÃO")</f>
        <v>NÃO</v>
      </c>
      <c r="O58" s="13"/>
    </row>
    <row r="59" customFormat="false" ht="15" hidden="false" customHeight="false" outlineLevel="0" collapsed="false">
      <c r="A59" s="11" t="n">
        <v>56</v>
      </c>
      <c r="B59" s="12" t="s">
        <v>290</v>
      </c>
      <c r="C59" s="11" t="s">
        <v>291</v>
      </c>
      <c r="D59" s="11" t="s">
        <v>292</v>
      </c>
      <c r="E59" s="11" t="s">
        <v>293</v>
      </c>
      <c r="F59" s="11" t="s">
        <v>278</v>
      </c>
      <c r="G59" s="11"/>
      <c r="H59" s="11" t="s">
        <v>294</v>
      </c>
      <c r="I59" s="13" t="s">
        <v>57</v>
      </c>
      <c r="J59" s="14"/>
      <c r="K59" s="11" t="n">
        <f aca="false">COUNTIFS(ARQUIVOS!$A:$A,$B59,ARQUIVOS!$J:$J,"SIM")</f>
        <v>14</v>
      </c>
      <c r="L59" s="11" t="n">
        <f aca="false">COUNTIFS(ARQUIVOS!$A:$A,$B59,ARQUIVOS!$J:$J,"SIM",ARQUIVOS!$K:$K,"Na pasta")</f>
        <v>0</v>
      </c>
      <c r="M59" s="11" t="str">
        <f aca="false">COUNTIFS(ARQUIVOS!$A:$A,$B59,ARQUIVOS!$J:$J,"RECOMENDADA",ARQUIVOS!$K:$K,"Na pasta")&amp;" de "&amp;COUNTIFS(ARQUIVOS!$A:$A,$B59,ARQUIVOS!$J:$J,"RECOMENDADA")</f>
        <v>0 de 3</v>
      </c>
      <c r="N59" s="11" t="str">
        <f aca="false">IF(L59&gt;=K59,"SIM","NÃO")</f>
        <v>NÃO</v>
      </c>
      <c r="O59" s="13"/>
    </row>
    <row r="60" customFormat="false" ht="15" hidden="false" customHeight="false" outlineLevel="0" collapsed="false">
      <c r="A60" s="11" t="n">
        <v>57</v>
      </c>
      <c r="B60" s="12" t="s">
        <v>295</v>
      </c>
      <c r="C60" s="11" t="s">
        <v>296</v>
      </c>
      <c r="D60" s="11" t="s">
        <v>297</v>
      </c>
      <c r="E60" s="11" t="s">
        <v>298</v>
      </c>
      <c r="F60" s="11" t="s">
        <v>278</v>
      </c>
      <c r="G60" s="11"/>
      <c r="H60" s="11" t="s">
        <v>294</v>
      </c>
      <c r="I60" s="13" t="s">
        <v>57</v>
      </c>
      <c r="J60" s="14"/>
      <c r="K60" s="11" t="n">
        <f aca="false">COUNTIFS(ARQUIVOS!$A:$A,$B60,ARQUIVOS!$J:$J,"SIM")</f>
        <v>14</v>
      </c>
      <c r="L60" s="11" t="n">
        <f aca="false">COUNTIFS(ARQUIVOS!$A:$A,$B60,ARQUIVOS!$J:$J,"SIM",ARQUIVOS!$K:$K,"Na pasta")</f>
        <v>0</v>
      </c>
      <c r="M60" s="11" t="str">
        <f aca="false">COUNTIFS(ARQUIVOS!$A:$A,$B60,ARQUIVOS!$J:$J,"RECOMENDADA",ARQUIVOS!$K:$K,"Na pasta")&amp;" de "&amp;COUNTIFS(ARQUIVOS!$A:$A,$B60,ARQUIVOS!$J:$J,"RECOMENDADA")</f>
        <v>0 de 3</v>
      </c>
      <c r="N60" s="11" t="str">
        <f aca="false">IF(L60&gt;=K60,"SIM","NÃO")</f>
        <v>NÃO</v>
      </c>
      <c r="O60" s="13"/>
    </row>
    <row r="61" customFormat="false" ht="15" hidden="false" customHeight="false" outlineLevel="0" collapsed="false">
      <c r="A61" s="11" t="n">
        <v>58</v>
      </c>
      <c r="B61" s="12" t="s">
        <v>299</v>
      </c>
      <c r="C61" s="11" t="s">
        <v>300</v>
      </c>
      <c r="D61" s="11" t="s">
        <v>301</v>
      </c>
      <c r="E61" s="11" t="s">
        <v>302</v>
      </c>
      <c r="F61" s="11" t="s">
        <v>278</v>
      </c>
      <c r="G61" s="11"/>
      <c r="H61" s="11"/>
      <c r="I61" s="13" t="s">
        <v>57</v>
      </c>
      <c r="J61" s="14"/>
      <c r="K61" s="11" t="n">
        <f aca="false">COUNTIFS(ARQUIVOS!$A:$A,$B61,ARQUIVOS!$J:$J,"SIM")</f>
        <v>14</v>
      </c>
      <c r="L61" s="11" t="n">
        <f aca="false">COUNTIFS(ARQUIVOS!$A:$A,$B61,ARQUIVOS!$J:$J,"SIM",ARQUIVOS!$K:$K,"Na pasta")</f>
        <v>0</v>
      </c>
      <c r="M61" s="11" t="str">
        <f aca="false">COUNTIFS(ARQUIVOS!$A:$A,$B61,ARQUIVOS!$J:$J,"RECOMENDADA",ARQUIVOS!$K:$K,"Na pasta")&amp;" de "&amp;COUNTIFS(ARQUIVOS!$A:$A,$B61,ARQUIVOS!$J:$J,"RECOMENDADA")</f>
        <v>0 de 3</v>
      </c>
      <c r="N61" s="11" t="str">
        <f aca="false">IF(L61&gt;=K61,"SIM","NÃO")</f>
        <v>NÃO</v>
      </c>
      <c r="O61" s="13"/>
    </row>
    <row r="62" customFormat="false" ht="15" hidden="false" customHeight="false" outlineLevel="0" collapsed="false">
      <c r="A62" s="11" t="n">
        <v>59</v>
      </c>
      <c r="B62" s="12" t="s">
        <v>303</v>
      </c>
      <c r="C62" s="11" t="s">
        <v>304</v>
      </c>
      <c r="D62" s="11" t="s">
        <v>305</v>
      </c>
      <c r="E62" s="11" t="s">
        <v>306</v>
      </c>
      <c r="F62" s="11" t="s">
        <v>278</v>
      </c>
      <c r="G62" s="11"/>
      <c r="H62" s="11" t="s">
        <v>307</v>
      </c>
      <c r="I62" s="13" t="s">
        <v>57</v>
      </c>
      <c r="J62" s="14"/>
      <c r="K62" s="11" t="n">
        <f aca="false">COUNTIFS(ARQUIVOS!$A:$A,$B62,ARQUIVOS!$J:$J,"SIM")</f>
        <v>14</v>
      </c>
      <c r="L62" s="11" t="n">
        <f aca="false">COUNTIFS(ARQUIVOS!$A:$A,$B62,ARQUIVOS!$J:$J,"SIM",ARQUIVOS!$K:$K,"Na pasta")</f>
        <v>0</v>
      </c>
      <c r="M62" s="11" t="str">
        <f aca="false">COUNTIFS(ARQUIVOS!$A:$A,$B62,ARQUIVOS!$J:$J,"RECOMENDADA",ARQUIVOS!$K:$K,"Na pasta")&amp;" de "&amp;COUNTIFS(ARQUIVOS!$A:$A,$B62,ARQUIVOS!$J:$J,"RECOMENDADA")</f>
        <v>0 de 3</v>
      </c>
      <c r="N62" s="11" t="str">
        <f aca="false">IF(L62&gt;=K62,"SIM","NÃO")</f>
        <v>NÃO</v>
      </c>
      <c r="O62" s="13"/>
    </row>
    <row r="63" customFormat="false" ht="15" hidden="false" customHeight="false" outlineLevel="0" collapsed="false">
      <c r="A63" s="11" t="n">
        <v>60</v>
      </c>
      <c r="B63" s="12" t="s">
        <v>308</v>
      </c>
      <c r="C63" s="11" t="s">
        <v>309</v>
      </c>
      <c r="D63" s="11" t="s">
        <v>310</v>
      </c>
      <c r="E63" s="11" t="s">
        <v>311</v>
      </c>
      <c r="F63" s="11" t="s">
        <v>278</v>
      </c>
      <c r="G63" s="11"/>
      <c r="H63" s="11" t="s">
        <v>312</v>
      </c>
      <c r="I63" s="13" t="s">
        <v>57</v>
      </c>
      <c r="J63" s="14"/>
      <c r="K63" s="11" t="n">
        <f aca="false">COUNTIFS(ARQUIVOS!$A:$A,$B63,ARQUIVOS!$J:$J,"SIM")</f>
        <v>14</v>
      </c>
      <c r="L63" s="11" t="n">
        <f aca="false">COUNTIFS(ARQUIVOS!$A:$A,$B63,ARQUIVOS!$J:$J,"SIM",ARQUIVOS!$K:$K,"Na pasta")</f>
        <v>0</v>
      </c>
      <c r="M63" s="11" t="str">
        <f aca="false">COUNTIFS(ARQUIVOS!$A:$A,$B63,ARQUIVOS!$J:$J,"RECOMENDADA",ARQUIVOS!$K:$K,"Na pasta")&amp;" de "&amp;COUNTIFS(ARQUIVOS!$A:$A,$B63,ARQUIVOS!$J:$J,"RECOMENDADA")</f>
        <v>0 de 3</v>
      </c>
      <c r="N63" s="11" t="str">
        <f aca="false">IF(L63&gt;=K63,"SIM","NÃO")</f>
        <v>NÃO</v>
      </c>
      <c r="O63" s="13"/>
    </row>
  </sheetData>
  <autoFilter ref="A3:O63"/>
  <conditionalFormatting sqref="N4:N63">
    <cfRule type="expression" priority="2" aboveAverage="0" equalAverage="0" bottom="0" percent="0" rank="0" text="" dxfId="7">
      <formula>$N4="SIM"</formula>
    </cfRule>
    <cfRule type="expression" priority="3" aboveAverage="0" equalAverage="0" bottom="0" percent="0" rank="0" text="" dxfId="8">
      <formula>$N4="NÃO"</formula>
    </cfRule>
  </conditionalFormatting>
  <dataValidations count="2">
    <dataValidation allowBlank="false" error="Escolha A ou B." errorStyle="stop" errorTitle="Modelo de A+" operator="between" showDropDown="false" showErrorMessage="true" showInputMessage="false" sqref="I4:I63" type="list">
      <formula1>"A,B"</formula1>
      <formula2>0</formula2>
    </dataValidation>
    <dataValidation allowBlank="true" error="Use um EAN da coluna B (ou deixe vazio)." errorStyle="stop" errorTitle="A+ igual ao EAN" operator="between" showDropDown="false" showErrorMessage="true" showInputMessage="false" sqref="J4:J63" type="list">
      <formula1>$B$4:$B$63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52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7" min="7" style="0" width="60"/>
    <col collapsed="false" customWidth="true" hidden="false" outlineLevel="0" max="9" min="8" style="0" width="13"/>
    <col collapsed="false" customWidth="true" hidden="false" outlineLevel="0" max="10" min="10" style="0" width="30"/>
    <col collapsed="false" customWidth="true" hidden="false" outlineLevel="0" max="11" min="11" style="0" width="12"/>
    <col collapsed="false" customWidth="true" hidden="false" outlineLevel="0" max="12" min="12" style="0" width="30"/>
  </cols>
  <sheetData>
    <row r="1" customFormat="false" ht="15" hidden="false" customHeight="false" outlineLevel="0" collapsed="false">
      <c r="A1" s="8" t="s">
        <v>313</v>
      </c>
    </row>
    <row r="2" customFormat="false" ht="15" hidden="false" customHeight="false" outlineLevel="0" collapsed="false">
      <c r="A2" s="9" t="s">
        <v>314</v>
      </c>
    </row>
    <row r="3" customFormat="false" ht="30" hidden="false" customHeight="true" outlineLevel="0" collapsed="false">
      <c r="A3" s="10" t="s">
        <v>37</v>
      </c>
      <c r="B3" s="10" t="s">
        <v>315</v>
      </c>
      <c r="C3" s="10" t="s">
        <v>43</v>
      </c>
      <c r="D3" s="10" t="s">
        <v>316</v>
      </c>
      <c r="E3" s="10" t="s">
        <v>317</v>
      </c>
      <c r="F3" s="10" t="s">
        <v>318</v>
      </c>
      <c r="G3" s="10" t="s">
        <v>319</v>
      </c>
      <c r="H3" s="10" t="s">
        <v>320</v>
      </c>
      <c r="I3" s="10" t="s">
        <v>321</v>
      </c>
      <c r="J3" s="10" t="s">
        <v>322</v>
      </c>
      <c r="K3" s="10" t="s">
        <v>323</v>
      </c>
      <c r="L3" s="10" t="s">
        <v>50</v>
      </c>
    </row>
    <row r="4" customFormat="false" ht="15" hidden="false" customHeight="false" outlineLevel="0" collapsed="false">
      <c r="A4" s="15" t="s">
        <v>51</v>
      </c>
      <c r="B4" s="11" t="str">
        <f aca="false">INDEX(PRODUTOS!$E$4:$E$63,MATCH($A4,PRODUTOS!$B$4:$B$63,0))</f>
        <v>New Dots Ração Seca Premium para Cães Adultos - 15 kg</v>
      </c>
      <c r="C4" s="11" t="str">
        <f aca="false">INDEX(PRODUTOS!$H$4:$H$63,MATCH($A4,PRODUTOS!$B$4:$B$63,0))</f>
        <v>15 kg</v>
      </c>
      <c r="D4" s="11" t="s">
        <v>324</v>
      </c>
      <c r="E4" s="16" t="str">
        <f aca="false">$A4&amp;"."&amp;$D4&amp;".jpg"</f>
        <v>7898968541504.MAIN.jpg</v>
      </c>
      <c r="F4" s="11" t="str">
        <f aca="false">IF(INDEX(PRODUTOS!$I$4:$I$63,MATCH($A4,PRODUTOS!$B$4:$B$63,0))="B",INDEX(MODELOS!$F$3:$F$19,MATCH($D4,MODELOS!$A$3:$A$19,0)),INDEX(MODELOS!$B$3:$B$19,MATCH($D4,MODELOS!$A$3:$A$19,0)))</f>
        <v>Capa (posição 1)</v>
      </c>
      <c r="G4" s="11" t="str">
        <f aca="false">IF(INDEX(PRODUTOS!$F$4:$F$63,MATCH($A4,PRODUTOS!$B$4:$B$63,0))="Ração",IF(INDEX(PRODUTOS!$I$4:$I$63,MATCH($A4,PRODUTOS!$B$4:$B$63,0))="B",INDEX(MODELOS!$G$3:$G$19,MATCH($D4,MODELOS!$A$3:$A$19,0)),INDEX(MODELOS!$C$3:$C$19,MATCH($D4,MODELOS!$A$3:$A$19,0))),IF(INDEX(PRODUTOS!$I$4:$I$63,MATCH($A4,PRODUTOS!$B$4:$B$63,0))="B",INDEX(MODELOS!$H$3:$H$19,MATCH($D4,MODELOS!$A$3:$A$19,0)),INDEX(MODELOS!$D$3:$D$19,MATCH($D4,MODELOS!$A$3:$A$19,0))))</f>
        <v>Embalagem de frente, fundo branco puro, 85% da área, nada adicionado</v>
      </c>
      <c r="H4" s="11" t="str">
        <f aca="false">IF(INDEX(PRODUTOS!$I$4:$I$63,MATCH($A4,PRODUTOS!$B$4:$B$63,0))="B",INDEX(MODELOS!$I$3:$I$19,MATCH($D4,MODELOS!$A$3:$A$19,0)),INDEX(MODELOS!$E$3:$E$19,MATCH($D4,MODELOS!$A$3:$A$19,0)))</f>
        <v>2000 × 2000</v>
      </c>
      <c r="I4" s="11" t="str">
        <f aca="false">INDEX(MODELOS!$J$3:$J$19,MATCH($D4,MODELOS!$A$3:$A$19,0))</f>
        <v>SIM</v>
      </c>
      <c r="J4" s="11" t="str">
        <f aca="false">IF(LEFT($D4,2)&lt;&gt;"AP",IF($I4="SIM","SIM","RECOMENDADA"),IF(INDEX(PRODUTOS!$J$4:$J$63,MATCH($A4,PRODUTOS!$B$4:$B$63,0))&lt;&gt;"","NÃO (usa o A+ do EAN "&amp;INDEX(PRODUTOS!$J$4:$J$63,MATCH($A4,PRODUTOS!$B$4:$B$63,0))&amp;")",IF(AND(INDEX(PRODUTOS!$I$4:$I$63,MATCH($A4,PRODUTOS!$B$4:$B$63,0))="B",$D4="AP07"),"NÃO (modelo B)","SIM")))</f>
        <v>SIM</v>
      </c>
      <c r="K4" s="13" t="s">
        <v>325</v>
      </c>
      <c r="L4" s="13"/>
    </row>
    <row r="5" customFormat="false" ht="15" hidden="false" customHeight="false" outlineLevel="0" collapsed="false">
      <c r="A5" s="15" t="s">
        <v>51</v>
      </c>
      <c r="B5" s="11" t="str">
        <f aca="false">INDEX(PRODUTOS!$E$4:$E$63,MATCH($A5,PRODUTOS!$B$4:$B$63,0))</f>
        <v>New Dots Ração Seca Premium para Cães Adultos - 15 kg</v>
      </c>
      <c r="C5" s="11" t="str">
        <f aca="false">INDEX(PRODUTOS!$H$4:$H$63,MATCH($A5,PRODUTOS!$B$4:$B$63,0))</f>
        <v>15 kg</v>
      </c>
      <c r="D5" s="11" t="s">
        <v>326</v>
      </c>
      <c r="E5" s="16" t="str">
        <f aca="false">$A5&amp;"."&amp;$D5&amp;".jpg"</f>
        <v>7898968541504.PT01.jpg</v>
      </c>
      <c r="F5" s="11" t="str">
        <f aca="false">IF(INDEX(PRODUTOS!$I$4:$I$63,MATCH($A5,PRODUTOS!$B$4:$B$63,0))="B",INDEX(MODELOS!$F$3:$F$19,MATCH($D5,MODELOS!$A$3:$A$19,0)),INDEX(MODELOS!$B$3:$B$19,MATCH($D5,MODELOS!$A$3:$A$19,0)))</f>
        <v>Galeria · posição 2</v>
      </c>
      <c r="G5" s="11" t="str">
        <f aca="false">IF(INDEX(PRODUTOS!$F$4:$F$63,MATCH($A5,PRODUTOS!$B$4:$B$63,0))="Ração",IF(INDEX(PRODUTOS!$I$4:$I$63,MATCH($A5,PRODUTOS!$B$4:$B$63,0))="B",INDEX(MODELOS!$G$3:$G$19,MATCH($D5,MODELOS!$A$3:$A$19,0)),INDEX(MODELOS!$C$3:$C$19,MATCH($D5,MODELOS!$A$3:$A$19,0))),IF(INDEX(PRODUTOS!$I$4:$I$63,MATCH($A5,PRODUTOS!$B$4:$B$63,0))="B",INDEX(MODELOS!$H$3:$H$19,MATCH($D5,MODELOS!$A$3:$A$19,0)),INDEX(MODELOS!$D$3:$D$19,MATCH($D5,MODELOS!$A$3:$A$19,0))))</f>
        <v>Grande diferencial da linha (número ou promessa forte + grão e ingrediente)</v>
      </c>
      <c r="H5" s="11" t="str">
        <f aca="false">IF(INDEX(PRODUTOS!$I$4:$I$63,MATCH($A5,PRODUTOS!$B$4:$B$63,0))="B",INDEX(MODELOS!$I$3:$I$19,MATCH($D5,MODELOS!$A$3:$A$19,0)),INDEX(MODELOS!$E$3:$E$19,MATCH($D5,MODELOS!$A$3:$A$19,0)))</f>
        <v>2000 × 2000</v>
      </c>
      <c r="I5" s="11" t="str">
        <f aca="false">INDEX(MODELOS!$J$3:$J$19,MATCH($D5,MODELOS!$A$3:$A$19,0))</f>
        <v>SIM</v>
      </c>
      <c r="J5" s="11" t="str">
        <f aca="false">IF(LEFT($D5,2)&lt;&gt;"AP",IF($I5="SIM","SIM","RECOMENDADA"),IF(INDEX(PRODUTOS!$J$4:$J$63,MATCH($A5,PRODUTOS!$B$4:$B$63,0))&lt;&gt;"","NÃO (usa o A+ do EAN "&amp;INDEX(PRODUTOS!$J$4:$J$63,MATCH($A5,PRODUTOS!$B$4:$B$63,0))&amp;")",IF(AND(INDEX(PRODUTOS!$I$4:$I$63,MATCH($A5,PRODUTOS!$B$4:$B$63,0))="B",$D5="AP07"),"NÃO (modelo B)","SIM")))</f>
        <v>SIM</v>
      </c>
      <c r="K5" s="13" t="s">
        <v>325</v>
      </c>
      <c r="L5" s="13"/>
    </row>
    <row r="6" customFormat="false" ht="15" hidden="false" customHeight="false" outlineLevel="0" collapsed="false">
      <c r="A6" s="15" t="s">
        <v>51</v>
      </c>
      <c r="B6" s="11" t="str">
        <f aca="false">INDEX(PRODUTOS!$E$4:$E$63,MATCH($A6,PRODUTOS!$B$4:$B$63,0))</f>
        <v>New Dots Ração Seca Premium para Cães Adultos - 15 kg</v>
      </c>
      <c r="C6" s="11" t="str">
        <f aca="false">INDEX(PRODUTOS!$H$4:$H$63,MATCH($A6,PRODUTOS!$B$4:$B$63,0))</f>
        <v>15 kg</v>
      </c>
      <c r="D6" s="11" t="s">
        <v>327</v>
      </c>
      <c r="E6" s="16" t="str">
        <f aca="false">$A6&amp;"."&amp;$D6&amp;".jpg"</f>
        <v>7898968541504.PT02.jpg</v>
      </c>
      <c r="F6" s="11" t="str">
        <f aca="false">IF(INDEX(PRODUTOS!$I$4:$I$63,MATCH($A6,PRODUTOS!$B$4:$B$63,0))="B",INDEX(MODELOS!$F$3:$F$19,MATCH($D6,MODELOS!$A$3:$A$19,0)),INDEX(MODELOS!$B$3:$B$19,MATCH($D6,MODELOS!$A$3:$A$19,0)))</f>
        <v>Galeria · posição 3</v>
      </c>
      <c r="G6" s="11" t="str">
        <f aca="false">IF(INDEX(PRODUTOS!$F$4:$F$63,MATCH($A6,PRODUTOS!$B$4:$B$63,0))="Ração",IF(INDEX(PRODUTOS!$I$4:$I$63,MATCH($A6,PRODUTOS!$B$4:$B$63,0))="B",INDEX(MODELOS!$G$3:$G$19,MATCH($D6,MODELOS!$A$3:$A$19,0)),INDEX(MODELOS!$C$3:$C$19,MATCH($D6,MODELOS!$A$3:$A$19,0))),IF(INDEX(PRODUTOS!$I$4:$I$63,MATCH($A6,PRODUTOS!$B$4:$B$63,0))="B",INDEX(MODELOS!$H$3:$H$19,MATCH($D6,MODELOS!$A$3:$A$19,0)),INDEX(MODELOS!$D$3:$D$19,MATCH($D6,MODELOS!$A$3:$A$19,0))))</f>
        <v>Benefícios com ícones (4 a 6, impressos na embalagem) + ingrediente</v>
      </c>
      <c r="H6" s="11" t="str">
        <f aca="false">IF(INDEX(PRODUTOS!$I$4:$I$63,MATCH($A6,PRODUTOS!$B$4:$B$63,0))="B",INDEX(MODELOS!$I$3:$I$19,MATCH($D6,MODELOS!$A$3:$A$19,0)),INDEX(MODELOS!$E$3:$E$19,MATCH($D6,MODELOS!$A$3:$A$19,0)))</f>
        <v>2000 × 2000</v>
      </c>
      <c r="I6" s="11" t="str">
        <f aca="false">INDEX(MODELOS!$J$3:$J$19,MATCH($D6,MODELOS!$A$3:$A$19,0))</f>
        <v>SIM</v>
      </c>
      <c r="J6" s="11" t="str">
        <f aca="false">IF(LEFT($D6,2)&lt;&gt;"AP",IF($I6="SIM","SIM","RECOMENDADA"),IF(INDEX(PRODUTOS!$J$4:$J$63,MATCH($A6,PRODUTOS!$B$4:$B$63,0))&lt;&gt;"","NÃO (usa o A+ do EAN "&amp;INDEX(PRODUTOS!$J$4:$J$63,MATCH($A6,PRODUTOS!$B$4:$B$63,0))&amp;")",IF(AND(INDEX(PRODUTOS!$I$4:$I$63,MATCH($A6,PRODUTOS!$B$4:$B$63,0))="B",$D6="AP07"),"NÃO (modelo B)","SIM")))</f>
        <v>SIM</v>
      </c>
      <c r="K6" s="13" t="s">
        <v>325</v>
      </c>
      <c r="L6" s="13"/>
    </row>
    <row r="7" customFormat="false" ht="15" hidden="false" customHeight="false" outlineLevel="0" collapsed="false">
      <c r="A7" s="15" t="s">
        <v>51</v>
      </c>
      <c r="B7" s="11" t="str">
        <f aca="false">INDEX(PRODUTOS!$E$4:$E$63,MATCH($A7,PRODUTOS!$B$4:$B$63,0))</f>
        <v>New Dots Ração Seca Premium para Cães Adultos - 15 kg</v>
      </c>
      <c r="C7" s="11" t="str">
        <f aca="false">INDEX(PRODUTOS!$H$4:$H$63,MATCH($A7,PRODUTOS!$B$4:$B$63,0))</f>
        <v>15 kg</v>
      </c>
      <c r="D7" s="11" t="s">
        <v>328</v>
      </c>
      <c r="E7" s="16" t="str">
        <f aca="false">$A7&amp;"."&amp;$D7&amp;".jpg"</f>
        <v>7898968541504.PT03.jpg</v>
      </c>
      <c r="F7" s="11" t="str">
        <f aca="false">IF(INDEX(PRODUTOS!$I$4:$I$63,MATCH($A7,PRODUTOS!$B$4:$B$63,0))="B",INDEX(MODELOS!$F$3:$F$19,MATCH($D7,MODELOS!$A$3:$A$19,0)),INDEX(MODELOS!$B$3:$B$19,MATCH($D7,MODELOS!$A$3:$A$19,0)))</f>
        <v>Galeria · posição 4</v>
      </c>
      <c r="G7" s="11" t="str">
        <f aca="false">IF(INDEX(PRODUTOS!$F$4:$F$63,MATCH($A7,PRODUTOS!$B$4:$B$63,0))="Ração",IF(INDEX(PRODUTOS!$I$4:$I$63,MATCH($A7,PRODUTOS!$B$4:$B$63,0))="B",INDEX(MODELOS!$G$3:$G$19,MATCH($D7,MODELOS!$A$3:$A$19,0)),INDEX(MODELOS!$C$3:$C$19,MATCH($D7,MODELOS!$A$3:$A$19,0))),IF(INDEX(PRODUTOS!$I$4:$I$63,MATCH($A7,PRODUTOS!$B$4:$B$63,0))="B",INDEX(MODELOS!$H$3:$H$19,MATCH($D7,MODELOS!$A$3:$A$19,0)),INDEX(MODELOS!$D$3:$D$19,MATCH($D7,MODELOS!$A$3:$A$19,0))))</f>
        <v>Formato e tamanho do grão, com medida em mm e referência de tamanho</v>
      </c>
      <c r="H7" s="11" t="str">
        <f aca="false">IF(INDEX(PRODUTOS!$I$4:$I$63,MATCH($A7,PRODUTOS!$B$4:$B$63,0))="B",INDEX(MODELOS!$I$3:$I$19,MATCH($D7,MODELOS!$A$3:$A$19,0)),INDEX(MODELOS!$E$3:$E$19,MATCH($D7,MODELOS!$A$3:$A$19,0)))</f>
        <v>2000 × 2000</v>
      </c>
      <c r="I7" s="11" t="str">
        <f aca="false">INDEX(MODELOS!$J$3:$J$19,MATCH($D7,MODELOS!$A$3:$A$19,0))</f>
        <v>SIM</v>
      </c>
      <c r="J7" s="11" t="str">
        <f aca="false">IF(LEFT($D7,2)&lt;&gt;"AP",IF($I7="SIM","SIM","RECOMENDADA"),IF(INDEX(PRODUTOS!$J$4:$J$63,MATCH($A7,PRODUTOS!$B$4:$B$63,0))&lt;&gt;"","NÃO (usa o A+ do EAN "&amp;INDEX(PRODUTOS!$J$4:$J$63,MATCH($A7,PRODUTOS!$B$4:$B$63,0))&amp;")",IF(AND(INDEX(PRODUTOS!$I$4:$I$63,MATCH($A7,PRODUTOS!$B$4:$B$63,0))="B",$D7="AP07"),"NÃO (modelo B)","SIM")))</f>
        <v>SIM</v>
      </c>
      <c r="K7" s="13" t="s">
        <v>325</v>
      </c>
      <c r="L7" s="13"/>
    </row>
    <row r="8" customFormat="false" ht="15" hidden="false" customHeight="false" outlineLevel="0" collapsed="false">
      <c r="A8" s="15" t="s">
        <v>51</v>
      </c>
      <c r="B8" s="11" t="str">
        <f aca="false">INDEX(PRODUTOS!$E$4:$E$63,MATCH($A8,PRODUTOS!$B$4:$B$63,0))</f>
        <v>New Dots Ração Seca Premium para Cães Adultos - 15 kg</v>
      </c>
      <c r="C8" s="11" t="str">
        <f aca="false">INDEX(PRODUTOS!$H$4:$H$63,MATCH($A8,PRODUTOS!$B$4:$B$63,0))</f>
        <v>15 kg</v>
      </c>
      <c r="D8" s="11" t="s">
        <v>329</v>
      </c>
      <c r="E8" s="16" t="str">
        <f aca="false">$A8&amp;"."&amp;$D8&amp;".jpg"</f>
        <v>7898968541504.PT04.jpg</v>
      </c>
      <c r="F8" s="11" t="str">
        <f aca="false">IF(INDEX(PRODUTOS!$I$4:$I$63,MATCH($A8,PRODUTOS!$B$4:$B$63,0))="B",INDEX(MODELOS!$F$3:$F$19,MATCH($D8,MODELOS!$A$3:$A$19,0)),INDEX(MODELOS!$B$3:$B$19,MATCH($D8,MODELOS!$A$3:$A$19,0)))</f>
        <v>Galeria · posição 5</v>
      </c>
      <c r="G8" s="11" t="str">
        <f aca="false">IF(INDEX(PRODUTOS!$F$4:$F$63,MATCH($A8,PRODUTOS!$B$4:$B$63,0))="Ração",IF(INDEX(PRODUTOS!$I$4:$I$63,MATCH($A8,PRODUTOS!$B$4:$B$63,0))="B",INDEX(MODELOS!$G$3:$G$19,MATCH($D8,MODELOS!$A$3:$A$19,0)),INDEX(MODELOS!$C$3:$C$19,MATCH($D8,MODELOS!$A$3:$A$19,0))),IF(INDEX(PRODUTOS!$I$4:$I$63,MATCH($A8,PRODUTOS!$B$4:$B$63,0))="B",INDEX(MODELOS!$H$3:$H$19,MATCH($D8,MODELOS!$A$3:$A$19,0)),INDEX(MODELOS!$D$3:$D$19,MATCH($D8,MODELOS!$A$3:$A$19,0))))</f>
        <v>Quantidade diária por peso do cão/gato (números idênticos à embalagem)</v>
      </c>
      <c r="H8" s="11" t="str">
        <f aca="false">IF(INDEX(PRODUTOS!$I$4:$I$63,MATCH($A8,PRODUTOS!$B$4:$B$63,0))="B",INDEX(MODELOS!$I$3:$I$19,MATCH($D8,MODELOS!$A$3:$A$19,0)),INDEX(MODELOS!$E$3:$E$19,MATCH($D8,MODELOS!$A$3:$A$19,0)))</f>
        <v>2000 × 2000</v>
      </c>
      <c r="I8" s="11" t="str">
        <f aca="false">INDEX(MODELOS!$J$3:$J$19,MATCH($D8,MODELOS!$A$3:$A$19,0))</f>
        <v>SIM</v>
      </c>
      <c r="J8" s="11" t="str">
        <f aca="false">IF(LEFT($D8,2)&lt;&gt;"AP",IF($I8="SIM","SIM","RECOMENDADA"),IF(INDEX(PRODUTOS!$J$4:$J$63,MATCH($A8,PRODUTOS!$B$4:$B$63,0))&lt;&gt;"","NÃO (usa o A+ do EAN "&amp;INDEX(PRODUTOS!$J$4:$J$63,MATCH($A8,PRODUTOS!$B$4:$B$63,0))&amp;")",IF(AND(INDEX(PRODUTOS!$I$4:$I$63,MATCH($A8,PRODUTOS!$B$4:$B$63,0))="B",$D8="AP07"),"NÃO (modelo B)","SIM")))</f>
        <v>SIM</v>
      </c>
      <c r="K8" s="13" t="s">
        <v>325</v>
      </c>
      <c r="L8" s="13"/>
    </row>
    <row r="9" customFormat="false" ht="15" hidden="false" customHeight="false" outlineLevel="0" collapsed="false">
      <c r="A9" s="15" t="s">
        <v>51</v>
      </c>
      <c r="B9" s="11" t="str">
        <f aca="false">INDEX(PRODUTOS!$E$4:$E$63,MATCH($A9,PRODUTOS!$B$4:$B$63,0))</f>
        <v>New Dots Ração Seca Premium para Cães Adultos - 15 kg</v>
      </c>
      <c r="C9" s="11" t="str">
        <f aca="false">INDEX(PRODUTOS!$H$4:$H$63,MATCH($A9,PRODUTOS!$B$4:$B$63,0))</f>
        <v>15 kg</v>
      </c>
      <c r="D9" s="11" t="s">
        <v>330</v>
      </c>
      <c r="E9" s="16" t="str">
        <f aca="false">$A9&amp;"."&amp;$D9&amp;".jpg"</f>
        <v>7898968541504.PT05.jpg</v>
      </c>
      <c r="F9" s="11" t="str">
        <f aca="false">IF(INDEX(PRODUTOS!$I$4:$I$63,MATCH($A9,PRODUTOS!$B$4:$B$63,0))="B",INDEX(MODELOS!$F$3:$F$19,MATCH($D9,MODELOS!$A$3:$A$19,0)),INDEX(MODELOS!$B$3:$B$19,MATCH($D9,MODELOS!$A$3:$A$19,0)))</f>
        <v>Galeria · posição 6</v>
      </c>
      <c r="G9" s="11" t="str">
        <f aca="false">IF(INDEX(PRODUTOS!$F$4:$F$63,MATCH($A9,PRODUTOS!$B$4:$B$63,0))="Ração",IF(INDEX(PRODUTOS!$I$4:$I$63,MATCH($A9,PRODUTOS!$B$4:$B$63,0))="B",INDEX(MODELOS!$G$3:$G$19,MATCH($D9,MODELOS!$A$3:$A$19,0)),INDEX(MODELOS!$C$3:$C$19,MATCH($D9,MODELOS!$A$3:$A$19,0))),IF(INDEX(PRODUTOS!$I$4:$I$63,MATCH($A9,PRODUTOS!$B$4:$B$63,0))="B",INDEX(MODELOS!$H$3:$H$19,MATCH($D9,MODELOS!$A$3:$A$19,0)),INDEX(MODELOS!$D$3:$D$19,MATCH($D9,MODELOS!$A$3:$A$19,0))))</f>
        <v>Transição alimentar dia a dia (igual ao verso da embalagem)</v>
      </c>
      <c r="H9" s="11" t="str">
        <f aca="false">IF(INDEX(PRODUTOS!$I$4:$I$63,MATCH($A9,PRODUTOS!$B$4:$B$63,0))="B",INDEX(MODELOS!$I$3:$I$19,MATCH($D9,MODELOS!$A$3:$A$19,0)),INDEX(MODELOS!$E$3:$E$19,MATCH($D9,MODELOS!$A$3:$A$19,0)))</f>
        <v>2000 × 2000</v>
      </c>
      <c r="I9" s="11" t="str">
        <f aca="false">INDEX(MODELOS!$J$3:$J$19,MATCH($D9,MODELOS!$A$3:$A$19,0))</f>
        <v>Recomendada</v>
      </c>
      <c r="J9" s="11" t="str">
        <f aca="false">IF(LEFT($D9,2)&lt;&gt;"AP",IF($I9="SIM","SIM","RECOMENDADA"),IF(INDEX(PRODUTOS!$J$4:$J$63,MATCH($A9,PRODUTOS!$B$4:$B$63,0))&lt;&gt;"","NÃO (usa o A+ do EAN "&amp;INDEX(PRODUTOS!$J$4:$J$63,MATCH($A9,PRODUTOS!$B$4:$B$63,0))&amp;")",IF(AND(INDEX(PRODUTOS!$I$4:$I$63,MATCH($A9,PRODUTOS!$B$4:$B$63,0))="B",$D9="AP07"),"NÃO (modelo B)","SIM")))</f>
        <v>RECOMENDADA</v>
      </c>
      <c r="K9" s="13" t="s">
        <v>325</v>
      </c>
      <c r="L9" s="13"/>
    </row>
    <row r="10" customFormat="false" ht="15" hidden="false" customHeight="false" outlineLevel="0" collapsed="false">
      <c r="A10" s="15" t="s">
        <v>51</v>
      </c>
      <c r="B10" s="11" t="str">
        <f aca="false">INDEX(PRODUTOS!$E$4:$E$63,MATCH($A10,PRODUTOS!$B$4:$B$63,0))</f>
        <v>New Dots Ração Seca Premium para Cães Adultos - 15 kg</v>
      </c>
      <c r="C10" s="11" t="str">
        <f aca="false">INDEX(PRODUTOS!$H$4:$H$63,MATCH($A10,PRODUTOS!$B$4:$B$63,0))</f>
        <v>15 kg</v>
      </c>
      <c r="D10" s="11" t="s">
        <v>331</v>
      </c>
      <c r="E10" s="16" t="str">
        <f aca="false">$A10&amp;"."&amp;$D10&amp;".jpg"</f>
        <v>7898968541504.PT06.jpg</v>
      </c>
      <c r="F10" s="11" t="str">
        <f aca="false">IF(INDEX(PRODUTOS!$I$4:$I$63,MATCH($A10,PRODUTOS!$B$4:$B$63,0))="B",INDEX(MODELOS!$F$3:$F$19,MATCH($D10,MODELOS!$A$3:$A$19,0)),INDEX(MODELOS!$B$3:$B$19,MATCH($D10,MODELOS!$A$3:$A$19,0)))</f>
        <v>Galeria · posição 7</v>
      </c>
      <c r="G10" s="11" t="str">
        <f aca="false">IF(INDEX(PRODUTOS!$F$4:$F$63,MATCH($A10,PRODUTOS!$B$4:$B$63,0))="Ração",IF(INDEX(PRODUTOS!$I$4:$I$63,MATCH($A10,PRODUTOS!$B$4:$B$63,0))="B",INDEX(MODELOS!$G$3:$G$19,MATCH($D10,MODELOS!$A$3:$A$19,0)),INDEX(MODELOS!$C$3:$C$19,MATCH($D10,MODELOS!$A$3:$A$19,0))),IF(INDEX(PRODUTOS!$I$4:$I$63,MATCH($A10,PRODUTOS!$B$4:$B$63,0))="B",INDEX(MODELOS!$H$3:$H$19,MATCH($D10,MODELOS!$A$3:$A$19,0)),INDEX(MODELOS!$D$3:$D$19,MATCH($D10,MODELOS!$A$3:$A$19,0))))</f>
        <v>Composição e níveis de garantia em letra grande</v>
      </c>
      <c r="H10" s="11" t="str">
        <f aca="false">IF(INDEX(PRODUTOS!$I$4:$I$63,MATCH($A10,PRODUTOS!$B$4:$B$63,0))="B",INDEX(MODELOS!$I$3:$I$19,MATCH($D10,MODELOS!$A$3:$A$19,0)),INDEX(MODELOS!$E$3:$E$19,MATCH($D10,MODELOS!$A$3:$A$19,0)))</f>
        <v>2000 × 2000</v>
      </c>
      <c r="I10" s="11" t="str">
        <f aca="false">INDEX(MODELOS!$J$3:$J$19,MATCH($D10,MODELOS!$A$3:$A$19,0))</f>
        <v>SIM</v>
      </c>
      <c r="J10" s="11" t="str">
        <f aca="false">IF(LEFT($D10,2)&lt;&gt;"AP",IF($I10="SIM","SIM","RECOMENDADA"),IF(INDEX(PRODUTOS!$J$4:$J$63,MATCH($A10,PRODUTOS!$B$4:$B$63,0))&lt;&gt;"","NÃO (usa o A+ do EAN "&amp;INDEX(PRODUTOS!$J$4:$J$63,MATCH($A10,PRODUTOS!$B$4:$B$63,0))&amp;")",IF(AND(INDEX(PRODUTOS!$I$4:$I$63,MATCH($A10,PRODUTOS!$B$4:$B$63,0))="B",$D10="AP07"),"NÃO (modelo B)","SIM")))</f>
        <v>SIM</v>
      </c>
      <c r="K10" s="13" t="s">
        <v>325</v>
      </c>
      <c r="L10" s="13"/>
    </row>
    <row r="11" customFormat="false" ht="15" hidden="false" customHeight="false" outlineLevel="0" collapsed="false">
      <c r="A11" s="15" t="s">
        <v>51</v>
      </c>
      <c r="B11" s="11" t="str">
        <f aca="false">INDEX(PRODUTOS!$E$4:$E$63,MATCH($A11,PRODUTOS!$B$4:$B$63,0))</f>
        <v>New Dots Ração Seca Premium para Cães Adultos - 15 kg</v>
      </c>
      <c r="C11" s="11" t="str">
        <f aca="false">INDEX(PRODUTOS!$H$4:$H$63,MATCH($A11,PRODUTOS!$B$4:$B$63,0))</f>
        <v>15 kg</v>
      </c>
      <c r="D11" s="11" t="s">
        <v>332</v>
      </c>
      <c r="E11" s="16" t="str">
        <f aca="false">$A11&amp;"."&amp;$D11&amp;".jpg"</f>
        <v>7898968541504.PT07.jpg</v>
      </c>
      <c r="F11" s="11" t="str">
        <f aca="false">IF(INDEX(PRODUTOS!$I$4:$I$63,MATCH($A11,PRODUTOS!$B$4:$B$63,0))="B",INDEX(MODELOS!$F$3:$F$19,MATCH($D11,MODELOS!$A$3:$A$19,0)),INDEX(MODELOS!$B$3:$B$19,MATCH($D11,MODELOS!$A$3:$A$19,0)))</f>
        <v>Galeria · posição 8</v>
      </c>
      <c r="G11" s="11" t="str">
        <f aca="false">IF(INDEX(PRODUTOS!$F$4:$F$63,MATCH($A11,PRODUTOS!$B$4:$B$63,0))="Ração",IF(INDEX(PRODUTOS!$I$4:$I$63,MATCH($A11,PRODUTOS!$B$4:$B$63,0))="B",INDEX(MODELOS!$G$3:$G$19,MATCH($D11,MODELOS!$A$3:$A$19,0)),INDEX(MODELOS!$C$3:$C$19,MATCH($D11,MODELOS!$A$3:$A$19,0))),IF(INDEX(PRODUTOS!$I$4:$I$63,MATCH($A11,PRODUTOS!$B$4:$B$63,0))="B",INDEX(MODELOS!$H$3:$H$19,MATCH($D11,MODELOS!$A$3:$A$19,0)),INDEX(MODELOS!$D$3:$D$19,MATCH($D11,MODELOS!$A$3:$A$19,0))))</f>
        <v>Emocional / momento de uso (pet do porte certo, pote cheio)</v>
      </c>
      <c r="H11" s="11" t="str">
        <f aca="false">IF(INDEX(PRODUTOS!$I$4:$I$63,MATCH($A11,PRODUTOS!$B$4:$B$63,0))="B",INDEX(MODELOS!$I$3:$I$19,MATCH($D11,MODELOS!$A$3:$A$19,0)),INDEX(MODELOS!$E$3:$E$19,MATCH($D11,MODELOS!$A$3:$A$19,0)))</f>
        <v>2000 × 2000</v>
      </c>
      <c r="I11" s="11" t="str">
        <f aca="false">INDEX(MODELOS!$J$3:$J$19,MATCH($D11,MODELOS!$A$3:$A$19,0))</f>
        <v>Recomendada</v>
      </c>
      <c r="J11" s="11" t="str">
        <f aca="false">IF(LEFT($D11,2)&lt;&gt;"AP",IF($I11="SIM","SIM","RECOMENDADA"),IF(INDEX(PRODUTOS!$J$4:$J$63,MATCH($A11,PRODUTOS!$B$4:$B$63,0))&lt;&gt;"","NÃO (usa o A+ do EAN "&amp;INDEX(PRODUTOS!$J$4:$J$63,MATCH($A11,PRODUTOS!$B$4:$B$63,0))&amp;")",IF(AND(INDEX(PRODUTOS!$I$4:$I$63,MATCH($A11,PRODUTOS!$B$4:$B$63,0))="B",$D11="AP07"),"NÃO (modelo B)","SIM")))</f>
        <v>RECOMENDADA</v>
      </c>
      <c r="K11" s="13" t="s">
        <v>325</v>
      </c>
      <c r="L11" s="13"/>
    </row>
    <row r="12" customFormat="false" ht="15" hidden="false" customHeight="false" outlineLevel="0" collapsed="false">
      <c r="A12" s="15" t="s">
        <v>51</v>
      </c>
      <c r="B12" s="11" t="str">
        <f aca="false">INDEX(PRODUTOS!$E$4:$E$63,MATCH($A12,PRODUTOS!$B$4:$B$63,0))</f>
        <v>New Dots Ração Seca Premium para Cães Adultos - 15 kg</v>
      </c>
      <c r="C12" s="11" t="str">
        <f aca="false">INDEX(PRODUTOS!$H$4:$H$63,MATCH($A12,PRODUTOS!$B$4:$B$63,0))</f>
        <v>15 kg</v>
      </c>
      <c r="D12" s="11" t="s">
        <v>333</v>
      </c>
      <c r="E12" s="16" t="str">
        <f aca="false">$A12&amp;"."&amp;$D12&amp;".jpg"</f>
        <v>7898968541504.PT08.jpg</v>
      </c>
      <c r="F12" s="11" t="str">
        <f aca="false">IF(INDEX(PRODUTOS!$I$4:$I$63,MATCH($A12,PRODUTOS!$B$4:$B$63,0))="B",INDEX(MODELOS!$F$3:$F$19,MATCH($D12,MODELOS!$A$3:$A$19,0)),INDEX(MODELOS!$B$3:$B$19,MATCH($D12,MODELOS!$A$3:$A$19,0)))</f>
        <v>Galeria · posição 9</v>
      </c>
      <c r="G12" s="11" t="str">
        <f aca="false">IF(INDEX(PRODUTOS!$F$4:$F$63,MATCH($A12,PRODUTOS!$B$4:$B$63,0))="Ração",IF(INDEX(PRODUTOS!$I$4:$I$63,MATCH($A12,PRODUTOS!$B$4:$B$63,0))="B",INDEX(MODELOS!$G$3:$G$19,MATCH($D12,MODELOS!$A$3:$A$19,0)),INDEX(MODELOS!$C$3:$C$19,MATCH($D12,MODELOS!$A$3:$A$19,0))),IF(INDEX(PRODUTOS!$I$4:$I$63,MATCH($A12,PRODUTOS!$B$4:$B$63,0))="B",INDEX(MODELOS!$H$3:$H$19,MATCH($D12,MODELOS!$A$3:$A$19,0)),INDEX(MODELOS!$D$3:$D$19,MATCH($D12,MODELOS!$A$3:$A$19,0))))</f>
        <v>Linha da marca ou embalagem anterior × nova</v>
      </c>
      <c r="H12" s="11" t="str">
        <f aca="false">IF(INDEX(PRODUTOS!$I$4:$I$63,MATCH($A12,PRODUTOS!$B$4:$B$63,0))="B",INDEX(MODELOS!$I$3:$I$19,MATCH($D12,MODELOS!$A$3:$A$19,0)),INDEX(MODELOS!$E$3:$E$19,MATCH($D12,MODELOS!$A$3:$A$19,0)))</f>
        <v>2000 × 2000</v>
      </c>
      <c r="I12" s="11" t="str">
        <f aca="false">INDEX(MODELOS!$J$3:$J$19,MATCH($D12,MODELOS!$A$3:$A$19,0))</f>
        <v>Recomendada</v>
      </c>
      <c r="J12" s="11" t="str">
        <f aca="false">IF(LEFT($D12,2)&lt;&gt;"AP",IF($I12="SIM","SIM","RECOMENDADA"),IF(INDEX(PRODUTOS!$J$4:$J$63,MATCH($A12,PRODUTOS!$B$4:$B$63,0))&lt;&gt;"","NÃO (usa o A+ do EAN "&amp;INDEX(PRODUTOS!$J$4:$J$63,MATCH($A12,PRODUTOS!$B$4:$B$63,0))&amp;")",IF(AND(INDEX(PRODUTOS!$I$4:$I$63,MATCH($A12,PRODUTOS!$B$4:$B$63,0))="B",$D12="AP07"),"NÃO (modelo B)","SIM")))</f>
        <v>RECOMENDADA</v>
      </c>
      <c r="K12" s="13" t="s">
        <v>325</v>
      </c>
      <c r="L12" s="13"/>
    </row>
    <row r="13" customFormat="false" ht="15" hidden="false" customHeight="false" outlineLevel="0" collapsed="false">
      <c r="A13" s="15" t="s">
        <v>51</v>
      </c>
      <c r="B13" s="11" t="str">
        <f aca="false">INDEX(PRODUTOS!$E$4:$E$63,MATCH($A13,PRODUTOS!$B$4:$B$63,0))</f>
        <v>New Dots Ração Seca Premium para Cães Adultos - 15 kg</v>
      </c>
      <c r="C13" s="11" t="str">
        <f aca="false">INDEX(PRODUTOS!$H$4:$H$63,MATCH($A13,PRODUTOS!$B$4:$B$63,0))</f>
        <v>15 kg</v>
      </c>
      <c r="D13" s="11" t="s">
        <v>334</v>
      </c>
      <c r="E13" s="16" t="str">
        <f aca="false">$A13&amp;"."&amp;$D13&amp;".jpg"</f>
        <v>7898968541504.AP01.jpg</v>
      </c>
      <c r="F13" s="11" t="str">
        <f aca="false">IF(INDEX(PRODUTOS!$I$4:$I$63,MATCH($A13,PRODUTOS!$B$4:$B$63,0))="B",INDEX(MODELOS!$F$3:$F$19,MATCH($D13,MODELOS!$A$3:$A$19,0)),INDEX(MODELOS!$B$3:$B$19,MATCH($D13,MODELOS!$A$3:$A$19,0)))</f>
        <v>A+ · Módulo 1 · Banner</v>
      </c>
      <c r="G13" s="11" t="str">
        <f aca="false">IF(INDEX(PRODUTOS!$F$4:$F$63,MATCH($A13,PRODUTOS!$B$4:$B$63,0))="Ração",IF(INDEX(PRODUTOS!$I$4:$I$63,MATCH($A13,PRODUTOS!$B$4:$B$63,0))="B",INDEX(MODELOS!$G$3:$G$19,MATCH($D13,MODELOS!$A$3:$A$19,0)),INDEX(MODELOS!$C$3:$C$19,MATCH($D13,MODELOS!$A$3:$A$19,0))),IF(INDEX(PRODUTOS!$I$4:$I$63,MATCH($A13,PRODUTOS!$B$4:$B$63,0))="B",INDEX(MODELOS!$H$3:$H$19,MATCH($D13,MODELOS!$A$3:$A$19,0)),INDEX(MODELOS!$D$3:$D$19,MATCH($D13,MODELOS!$A$3:$A$19,0))))</f>
        <v>Embalagem + pet + ingredientes, com o nome da linha</v>
      </c>
      <c r="H13" s="11" t="str">
        <f aca="false">IF(INDEX(PRODUTOS!$I$4:$I$63,MATCH($A13,PRODUTOS!$B$4:$B$63,0))="B",INDEX(MODELOS!$I$3:$I$19,MATCH($D13,MODELOS!$A$3:$A$19,0)),INDEX(MODELOS!$E$3:$E$19,MATCH($D13,MODELOS!$A$3:$A$19,0)))</f>
        <v>970 × 600</v>
      </c>
      <c r="I13" s="11" t="str">
        <f aca="false">INDEX(MODELOS!$J$3:$J$19,MATCH($D13,MODELOS!$A$3:$A$19,0))</f>
        <v>Conforme modelo</v>
      </c>
      <c r="J13" s="11" t="str">
        <f aca="false">IF(LEFT($D13,2)&lt;&gt;"AP",IF($I13="SIM","SIM","RECOMENDADA"),IF(INDEX(PRODUTOS!$J$4:$J$63,MATCH($A13,PRODUTOS!$B$4:$B$63,0))&lt;&gt;"","NÃO (usa o A+ do EAN "&amp;INDEX(PRODUTOS!$J$4:$J$63,MATCH($A13,PRODUTOS!$B$4:$B$63,0))&amp;")",IF(AND(INDEX(PRODUTOS!$I$4:$I$63,MATCH($A13,PRODUTOS!$B$4:$B$63,0))="B",$D13="AP07"),"NÃO (modelo B)","SIM")))</f>
        <v>SIM</v>
      </c>
      <c r="K13" s="13" t="s">
        <v>325</v>
      </c>
      <c r="L13" s="13"/>
    </row>
    <row r="14" customFormat="false" ht="15" hidden="false" customHeight="false" outlineLevel="0" collapsed="false">
      <c r="A14" s="15" t="s">
        <v>51</v>
      </c>
      <c r="B14" s="11" t="str">
        <f aca="false">INDEX(PRODUTOS!$E$4:$E$63,MATCH($A14,PRODUTOS!$B$4:$B$63,0))</f>
        <v>New Dots Ração Seca Premium para Cães Adultos - 15 kg</v>
      </c>
      <c r="C14" s="11" t="str">
        <f aca="false">INDEX(PRODUTOS!$H$4:$H$63,MATCH($A14,PRODUTOS!$B$4:$B$63,0))</f>
        <v>15 kg</v>
      </c>
      <c r="D14" s="11" t="s">
        <v>335</v>
      </c>
      <c r="E14" s="16" t="str">
        <f aca="false">$A14&amp;"."&amp;$D14&amp;".jpg"</f>
        <v>7898968541504.AP02.jpg</v>
      </c>
      <c r="F14" s="11" t="str">
        <f aca="false">IF(INDEX(PRODUTOS!$I$4:$I$63,MATCH($A14,PRODUTOS!$B$4:$B$63,0))="B",INDEX(MODELOS!$F$3:$F$19,MATCH($D14,MODELOS!$A$3:$A$19,0)),INDEX(MODELOS!$B$3:$B$19,MATCH($D14,MODELOS!$A$3:$A$19,0)))</f>
        <v>A+ · Módulo 2 · Texto sobreposto</v>
      </c>
      <c r="G14" s="11" t="str">
        <f aca="false">IF(INDEX(PRODUTOS!$F$4:$F$63,MATCH($A14,PRODUTOS!$B$4:$B$63,0))="Ração",IF(INDEX(PRODUTOS!$I$4:$I$63,MATCH($A14,PRODUTOS!$B$4:$B$63,0))="B",INDEX(MODELOS!$G$3:$G$19,MATCH($D14,MODELOS!$A$3:$A$19,0)),INDEX(MODELOS!$C$3:$C$19,MATCH($D14,MODELOS!$A$3:$A$19,0))),IF(INDEX(PRODUTOS!$I$4:$I$63,MATCH($A14,PRODUTOS!$B$4:$B$63,0))="B",INDEX(MODELOS!$H$3:$H$19,MATCH($D14,MODELOS!$A$3:$A$19,0)),INDEX(MODELOS!$D$3:$D$19,MATCH($D14,MODELOS!$A$3:$A$19,0))))</f>
        <v>Principal diferencial; deixar o lado direito limpo</v>
      </c>
      <c r="H14" s="11" t="str">
        <f aca="false">IF(INDEX(PRODUTOS!$I$4:$I$63,MATCH($A14,PRODUTOS!$B$4:$B$63,0))="B",INDEX(MODELOS!$I$3:$I$19,MATCH($D14,MODELOS!$A$3:$A$19,0)),INDEX(MODELOS!$E$3:$E$19,MATCH($D14,MODELOS!$A$3:$A$19,0)))</f>
        <v>970 × 300</v>
      </c>
      <c r="I14" s="11" t="str">
        <f aca="false">INDEX(MODELOS!$J$3:$J$19,MATCH($D14,MODELOS!$A$3:$A$19,0))</f>
        <v>Conforme modelo</v>
      </c>
      <c r="J14" s="11" t="str">
        <f aca="false">IF(LEFT($D14,2)&lt;&gt;"AP",IF($I14="SIM","SIM","RECOMENDADA"),IF(INDEX(PRODUTOS!$J$4:$J$63,MATCH($A14,PRODUTOS!$B$4:$B$63,0))&lt;&gt;"","NÃO (usa o A+ do EAN "&amp;INDEX(PRODUTOS!$J$4:$J$63,MATCH($A14,PRODUTOS!$B$4:$B$63,0))&amp;")",IF(AND(INDEX(PRODUTOS!$I$4:$I$63,MATCH($A14,PRODUTOS!$B$4:$B$63,0))="B",$D14="AP07"),"NÃO (modelo B)","SIM")))</f>
        <v>SIM</v>
      </c>
      <c r="K14" s="13" t="s">
        <v>325</v>
      </c>
      <c r="L14" s="13"/>
    </row>
    <row r="15" customFormat="false" ht="15" hidden="false" customHeight="false" outlineLevel="0" collapsed="false">
      <c r="A15" s="15" t="s">
        <v>51</v>
      </c>
      <c r="B15" s="11" t="str">
        <f aca="false">INDEX(PRODUTOS!$E$4:$E$63,MATCH($A15,PRODUTOS!$B$4:$B$63,0))</f>
        <v>New Dots Ração Seca Premium para Cães Adultos - 15 kg</v>
      </c>
      <c r="C15" s="11" t="str">
        <f aca="false">INDEX(PRODUTOS!$H$4:$H$63,MATCH($A15,PRODUTOS!$B$4:$B$63,0))</f>
        <v>15 kg</v>
      </c>
      <c r="D15" s="11" t="s">
        <v>336</v>
      </c>
      <c r="E15" s="16" t="str">
        <f aca="false">$A15&amp;"."&amp;$D15&amp;".jpg"</f>
        <v>7898968541504.AP03.jpg</v>
      </c>
      <c r="F15" s="11" t="str">
        <f aca="false">IF(INDEX(PRODUTOS!$I$4:$I$63,MATCH($A15,PRODUTOS!$B$4:$B$63,0))="B",INDEX(MODELOS!$F$3:$F$19,MATCH($D15,MODELOS!$A$3:$A$19,0)),INDEX(MODELOS!$B$3:$B$19,MATCH($D15,MODELOS!$A$3:$A$19,0)))</f>
        <v>A+ · Módulo 3 · Benefício 1 de 4</v>
      </c>
      <c r="G15" s="11" t="str">
        <f aca="false">IF(INDEX(PRODUTOS!$F$4:$F$63,MATCH($A15,PRODUTOS!$B$4:$B$63,0))="Ração",IF(INDEX(PRODUTOS!$I$4:$I$63,MATCH($A15,PRODUTOS!$B$4:$B$63,0))="B",INDEX(MODELOS!$G$3:$G$19,MATCH($D15,MODELOS!$A$3:$A$19,0)),INDEX(MODELOS!$C$3:$C$19,MATCH($D15,MODELOS!$A$3:$A$19,0))),IF(INDEX(PRODUTOS!$I$4:$I$63,MATCH($A15,PRODUTOS!$B$4:$B$63,0))="B",INDEX(MODELOS!$H$3:$H$19,MATCH($D15,MODELOS!$A$3:$A$19,0)),INDEX(MODELOS!$D$3:$D$19,MATCH($D15,MODELOS!$A$3:$A$19,0))))</f>
        <v>Foto/ilustração do benefício 1</v>
      </c>
      <c r="H15" s="11" t="str">
        <f aca="false">IF(INDEX(PRODUTOS!$I$4:$I$63,MATCH($A15,PRODUTOS!$B$4:$B$63,0))="B",INDEX(MODELOS!$I$3:$I$19,MATCH($D15,MODELOS!$A$3:$A$19,0)),INDEX(MODELOS!$E$3:$E$19,MATCH($D15,MODELOS!$A$3:$A$19,0)))</f>
        <v>220 × 200</v>
      </c>
      <c r="I15" s="11" t="str">
        <f aca="false">INDEX(MODELOS!$J$3:$J$19,MATCH($D15,MODELOS!$A$3:$A$19,0))</f>
        <v>Conforme modelo</v>
      </c>
      <c r="J15" s="11" t="str">
        <f aca="false">IF(LEFT($D15,2)&lt;&gt;"AP",IF($I15="SIM","SIM","RECOMENDADA"),IF(INDEX(PRODUTOS!$J$4:$J$63,MATCH($A15,PRODUTOS!$B$4:$B$63,0))&lt;&gt;"","NÃO (usa o A+ do EAN "&amp;INDEX(PRODUTOS!$J$4:$J$63,MATCH($A15,PRODUTOS!$B$4:$B$63,0))&amp;")",IF(AND(INDEX(PRODUTOS!$I$4:$I$63,MATCH($A15,PRODUTOS!$B$4:$B$63,0))="B",$D15="AP07"),"NÃO (modelo B)","SIM")))</f>
        <v>SIM</v>
      </c>
      <c r="K15" s="13" t="s">
        <v>325</v>
      </c>
      <c r="L15" s="13"/>
    </row>
    <row r="16" customFormat="false" ht="15" hidden="false" customHeight="false" outlineLevel="0" collapsed="false">
      <c r="A16" s="15" t="s">
        <v>51</v>
      </c>
      <c r="B16" s="11" t="str">
        <f aca="false">INDEX(PRODUTOS!$E$4:$E$63,MATCH($A16,PRODUTOS!$B$4:$B$63,0))</f>
        <v>New Dots Ração Seca Premium para Cães Adultos - 15 kg</v>
      </c>
      <c r="C16" s="11" t="str">
        <f aca="false">INDEX(PRODUTOS!$H$4:$H$63,MATCH($A16,PRODUTOS!$B$4:$B$63,0))</f>
        <v>15 kg</v>
      </c>
      <c r="D16" s="11" t="s">
        <v>337</v>
      </c>
      <c r="E16" s="16" t="str">
        <f aca="false">$A16&amp;"."&amp;$D16&amp;".jpg"</f>
        <v>7898968541504.AP04.jpg</v>
      </c>
      <c r="F16" s="11" t="str">
        <f aca="false">IF(INDEX(PRODUTOS!$I$4:$I$63,MATCH($A16,PRODUTOS!$B$4:$B$63,0))="B",INDEX(MODELOS!$F$3:$F$19,MATCH($D16,MODELOS!$A$3:$A$19,0)),INDEX(MODELOS!$B$3:$B$19,MATCH($D16,MODELOS!$A$3:$A$19,0)))</f>
        <v>A+ · Módulo 3 · Benefício 2 de 4</v>
      </c>
      <c r="G16" s="11" t="str">
        <f aca="false">IF(INDEX(PRODUTOS!$F$4:$F$63,MATCH($A16,PRODUTOS!$B$4:$B$63,0))="Ração",IF(INDEX(PRODUTOS!$I$4:$I$63,MATCH($A16,PRODUTOS!$B$4:$B$63,0))="B",INDEX(MODELOS!$G$3:$G$19,MATCH($D16,MODELOS!$A$3:$A$19,0)),INDEX(MODELOS!$C$3:$C$19,MATCH($D16,MODELOS!$A$3:$A$19,0))),IF(INDEX(PRODUTOS!$I$4:$I$63,MATCH($A16,PRODUTOS!$B$4:$B$63,0))="B",INDEX(MODELOS!$H$3:$H$19,MATCH($D16,MODELOS!$A$3:$A$19,0)),INDEX(MODELOS!$D$3:$D$19,MATCH($D16,MODELOS!$A$3:$A$19,0))))</f>
        <v>Foto/ilustração do benefício 2</v>
      </c>
      <c r="H16" s="11" t="str">
        <f aca="false">IF(INDEX(PRODUTOS!$I$4:$I$63,MATCH($A16,PRODUTOS!$B$4:$B$63,0))="B",INDEX(MODELOS!$I$3:$I$19,MATCH($D16,MODELOS!$A$3:$A$19,0)),INDEX(MODELOS!$E$3:$E$19,MATCH($D16,MODELOS!$A$3:$A$19,0)))</f>
        <v>220 × 200</v>
      </c>
      <c r="I16" s="11" t="str">
        <f aca="false">INDEX(MODELOS!$J$3:$J$19,MATCH($D16,MODELOS!$A$3:$A$19,0))</f>
        <v>Conforme modelo</v>
      </c>
      <c r="J16" s="11" t="str">
        <f aca="false">IF(LEFT($D16,2)&lt;&gt;"AP",IF($I16="SIM","SIM","RECOMENDADA"),IF(INDEX(PRODUTOS!$J$4:$J$63,MATCH($A16,PRODUTOS!$B$4:$B$63,0))&lt;&gt;"","NÃO (usa o A+ do EAN "&amp;INDEX(PRODUTOS!$J$4:$J$63,MATCH($A16,PRODUTOS!$B$4:$B$63,0))&amp;")",IF(AND(INDEX(PRODUTOS!$I$4:$I$63,MATCH($A16,PRODUTOS!$B$4:$B$63,0))="B",$D16="AP07"),"NÃO (modelo B)","SIM")))</f>
        <v>SIM</v>
      </c>
      <c r="K16" s="13" t="s">
        <v>325</v>
      </c>
      <c r="L16" s="13"/>
    </row>
    <row r="17" customFormat="false" ht="15" hidden="false" customHeight="false" outlineLevel="0" collapsed="false">
      <c r="A17" s="15" t="s">
        <v>51</v>
      </c>
      <c r="B17" s="11" t="str">
        <f aca="false">INDEX(PRODUTOS!$E$4:$E$63,MATCH($A17,PRODUTOS!$B$4:$B$63,0))</f>
        <v>New Dots Ração Seca Premium para Cães Adultos - 15 kg</v>
      </c>
      <c r="C17" s="11" t="str">
        <f aca="false">INDEX(PRODUTOS!$H$4:$H$63,MATCH($A17,PRODUTOS!$B$4:$B$63,0))</f>
        <v>15 kg</v>
      </c>
      <c r="D17" s="11" t="s">
        <v>338</v>
      </c>
      <c r="E17" s="16" t="str">
        <f aca="false">$A17&amp;"."&amp;$D17&amp;".jpg"</f>
        <v>7898968541504.AP05.jpg</v>
      </c>
      <c r="F17" s="11" t="str">
        <f aca="false">IF(INDEX(PRODUTOS!$I$4:$I$63,MATCH($A17,PRODUTOS!$B$4:$B$63,0))="B",INDEX(MODELOS!$F$3:$F$19,MATCH($D17,MODELOS!$A$3:$A$19,0)),INDEX(MODELOS!$B$3:$B$19,MATCH($D17,MODELOS!$A$3:$A$19,0)))</f>
        <v>A+ · Módulo 3 · Benefício 3 de 4</v>
      </c>
      <c r="G17" s="11" t="str">
        <f aca="false">IF(INDEX(PRODUTOS!$F$4:$F$63,MATCH($A17,PRODUTOS!$B$4:$B$63,0))="Ração",IF(INDEX(PRODUTOS!$I$4:$I$63,MATCH($A17,PRODUTOS!$B$4:$B$63,0))="B",INDEX(MODELOS!$G$3:$G$19,MATCH($D17,MODELOS!$A$3:$A$19,0)),INDEX(MODELOS!$C$3:$C$19,MATCH($D17,MODELOS!$A$3:$A$19,0))),IF(INDEX(PRODUTOS!$I$4:$I$63,MATCH($A17,PRODUTOS!$B$4:$B$63,0))="B",INDEX(MODELOS!$H$3:$H$19,MATCH($D17,MODELOS!$A$3:$A$19,0)),INDEX(MODELOS!$D$3:$D$19,MATCH($D17,MODELOS!$A$3:$A$19,0))))</f>
        <v>Foto/ilustração do benefício 3</v>
      </c>
      <c r="H17" s="11" t="str">
        <f aca="false">IF(INDEX(PRODUTOS!$I$4:$I$63,MATCH($A17,PRODUTOS!$B$4:$B$63,0))="B",INDEX(MODELOS!$I$3:$I$19,MATCH($D17,MODELOS!$A$3:$A$19,0)),INDEX(MODELOS!$E$3:$E$19,MATCH($D17,MODELOS!$A$3:$A$19,0)))</f>
        <v>220 × 200</v>
      </c>
      <c r="I17" s="11" t="str">
        <f aca="false">INDEX(MODELOS!$J$3:$J$19,MATCH($D17,MODELOS!$A$3:$A$19,0))</f>
        <v>Conforme modelo</v>
      </c>
      <c r="J17" s="11" t="str">
        <f aca="false">IF(LEFT($D17,2)&lt;&gt;"AP",IF($I17="SIM","SIM","RECOMENDADA"),IF(INDEX(PRODUTOS!$J$4:$J$63,MATCH($A17,PRODUTOS!$B$4:$B$63,0))&lt;&gt;"","NÃO (usa o A+ do EAN "&amp;INDEX(PRODUTOS!$J$4:$J$63,MATCH($A17,PRODUTOS!$B$4:$B$63,0))&amp;")",IF(AND(INDEX(PRODUTOS!$I$4:$I$63,MATCH($A17,PRODUTOS!$B$4:$B$63,0))="B",$D17="AP07"),"NÃO (modelo B)","SIM")))</f>
        <v>SIM</v>
      </c>
      <c r="K17" s="13" t="s">
        <v>325</v>
      </c>
      <c r="L17" s="13"/>
    </row>
    <row r="18" customFormat="false" ht="15" hidden="false" customHeight="false" outlineLevel="0" collapsed="false">
      <c r="A18" s="15" t="s">
        <v>51</v>
      </c>
      <c r="B18" s="11" t="str">
        <f aca="false">INDEX(PRODUTOS!$E$4:$E$63,MATCH($A18,PRODUTOS!$B$4:$B$63,0))</f>
        <v>New Dots Ração Seca Premium para Cães Adultos - 15 kg</v>
      </c>
      <c r="C18" s="11" t="str">
        <f aca="false">INDEX(PRODUTOS!$H$4:$H$63,MATCH($A18,PRODUTOS!$B$4:$B$63,0))</f>
        <v>15 kg</v>
      </c>
      <c r="D18" s="11" t="s">
        <v>339</v>
      </c>
      <c r="E18" s="16" t="str">
        <f aca="false">$A18&amp;"."&amp;$D18&amp;".jpg"</f>
        <v>7898968541504.AP06.jpg</v>
      </c>
      <c r="F18" s="11" t="str">
        <f aca="false">IF(INDEX(PRODUTOS!$I$4:$I$63,MATCH($A18,PRODUTOS!$B$4:$B$63,0))="B",INDEX(MODELOS!$F$3:$F$19,MATCH($D18,MODELOS!$A$3:$A$19,0)),INDEX(MODELOS!$B$3:$B$19,MATCH($D18,MODELOS!$A$3:$A$19,0)))</f>
        <v>A+ · Módulo 3 · Benefício 4 de 4</v>
      </c>
      <c r="G18" s="11" t="str">
        <f aca="false">IF(INDEX(PRODUTOS!$F$4:$F$63,MATCH($A18,PRODUTOS!$B$4:$B$63,0))="Ração",IF(INDEX(PRODUTOS!$I$4:$I$63,MATCH($A18,PRODUTOS!$B$4:$B$63,0))="B",INDEX(MODELOS!$G$3:$G$19,MATCH($D18,MODELOS!$A$3:$A$19,0)),INDEX(MODELOS!$C$3:$C$19,MATCH($D18,MODELOS!$A$3:$A$19,0))),IF(INDEX(PRODUTOS!$I$4:$I$63,MATCH($A18,PRODUTOS!$B$4:$B$63,0))="B",INDEX(MODELOS!$H$3:$H$19,MATCH($D18,MODELOS!$A$3:$A$19,0)),INDEX(MODELOS!$D$3:$D$19,MATCH($D18,MODELOS!$A$3:$A$19,0))))</f>
        <v>Foto/ilustração do benefício 4</v>
      </c>
      <c r="H18" s="11" t="str">
        <f aca="false">IF(INDEX(PRODUTOS!$I$4:$I$63,MATCH($A18,PRODUTOS!$B$4:$B$63,0))="B",INDEX(MODELOS!$I$3:$I$19,MATCH($D18,MODELOS!$A$3:$A$19,0)),INDEX(MODELOS!$E$3:$E$19,MATCH($D18,MODELOS!$A$3:$A$19,0)))</f>
        <v>220 × 200</v>
      </c>
      <c r="I18" s="11" t="str">
        <f aca="false">INDEX(MODELOS!$J$3:$J$19,MATCH($D18,MODELOS!$A$3:$A$19,0))</f>
        <v>Conforme modelo</v>
      </c>
      <c r="J18" s="11" t="str">
        <f aca="false">IF(LEFT($D18,2)&lt;&gt;"AP",IF($I18="SIM","SIM","RECOMENDADA"),IF(INDEX(PRODUTOS!$J$4:$J$63,MATCH($A18,PRODUTOS!$B$4:$B$63,0))&lt;&gt;"","NÃO (usa o A+ do EAN "&amp;INDEX(PRODUTOS!$J$4:$J$63,MATCH($A18,PRODUTOS!$B$4:$B$63,0))&amp;")",IF(AND(INDEX(PRODUTOS!$I$4:$I$63,MATCH($A18,PRODUTOS!$B$4:$B$63,0))="B",$D18="AP07"),"NÃO (modelo B)","SIM")))</f>
        <v>SIM</v>
      </c>
      <c r="K18" s="13" t="s">
        <v>325</v>
      </c>
      <c r="L18" s="13"/>
    </row>
    <row r="19" customFormat="false" ht="15" hidden="false" customHeight="false" outlineLevel="0" collapsed="false">
      <c r="A19" s="15" t="s">
        <v>51</v>
      </c>
      <c r="B19" s="11" t="str">
        <f aca="false">INDEX(PRODUTOS!$E$4:$E$63,MATCH($A19,PRODUTOS!$B$4:$B$63,0))</f>
        <v>New Dots Ração Seca Premium para Cães Adultos - 15 kg</v>
      </c>
      <c r="C19" s="11" t="str">
        <f aca="false">INDEX(PRODUTOS!$H$4:$H$63,MATCH($A19,PRODUTOS!$B$4:$B$63,0))</f>
        <v>15 kg</v>
      </c>
      <c r="D19" s="11" t="s">
        <v>340</v>
      </c>
      <c r="E19" s="16" t="str">
        <f aca="false">$A19&amp;"."&amp;$D19&amp;".jpg"</f>
        <v>7898968541504.AP07.jpg</v>
      </c>
      <c r="F19" s="11" t="str">
        <f aca="false">IF(INDEX(PRODUTOS!$I$4:$I$63,MATCH($A19,PRODUTOS!$B$4:$B$63,0))="B",INDEX(MODELOS!$F$3:$F$19,MATCH($D19,MODELOS!$A$3:$A$19,0)),INDEX(MODELOS!$B$3:$B$19,MATCH($D19,MODELOS!$A$3:$A$19,0)))</f>
        <v>A+ · Módulo 4 · Especificações</v>
      </c>
      <c r="G19" s="11" t="str">
        <f aca="false">IF(INDEX(PRODUTOS!$F$4:$F$63,MATCH($A19,PRODUTOS!$B$4:$B$63,0))="Ração",IF(INDEX(PRODUTOS!$I$4:$I$63,MATCH($A19,PRODUTOS!$B$4:$B$63,0))="B",INDEX(MODELOS!$G$3:$G$19,MATCH($D19,MODELOS!$A$3:$A$19,0)),INDEX(MODELOS!$C$3:$C$19,MATCH($D19,MODELOS!$A$3:$A$19,0))),IF(INDEX(PRODUTOS!$I$4:$I$63,MATCH($A19,PRODUTOS!$B$4:$B$63,0))="B",INDEX(MODELOS!$H$3:$H$19,MATCH($D19,MODELOS!$A$3:$A$19,0)),INDEX(MODELOS!$D$3:$D$19,MATCH($D19,MODELOS!$A$3:$A$19,0))))</f>
        <v>Grão ou pacote em destaque</v>
      </c>
      <c r="H19" s="11" t="str">
        <f aca="false">IF(INDEX(PRODUTOS!$I$4:$I$63,MATCH($A19,PRODUTOS!$B$4:$B$63,0))="B",INDEX(MODELOS!$I$3:$I$19,MATCH($D19,MODELOS!$A$3:$A$19,0)),INDEX(MODELOS!$E$3:$E$19,MATCH($D19,MODELOS!$A$3:$A$19,0)))</f>
        <v>300 × 300</v>
      </c>
      <c r="I19" s="11" t="str">
        <f aca="false">INDEX(MODELOS!$J$3:$J$19,MATCH($D19,MODELOS!$A$3:$A$19,0))</f>
        <v>Conforme modelo</v>
      </c>
      <c r="J19" s="11" t="str">
        <f aca="false">IF(LEFT($D19,2)&lt;&gt;"AP",IF($I19="SIM","SIM","RECOMENDADA"),IF(INDEX(PRODUTOS!$J$4:$J$63,MATCH($A19,PRODUTOS!$B$4:$B$63,0))&lt;&gt;"","NÃO (usa o A+ do EAN "&amp;INDEX(PRODUTOS!$J$4:$J$63,MATCH($A19,PRODUTOS!$B$4:$B$63,0))&amp;")",IF(AND(INDEX(PRODUTOS!$I$4:$I$63,MATCH($A19,PRODUTOS!$B$4:$B$63,0))="B",$D19="AP07"),"NÃO (modelo B)","SIM")))</f>
        <v>SIM</v>
      </c>
      <c r="K19" s="13" t="s">
        <v>325</v>
      </c>
      <c r="L19" s="13"/>
    </row>
    <row r="20" customFormat="false" ht="15" hidden="false" customHeight="false" outlineLevel="0" collapsed="false">
      <c r="A20" s="15" t="s">
        <v>51</v>
      </c>
      <c r="B20" s="11" t="str">
        <f aca="false">INDEX(PRODUTOS!$E$4:$E$63,MATCH($A20,PRODUTOS!$B$4:$B$63,0))</f>
        <v>New Dots Ração Seca Premium para Cães Adultos - 15 kg</v>
      </c>
      <c r="C20" s="11" t="str">
        <f aca="false">INDEX(PRODUTOS!$H$4:$H$63,MATCH($A20,PRODUTOS!$B$4:$B$63,0))</f>
        <v>15 kg</v>
      </c>
      <c r="D20" s="11" t="s">
        <v>341</v>
      </c>
      <c r="E20" s="16" t="str">
        <f aca="false">$A20&amp;"."&amp;$D20&amp;".jpg"</f>
        <v>7898968541504.COMP.jpg</v>
      </c>
      <c r="F20" s="11" t="str">
        <f aca="false">IF(INDEX(PRODUTOS!$I$4:$I$63,MATCH($A20,PRODUTOS!$B$4:$B$63,0))="B",INDEX(MODELOS!$F$3:$F$19,MATCH($D20,MODELOS!$A$3:$A$19,0)),INDEX(MODELOS!$B$3:$B$19,MATCH($D20,MODELOS!$A$3:$A$19,0)))</f>
        <v>A+ · Tabela comparativa</v>
      </c>
      <c r="G20" s="11" t="str">
        <f aca="false">IF(INDEX(PRODUTOS!$F$4:$F$63,MATCH($A20,PRODUTOS!$B$4:$B$63,0))="Ração",IF(INDEX(PRODUTOS!$I$4:$I$63,MATCH($A20,PRODUTOS!$B$4:$B$63,0))="B",INDEX(MODELOS!$G$3:$G$19,MATCH($D20,MODELOS!$A$3:$A$19,0)),INDEX(MODELOS!$C$3:$C$19,MATCH($D20,MODELOS!$A$3:$A$19,0))),IF(INDEX(PRODUTOS!$I$4:$I$63,MATCH($A20,PRODUTOS!$B$4:$B$63,0))="B",INDEX(MODELOS!$H$3:$H$19,MATCH($D20,MODELOS!$A$3:$A$19,0)),INDEX(MODELOS!$D$3:$D$19,MATCH($D20,MODELOS!$A$3:$A$19,0))))</f>
        <v>Pacote na vertical, sem fundo colorido</v>
      </c>
      <c r="H20" s="11" t="str">
        <f aca="false">IF(INDEX(PRODUTOS!$I$4:$I$63,MATCH($A20,PRODUTOS!$B$4:$B$63,0))="B",INDEX(MODELOS!$I$3:$I$19,MATCH($D20,MODELOS!$A$3:$A$19,0)),INDEX(MODELOS!$E$3:$E$19,MATCH($D20,MODELOS!$A$3:$A$19,0)))</f>
        <v>150 × 300</v>
      </c>
      <c r="I20" s="11" t="str">
        <f aca="false">INDEX(MODELOS!$J$3:$J$19,MATCH($D20,MODELOS!$A$3:$A$19,0))</f>
        <v>SIM</v>
      </c>
      <c r="J20" s="11" t="str">
        <f aca="false">IF(LEFT($D20,2)&lt;&gt;"AP",IF($I20="SIM","SIM","RECOMENDADA"),IF(INDEX(PRODUTOS!$J$4:$J$63,MATCH($A20,PRODUTOS!$B$4:$B$63,0))&lt;&gt;"","NÃO (usa o A+ do EAN "&amp;INDEX(PRODUTOS!$J$4:$J$63,MATCH($A20,PRODUTOS!$B$4:$B$63,0))&amp;")",IF(AND(INDEX(PRODUTOS!$I$4:$I$63,MATCH($A20,PRODUTOS!$B$4:$B$63,0))="B",$D20="AP07"),"NÃO (modelo B)","SIM")))</f>
        <v>SIM</v>
      </c>
      <c r="K20" s="13" t="s">
        <v>325</v>
      </c>
      <c r="L20" s="13"/>
    </row>
    <row r="21" customFormat="false" ht="15" hidden="false" customHeight="false" outlineLevel="0" collapsed="false">
      <c r="A21" s="15" t="s">
        <v>58</v>
      </c>
      <c r="B21" s="11" t="str">
        <f aca="false">INDEX(PRODUTOS!$E$4:$E$63,MATCH($A21,PRODUTOS!$B$4:$B$63,0))</f>
        <v>New Dots Ração Seca Premium para Cães Adultos - 10,1 kg</v>
      </c>
      <c r="C21" s="11" t="str">
        <f aca="false">INDEX(PRODUTOS!$H$4:$H$63,MATCH($A21,PRODUTOS!$B$4:$B$63,0))</f>
        <v>10,1 kg</v>
      </c>
      <c r="D21" s="11" t="s">
        <v>324</v>
      </c>
      <c r="E21" s="16" t="str">
        <f aca="false">$A21&amp;"."&amp;$D21&amp;".jpg"</f>
        <v>7908591301144.MAIN.jpg</v>
      </c>
      <c r="F21" s="11" t="str">
        <f aca="false">IF(INDEX(PRODUTOS!$I$4:$I$63,MATCH($A21,PRODUTOS!$B$4:$B$63,0))="B",INDEX(MODELOS!$F$3:$F$19,MATCH($D21,MODELOS!$A$3:$A$19,0)),INDEX(MODELOS!$B$3:$B$19,MATCH($D21,MODELOS!$A$3:$A$19,0)))</f>
        <v>Capa (posição 1)</v>
      </c>
      <c r="G21" s="11" t="str">
        <f aca="false">IF(INDEX(PRODUTOS!$F$4:$F$63,MATCH($A21,PRODUTOS!$B$4:$B$63,0))="Ração",IF(INDEX(PRODUTOS!$I$4:$I$63,MATCH($A21,PRODUTOS!$B$4:$B$63,0))="B",INDEX(MODELOS!$G$3:$G$19,MATCH($D21,MODELOS!$A$3:$A$19,0)),INDEX(MODELOS!$C$3:$C$19,MATCH($D21,MODELOS!$A$3:$A$19,0))),IF(INDEX(PRODUTOS!$I$4:$I$63,MATCH($A21,PRODUTOS!$B$4:$B$63,0))="B",INDEX(MODELOS!$H$3:$H$19,MATCH($D21,MODELOS!$A$3:$A$19,0)),INDEX(MODELOS!$D$3:$D$19,MATCH($D21,MODELOS!$A$3:$A$19,0))))</f>
        <v>Embalagem de frente, fundo branco puro, 85% da área, nada adicionado</v>
      </c>
      <c r="H21" s="11" t="str">
        <f aca="false">IF(INDEX(PRODUTOS!$I$4:$I$63,MATCH($A21,PRODUTOS!$B$4:$B$63,0))="B",INDEX(MODELOS!$I$3:$I$19,MATCH($D21,MODELOS!$A$3:$A$19,0)),INDEX(MODELOS!$E$3:$E$19,MATCH($D21,MODELOS!$A$3:$A$19,0)))</f>
        <v>2000 × 2000</v>
      </c>
      <c r="I21" s="11" t="str">
        <f aca="false">INDEX(MODELOS!$J$3:$J$19,MATCH($D21,MODELOS!$A$3:$A$19,0))</f>
        <v>SIM</v>
      </c>
      <c r="J21" s="11" t="str">
        <f aca="false">IF(LEFT($D21,2)&lt;&gt;"AP",IF($I21="SIM","SIM","RECOMENDADA"),IF(INDEX(PRODUTOS!$J$4:$J$63,MATCH($A21,PRODUTOS!$B$4:$B$63,0))&lt;&gt;"","NÃO (usa o A+ do EAN "&amp;INDEX(PRODUTOS!$J$4:$J$63,MATCH($A21,PRODUTOS!$B$4:$B$63,0))&amp;")",IF(AND(INDEX(PRODUTOS!$I$4:$I$63,MATCH($A21,PRODUTOS!$B$4:$B$63,0))="B",$D21="AP07"),"NÃO (modelo B)","SIM")))</f>
        <v>SIM</v>
      </c>
      <c r="K21" s="13" t="s">
        <v>325</v>
      </c>
      <c r="L21" s="13"/>
    </row>
    <row r="22" customFormat="false" ht="15" hidden="false" customHeight="false" outlineLevel="0" collapsed="false">
      <c r="A22" s="15" t="s">
        <v>58</v>
      </c>
      <c r="B22" s="11" t="str">
        <f aca="false">INDEX(PRODUTOS!$E$4:$E$63,MATCH($A22,PRODUTOS!$B$4:$B$63,0))</f>
        <v>New Dots Ração Seca Premium para Cães Adultos - 10,1 kg</v>
      </c>
      <c r="C22" s="11" t="str">
        <f aca="false">INDEX(PRODUTOS!$H$4:$H$63,MATCH($A22,PRODUTOS!$B$4:$B$63,0))</f>
        <v>10,1 kg</v>
      </c>
      <c r="D22" s="11" t="s">
        <v>326</v>
      </c>
      <c r="E22" s="16" t="str">
        <f aca="false">$A22&amp;"."&amp;$D22&amp;".jpg"</f>
        <v>7908591301144.PT01.jpg</v>
      </c>
      <c r="F22" s="11" t="str">
        <f aca="false">IF(INDEX(PRODUTOS!$I$4:$I$63,MATCH($A22,PRODUTOS!$B$4:$B$63,0))="B",INDEX(MODELOS!$F$3:$F$19,MATCH($D22,MODELOS!$A$3:$A$19,0)),INDEX(MODELOS!$B$3:$B$19,MATCH($D22,MODELOS!$A$3:$A$19,0)))</f>
        <v>Galeria · posição 2</v>
      </c>
      <c r="G22" s="11" t="str">
        <f aca="false">IF(INDEX(PRODUTOS!$F$4:$F$63,MATCH($A22,PRODUTOS!$B$4:$B$63,0))="Ração",IF(INDEX(PRODUTOS!$I$4:$I$63,MATCH($A22,PRODUTOS!$B$4:$B$63,0))="B",INDEX(MODELOS!$G$3:$G$19,MATCH($D22,MODELOS!$A$3:$A$19,0)),INDEX(MODELOS!$C$3:$C$19,MATCH($D22,MODELOS!$A$3:$A$19,0))),IF(INDEX(PRODUTOS!$I$4:$I$63,MATCH($A22,PRODUTOS!$B$4:$B$63,0))="B",INDEX(MODELOS!$H$3:$H$19,MATCH($D22,MODELOS!$A$3:$A$19,0)),INDEX(MODELOS!$D$3:$D$19,MATCH($D22,MODELOS!$A$3:$A$19,0))))</f>
        <v>Grande diferencial da linha (número ou promessa forte + grão e ingrediente)</v>
      </c>
      <c r="H22" s="11" t="str">
        <f aca="false">IF(INDEX(PRODUTOS!$I$4:$I$63,MATCH($A22,PRODUTOS!$B$4:$B$63,0))="B",INDEX(MODELOS!$I$3:$I$19,MATCH($D22,MODELOS!$A$3:$A$19,0)),INDEX(MODELOS!$E$3:$E$19,MATCH($D22,MODELOS!$A$3:$A$19,0)))</f>
        <v>2000 × 2000</v>
      </c>
      <c r="I22" s="11" t="str">
        <f aca="false">INDEX(MODELOS!$J$3:$J$19,MATCH($D22,MODELOS!$A$3:$A$19,0))</f>
        <v>SIM</v>
      </c>
      <c r="J22" s="11" t="str">
        <f aca="false">IF(LEFT($D22,2)&lt;&gt;"AP",IF($I22="SIM","SIM","RECOMENDADA"),IF(INDEX(PRODUTOS!$J$4:$J$63,MATCH($A22,PRODUTOS!$B$4:$B$63,0))&lt;&gt;"","NÃO (usa o A+ do EAN "&amp;INDEX(PRODUTOS!$J$4:$J$63,MATCH($A22,PRODUTOS!$B$4:$B$63,0))&amp;")",IF(AND(INDEX(PRODUTOS!$I$4:$I$63,MATCH($A22,PRODUTOS!$B$4:$B$63,0))="B",$D22="AP07"),"NÃO (modelo B)","SIM")))</f>
        <v>SIM</v>
      </c>
      <c r="K22" s="13" t="s">
        <v>325</v>
      </c>
      <c r="L22" s="13"/>
    </row>
    <row r="23" customFormat="false" ht="15" hidden="false" customHeight="false" outlineLevel="0" collapsed="false">
      <c r="A23" s="15" t="s">
        <v>58</v>
      </c>
      <c r="B23" s="11" t="str">
        <f aca="false">INDEX(PRODUTOS!$E$4:$E$63,MATCH($A23,PRODUTOS!$B$4:$B$63,0))</f>
        <v>New Dots Ração Seca Premium para Cães Adultos - 10,1 kg</v>
      </c>
      <c r="C23" s="11" t="str">
        <f aca="false">INDEX(PRODUTOS!$H$4:$H$63,MATCH($A23,PRODUTOS!$B$4:$B$63,0))</f>
        <v>10,1 kg</v>
      </c>
      <c r="D23" s="11" t="s">
        <v>327</v>
      </c>
      <c r="E23" s="16" t="str">
        <f aca="false">$A23&amp;"."&amp;$D23&amp;".jpg"</f>
        <v>7908591301144.PT02.jpg</v>
      </c>
      <c r="F23" s="11" t="str">
        <f aca="false">IF(INDEX(PRODUTOS!$I$4:$I$63,MATCH($A23,PRODUTOS!$B$4:$B$63,0))="B",INDEX(MODELOS!$F$3:$F$19,MATCH($D23,MODELOS!$A$3:$A$19,0)),INDEX(MODELOS!$B$3:$B$19,MATCH($D23,MODELOS!$A$3:$A$19,0)))</f>
        <v>Galeria · posição 3</v>
      </c>
      <c r="G23" s="11" t="str">
        <f aca="false">IF(INDEX(PRODUTOS!$F$4:$F$63,MATCH($A23,PRODUTOS!$B$4:$B$63,0))="Ração",IF(INDEX(PRODUTOS!$I$4:$I$63,MATCH($A23,PRODUTOS!$B$4:$B$63,0))="B",INDEX(MODELOS!$G$3:$G$19,MATCH($D23,MODELOS!$A$3:$A$19,0)),INDEX(MODELOS!$C$3:$C$19,MATCH($D23,MODELOS!$A$3:$A$19,0))),IF(INDEX(PRODUTOS!$I$4:$I$63,MATCH($A23,PRODUTOS!$B$4:$B$63,0))="B",INDEX(MODELOS!$H$3:$H$19,MATCH($D23,MODELOS!$A$3:$A$19,0)),INDEX(MODELOS!$D$3:$D$19,MATCH($D23,MODELOS!$A$3:$A$19,0))))</f>
        <v>Benefícios com ícones (4 a 6, impressos na embalagem) + ingrediente</v>
      </c>
      <c r="H23" s="11" t="str">
        <f aca="false">IF(INDEX(PRODUTOS!$I$4:$I$63,MATCH($A23,PRODUTOS!$B$4:$B$63,0))="B",INDEX(MODELOS!$I$3:$I$19,MATCH($D23,MODELOS!$A$3:$A$19,0)),INDEX(MODELOS!$E$3:$E$19,MATCH($D23,MODELOS!$A$3:$A$19,0)))</f>
        <v>2000 × 2000</v>
      </c>
      <c r="I23" s="11" t="str">
        <f aca="false">INDEX(MODELOS!$J$3:$J$19,MATCH($D23,MODELOS!$A$3:$A$19,0))</f>
        <v>SIM</v>
      </c>
      <c r="J23" s="11" t="str">
        <f aca="false">IF(LEFT($D23,2)&lt;&gt;"AP",IF($I23="SIM","SIM","RECOMENDADA"),IF(INDEX(PRODUTOS!$J$4:$J$63,MATCH($A23,PRODUTOS!$B$4:$B$63,0))&lt;&gt;"","NÃO (usa o A+ do EAN "&amp;INDEX(PRODUTOS!$J$4:$J$63,MATCH($A23,PRODUTOS!$B$4:$B$63,0))&amp;")",IF(AND(INDEX(PRODUTOS!$I$4:$I$63,MATCH($A23,PRODUTOS!$B$4:$B$63,0))="B",$D23="AP07"),"NÃO (modelo B)","SIM")))</f>
        <v>SIM</v>
      </c>
      <c r="K23" s="13" t="s">
        <v>325</v>
      </c>
      <c r="L23" s="13"/>
    </row>
    <row r="24" customFormat="false" ht="15" hidden="false" customHeight="false" outlineLevel="0" collapsed="false">
      <c r="A24" s="15" t="s">
        <v>58</v>
      </c>
      <c r="B24" s="11" t="str">
        <f aca="false">INDEX(PRODUTOS!$E$4:$E$63,MATCH($A24,PRODUTOS!$B$4:$B$63,0))</f>
        <v>New Dots Ração Seca Premium para Cães Adultos - 10,1 kg</v>
      </c>
      <c r="C24" s="11" t="str">
        <f aca="false">INDEX(PRODUTOS!$H$4:$H$63,MATCH($A24,PRODUTOS!$B$4:$B$63,0))</f>
        <v>10,1 kg</v>
      </c>
      <c r="D24" s="11" t="s">
        <v>328</v>
      </c>
      <c r="E24" s="16" t="str">
        <f aca="false">$A24&amp;"."&amp;$D24&amp;".jpg"</f>
        <v>7908591301144.PT03.jpg</v>
      </c>
      <c r="F24" s="11" t="str">
        <f aca="false">IF(INDEX(PRODUTOS!$I$4:$I$63,MATCH($A24,PRODUTOS!$B$4:$B$63,0))="B",INDEX(MODELOS!$F$3:$F$19,MATCH($D24,MODELOS!$A$3:$A$19,0)),INDEX(MODELOS!$B$3:$B$19,MATCH($D24,MODELOS!$A$3:$A$19,0)))</f>
        <v>Galeria · posição 4</v>
      </c>
      <c r="G24" s="11" t="str">
        <f aca="false">IF(INDEX(PRODUTOS!$F$4:$F$63,MATCH($A24,PRODUTOS!$B$4:$B$63,0))="Ração",IF(INDEX(PRODUTOS!$I$4:$I$63,MATCH($A24,PRODUTOS!$B$4:$B$63,0))="B",INDEX(MODELOS!$G$3:$G$19,MATCH($D24,MODELOS!$A$3:$A$19,0)),INDEX(MODELOS!$C$3:$C$19,MATCH($D24,MODELOS!$A$3:$A$19,0))),IF(INDEX(PRODUTOS!$I$4:$I$63,MATCH($A24,PRODUTOS!$B$4:$B$63,0))="B",INDEX(MODELOS!$H$3:$H$19,MATCH($D24,MODELOS!$A$3:$A$19,0)),INDEX(MODELOS!$D$3:$D$19,MATCH($D24,MODELOS!$A$3:$A$19,0))))</f>
        <v>Formato e tamanho do grão, com medida em mm e referência de tamanho</v>
      </c>
      <c r="H24" s="11" t="str">
        <f aca="false">IF(INDEX(PRODUTOS!$I$4:$I$63,MATCH($A24,PRODUTOS!$B$4:$B$63,0))="B",INDEX(MODELOS!$I$3:$I$19,MATCH($D24,MODELOS!$A$3:$A$19,0)),INDEX(MODELOS!$E$3:$E$19,MATCH($D24,MODELOS!$A$3:$A$19,0)))</f>
        <v>2000 × 2000</v>
      </c>
      <c r="I24" s="11" t="str">
        <f aca="false">INDEX(MODELOS!$J$3:$J$19,MATCH($D24,MODELOS!$A$3:$A$19,0))</f>
        <v>SIM</v>
      </c>
      <c r="J24" s="11" t="str">
        <f aca="false">IF(LEFT($D24,2)&lt;&gt;"AP",IF($I24="SIM","SIM","RECOMENDADA"),IF(INDEX(PRODUTOS!$J$4:$J$63,MATCH($A24,PRODUTOS!$B$4:$B$63,0))&lt;&gt;"","NÃO (usa o A+ do EAN "&amp;INDEX(PRODUTOS!$J$4:$J$63,MATCH($A24,PRODUTOS!$B$4:$B$63,0))&amp;")",IF(AND(INDEX(PRODUTOS!$I$4:$I$63,MATCH($A24,PRODUTOS!$B$4:$B$63,0))="B",$D24="AP07"),"NÃO (modelo B)","SIM")))</f>
        <v>SIM</v>
      </c>
      <c r="K24" s="13" t="s">
        <v>325</v>
      </c>
      <c r="L24" s="13"/>
    </row>
    <row r="25" customFormat="false" ht="15" hidden="false" customHeight="false" outlineLevel="0" collapsed="false">
      <c r="A25" s="15" t="s">
        <v>58</v>
      </c>
      <c r="B25" s="11" t="str">
        <f aca="false">INDEX(PRODUTOS!$E$4:$E$63,MATCH($A25,PRODUTOS!$B$4:$B$63,0))</f>
        <v>New Dots Ração Seca Premium para Cães Adultos - 10,1 kg</v>
      </c>
      <c r="C25" s="11" t="str">
        <f aca="false">INDEX(PRODUTOS!$H$4:$H$63,MATCH($A25,PRODUTOS!$B$4:$B$63,0))</f>
        <v>10,1 kg</v>
      </c>
      <c r="D25" s="11" t="s">
        <v>329</v>
      </c>
      <c r="E25" s="16" t="str">
        <f aca="false">$A25&amp;"."&amp;$D25&amp;".jpg"</f>
        <v>7908591301144.PT04.jpg</v>
      </c>
      <c r="F25" s="11" t="str">
        <f aca="false">IF(INDEX(PRODUTOS!$I$4:$I$63,MATCH($A25,PRODUTOS!$B$4:$B$63,0))="B",INDEX(MODELOS!$F$3:$F$19,MATCH($D25,MODELOS!$A$3:$A$19,0)),INDEX(MODELOS!$B$3:$B$19,MATCH($D25,MODELOS!$A$3:$A$19,0)))</f>
        <v>Galeria · posição 5</v>
      </c>
      <c r="G25" s="11" t="str">
        <f aca="false">IF(INDEX(PRODUTOS!$F$4:$F$63,MATCH($A25,PRODUTOS!$B$4:$B$63,0))="Ração",IF(INDEX(PRODUTOS!$I$4:$I$63,MATCH($A25,PRODUTOS!$B$4:$B$63,0))="B",INDEX(MODELOS!$G$3:$G$19,MATCH($D25,MODELOS!$A$3:$A$19,0)),INDEX(MODELOS!$C$3:$C$19,MATCH($D25,MODELOS!$A$3:$A$19,0))),IF(INDEX(PRODUTOS!$I$4:$I$63,MATCH($A25,PRODUTOS!$B$4:$B$63,0))="B",INDEX(MODELOS!$H$3:$H$19,MATCH($D25,MODELOS!$A$3:$A$19,0)),INDEX(MODELOS!$D$3:$D$19,MATCH($D25,MODELOS!$A$3:$A$19,0))))</f>
        <v>Quantidade diária por peso do cão/gato (números idênticos à embalagem)</v>
      </c>
      <c r="H25" s="11" t="str">
        <f aca="false">IF(INDEX(PRODUTOS!$I$4:$I$63,MATCH($A25,PRODUTOS!$B$4:$B$63,0))="B",INDEX(MODELOS!$I$3:$I$19,MATCH($D25,MODELOS!$A$3:$A$19,0)),INDEX(MODELOS!$E$3:$E$19,MATCH($D25,MODELOS!$A$3:$A$19,0)))</f>
        <v>2000 × 2000</v>
      </c>
      <c r="I25" s="11" t="str">
        <f aca="false">INDEX(MODELOS!$J$3:$J$19,MATCH($D25,MODELOS!$A$3:$A$19,0))</f>
        <v>SIM</v>
      </c>
      <c r="J25" s="11" t="str">
        <f aca="false">IF(LEFT($D25,2)&lt;&gt;"AP",IF($I25="SIM","SIM","RECOMENDADA"),IF(INDEX(PRODUTOS!$J$4:$J$63,MATCH($A25,PRODUTOS!$B$4:$B$63,0))&lt;&gt;"","NÃO (usa o A+ do EAN "&amp;INDEX(PRODUTOS!$J$4:$J$63,MATCH($A25,PRODUTOS!$B$4:$B$63,0))&amp;")",IF(AND(INDEX(PRODUTOS!$I$4:$I$63,MATCH($A25,PRODUTOS!$B$4:$B$63,0))="B",$D25="AP07"),"NÃO (modelo B)","SIM")))</f>
        <v>SIM</v>
      </c>
      <c r="K25" s="13" t="s">
        <v>325</v>
      </c>
      <c r="L25" s="13"/>
    </row>
    <row r="26" customFormat="false" ht="15" hidden="false" customHeight="false" outlineLevel="0" collapsed="false">
      <c r="A26" s="15" t="s">
        <v>58</v>
      </c>
      <c r="B26" s="11" t="str">
        <f aca="false">INDEX(PRODUTOS!$E$4:$E$63,MATCH($A26,PRODUTOS!$B$4:$B$63,0))</f>
        <v>New Dots Ração Seca Premium para Cães Adultos - 10,1 kg</v>
      </c>
      <c r="C26" s="11" t="str">
        <f aca="false">INDEX(PRODUTOS!$H$4:$H$63,MATCH($A26,PRODUTOS!$B$4:$B$63,0))</f>
        <v>10,1 kg</v>
      </c>
      <c r="D26" s="11" t="s">
        <v>330</v>
      </c>
      <c r="E26" s="16" t="str">
        <f aca="false">$A26&amp;"."&amp;$D26&amp;".jpg"</f>
        <v>7908591301144.PT05.jpg</v>
      </c>
      <c r="F26" s="11" t="str">
        <f aca="false">IF(INDEX(PRODUTOS!$I$4:$I$63,MATCH($A26,PRODUTOS!$B$4:$B$63,0))="B",INDEX(MODELOS!$F$3:$F$19,MATCH($D26,MODELOS!$A$3:$A$19,0)),INDEX(MODELOS!$B$3:$B$19,MATCH($D26,MODELOS!$A$3:$A$19,0)))</f>
        <v>Galeria · posição 6</v>
      </c>
      <c r="G26" s="11" t="str">
        <f aca="false">IF(INDEX(PRODUTOS!$F$4:$F$63,MATCH($A26,PRODUTOS!$B$4:$B$63,0))="Ração",IF(INDEX(PRODUTOS!$I$4:$I$63,MATCH($A26,PRODUTOS!$B$4:$B$63,0))="B",INDEX(MODELOS!$G$3:$G$19,MATCH($D26,MODELOS!$A$3:$A$19,0)),INDEX(MODELOS!$C$3:$C$19,MATCH($D26,MODELOS!$A$3:$A$19,0))),IF(INDEX(PRODUTOS!$I$4:$I$63,MATCH($A26,PRODUTOS!$B$4:$B$63,0))="B",INDEX(MODELOS!$H$3:$H$19,MATCH($D26,MODELOS!$A$3:$A$19,0)),INDEX(MODELOS!$D$3:$D$19,MATCH($D26,MODELOS!$A$3:$A$19,0))))</f>
        <v>Transição alimentar dia a dia (igual ao verso da embalagem)</v>
      </c>
      <c r="H26" s="11" t="str">
        <f aca="false">IF(INDEX(PRODUTOS!$I$4:$I$63,MATCH($A26,PRODUTOS!$B$4:$B$63,0))="B",INDEX(MODELOS!$I$3:$I$19,MATCH($D26,MODELOS!$A$3:$A$19,0)),INDEX(MODELOS!$E$3:$E$19,MATCH($D26,MODELOS!$A$3:$A$19,0)))</f>
        <v>2000 × 2000</v>
      </c>
      <c r="I26" s="11" t="str">
        <f aca="false">INDEX(MODELOS!$J$3:$J$19,MATCH($D26,MODELOS!$A$3:$A$19,0))</f>
        <v>Recomendada</v>
      </c>
      <c r="J26" s="11" t="str">
        <f aca="false">IF(LEFT($D26,2)&lt;&gt;"AP",IF($I26="SIM","SIM","RECOMENDADA"),IF(INDEX(PRODUTOS!$J$4:$J$63,MATCH($A26,PRODUTOS!$B$4:$B$63,0))&lt;&gt;"","NÃO (usa o A+ do EAN "&amp;INDEX(PRODUTOS!$J$4:$J$63,MATCH($A26,PRODUTOS!$B$4:$B$63,0))&amp;")",IF(AND(INDEX(PRODUTOS!$I$4:$I$63,MATCH($A26,PRODUTOS!$B$4:$B$63,0))="B",$D26="AP07"),"NÃO (modelo B)","SIM")))</f>
        <v>RECOMENDADA</v>
      </c>
      <c r="K26" s="13" t="s">
        <v>325</v>
      </c>
      <c r="L26" s="13"/>
    </row>
    <row r="27" customFormat="false" ht="15" hidden="false" customHeight="false" outlineLevel="0" collapsed="false">
      <c r="A27" s="15" t="s">
        <v>58</v>
      </c>
      <c r="B27" s="11" t="str">
        <f aca="false">INDEX(PRODUTOS!$E$4:$E$63,MATCH($A27,PRODUTOS!$B$4:$B$63,0))</f>
        <v>New Dots Ração Seca Premium para Cães Adultos - 10,1 kg</v>
      </c>
      <c r="C27" s="11" t="str">
        <f aca="false">INDEX(PRODUTOS!$H$4:$H$63,MATCH($A27,PRODUTOS!$B$4:$B$63,0))</f>
        <v>10,1 kg</v>
      </c>
      <c r="D27" s="11" t="s">
        <v>331</v>
      </c>
      <c r="E27" s="16" t="str">
        <f aca="false">$A27&amp;"."&amp;$D27&amp;".jpg"</f>
        <v>7908591301144.PT06.jpg</v>
      </c>
      <c r="F27" s="11" t="str">
        <f aca="false">IF(INDEX(PRODUTOS!$I$4:$I$63,MATCH($A27,PRODUTOS!$B$4:$B$63,0))="B",INDEX(MODELOS!$F$3:$F$19,MATCH($D27,MODELOS!$A$3:$A$19,0)),INDEX(MODELOS!$B$3:$B$19,MATCH($D27,MODELOS!$A$3:$A$19,0)))</f>
        <v>Galeria · posição 7</v>
      </c>
      <c r="G27" s="11" t="str">
        <f aca="false">IF(INDEX(PRODUTOS!$F$4:$F$63,MATCH($A27,PRODUTOS!$B$4:$B$63,0))="Ração",IF(INDEX(PRODUTOS!$I$4:$I$63,MATCH($A27,PRODUTOS!$B$4:$B$63,0))="B",INDEX(MODELOS!$G$3:$G$19,MATCH($D27,MODELOS!$A$3:$A$19,0)),INDEX(MODELOS!$C$3:$C$19,MATCH($D27,MODELOS!$A$3:$A$19,0))),IF(INDEX(PRODUTOS!$I$4:$I$63,MATCH($A27,PRODUTOS!$B$4:$B$63,0))="B",INDEX(MODELOS!$H$3:$H$19,MATCH($D27,MODELOS!$A$3:$A$19,0)),INDEX(MODELOS!$D$3:$D$19,MATCH($D27,MODELOS!$A$3:$A$19,0))))</f>
        <v>Composição e níveis de garantia em letra grande</v>
      </c>
      <c r="H27" s="11" t="str">
        <f aca="false">IF(INDEX(PRODUTOS!$I$4:$I$63,MATCH($A27,PRODUTOS!$B$4:$B$63,0))="B",INDEX(MODELOS!$I$3:$I$19,MATCH($D27,MODELOS!$A$3:$A$19,0)),INDEX(MODELOS!$E$3:$E$19,MATCH($D27,MODELOS!$A$3:$A$19,0)))</f>
        <v>2000 × 2000</v>
      </c>
      <c r="I27" s="11" t="str">
        <f aca="false">INDEX(MODELOS!$J$3:$J$19,MATCH($D27,MODELOS!$A$3:$A$19,0))</f>
        <v>SIM</v>
      </c>
      <c r="J27" s="11" t="str">
        <f aca="false">IF(LEFT($D27,2)&lt;&gt;"AP",IF($I27="SIM","SIM","RECOMENDADA"),IF(INDEX(PRODUTOS!$J$4:$J$63,MATCH($A27,PRODUTOS!$B$4:$B$63,0))&lt;&gt;"","NÃO (usa o A+ do EAN "&amp;INDEX(PRODUTOS!$J$4:$J$63,MATCH($A27,PRODUTOS!$B$4:$B$63,0))&amp;")",IF(AND(INDEX(PRODUTOS!$I$4:$I$63,MATCH($A27,PRODUTOS!$B$4:$B$63,0))="B",$D27="AP07"),"NÃO (modelo B)","SIM")))</f>
        <v>SIM</v>
      </c>
      <c r="K27" s="13" t="s">
        <v>325</v>
      </c>
      <c r="L27" s="13"/>
    </row>
    <row r="28" customFormat="false" ht="15" hidden="false" customHeight="false" outlineLevel="0" collapsed="false">
      <c r="A28" s="15" t="s">
        <v>58</v>
      </c>
      <c r="B28" s="11" t="str">
        <f aca="false">INDEX(PRODUTOS!$E$4:$E$63,MATCH($A28,PRODUTOS!$B$4:$B$63,0))</f>
        <v>New Dots Ração Seca Premium para Cães Adultos - 10,1 kg</v>
      </c>
      <c r="C28" s="11" t="str">
        <f aca="false">INDEX(PRODUTOS!$H$4:$H$63,MATCH($A28,PRODUTOS!$B$4:$B$63,0))</f>
        <v>10,1 kg</v>
      </c>
      <c r="D28" s="11" t="s">
        <v>332</v>
      </c>
      <c r="E28" s="16" t="str">
        <f aca="false">$A28&amp;"."&amp;$D28&amp;".jpg"</f>
        <v>7908591301144.PT07.jpg</v>
      </c>
      <c r="F28" s="11" t="str">
        <f aca="false">IF(INDEX(PRODUTOS!$I$4:$I$63,MATCH($A28,PRODUTOS!$B$4:$B$63,0))="B",INDEX(MODELOS!$F$3:$F$19,MATCH($D28,MODELOS!$A$3:$A$19,0)),INDEX(MODELOS!$B$3:$B$19,MATCH($D28,MODELOS!$A$3:$A$19,0)))</f>
        <v>Galeria · posição 8</v>
      </c>
      <c r="G28" s="11" t="str">
        <f aca="false">IF(INDEX(PRODUTOS!$F$4:$F$63,MATCH($A28,PRODUTOS!$B$4:$B$63,0))="Ração",IF(INDEX(PRODUTOS!$I$4:$I$63,MATCH($A28,PRODUTOS!$B$4:$B$63,0))="B",INDEX(MODELOS!$G$3:$G$19,MATCH($D28,MODELOS!$A$3:$A$19,0)),INDEX(MODELOS!$C$3:$C$19,MATCH($D28,MODELOS!$A$3:$A$19,0))),IF(INDEX(PRODUTOS!$I$4:$I$63,MATCH($A28,PRODUTOS!$B$4:$B$63,0))="B",INDEX(MODELOS!$H$3:$H$19,MATCH($D28,MODELOS!$A$3:$A$19,0)),INDEX(MODELOS!$D$3:$D$19,MATCH($D28,MODELOS!$A$3:$A$19,0))))</f>
        <v>Emocional / momento de uso (pet do porte certo, pote cheio)</v>
      </c>
      <c r="H28" s="11" t="str">
        <f aca="false">IF(INDEX(PRODUTOS!$I$4:$I$63,MATCH($A28,PRODUTOS!$B$4:$B$63,0))="B",INDEX(MODELOS!$I$3:$I$19,MATCH($D28,MODELOS!$A$3:$A$19,0)),INDEX(MODELOS!$E$3:$E$19,MATCH($D28,MODELOS!$A$3:$A$19,0)))</f>
        <v>2000 × 2000</v>
      </c>
      <c r="I28" s="11" t="str">
        <f aca="false">INDEX(MODELOS!$J$3:$J$19,MATCH($D28,MODELOS!$A$3:$A$19,0))</f>
        <v>Recomendada</v>
      </c>
      <c r="J28" s="11" t="str">
        <f aca="false">IF(LEFT($D28,2)&lt;&gt;"AP",IF($I28="SIM","SIM","RECOMENDADA"),IF(INDEX(PRODUTOS!$J$4:$J$63,MATCH($A28,PRODUTOS!$B$4:$B$63,0))&lt;&gt;"","NÃO (usa o A+ do EAN "&amp;INDEX(PRODUTOS!$J$4:$J$63,MATCH($A28,PRODUTOS!$B$4:$B$63,0))&amp;")",IF(AND(INDEX(PRODUTOS!$I$4:$I$63,MATCH($A28,PRODUTOS!$B$4:$B$63,0))="B",$D28="AP07"),"NÃO (modelo B)","SIM")))</f>
        <v>RECOMENDADA</v>
      </c>
      <c r="K28" s="13" t="s">
        <v>325</v>
      </c>
      <c r="L28" s="13"/>
    </row>
    <row r="29" customFormat="false" ht="15" hidden="false" customHeight="false" outlineLevel="0" collapsed="false">
      <c r="A29" s="15" t="s">
        <v>58</v>
      </c>
      <c r="B29" s="11" t="str">
        <f aca="false">INDEX(PRODUTOS!$E$4:$E$63,MATCH($A29,PRODUTOS!$B$4:$B$63,0))</f>
        <v>New Dots Ração Seca Premium para Cães Adultos - 10,1 kg</v>
      </c>
      <c r="C29" s="11" t="str">
        <f aca="false">INDEX(PRODUTOS!$H$4:$H$63,MATCH($A29,PRODUTOS!$B$4:$B$63,0))</f>
        <v>10,1 kg</v>
      </c>
      <c r="D29" s="11" t="s">
        <v>333</v>
      </c>
      <c r="E29" s="16" t="str">
        <f aca="false">$A29&amp;"."&amp;$D29&amp;".jpg"</f>
        <v>7908591301144.PT08.jpg</v>
      </c>
      <c r="F29" s="11" t="str">
        <f aca="false">IF(INDEX(PRODUTOS!$I$4:$I$63,MATCH($A29,PRODUTOS!$B$4:$B$63,0))="B",INDEX(MODELOS!$F$3:$F$19,MATCH($D29,MODELOS!$A$3:$A$19,0)),INDEX(MODELOS!$B$3:$B$19,MATCH($D29,MODELOS!$A$3:$A$19,0)))</f>
        <v>Galeria · posição 9</v>
      </c>
      <c r="G29" s="11" t="str">
        <f aca="false">IF(INDEX(PRODUTOS!$F$4:$F$63,MATCH($A29,PRODUTOS!$B$4:$B$63,0))="Ração",IF(INDEX(PRODUTOS!$I$4:$I$63,MATCH($A29,PRODUTOS!$B$4:$B$63,0))="B",INDEX(MODELOS!$G$3:$G$19,MATCH($D29,MODELOS!$A$3:$A$19,0)),INDEX(MODELOS!$C$3:$C$19,MATCH($D29,MODELOS!$A$3:$A$19,0))),IF(INDEX(PRODUTOS!$I$4:$I$63,MATCH($A29,PRODUTOS!$B$4:$B$63,0))="B",INDEX(MODELOS!$H$3:$H$19,MATCH($D29,MODELOS!$A$3:$A$19,0)),INDEX(MODELOS!$D$3:$D$19,MATCH($D29,MODELOS!$A$3:$A$19,0))))</f>
        <v>Linha da marca ou embalagem anterior × nova</v>
      </c>
      <c r="H29" s="11" t="str">
        <f aca="false">IF(INDEX(PRODUTOS!$I$4:$I$63,MATCH($A29,PRODUTOS!$B$4:$B$63,0))="B",INDEX(MODELOS!$I$3:$I$19,MATCH($D29,MODELOS!$A$3:$A$19,0)),INDEX(MODELOS!$E$3:$E$19,MATCH($D29,MODELOS!$A$3:$A$19,0)))</f>
        <v>2000 × 2000</v>
      </c>
      <c r="I29" s="11" t="str">
        <f aca="false">INDEX(MODELOS!$J$3:$J$19,MATCH($D29,MODELOS!$A$3:$A$19,0))</f>
        <v>Recomendada</v>
      </c>
      <c r="J29" s="11" t="str">
        <f aca="false">IF(LEFT($D29,2)&lt;&gt;"AP",IF($I29="SIM","SIM","RECOMENDADA"),IF(INDEX(PRODUTOS!$J$4:$J$63,MATCH($A29,PRODUTOS!$B$4:$B$63,0))&lt;&gt;"","NÃO (usa o A+ do EAN "&amp;INDEX(PRODUTOS!$J$4:$J$63,MATCH($A29,PRODUTOS!$B$4:$B$63,0))&amp;")",IF(AND(INDEX(PRODUTOS!$I$4:$I$63,MATCH($A29,PRODUTOS!$B$4:$B$63,0))="B",$D29="AP07"),"NÃO (modelo B)","SIM")))</f>
        <v>RECOMENDADA</v>
      </c>
      <c r="K29" s="13" t="s">
        <v>325</v>
      </c>
      <c r="L29" s="13"/>
    </row>
    <row r="30" customFormat="false" ht="15" hidden="false" customHeight="false" outlineLevel="0" collapsed="false">
      <c r="A30" s="15" t="s">
        <v>58</v>
      </c>
      <c r="B30" s="11" t="str">
        <f aca="false">INDEX(PRODUTOS!$E$4:$E$63,MATCH($A30,PRODUTOS!$B$4:$B$63,0))</f>
        <v>New Dots Ração Seca Premium para Cães Adultos - 10,1 kg</v>
      </c>
      <c r="C30" s="11" t="str">
        <f aca="false">INDEX(PRODUTOS!$H$4:$H$63,MATCH($A30,PRODUTOS!$B$4:$B$63,0))</f>
        <v>10,1 kg</v>
      </c>
      <c r="D30" s="11" t="s">
        <v>334</v>
      </c>
      <c r="E30" s="16" t="str">
        <f aca="false">$A30&amp;"."&amp;$D30&amp;".jpg"</f>
        <v>7908591301144.AP01.jpg</v>
      </c>
      <c r="F30" s="11" t="str">
        <f aca="false">IF(INDEX(PRODUTOS!$I$4:$I$63,MATCH($A30,PRODUTOS!$B$4:$B$63,0))="B",INDEX(MODELOS!$F$3:$F$19,MATCH($D30,MODELOS!$A$3:$A$19,0)),INDEX(MODELOS!$B$3:$B$19,MATCH($D30,MODELOS!$A$3:$A$19,0)))</f>
        <v>A+ · Módulo 1 · Banner</v>
      </c>
      <c r="G30" s="11" t="str">
        <f aca="false">IF(INDEX(PRODUTOS!$F$4:$F$63,MATCH($A30,PRODUTOS!$B$4:$B$63,0))="Ração",IF(INDEX(PRODUTOS!$I$4:$I$63,MATCH($A30,PRODUTOS!$B$4:$B$63,0))="B",INDEX(MODELOS!$G$3:$G$19,MATCH($D30,MODELOS!$A$3:$A$19,0)),INDEX(MODELOS!$C$3:$C$19,MATCH($D30,MODELOS!$A$3:$A$19,0))),IF(INDEX(PRODUTOS!$I$4:$I$63,MATCH($A30,PRODUTOS!$B$4:$B$63,0))="B",INDEX(MODELOS!$H$3:$H$19,MATCH($D30,MODELOS!$A$3:$A$19,0)),INDEX(MODELOS!$D$3:$D$19,MATCH($D30,MODELOS!$A$3:$A$19,0))))</f>
        <v>Embalagem + pet + ingredientes, com o nome da linha</v>
      </c>
      <c r="H30" s="11" t="str">
        <f aca="false">IF(INDEX(PRODUTOS!$I$4:$I$63,MATCH($A30,PRODUTOS!$B$4:$B$63,0))="B",INDEX(MODELOS!$I$3:$I$19,MATCH($D30,MODELOS!$A$3:$A$19,0)),INDEX(MODELOS!$E$3:$E$19,MATCH($D30,MODELOS!$A$3:$A$19,0)))</f>
        <v>970 × 600</v>
      </c>
      <c r="I30" s="11" t="str">
        <f aca="false">INDEX(MODELOS!$J$3:$J$19,MATCH($D30,MODELOS!$A$3:$A$19,0))</f>
        <v>Conforme modelo</v>
      </c>
      <c r="J30" s="11" t="str">
        <f aca="false">IF(LEFT($D30,2)&lt;&gt;"AP",IF($I30="SIM","SIM","RECOMENDADA"),IF(INDEX(PRODUTOS!$J$4:$J$63,MATCH($A30,PRODUTOS!$B$4:$B$63,0))&lt;&gt;"","NÃO (usa o A+ do EAN "&amp;INDEX(PRODUTOS!$J$4:$J$63,MATCH($A30,PRODUTOS!$B$4:$B$63,0))&amp;")",IF(AND(INDEX(PRODUTOS!$I$4:$I$63,MATCH($A30,PRODUTOS!$B$4:$B$63,0))="B",$D30="AP07"),"NÃO (modelo B)","SIM")))</f>
        <v>NÃO (usa o A+ do EAN 7898968541504)</v>
      </c>
      <c r="K30" s="13" t="s">
        <v>325</v>
      </c>
      <c r="L30" s="13"/>
    </row>
    <row r="31" customFormat="false" ht="15" hidden="false" customHeight="false" outlineLevel="0" collapsed="false">
      <c r="A31" s="15" t="s">
        <v>58</v>
      </c>
      <c r="B31" s="11" t="str">
        <f aca="false">INDEX(PRODUTOS!$E$4:$E$63,MATCH($A31,PRODUTOS!$B$4:$B$63,0))</f>
        <v>New Dots Ração Seca Premium para Cães Adultos - 10,1 kg</v>
      </c>
      <c r="C31" s="11" t="str">
        <f aca="false">INDEX(PRODUTOS!$H$4:$H$63,MATCH($A31,PRODUTOS!$B$4:$B$63,0))</f>
        <v>10,1 kg</v>
      </c>
      <c r="D31" s="11" t="s">
        <v>335</v>
      </c>
      <c r="E31" s="16" t="str">
        <f aca="false">$A31&amp;"."&amp;$D31&amp;".jpg"</f>
        <v>7908591301144.AP02.jpg</v>
      </c>
      <c r="F31" s="11" t="str">
        <f aca="false">IF(INDEX(PRODUTOS!$I$4:$I$63,MATCH($A31,PRODUTOS!$B$4:$B$63,0))="B",INDEX(MODELOS!$F$3:$F$19,MATCH($D31,MODELOS!$A$3:$A$19,0)),INDEX(MODELOS!$B$3:$B$19,MATCH($D31,MODELOS!$A$3:$A$19,0)))</f>
        <v>A+ · Módulo 2 · Texto sobreposto</v>
      </c>
      <c r="G31" s="11" t="str">
        <f aca="false">IF(INDEX(PRODUTOS!$F$4:$F$63,MATCH($A31,PRODUTOS!$B$4:$B$63,0))="Ração",IF(INDEX(PRODUTOS!$I$4:$I$63,MATCH($A31,PRODUTOS!$B$4:$B$63,0))="B",INDEX(MODELOS!$G$3:$G$19,MATCH($D31,MODELOS!$A$3:$A$19,0)),INDEX(MODELOS!$C$3:$C$19,MATCH($D31,MODELOS!$A$3:$A$19,0))),IF(INDEX(PRODUTOS!$I$4:$I$63,MATCH($A31,PRODUTOS!$B$4:$B$63,0))="B",INDEX(MODELOS!$H$3:$H$19,MATCH($D31,MODELOS!$A$3:$A$19,0)),INDEX(MODELOS!$D$3:$D$19,MATCH($D31,MODELOS!$A$3:$A$19,0))))</f>
        <v>Principal diferencial; deixar o lado direito limpo</v>
      </c>
      <c r="H31" s="11" t="str">
        <f aca="false">IF(INDEX(PRODUTOS!$I$4:$I$63,MATCH($A31,PRODUTOS!$B$4:$B$63,0))="B",INDEX(MODELOS!$I$3:$I$19,MATCH($D31,MODELOS!$A$3:$A$19,0)),INDEX(MODELOS!$E$3:$E$19,MATCH($D31,MODELOS!$A$3:$A$19,0)))</f>
        <v>970 × 300</v>
      </c>
      <c r="I31" s="11" t="str">
        <f aca="false">INDEX(MODELOS!$J$3:$J$19,MATCH($D31,MODELOS!$A$3:$A$19,0))</f>
        <v>Conforme modelo</v>
      </c>
      <c r="J31" s="11" t="str">
        <f aca="false">IF(LEFT($D31,2)&lt;&gt;"AP",IF($I31="SIM","SIM","RECOMENDADA"),IF(INDEX(PRODUTOS!$J$4:$J$63,MATCH($A31,PRODUTOS!$B$4:$B$63,0))&lt;&gt;"","NÃO (usa o A+ do EAN "&amp;INDEX(PRODUTOS!$J$4:$J$63,MATCH($A31,PRODUTOS!$B$4:$B$63,0))&amp;")",IF(AND(INDEX(PRODUTOS!$I$4:$I$63,MATCH($A31,PRODUTOS!$B$4:$B$63,0))="B",$D31="AP07"),"NÃO (modelo B)","SIM")))</f>
        <v>NÃO (usa o A+ do EAN 7898968541504)</v>
      </c>
      <c r="K31" s="13" t="s">
        <v>325</v>
      </c>
      <c r="L31" s="13"/>
    </row>
    <row r="32" customFormat="false" ht="15" hidden="false" customHeight="false" outlineLevel="0" collapsed="false">
      <c r="A32" s="15" t="s">
        <v>58</v>
      </c>
      <c r="B32" s="11" t="str">
        <f aca="false">INDEX(PRODUTOS!$E$4:$E$63,MATCH($A32,PRODUTOS!$B$4:$B$63,0))</f>
        <v>New Dots Ração Seca Premium para Cães Adultos - 10,1 kg</v>
      </c>
      <c r="C32" s="11" t="str">
        <f aca="false">INDEX(PRODUTOS!$H$4:$H$63,MATCH($A32,PRODUTOS!$B$4:$B$63,0))</f>
        <v>10,1 kg</v>
      </c>
      <c r="D32" s="11" t="s">
        <v>336</v>
      </c>
      <c r="E32" s="16" t="str">
        <f aca="false">$A32&amp;"."&amp;$D32&amp;".jpg"</f>
        <v>7908591301144.AP03.jpg</v>
      </c>
      <c r="F32" s="11" t="str">
        <f aca="false">IF(INDEX(PRODUTOS!$I$4:$I$63,MATCH($A32,PRODUTOS!$B$4:$B$63,0))="B",INDEX(MODELOS!$F$3:$F$19,MATCH($D32,MODELOS!$A$3:$A$19,0)),INDEX(MODELOS!$B$3:$B$19,MATCH($D32,MODELOS!$A$3:$A$19,0)))</f>
        <v>A+ · Módulo 3 · Benefício 1 de 4</v>
      </c>
      <c r="G32" s="11" t="str">
        <f aca="false">IF(INDEX(PRODUTOS!$F$4:$F$63,MATCH($A32,PRODUTOS!$B$4:$B$63,0))="Ração",IF(INDEX(PRODUTOS!$I$4:$I$63,MATCH($A32,PRODUTOS!$B$4:$B$63,0))="B",INDEX(MODELOS!$G$3:$G$19,MATCH($D32,MODELOS!$A$3:$A$19,0)),INDEX(MODELOS!$C$3:$C$19,MATCH($D32,MODELOS!$A$3:$A$19,0))),IF(INDEX(PRODUTOS!$I$4:$I$63,MATCH($A32,PRODUTOS!$B$4:$B$63,0))="B",INDEX(MODELOS!$H$3:$H$19,MATCH($D32,MODELOS!$A$3:$A$19,0)),INDEX(MODELOS!$D$3:$D$19,MATCH($D32,MODELOS!$A$3:$A$19,0))))</f>
        <v>Foto/ilustração do benefício 1</v>
      </c>
      <c r="H32" s="11" t="str">
        <f aca="false">IF(INDEX(PRODUTOS!$I$4:$I$63,MATCH($A32,PRODUTOS!$B$4:$B$63,0))="B",INDEX(MODELOS!$I$3:$I$19,MATCH($D32,MODELOS!$A$3:$A$19,0)),INDEX(MODELOS!$E$3:$E$19,MATCH($D32,MODELOS!$A$3:$A$19,0)))</f>
        <v>220 × 200</v>
      </c>
      <c r="I32" s="11" t="str">
        <f aca="false">INDEX(MODELOS!$J$3:$J$19,MATCH($D32,MODELOS!$A$3:$A$19,0))</f>
        <v>Conforme modelo</v>
      </c>
      <c r="J32" s="11" t="str">
        <f aca="false">IF(LEFT($D32,2)&lt;&gt;"AP",IF($I32="SIM","SIM","RECOMENDADA"),IF(INDEX(PRODUTOS!$J$4:$J$63,MATCH($A32,PRODUTOS!$B$4:$B$63,0))&lt;&gt;"","NÃO (usa o A+ do EAN "&amp;INDEX(PRODUTOS!$J$4:$J$63,MATCH($A32,PRODUTOS!$B$4:$B$63,0))&amp;")",IF(AND(INDEX(PRODUTOS!$I$4:$I$63,MATCH($A32,PRODUTOS!$B$4:$B$63,0))="B",$D32="AP07"),"NÃO (modelo B)","SIM")))</f>
        <v>NÃO (usa o A+ do EAN 7898968541504)</v>
      </c>
      <c r="K32" s="13" t="s">
        <v>325</v>
      </c>
      <c r="L32" s="13"/>
    </row>
    <row r="33" customFormat="false" ht="15" hidden="false" customHeight="false" outlineLevel="0" collapsed="false">
      <c r="A33" s="15" t="s">
        <v>58</v>
      </c>
      <c r="B33" s="11" t="str">
        <f aca="false">INDEX(PRODUTOS!$E$4:$E$63,MATCH($A33,PRODUTOS!$B$4:$B$63,0))</f>
        <v>New Dots Ração Seca Premium para Cães Adultos - 10,1 kg</v>
      </c>
      <c r="C33" s="11" t="str">
        <f aca="false">INDEX(PRODUTOS!$H$4:$H$63,MATCH($A33,PRODUTOS!$B$4:$B$63,0))</f>
        <v>10,1 kg</v>
      </c>
      <c r="D33" s="11" t="s">
        <v>337</v>
      </c>
      <c r="E33" s="16" t="str">
        <f aca="false">$A33&amp;"."&amp;$D33&amp;".jpg"</f>
        <v>7908591301144.AP04.jpg</v>
      </c>
      <c r="F33" s="11" t="str">
        <f aca="false">IF(INDEX(PRODUTOS!$I$4:$I$63,MATCH($A33,PRODUTOS!$B$4:$B$63,0))="B",INDEX(MODELOS!$F$3:$F$19,MATCH($D33,MODELOS!$A$3:$A$19,0)),INDEX(MODELOS!$B$3:$B$19,MATCH($D33,MODELOS!$A$3:$A$19,0)))</f>
        <v>A+ · Módulo 3 · Benefício 2 de 4</v>
      </c>
      <c r="G33" s="11" t="str">
        <f aca="false">IF(INDEX(PRODUTOS!$F$4:$F$63,MATCH($A33,PRODUTOS!$B$4:$B$63,0))="Ração",IF(INDEX(PRODUTOS!$I$4:$I$63,MATCH($A33,PRODUTOS!$B$4:$B$63,0))="B",INDEX(MODELOS!$G$3:$G$19,MATCH($D33,MODELOS!$A$3:$A$19,0)),INDEX(MODELOS!$C$3:$C$19,MATCH($D33,MODELOS!$A$3:$A$19,0))),IF(INDEX(PRODUTOS!$I$4:$I$63,MATCH($A33,PRODUTOS!$B$4:$B$63,0))="B",INDEX(MODELOS!$H$3:$H$19,MATCH($D33,MODELOS!$A$3:$A$19,0)),INDEX(MODELOS!$D$3:$D$19,MATCH($D33,MODELOS!$A$3:$A$19,0))))</f>
        <v>Foto/ilustração do benefício 2</v>
      </c>
      <c r="H33" s="11" t="str">
        <f aca="false">IF(INDEX(PRODUTOS!$I$4:$I$63,MATCH($A33,PRODUTOS!$B$4:$B$63,0))="B",INDEX(MODELOS!$I$3:$I$19,MATCH($D33,MODELOS!$A$3:$A$19,0)),INDEX(MODELOS!$E$3:$E$19,MATCH($D33,MODELOS!$A$3:$A$19,0)))</f>
        <v>220 × 200</v>
      </c>
      <c r="I33" s="11" t="str">
        <f aca="false">INDEX(MODELOS!$J$3:$J$19,MATCH($D33,MODELOS!$A$3:$A$19,0))</f>
        <v>Conforme modelo</v>
      </c>
      <c r="J33" s="11" t="str">
        <f aca="false">IF(LEFT($D33,2)&lt;&gt;"AP",IF($I33="SIM","SIM","RECOMENDADA"),IF(INDEX(PRODUTOS!$J$4:$J$63,MATCH($A33,PRODUTOS!$B$4:$B$63,0))&lt;&gt;"","NÃO (usa o A+ do EAN "&amp;INDEX(PRODUTOS!$J$4:$J$63,MATCH($A33,PRODUTOS!$B$4:$B$63,0))&amp;")",IF(AND(INDEX(PRODUTOS!$I$4:$I$63,MATCH($A33,PRODUTOS!$B$4:$B$63,0))="B",$D33="AP07"),"NÃO (modelo B)","SIM")))</f>
        <v>NÃO (usa o A+ do EAN 7898968541504)</v>
      </c>
      <c r="K33" s="13" t="s">
        <v>325</v>
      </c>
      <c r="L33" s="13"/>
    </row>
    <row r="34" customFormat="false" ht="15" hidden="false" customHeight="false" outlineLevel="0" collapsed="false">
      <c r="A34" s="15" t="s">
        <v>58</v>
      </c>
      <c r="B34" s="11" t="str">
        <f aca="false">INDEX(PRODUTOS!$E$4:$E$63,MATCH($A34,PRODUTOS!$B$4:$B$63,0))</f>
        <v>New Dots Ração Seca Premium para Cães Adultos - 10,1 kg</v>
      </c>
      <c r="C34" s="11" t="str">
        <f aca="false">INDEX(PRODUTOS!$H$4:$H$63,MATCH($A34,PRODUTOS!$B$4:$B$63,0))</f>
        <v>10,1 kg</v>
      </c>
      <c r="D34" s="11" t="s">
        <v>338</v>
      </c>
      <c r="E34" s="16" t="str">
        <f aca="false">$A34&amp;"."&amp;$D34&amp;".jpg"</f>
        <v>7908591301144.AP05.jpg</v>
      </c>
      <c r="F34" s="11" t="str">
        <f aca="false">IF(INDEX(PRODUTOS!$I$4:$I$63,MATCH($A34,PRODUTOS!$B$4:$B$63,0))="B",INDEX(MODELOS!$F$3:$F$19,MATCH($D34,MODELOS!$A$3:$A$19,0)),INDEX(MODELOS!$B$3:$B$19,MATCH($D34,MODELOS!$A$3:$A$19,0)))</f>
        <v>A+ · Módulo 3 · Benefício 3 de 4</v>
      </c>
      <c r="G34" s="11" t="str">
        <f aca="false">IF(INDEX(PRODUTOS!$F$4:$F$63,MATCH($A34,PRODUTOS!$B$4:$B$63,0))="Ração",IF(INDEX(PRODUTOS!$I$4:$I$63,MATCH($A34,PRODUTOS!$B$4:$B$63,0))="B",INDEX(MODELOS!$G$3:$G$19,MATCH($D34,MODELOS!$A$3:$A$19,0)),INDEX(MODELOS!$C$3:$C$19,MATCH($D34,MODELOS!$A$3:$A$19,0))),IF(INDEX(PRODUTOS!$I$4:$I$63,MATCH($A34,PRODUTOS!$B$4:$B$63,0))="B",INDEX(MODELOS!$H$3:$H$19,MATCH($D34,MODELOS!$A$3:$A$19,0)),INDEX(MODELOS!$D$3:$D$19,MATCH($D34,MODELOS!$A$3:$A$19,0))))</f>
        <v>Foto/ilustração do benefício 3</v>
      </c>
      <c r="H34" s="11" t="str">
        <f aca="false">IF(INDEX(PRODUTOS!$I$4:$I$63,MATCH($A34,PRODUTOS!$B$4:$B$63,0))="B",INDEX(MODELOS!$I$3:$I$19,MATCH($D34,MODELOS!$A$3:$A$19,0)),INDEX(MODELOS!$E$3:$E$19,MATCH($D34,MODELOS!$A$3:$A$19,0)))</f>
        <v>220 × 200</v>
      </c>
      <c r="I34" s="11" t="str">
        <f aca="false">INDEX(MODELOS!$J$3:$J$19,MATCH($D34,MODELOS!$A$3:$A$19,0))</f>
        <v>Conforme modelo</v>
      </c>
      <c r="J34" s="11" t="str">
        <f aca="false">IF(LEFT($D34,2)&lt;&gt;"AP",IF($I34="SIM","SIM","RECOMENDADA"),IF(INDEX(PRODUTOS!$J$4:$J$63,MATCH($A34,PRODUTOS!$B$4:$B$63,0))&lt;&gt;"","NÃO (usa o A+ do EAN "&amp;INDEX(PRODUTOS!$J$4:$J$63,MATCH($A34,PRODUTOS!$B$4:$B$63,0))&amp;")",IF(AND(INDEX(PRODUTOS!$I$4:$I$63,MATCH($A34,PRODUTOS!$B$4:$B$63,0))="B",$D34="AP07"),"NÃO (modelo B)","SIM")))</f>
        <v>NÃO (usa o A+ do EAN 7898968541504)</v>
      </c>
      <c r="K34" s="13" t="s">
        <v>325</v>
      </c>
      <c r="L34" s="13"/>
    </row>
    <row r="35" customFormat="false" ht="15" hidden="false" customHeight="false" outlineLevel="0" collapsed="false">
      <c r="A35" s="15" t="s">
        <v>58</v>
      </c>
      <c r="B35" s="11" t="str">
        <f aca="false">INDEX(PRODUTOS!$E$4:$E$63,MATCH($A35,PRODUTOS!$B$4:$B$63,0))</f>
        <v>New Dots Ração Seca Premium para Cães Adultos - 10,1 kg</v>
      </c>
      <c r="C35" s="11" t="str">
        <f aca="false">INDEX(PRODUTOS!$H$4:$H$63,MATCH($A35,PRODUTOS!$B$4:$B$63,0))</f>
        <v>10,1 kg</v>
      </c>
      <c r="D35" s="11" t="s">
        <v>339</v>
      </c>
      <c r="E35" s="16" t="str">
        <f aca="false">$A35&amp;"."&amp;$D35&amp;".jpg"</f>
        <v>7908591301144.AP06.jpg</v>
      </c>
      <c r="F35" s="11" t="str">
        <f aca="false">IF(INDEX(PRODUTOS!$I$4:$I$63,MATCH($A35,PRODUTOS!$B$4:$B$63,0))="B",INDEX(MODELOS!$F$3:$F$19,MATCH($D35,MODELOS!$A$3:$A$19,0)),INDEX(MODELOS!$B$3:$B$19,MATCH($D35,MODELOS!$A$3:$A$19,0)))</f>
        <v>A+ · Módulo 3 · Benefício 4 de 4</v>
      </c>
      <c r="G35" s="11" t="str">
        <f aca="false">IF(INDEX(PRODUTOS!$F$4:$F$63,MATCH($A35,PRODUTOS!$B$4:$B$63,0))="Ração",IF(INDEX(PRODUTOS!$I$4:$I$63,MATCH($A35,PRODUTOS!$B$4:$B$63,0))="B",INDEX(MODELOS!$G$3:$G$19,MATCH($D35,MODELOS!$A$3:$A$19,0)),INDEX(MODELOS!$C$3:$C$19,MATCH($D35,MODELOS!$A$3:$A$19,0))),IF(INDEX(PRODUTOS!$I$4:$I$63,MATCH($A35,PRODUTOS!$B$4:$B$63,0))="B",INDEX(MODELOS!$H$3:$H$19,MATCH($D35,MODELOS!$A$3:$A$19,0)),INDEX(MODELOS!$D$3:$D$19,MATCH($D35,MODELOS!$A$3:$A$19,0))))</f>
        <v>Foto/ilustração do benefício 4</v>
      </c>
      <c r="H35" s="11" t="str">
        <f aca="false">IF(INDEX(PRODUTOS!$I$4:$I$63,MATCH($A35,PRODUTOS!$B$4:$B$63,0))="B",INDEX(MODELOS!$I$3:$I$19,MATCH($D35,MODELOS!$A$3:$A$19,0)),INDEX(MODELOS!$E$3:$E$19,MATCH($D35,MODELOS!$A$3:$A$19,0)))</f>
        <v>220 × 200</v>
      </c>
      <c r="I35" s="11" t="str">
        <f aca="false">INDEX(MODELOS!$J$3:$J$19,MATCH($D35,MODELOS!$A$3:$A$19,0))</f>
        <v>Conforme modelo</v>
      </c>
      <c r="J35" s="11" t="str">
        <f aca="false">IF(LEFT($D35,2)&lt;&gt;"AP",IF($I35="SIM","SIM","RECOMENDADA"),IF(INDEX(PRODUTOS!$J$4:$J$63,MATCH($A35,PRODUTOS!$B$4:$B$63,0))&lt;&gt;"","NÃO (usa o A+ do EAN "&amp;INDEX(PRODUTOS!$J$4:$J$63,MATCH($A35,PRODUTOS!$B$4:$B$63,0))&amp;")",IF(AND(INDEX(PRODUTOS!$I$4:$I$63,MATCH($A35,PRODUTOS!$B$4:$B$63,0))="B",$D35="AP07"),"NÃO (modelo B)","SIM")))</f>
        <v>NÃO (usa o A+ do EAN 7898968541504)</v>
      </c>
      <c r="K35" s="13" t="s">
        <v>325</v>
      </c>
      <c r="L35" s="13"/>
    </row>
    <row r="36" customFormat="false" ht="15" hidden="false" customHeight="false" outlineLevel="0" collapsed="false">
      <c r="A36" s="15" t="s">
        <v>58</v>
      </c>
      <c r="B36" s="11" t="str">
        <f aca="false">INDEX(PRODUTOS!$E$4:$E$63,MATCH($A36,PRODUTOS!$B$4:$B$63,0))</f>
        <v>New Dots Ração Seca Premium para Cães Adultos - 10,1 kg</v>
      </c>
      <c r="C36" s="11" t="str">
        <f aca="false">INDEX(PRODUTOS!$H$4:$H$63,MATCH($A36,PRODUTOS!$B$4:$B$63,0))</f>
        <v>10,1 kg</v>
      </c>
      <c r="D36" s="11" t="s">
        <v>340</v>
      </c>
      <c r="E36" s="16" t="str">
        <f aca="false">$A36&amp;"."&amp;$D36&amp;".jpg"</f>
        <v>7908591301144.AP07.jpg</v>
      </c>
      <c r="F36" s="11" t="str">
        <f aca="false">IF(INDEX(PRODUTOS!$I$4:$I$63,MATCH($A36,PRODUTOS!$B$4:$B$63,0))="B",INDEX(MODELOS!$F$3:$F$19,MATCH($D36,MODELOS!$A$3:$A$19,0)),INDEX(MODELOS!$B$3:$B$19,MATCH($D36,MODELOS!$A$3:$A$19,0)))</f>
        <v>A+ · Módulo 4 · Especificações</v>
      </c>
      <c r="G36" s="11" t="str">
        <f aca="false">IF(INDEX(PRODUTOS!$F$4:$F$63,MATCH($A36,PRODUTOS!$B$4:$B$63,0))="Ração",IF(INDEX(PRODUTOS!$I$4:$I$63,MATCH($A36,PRODUTOS!$B$4:$B$63,0))="B",INDEX(MODELOS!$G$3:$G$19,MATCH($D36,MODELOS!$A$3:$A$19,0)),INDEX(MODELOS!$C$3:$C$19,MATCH($D36,MODELOS!$A$3:$A$19,0))),IF(INDEX(PRODUTOS!$I$4:$I$63,MATCH($A36,PRODUTOS!$B$4:$B$63,0))="B",INDEX(MODELOS!$H$3:$H$19,MATCH($D36,MODELOS!$A$3:$A$19,0)),INDEX(MODELOS!$D$3:$D$19,MATCH($D36,MODELOS!$A$3:$A$19,0))))</f>
        <v>Grão ou pacote em destaque</v>
      </c>
      <c r="H36" s="11" t="str">
        <f aca="false">IF(INDEX(PRODUTOS!$I$4:$I$63,MATCH($A36,PRODUTOS!$B$4:$B$63,0))="B",INDEX(MODELOS!$I$3:$I$19,MATCH($D36,MODELOS!$A$3:$A$19,0)),INDEX(MODELOS!$E$3:$E$19,MATCH($D36,MODELOS!$A$3:$A$19,0)))</f>
        <v>300 × 300</v>
      </c>
      <c r="I36" s="11" t="str">
        <f aca="false">INDEX(MODELOS!$J$3:$J$19,MATCH($D36,MODELOS!$A$3:$A$19,0))</f>
        <v>Conforme modelo</v>
      </c>
      <c r="J36" s="11" t="str">
        <f aca="false">IF(LEFT($D36,2)&lt;&gt;"AP",IF($I36="SIM","SIM","RECOMENDADA"),IF(INDEX(PRODUTOS!$J$4:$J$63,MATCH($A36,PRODUTOS!$B$4:$B$63,0))&lt;&gt;"","NÃO (usa o A+ do EAN "&amp;INDEX(PRODUTOS!$J$4:$J$63,MATCH($A36,PRODUTOS!$B$4:$B$63,0))&amp;")",IF(AND(INDEX(PRODUTOS!$I$4:$I$63,MATCH($A36,PRODUTOS!$B$4:$B$63,0))="B",$D36="AP07"),"NÃO (modelo B)","SIM")))</f>
        <v>NÃO (usa o A+ do EAN 7898968541504)</v>
      </c>
      <c r="K36" s="13" t="s">
        <v>325</v>
      </c>
      <c r="L36" s="13"/>
    </row>
    <row r="37" customFormat="false" ht="15" hidden="false" customHeight="false" outlineLevel="0" collapsed="false">
      <c r="A37" s="15" t="s">
        <v>58</v>
      </c>
      <c r="B37" s="11" t="str">
        <f aca="false">INDEX(PRODUTOS!$E$4:$E$63,MATCH($A37,PRODUTOS!$B$4:$B$63,0))</f>
        <v>New Dots Ração Seca Premium para Cães Adultos - 10,1 kg</v>
      </c>
      <c r="C37" s="11" t="str">
        <f aca="false">INDEX(PRODUTOS!$H$4:$H$63,MATCH($A37,PRODUTOS!$B$4:$B$63,0))</f>
        <v>10,1 kg</v>
      </c>
      <c r="D37" s="11" t="s">
        <v>341</v>
      </c>
      <c r="E37" s="16" t="str">
        <f aca="false">$A37&amp;"."&amp;$D37&amp;".jpg"</f>
        <v>7908591301144.COMP.jpg</v>
      </c>
      <c r="F37" s="11" t="str">
        <f aca="false">IF(INDEX(PRODUTOS!$I$4:$I$63,MATCH($A37,PRODUTOS!$B$4:$B$63,0))="B",INDEX(MODELOS!$F$3:$F$19,MATCH($D37,MODELOS!$A$3:$A$19,0)),INDEX(MODELOS!$B$3:$B$19,MATCH($D37,MODELOS!$A$3:$A$19,0)))</f>
        <v>A+ · Tabela comparativa</v>
      </c>
      <c r="G37" s="11" t="str">
        <f aca="false">IF(INDEX(PRODUTOS!$F$4:$F$63,MATCH($A37,PRODUTOS!$B$4:$B$63,0))="Ração",IF(INDEX(PRODUTOS!$I$4:$I$63,MATCH($A37,PRODUTOS!$B$4:$B$63,0))="B",INDEX(MODELOS!$G$3:$G$19,MATCH($D37,MODELOS!$A$3:$A$19,0)),INDEX(MODELOS!$C$3:$C$19,MATCH($D37,MODELOS!$A$3:$A$19,0))),IF(INDEX(PRODUTOS!$I$4:$I$63,MATCH($A37,PRODUTOS!$B$4:$B$63,0))="B",INDEX(MODELOS!$H$3:$H$19,MATCH($D37,MODELOS!$A$3:$A$19,0)),INDEX(MODELOS!$D$3:$D$19,MATCH($D37,MODELOS!$A$3:$A$19,0))))</f>
        <v>Pacote na vertical, sem fundo colorido</v>
      </c>
      <c r="H37" s="11" t="str">
        <f aca="false">IF(INDEX(PRODUTOS!$I$4:$I$63,MATCH($A37,PRODUTOS!$B$4:$B$63,0))="B",INDEX(MODELOS!$I$3:$I$19,MATCH($D37,MODELOS!$A$3:$A$19,0)),INDEX(MODELOS!$E$3:$E$19,MATCH($D37,MODELOS!$A$3:$A$19,0)))</f>
        <v>150 × 300</v>
      </c>
      <c r="I37" s="11" t="str">
        <f aca="false">INDEX(MODELOS!$J$3:$J$19,MATCH($D37,MODELOS!$A$3:$A$19,0))</f>
        <v>SIM</v>
      </c>
      <c r="J37" s="11" t="str">
        <f aca="false">IF(LEFT($D37,2)&lt;&gt;"AP",IF($I37="SIM","SIM","RECOMENDADA"),IF(INDEX(PRODUTOS!$J$4:$J$63,MATCH($A37,PRODUTOS!$B$4:$B$63,0))&lt;&gt;"","NÃO (usa o A+ do EAN "&amp;INDEX(PRODUTOS!$J$4:$J$63,MATCH($A37,PRODUTOS!$B$4:$B$63,0))&amp;")",IF(AND(INDEX(PRODUTOS!$I$4:$I$63,MATCH($A37,PRODUTOS!$B$4:$B$63,0))="B",$D37="AP07"),"NÃO (modelo B)","SIM")))</f>
        <v>SIM</v>
      </c>
      <c r="K37" s="13" t="s">
        <v>325</v>
      </c>
      <c r="L37" s="13"/>
    </row>
    <row r="38" customFormat="false" ht="15" hidden="false" customHeight="false" outlineLevel="0" collapsed="false">
      <c r="A38" s="15" t="s">
        <v>62</v>
      </c>
      <c r="B38" s="11" t="str">
        <f aca="false">INDEX(PRODUTOS!$E$4:$E$63,MATCH($A38,PRODUTOS!$B$4:$B$63,0))</f>
        <v>New Dots Ração Seca Premium para Cães Adultos - 5 kg</v>
      </c>
      <c r="C38" s="11" t="str">
        <f aca="false">INDEX(PRODUTOS!$H$4:$H$63,MATCH($A38,PRODUTOS!$B$4:$B$63,0))</f>
        <v>5 kg</v>
      </c>
      <c r="D38" s="11" t="s">
        <v>324</v>
      </c>
      <c r="E38" s="16" t="str">
        <f aca="false">$A38&amp;"."&amp;$D38&amp;".jpg"</f>
        <v>7898968541467.MAIN.jpg</v>
      </c>
      <c r="F38" s="11" t="str">
        <f aca="false">IF(INDEX(PRODUTOS!$I$4:$I$63,MATCH($A38,PRODUTOS!$B$4:$B$63,0))="B",INDEX(MODELOS!$F$3:$F$19,MATCH($D38,MODELOS!$A$3:$A$19,0)),INDEX(MODELOS!$B$3:$B$19,MATCH($D38,MODELOS!$A$3:$A$19,0)))</f>
        <v>Capa (posição 1)</v>
      </c>
      <c r="G38" s="11" t="str">
        <f aca="false">IF(INDEX(PRODUTOS!$F$4:$F$63,MATCH($A38,PRODUTOS!$B$4:$B$63,0))="Ração",IF(INDEX(PRODUTOS!$I$4:$I$63,MATCH($A38,PRODUTOS!$B$4:$B$63,0))="B",INDEX(MODELOS!$G$3:$G$19,MATCH($D38,MODELOS!$A$3:$A$19,0)),INDEX(MODELOS!$C$3:$C$19,MATCH($D38,MODELOS!$A$3:$A$19,0))),IF(INDEX(PRODUTOS!$I$4:$I$63,MATCH($A38,PRODUTOS!$B$4:$B$63,0))="B",INDEX(MODELOS!$H$3:$H$19,MATCH($D38,MODELOS!$A$3:$A$19,0)),INDEX(MODELOS!$D$3:$D$19,MATCH($D38,MODELOS!$A$3:$A$19,0))))</f>
        <v>Embalagem de frente, fundo branco puro, 85% da área, nada adicionado</v>
      </c>
      <c r="H38" s="11" t="str">
        <f aca="false">IF(INDEX(PRODUTOS!$I$4:$I$63,MATCH($A38,PRODUTOS!$B$4:$B$63,0))="B",INDEX(MODELOS!$I$3:$I$19,MATCH($D38,MODELOS!$A$3:$A$19,0)),INDEX(MODELOS!$E$3:$E$19,MATCH($D38,MODELOS!$A$3:$A$19,0)))</f>
        <v>2000 × 2000</v>
      </c>
      <c r="I38" s="11" t="str">
        <f aca="false">INDEX(MODELOS!$J$3:$J$19,MATCH($D38,MODELOS!$A$3:$A$19,0))</f>
        <v>SIM</v>
      </c>
      <c r="J38" s="11" t="str">
        <f aca="false">IF(LEFT($D38,2)&lt;&gt;"AP",IF($I38="SIM","SIM","RECOMENDADA"),IF(INDEX(PRODUTOS!$J$4:$J$63,MATCH($A38,PRODUTOS!$B$4:$B$63,0))&lt;&gt;"","NÃO (usa o A+ do EAN "&amp;INDEX(PRODUTOS!$J$4:$J$63,MATCH($A38,PRODUTOS!$B$4:$B$63,0))&amp;")",IF(AND(INDEX(PRODUTOS!$I$4:$I$63,MATCH($A38,PRODUTOS!$B$4:$B$63,0))="B",$D38="AP07"),"NÃO (modelo B)","SIM")))</f>
        <v>SIM</v>
      </c>
      <c r="K38" s="13" t="s">
        <v>325</v>
      </c>
      <c r="L38" s="13"/>
    </row>
    <row r="39" customFormat="false" ht="15" hidden="false" customHeight="false" outlineLevel="0" collapsed="false">
      <c r="A39" s="15" t="s">
        <v>62</v>
      </c>
      <c r="B39" s="11" t="str">
        <f aca="false">INDEX(PRODUTOS!$E$4:$E$63,MATCH($A39,PRODUTOS!$B$4:$B$63,0))</f>
        <v>New Dots Ração Seca Premium para Cães Adultos - 5 kg</v>
      </c>
      <c r="C39" s="11" t="str">
        <f aca="false">INDEX(PRODUTOS!$H$4:$H$63,MATCH($A39,PRODUTOS!$B$4:$B$63,0))</f>
        <v>5 kg</v>
      </c>
      <c r="D39" s="11" t="s">
        <v>326</v>
      </c>
      <c r="E39" s="16" t="str">
        <f aca="false">$A39&amp;"."&amp;$D39&amp;".jpg"</f>
        <v>7898968541467.PT01.jpg</v>
      </c>
      <c r="F39" s="11" t="str">
        <f aca="false">IF(INDEX(PRODUTOS!$I$4:$I$63,MATCH($A39,PRODUTOS!$B$4:$B$63,0))="B",INDEX(MODELOS!$F$3:$F$19,MATCH($D39,MODELOS!$A$3:$A$19,0)),INDEX(MODELOS!$B$3:$B$19,MATCH($D39,MODELOS!$A$3:$A$19,0)))</f>
        <v>Galeria · posição 2</v>
      </c>
      <c r="G39" s="11" t="str">
        <f aca="false">IF(INDEX(PRODUTOS!$F$4:$F$63,MATCH($A39,PRODUTOS!$B$4:$B$63,0))="Ração",IF(INDEX(PRODUTOS!$I$4:$I$63,MATCH($A39,PRODUTOS!$B$4:$B$63,0))="B",INDEX(MODELOS!$G$3:$G$19,MATCH($D39,MODELOS!$A$3:$A$19,0)),INDEX(MODELOS!$C$3:$C$19,MATCH($D39,MODELOS!$A$3:$A$19,0))),IF(INDEX(PRODUTOS!$I$4:$I$63,MATCH($A39,PRODUTOS!$B$4:$B$63,0))="B",INDEX(MODELOS!$H$3:$H$19,MATCH($D39,MODELOS!$A$3:$A$19,0)),INDEX(MODELOS!$D$3:$D$19,MATCH($D39,MODELOS!$A$3:$A$19,0))))</f>
        <v>Grande diferencial da linha (número ou promessa forte + grão e ingrediente)</v>
      </c>
      <c r="H39" s="11" t="str">
        <f aca="false">IF(INDEX(PRODUTOS!$I$4:$I$63,MATCH($A39,PRODUTOS!$B$4:$B$63,0))="B",INDEX(MODELOS!$I$3:$I$19,MATCH($D39,MODELOS!$A$3:$A$19,0)),INDEX(MODELOS!$E$3:$E$19,MATCH($D39,MODELOS!$A$3:$A$19,0)))</f>
        <v>2000 × 2000</v>
      </c>
      <c r="I39" s="11" t="str">
        <f aca="false">INDEX(MODELOS!$J$3:$J$19,MATCH($D39,MODELOS!$A$3:$A$19,0))</f>
        <v>SIM</v>
      </c>
      <c r="J39" s="11" t="str">
        <f aca="false">IF(LEFT($D39,2)&lt;&gt;"AP",IF($I39="SIM","SIM","RECOMENDADA"),IF(INDEX(PRODUTOS!$J$4:$J$63,MATCH($A39,PRODUTOS!$B$4:$B$63,0))&lt;&gt;"","NÃO (usa o A+ do EAN "&amp;INDEX(PRODUTOS!$J$4:$J$63,MATCH($A39,PRODUTOS!$B$4:$B$63,0))&amp;")",IF(AND(INDEX(PRODUTOS!$I$4:$I$63,MATCH($A39,PRODUTOS!$B$4:$B$63,0))="B",$D39="AP07"),"NÃO (modelo B)","SIM")))</f>
        <v>SIM</v>
      </c>
      <c r="K39" s="13" t="s">
        <v>325</v>
      </c>
      <c r="L39" s="13"/>
    </row>
    <row r="40" customFormat="false" ht="15" hidden="false" customHeight="false" outlineLevel="0" collapsed="false">
      <c r="A40" s="15" t="s">
        <v>62</v>
      </c>
      <c r="B40" s="11" t="str">
        <f aca="false">INDEX(PRODUTOS!$E$4:$E$63,MATCH($A40,PRODUTOS!$B$4:$B$63,0))</f>
        <v>New Dots Ração Seca Premium para Cães Adultos - 5 kg</v>
      </c>
      <c r="C40" s="11" t="str">
        <f aca="false">INDEX(PRODUTOS!$H$4:$H$63,MATCH($A40,PRODUTOS!$B$4:$B$63,0))</f>
        <v>5 kg</v>
      </c>
      <c r="D40" s="11" t="s">
        <v>327</v>
      </c>
      <c r="E40" s="16" t="str">
        <f aca="false">$A40&amp;"."&amp;$D40&amp;".jpg"</f>
        <v>7898968541467.PT02.jpg</v>
      </c>
      <c r="F40" s="11" t="str">
        <f aca="false">IF(INDEX(PRODUTOS!$I$4:$I$63,MATCH($A40,PRODUTOS!$B$4:$B$63,0))="B",INDEX(MODELOS!$F$3:$F$19,MATCH($D40,MODELOS!$A$3:$A$19,0)),INDEX(MODELOS!$B$3:$B$19,MATCH($D40,MODELOS!$A$3:$A$19,0)))</f>
        <v>Galeria · posição 3</v>
      </c>
      <c r="G40" s="11" t="str">
        <f aca="false">IF(INDEX(PRODUTOS!$F$4:$F$63,MATCH($A40,PRODUTOS!$B$4:$B$63,0))="Ração",IF(INDEX(PRODUTOS!$I$4:$I$63,MATCH($A40,PRODUTOS!$B$4:$B$63,0))="B",INDEX(MODELOS!$G$3:$G$19,MATCH($D40,MODELOS!$A$3:$A$19,0)),INDEX(MODELOS!$C$3:$C$19,MATCH($D40,MODELOS!$A$3:$A$19,0))),IF(INDEX(PRODUTOS!$I$4:$I$63,MATCH($A40,PRODUTOS!$B$4:$B$63,0))="B",INDEX(MODELOS!$H$3:$H$19,MATCH($D40,MODELOS!$A$3:$A$19,0)),INDEX(MODELOS!$D$3:$D$19,MATCH($D40,MODELOS!$A$3:$A$19,0))))</f>
        <v>Benefícios com ícones (4 a 6, impressos na embalagem) + ingrediente</v>
      </c>
      <c r="H40" s="11" t="str">
        <f aca="false">IF(INDEX(PRODUTOS!$I$4:$I$63,MATCH($A40,PRODUTOS!$B$4:$B$63,0))="B",INDEX(MODELOS!$I$3:$I$19,MATCH($D40,MODELOS!$A$3:$A$19,0)),INDEX(MODELOS!$E$3:$E$19,MATCH($D40,MODELOS!$A$3:$A$19,0)))</f>
        <v>2000 × 2000</v>
      </c>
      <c r="I40" s="11" t="str">
        <f aca="false">INDEX(MODELOS!$J$3:$J$19,MATCH($D40,MODELOS!$A$3:$A$19,0))</f>
        <v>SIM</v>
      </c>
      <c r="J40" s="11" t="str">
        <f aca="false">IF(LEFT($D40,2)&lt;&gt;"AP",IF($I40="SIM","SIM","RECOMENDADA"),IF(INDEX(PRODUTOS!$J$4:$J$63,MATCH($A40,PRODUTOS!$B$4:$B$63,0))&lt;&gt;"","NÃO (usa o A+ do EAN "&amp;INDEX(PRODUTOS!$J$4:$J$63,MATCH($A40,PRODUTOS!$B$4:$B$63,0))&amp;")",IF(AND(INDEX(PRODUTOS!$I$4:$I$63,MATCH($A40,PRODUTOS!$B$4:$B$63,0))="B",$D40="AP07"),"NÃO (modelo B)","SIM")))</f>
        <v>SIM</v>
      </c>
      <c r="K40" s="13" t="s">
        <v>325</v>
      </c>
      <c r="L40" s="13"/>
    </row>
    <row r="41" customFormat="false" ht="15" hidden="false" customHeight="false" outlineLevel="0" collapsed="false">
      <c r="A41" s="15" t="s">
        <v>62</v>
      </c>
      <c r="B41" s="11" t="str">
        <f aca="false">INDEX(PRODUTOS!$E$4:$E$63,MATCH($A41,PRODUTOS!$B$4:$B$63,0))</f>
        <v>New Dots Ração Seca Premium para Cães Adultos - 5 kg</v>
      </c>
      <c r="C41" s="11" t="str">
        <f aca="false">INDEX(PRODUTOS!$H$4:$H$63,MATCH($A41,PRODUTOS!$B$4:$B$63,0))</f>
        <v>5 kg</v>
      </c>
      <c r="D41" s="11" t="s">
        <v>328</v>
      </c>
      <c r="E41" s="16" t="str">
        <f aca="false">$A41&amp;"."&amp;$D41&amp;".jpg"</f>
        <v>7898968541467.PT03.jpg</v>
      </c>
      <c r="F41" s="11" t="str">
        <f aca="false">IF(INDEX(PRODUTOS!$I$4:$I$63,MATCH($A41,PRODUTOS!$B$4:$B$63,0))="B",INDEX(MODELOS!$F$3:$F$19,MATCH($D41,MODELOS!$A$3:$A$19,0)),INDEX(MODELOS!$B$3:$B$19,MATCH($D41,MODELOS!$A$3:$A$19,0)))</f>
        <v>Galeria · posição 4</v>
      </c>
      <c r="G41" s="11" t="str">
        <f aca="false">IF(INDEX(PRODUTOS!$F$4:$F$63,MATCH($A41,PRODUTOS!$B$4:$B$63,0))="Ração",IF(INDEX(PRODUTOS!$I$4:$I$63,MATCH($A41,PRODUTOS!$B$4:$B$63,0))="B",INDEX(MODELOS!$G$3:$G$19,MATCH($D41,MODELOS!$A$3:$A$19,0)),INDEX(MODELOS!$C$3:$C$19,MATCH($D41,MODELOS!$A$3:$A$19,0))),IF(INDEX(PRODUTOS!$I$4:$I$63,MATCH($A41,PRODUTOS!$B$4:$B$63,0))="B",INDEX(MODELOS!$H$3:$H$19,MATCH($D41,MODELOS!$A$3:$A$19,0)),INDEX(MODELOS!$D$3:$D$19,MATCH($D41,MODELOS!$A$3:$A$19,0))))</f>
        <v>Formato e tamanho do grão, com medida em mm e referência de tamanho</v>
      </c>
      <c r="H41" s="11" t="str">
        <f aca="false">IF(INDEX(PRODUTOS!$I$4:$I$63,MATCH($A41,PRODUTOS!$B$4:$B$63,0))="B",INDEX(MODELOS!$I$3:$I$19,MATCH($D41,MODELOS!$A$3:$A$19,0)),INDEX(MODELOS!$E$3:$E$19,MATCH($D41,MODELOS!$A$3:$A$19,0)))</f>
        <v>2000 × 2000</v>
      </c>
      <c r="I41" s="11" t="str">
        <f aca="false">INDEX(MODELOS!$J$3:$J$19,MATCH($D41,MODELOS!$A$3:$A$19,0))</f>
        <v>SIM</v>
      </c>
      <c r="J41" s="11" t="str">
        <f aca="false">IF(LEFT($D41,2)&lt;&gt;"AP",IF($I41="SIM","SIM","RECOMENDADA"),IF(INDEX(PRODUTOS!$J$4:$J$63,MATCH($A41,PRODUTOS!$B$4:$B$63,0))&lt;&gt;"","NÃO (usa o A+ do EAN "&amp;INDEX(PRODUTOS!$J$4:$J$63,MATCH($A41,PRODUTOS!$B$4:$B$63,0))&amp;")",IF(AND(INDEX(PRODUTOS!$I$4:$I$63,MATCH($A41,PRODUTOS!$B$4:$B$63,0))="B",$D41="AP07"),"NÃO (modelo B)","SIM")))</f>
        <v>SIM</v>
      </c>
      <c r="K41" s="13" t="s">
        <v>325</v>
      </c>
      <c r="L41" s="13"/>
    </row>
    <row r="42" customFormat="false" ht="15" hidden="false" customHeight="false" outlineLevel="0" collapsed="false">
      <c r="A42" s="15" t="s">
        <v>62</v>
      </c>
      <c r="B42" s="11" t="str">
        <f aca="false">INDEX(PRODUTOS!$E$4:$E$63,MATCH($A42,PRODUTOS!$B$4:$B$63,0))</f>
        <v>New Dots Ração Seca Premium para Cães Adultos - 5 kg</v>
      </c>
      <c r="C42" s="11" t="str">
        <f aca="false">INDEX(PRODUTOS!$H$4:$H$63,MATCH($A42,PRODUTOS!$B$4:$B$63,0))</f>
        <v>5 kg</v>
      </c>
      <c r="D42" s="11" t="s">
        <v>329</v>
      </c>
      <c r="E42" s="16" t="str">
        <f aca="false">$A42&amp;"."&amp;$D42&amp;".jpg"</f>
        <v>7898968541467.PT04.jpg</v>
      </c>
      <c r="F42" s="11" t="str">
        <f aca="false">IF(INDEX(PRODUTOS!$I$4:$I$63,MATCH($A42,PRODUTOS!$B$4:$B$63,0))="B",INDEX(MODELOS!$F$3:$F$19,MATCH($D42,MODELOS!$A$3:$A$19,0)),INDEX(MODELOS!$B$3:$B$19,MATCH($D42,MODELOS!$A$3:$A$19,0)))</f>
        <v>Galeria · posição 5</v>
      </c>
      <c r="G42" s="11" t="str">
        <f aca="false">IF(INDEX(PRODUTOS!$F$4:$F$63,MATCH($A42,PRODUTOS!$B$4:$B$63,0))="Ração",IF(INDEX(PRODUTOS!$I$4:$I$63,MATCH($A42,PRODUTOS!$B$4:$B$63,0))="B",INDEX(MODELOS!$G$3:$G$19,MATCH($D42,MODELOS!$A$3:$A$19,0)),INDEX(MODELOS!$C$3:$C$19,MATCH($D42,MODELOS!$A$3:$A$19,0))),IF(INDEX(PRODUTOS!$I$4:$I$63,MATCH($A42,PRODUTOS!$B$4:$B$63,0))="B",INDEX(MODELOS!$H$3:$H$19,MATCH($D42,MODELOS!$A$3:$A$19,0)),INDEX(MODELOS!$D$3:$D$19,MATCH($D42,MODELOS!$A$3:$A$19,0))))</f>
        <v>Quantidade diária por peso do cão/gato (números idênticos à embalagem)</v>
      </c>
      <c r="H42" s="11" t="str">
        <f aca="false">IF(INDEX(PRODUTOS!$I$4:$I$63,MATCH($A42,PRODUTOS!$B$4:$B$63,0))="B",INDEX(MODELOS!$I$3:$I$19,MATCH($D42,MODELOS!$A$3:$A$19,0)),INDEX(MODELOS!$E$3:$E$19,MATCH($D42,MODELOS!$A$3:$A$19,0)))</f>
        <v>2000 × 2000</v>
      </c>
      <c r="I42" s="11" t="str">
        <f aca="false">INDEX(MODELOS!$J$3:$J$19,MATCH($D42,MODELOS!$A$3:$A$19,0))</f>
        <v>SIM</v>
      </c>
      <c r="J42" s="11" t="str">
        <f aca="false">IF(LEFT($D42,2)&lt;&gt;"AP",IF($I42="SIM","SIM","RECOMENDADA"),IF(INDEX(PRODUTOS!$J$4:$J$63,MATCH($A42,PRODUTOS!$B$4:$B$63,0))&lt;&gt;"","NÃO (usa o A+ do EAN "&amp;INDEX(PRODUTOS!$J$4:$J$63,MATCH($A42,PRODUTOS!$B$4:$B$63,0))&amp;")",IF(AND(INDEX(PRODUTOS!$I$4:$I$63,MATCH($A42,PRODUTOS!$B$4:$B$63,0))="B",$D42="AP07"),"NÃO (modelo B)","SIM")))</f>
        <v>SIM</v>
      </c>
      <c r="K42" s="13" t="s">
        <v>325</v>
      </c>
      <c r="L42" s="13"/>
    </row>
    <row r="43" customFormat="false" ht="15" hidden="false" customHeight="false" outlineLevel="0" collapsed="false">
      <c r="A43" s="15" t="s">
        <v>62</v>
      </c>
      <c r="B43" s="11" t="str">
        <f aca="false">INDEX(PRODUTOS!$E$4:$E$63,MATCH($A43,PRODUTOS!$B$4:$B$63,0))</f>
        <v>New Dots Ração Seca Premium para Cães Adultos - 5 kg</v>
      </c>
      <c r="C43" s="11" t="str">
        <f aca="false">INDEX(PRODUTOS!$H$4:$H$63,MATCH($A43,PRODUTOS!$B$4:$B$63,0))</f>
        <v>5 kg</v>
      </c>
      <c r="D43" s="11" t="s">
        <v>330</v>
      </c>
      <c r="E43" s="16" t="str">
        <f aca="false">$A43&amp;"."&amp;$D43&amp;".jpg"</f>
        <v>7898968541467.PT05.jpg</v>
      </c>
      <c r="F43" s="11" t="str">
        <f aca="false">IF(INDEX(PRODUTOS!$I$4:$I$63,MATCH($A43,PRODUTOS!$B$4:$B$63,0))="B",INDEX(MODELOS!$F$3:$F$19,MATCH($D43,MODELOS!$A$3:$A$19,0)),INDEX(MODELOS!$B$3:$B$19,MATCH($D43,MODELOS!$A$3:$A$19,0)))</f>
        <v>Galeria · posição 6</v>
      </c>
      <c r="G43" s="11" t="str">
        <f aca="false">IF(INDEX(PRODUTOS!$F$4:$F$63,MATCH($A43,PRODUTOS!$B$4:$B$63,0))="Ração",IF(INDEX(PRODUTOS!$I$4:$I$63,MATCH($A43,PRODUTOS!$B$4:$B$63,0))="B",INDEX(MODELOS!$G$3:$G$19,MATCH($D43,MODELOS!$A$3:$A$19,0)),INDEX(MODELOS!$C$3:$C$19,MATCH($D43,MODELOS!$A$3:$A$19,0))),IF(INDEX(PRODUTOS!$I$4:$I$63,MATCH($A43,PRODUTOS!$B$4:$B$63,0))="B",INDEX(MODELOS!$H$3:$H$19,MATCH($D43,MODELOS!$A$3:$A$19,0)),INDEX(MODELOS!$D$3:$D$19,MATCH($D43,MODELOS!$A$3:$A$19,0))))</f>
        <v>Transição alimentar dia a dia (igual ao verso da embalagem)</v>
      </c>
      <c r="H43" s="11" t="str">
        <f aca="false">IF(INDEX(PRODUTOS!$I$4:$I$63,MATCH($A43,PRODUTOS!$B$4:$B$63,0))="B",INDEX(MODELOS!$I$3:$I$19,MATCH($D43,MODELOS!$A$3:$A$19,0)),INDEX(MODELOS!$E$3:$E$19,MATCH($D43,MODELOS!$A$3:$A$19,0)))</f>
        <v>2000 × 2000</v>
      </c>
      <c r="I43" s="11" t="str">
        <f aca="false">INDEX(MODELOS!$J$3:$J$19,MATCH($D43,MODELOS!$A$3:$A$19,0))</f>
        <v>Recomendada</v>
      </c>
      <c r="J43" s="11" t="str">
        <f aca="false">IF(LEFT($D43,2)&lt;&gt;"AP",IF($I43="SIM","SIM","RECOMENDADA"),IF(INDEX(PRODUTOS!$J$4:$J$63,MATCH($A43,PRODUTOS!$B$4:$B$63,0))&lt;&gt;"","NÃO (usa o A+ do EAN "&amp;INDEX(PRODUTOS!$J$4:$J$63,MATCH($A43,PRODUTOS!$B$4:$B$63,0))&amp;")",IF(AND(INDEX(PRODUTOS!$I$4:$I$63,MATCH($A43,PRODUTOS!$B$4:$B$63,0))="B",$D43="AP07"),"NÃO (modelo B)","SIM")))</f>
        <v>RECOMENDADA</v>
      </c>
      <c r="K43" s="13" t="s">
        <v>325</v>
      </c>
      <c r="L43" s="13"/>
    </row>
    <row r="44" customFormat="false" ht="15" hidden="false" customHeight="false" outlineLevel="0" collapsed="false">
      <c r="A44" s="15" t="s">
        <v>62</v>
      </c>
      <c r="B44" s="11" t="str">
        <f aca="false">INDEX(PRODUTOS!$E$4:$E$63,MATCH($A44,PRODUTOS!$B$4:$B$63,0))</f>
        <v>New Dots Ração Seca Premium para Cães Adultos - 5 kg</v>
      </c>
      <c r="C44" s="11" t="str">
        <f aca="false">INDEX(PRODUTOS!$H$4:$H$63,MATCH($A44,PRODUTOS!$B$4:$B$63,0))</f>
        <v>5 kg</v>
      </c>
      <c r="D44" s="11" t="s">
        <v>331</v>
      </c>
      <c r="E44" s="16" t="str">
        <f aca="false">$A44&amp;"."&amp;$D44&amp;".jpg"</f>
        <v>7898968541467.PT06.jpg</v>
      </c>
      <c r="F44" s="11" t="str">
        <f aca="false">IF(INDEX(PRODUTOS!$I$4:$I$63,MATCH($A44,PRODUTOS!$B$4:$B$63,0))="B",INDEX(MODELOS!$F$3:$F$19,MATCH($D44,MODELOS!$A$3:$A$19,0)),INDEX(MODELOS!$B$3:$B$19,MATCH($D44,MODELOS!$A$3:$A$19,0)))</f>
        <v>Galeria · posição 7</v>
      </c>
      <c r="G44" s="11" t="str">
        <f aca="false">IF(INDEX(PRODUTOS!$F$4:$F$63,MATCH($A44,PRODUTOS!$B$4:$B$63,0))="Ração",IF(INDEX(PRODUTOS!$I$4:$I$63,MATCH($A44,PRODUTOS!$B$4:$B$63,0))="B",INDEX(MODELOS!$G$3:$G$19,MATCH($D44,MODELOS!$A$3:$A$19,0)),INDEX(MODELOS!$C$3:$C$19,MATCH($D44,MODELOS!$A$3:$A$19,0))),IF(INDEX(PRODUTOS!$I$4:$I$63,MATCH($A44,PRODUTOS!$B$4:$B$63,0))="B",INDEX(MODELOS!$H$3:$H$19,MATCH($D44,MODELOS!$A$3:$A$19,0)),INDEX(MODELOS!$D$3:$D$19,MATCH($D44,MODELOS!$A$3:$A$19,0))))</f>
        <v>Composição e níveis de garantia em letra grande</v>
      </c>
      <c r="H44" s="11" t="str">
        <f aca="false">IF(INDEX(PRODUTOS!$I$4:$I$63,MATCH($A44,PRODUTOS!$B$4:$B$63,0))="B",INDEX(MODELOS!$I$3:$I$19,MATCH($D44,MODELOS!$A$3:$A$19,0)),INDEX(MODELOS!$E$3:$E$19,MATCH($D44,MODELOS!$A$3:$A$19,0)))</f>
        <v>2000 × 2000</v>
      </c>
      <c r="I44" s="11" t="str">
        <f aca="false">INDEX(MODELOS!$J$3:$J$19,MATCH($D44,MODELOS!$A$3:$A$19,0))</f>
        <v>SIM</v>
      </c>
      <c r="J44" s="11" t="str">
        <f aca="false">IF(LEFT($D44,2)&lt;&gt;"AP",IF($I44="SIM","SIM","RECOMENDADA"),IF(INDEX(PRODUTOS!$J$4:$J$63,MATCH($A44,PRODUTOS!$B$4:$B$63,0))&lt;&gt;"","NÃO (usa o A+ do EAN "&amp;INDEX(PRODUTOS!$J$4:$J$63,MATCH($A44,PRODUTOS!$B$4:$B$63,0))&amp;")",IF(AND(INDEX(PRODUTOS!$I$4:$I$63,MATCH($A44,PRODUTOS!$B$4:$B$63,0))="B",$D44="AP07"),"NÃO (modelo B)","SIM")))</f>
        <v>SIM</v>
      </c>
      <c r="K44" s="13" t="s">
        <v>325</v>
      </c>
      <c r="L44" s="13"/>
    </row>
    <row r="45" customFormat="false" ht="15" hidden="false" customHeight="false" outlineLevel="0" collapsed="false">
      <c r="A45" s="15" t="s">
        <v>62</v>
      </c>
      <c r="B45" s="11" t="str">
        <f aca="false">INDEX(PRODUTOS!$E$4:$E$63,MATCH($A45,PRODUTOS!$B$4:$B$63,0))</f>
        <v>New Dots Ração Seca Premium para Cães Adultos - 5 kg</v>
      </c>
      <c r="C45" s="11" t="str">
        <f aca="false">INDEX(PRODUTOS!$H$4:$H$63,MATCH($A45,PRODUTOS!$B$4:$B$63,0))</f>
        <v>5 kg</v>
      </c>
      <c r="D45" s="11" t="s">
        <v>332</v>
      </c>
      <c r="E45" s="16" t="str">
        <f aca="false">$A45&amp;"."&amp;$D45&amp;".jpg"</f>
        <v>7898968541467.PT07.jpg</v>
      </c>
      <c r="F45" s="11" t="str">
        <f aca="false">IF(INDEX(PRODUTOS!$I$4:$I$63,MATCH($A45,PRODUTOS!$B$4:$B$63,0))="B",INDEX(MODELOS!$F$3:$F$19,MATCH($D45,MODELOS!$A$3:$A$19,0)),INDEX(MODELOS!$B$3:$B$19,MATCH($D45,MODELOS!$A$3:$A$19,0)))</f>
        <v>Galeria · posição 8</v>
      </c>
      <c r="G45" s="11" t="str">
        <f aca="false">IF(INDEX(PRODUTOS!$F$4:$F$63,MATCH($A45,PRODUTOS!$B$4:$B$63,0))="Ração",IF(INDEX(PRODUTOS!$I$4:$I$63,MATCH($A45,PRODUTOS!$B$4:$B$63,0))="B",INDEX(MODELOS!$G$3:$G$19,MATCH($D45,MODELOS!$A$3:$A$19,0)),INDEX(MODELOS!$C$3:$C$19,MATCH($D45,MODELOS!$A$3:$A$19,0))),IF(INDEX(PRODUTOS!$I$4:$I$63,MATCH($A45,PRODUTOS!$B$4:$B$63,0))="B",INDEX(MODELOS!$H$3:$H$19,MATCH($D45,MODELOS!$A$3:$A$19,0)),INDEX(MODELOS!$D$3:$D$19,MATCH($D45,MODELOS!$A$3:$A$19,0))))</f>
        <v>Emocional / momento de uso (pet do porte certo, pote cheio)</v>
      </c>
      <c r="H45" s="11" t="str">
        <f aca="false">IF(INDEX(PRODUTOS!$I$4:$I$63,MATCH($A45,PRODUTOS!$B$4:$B$63,0))="B",INDEX(MODELOS!$I$3:$I$19,MATCH($D45,MODELOS!$A$3:$A$19,0)),INDEX(MODELOS!$E$3:$E$19,MATCH($D45,MODELOS!$A$3:$A$19,0)))</f>
        <v>2000 × 2000</v>
      </c>
      <c r="I45" s="11" t="str">
        <f aca="false">INDEX(MODELOS!$J$3:$J$19,MATCH($D45,MODELOS!$A$3:$A$19,0))</f>
        <v>Recomendada</v>
      </c>
      <c r="J45" s="11" t="str">
        <f aca="false">IF(LEFT($D45,2)&lt;&gt;"AP",IF($I45="SIM","SIM","RECOMENDADA"),IF(INDEX(PRODUTOS!$J$4:$J$63,MATCH($A45,PRODUTOS!$B$4:$B$63,0))&lt;&gt;"","NÃO (usa o A+ do EAN "&amp;INDEX(PRODUTOS!$J$4:$J$63,MATCH($A45,PRODUTOS!$B$4:$B$63,0))&amp;")",IF(AND(INDEX(PRODUTOS!$I$4:$I$63,MATCH($A45,PRODUTOS!$B$4:$B$63,0))="B",$D45="AP07"),"NÃO (modelo B)","SIM")))</f>
        <v>RECOMENDADA</v>
      </c>
      <c r="K45" s="13" t="s">
        <v>325</v>
      </c>
      <c r="L45" s="13"/>
    </row>
    <row r="46" customFormat="false" ht="15" hidden="false" customHeight="false" outlineLevel="0" collapsed="false">
      <c r="A46" s="15" t="s">
        <v>62</v>
      </c>
      <c r="B46" s="11" t="str">
        <f aca="false">INDEX(PRODUTOS!$E$4:$E$63,MATCH($A46,PRODUTOS!$B$4:$B$63,0))</f>
        <v>New Dots Ração Seca Premium para Cães Adultos - 5 kg</v>
      </c>
      <c r="C46" s="11" t="str">
        <f aca="false">INDEX(PRODUTOS!$H$4:$H$63,MATCH($A46,PRODUTOS!$B$4:$B$63,0))</f>
        <v>5 kg</v>
      </c>
      <c r="D46" s="11" t="s">
        <v>333</v>
      </c>
      <c r="E46" s="16" t="str">
        <f aca="false">$A46&amp;"."&amp;$D46&amp;".jpg"</f>
        <v>7898968541467.PT08.jpg</v>
      </c>
      <c r="F46" s="11" t="str">
        <f aca="false">IF(INDEX(PRODUTOS!$I$4:$I$63,MATCH($A46,PRODUTOS!$B$4:$B$63,0))="B",INDEX(MODELOS!$F$3:$F$19,MATCH($D46,MODELOS!$A$3:$A$19,0)),INDEX(MODELOS!$B$3:$B$19,MATCH($D46,MODELOS!$A$3:$A$19,0)))</f>
        <v>Galeria · posição 9</v>
      </c>
      <c r="G46" s="11" t="str">
        <f aca="false">IF(INDEX(PRODUTOS!$F$4:$F$63,MATCH($A46,PRODUTOS!$B$4:$B$63,0))="Ração",IF(INDEX(PRODUTOS!$I$4:$I$63,MATCH($A46,PRODUTOS!$B$4:$B$63,0))="B",INDEX(MODELOS!$G$3:$G$19,MATCH($D46,MODELOS!$A$3:$A$19,0)),INDEX(MODELOS!$C$3:$C$19,MATCH($D46,MODELOS!$A$3:$A$19,0))),IF(INDEX(PRODUTOS!$I$4:$I$63,MATCH($A46,PRODUTOS!$B$4:$B$63,0))="B",INDEX(MODELOS!$H$3:$H$19,MATCH($D46,MODELOS!$A$3:$A$19,0)),INDEX(MODELOS!$D$3:$D$19,MATCH($D46,MODELOS!$A$3:$A$19,0))))</f>
        <v>Linha da marca ou embalagem anterior × nova</v>
      </c>
      <c r="H46" s="11" t="str">
        <f aca="false">IF(INDEX(PRODUTOS!$I$4:$I$63,MATCH($A46,PRODUTOS!$B$4:$B$63,0))="B",INDEX(MODELOS!$I$3:$I$19,MATCH($D46,MODELOS!$A$3:$A$19,0)),INDEX(MODELOS!$E$3:$E$19,MATCH($D46,MODELOS!$A$3:$A$19,0)))</f>
        <v>2000 × 2000</v>
      </c>
      <c r="I46" s="11" t="str">
        <f aca="false">INDEX(MODELOS!$J$3:$J$19,MATCH($D46,MODELOS!$A$3:$A$19,0))</f>
        <v>Recomendada</v>
      </c>
      <c r="J46" s="11" t="str">
        <f aca="false">IF(LEFT($D46,2)&lt;&gt;"AP",IF($I46="SIM","SIM","RECOMENDADA"),IF(INDEX(PRODUTOS!$J$4:$J$63,MATCH($A46,PRODUTOS!$B$4:$B$63,0))&lt;&gt;"","NÃO (usa o A+ do EAN "&amp;INDEX(PRODUTOS!$J$4:$J$63,MATCH($A46,PRODUTOS!$B$4:$B$63,0))&amp;")",IF(AND(INDEX(PRODUTOS!$I$4:$I$63,MATCH($A46,PRODUTOS!$B$4:$B$63,0))="B",$D46="AP07"),"NÃO (modelo B)","SIM")))</f>
        <v>RECOMENDADA</v>
      </c>
      <c r="K46" s="13" t="s">
        <v>325</v>
      </c>
      <c r="L46" s="13"/>
    </row>
    <row r="47" customFormat="false" ht="15" hidden="false" customHeight="false" outlineLevel="0" collapsed="false">
      <c r="A47" s="15" t="s">
        <v>62</v>
      </c>
      <c r="B47" s="11" t="str">
        <f aca="false">INDEX(PRODUTOS!$E$4:$E$63,MATCH($A47,PRODUTOS!$B$4:$B$63,0))</f>
        <v>New Dots Ração Seca Premium para Cães Adultos - 5 kg</v>
      </c>
      <c r="C47" s="11" t="str">
        <f aca="false">INDEX(PRODUTOS!$H$4:$H$63,MATCH($A47,PRODUTOS!$B$4:$B$63,0))</f>
        <v>5 kg</v>
      </c>
      <c r="D47" s="11" t="s">
        <v>334</v>
      </c>
      <c r="E47" s="16" t="str">
        <f aca="false">$A47&amp;"."&amp;$D47&amp;".jpg"</f>
        <v>7898968541467.AP01.jpg</v>
      </c>
      <c r="F47" s="11" t="str">
        <f aca="false">IF(INDEX(PRODUTOS!$I$4:$I$63,MATCH($A47,PRODUTOS!$B$4:$B$63,0))="B",INDEX(MODELOS!$F$3:$F$19,MATCH($D47,MODELOS!$A$3:$A$19,0)),INDEX(MODELOS!$B$3:$B$19,MATCH($D47,MODELOS!$A$3:$A$19,0)))</f>
        <v>A+ · Módulo 1 · Banner</v>
      </c>
      <c r="G47" s="11" t="str">
        <f aca="false">IF(INDEX(PRODUTOS!$F$4:$F$63,MATCH($A47,PRODUTOS!$B$4:$B$63,0))="Ração",IF(INDEX(PRODUTOS!$I$4:$I$63,MATCH($A47,PRODUTOS!$B$4:$B$63,0))="B",INDEX(MODELOS!$G$3:$G$19,MATCH($D47,MODELOS!$A$3:$A$19,0)),INDEX(MODELOS!$C$3:$C$19,MATCH($D47,MODELOS!$A$3:$A$19,0))),IF(INDEX(PRODUTOS!$I$4:$I$63,MATCH($A47,PRODUTOS!$B$4:$B$63,0))="B",INDEX(MODELOS!$H$3:$H$19,MATCH($D47,MODELOS!$A$3:$A$19,0)),INDEX(MODELOS!$D$3:$D$19,MATCH($D47,MODELOS!$A$3:$A$19,0))))</f>
        <v>Embalagem + pet + ingredientes, com o nome da linha</v>
      </c>
      <c r="H47" s="11" t="str">
        <f aca="false">IF(INDEX(PRODUTOS!$I$4:$I$63,MATCH($A47,PRODUTOS!$B$4:$B$63,0))="B",INDEX(MODELOS!$I$3:$I$19,MATCH($D47,MODELOS!$A$3:$A$19,0)),INDEX(MODELOS!$E$3:$E$19,MATCH($D47,MODELOS!$A$3:$A$19,0)))</f>
        <v>970 × 600</v>
      </c>
      <c r="I47" s="11" t="str">
        <f aca="false">INDEX(MODELOS!$J$3:$J$19,MATCH($D47,MODELOS!$A$3:$A$19,0))</f>
        <v>Conforme modelo</v>
      </c>
      <c r="J47" s="11" t="str">
        <f aca="false">IF(LEFT($D47,2)&lt;&gt;"AP",IF($I47="SIM","SIM","RECOMENDADA"),IF(INDEX(PRODUTOS!$J$4:$J$63,MATCH($A47,PRODUTOS!$B$4:$B$63,0))&lt;&gt;"","NÃO (usa o A+ do EAN "&amp;INDEX(PRODUTOS!$J$4:$J$63,MATCH($A47,PRODUTOS!$B$4:$B$63,0))&amp;")",IF(AND(INDEX(PRODUTOS!$I$4:$I$63,MATCH($A47,PRODUTOS!$B$4:$B$63,0))="B",$D47="AP07"),"NÃO (modelo B)","SIM")))</f>
        <v>NÃO (usa o A+ do EAN 7898968541504)</v>
      </c>
      <c r="K47" s="13" t="s">
        <v>325</v>
      </c>
      <c r="L47" s="13"/>
    </row>
    <row r="48" customFormat="false" ht="15" hidden="false" customHeight="false" outlineLevel="0" collapsed="false">
      <c r="A48" s="15" t="s">
        <v>62</v>
      </c>
      <c r="B48" s="11" t="str">
        <f aca="false">INDEX(PRODUTOS!$E$4:$E$63,MATCH($A48,PRODUTOS!$B$4:$B$63,0))</f>
        <v>New Dots Ração Seca Premium para Cães Adultos - 5 kg</v>
      </c>
      <c r="C48" s="11" t="str">
        <f aca="false">INDEX(PRODUTOS!$H$4:$H$63,MATCH($A48,PRODUTOS!$B$4:$B$63,0))</f>
        <v>5 kg</v>
      </c>
      <c r="D48" s="11" t="s">
        <v>335</v>
      </c>
      <c r="E48" s="16" t="str">
        <f aca="false">$A48&amp;"."&amp;$D48&amp;".jpg"</f>
        <v>7898968541467.AP02.jpg</v>
      </c>
      <c r="F48" s="11" t="str">
        <f aca="false">IF(INDEX(PRODUTOS!$I$4:$I$63,MATCH($A48,PRODUTOS!$B$4:$B$63,0))="B",INDEX(MODELOS!$F$3:$F$19,MATCH($D48,MODELOS!$A$3:$A$19,0)),INDEX(MODELOS!$B$3:$B$19,MATCH($D48,MODELOS!$A$3:$A$19,0)))</f>
        <v>A+ · Módulo 2 · Texto sobreposto</v>
      </c>
      <c r="G48" s="11" t="str">
        <f aca="false">IF(INDEX(PRODUTOS!$F$4:$F$63,MATCH($A48,PRODUTOS!$B$4:$B$63,0))="Ração",IF(INDEX(PRODUTOS!$I$4:$I$63,MATCH($A48,PRODUTOS!$B$4:$B$63,0))="B",INDEX(MODELOS!$G$3:$G$19,MATCH($D48,MODELOS!$A$3:$A$19,0)),INDEX(MODELOS!$C$3:$C$19,MATCH($D48,MODELOS!$A$3:$A$19,0))),IF(INDEX(PRODUTOS!$I$4:$I$63,MATCH($A48,PRODUTOS!$B$4:$B$63,0))="B",INDEX(MODELOS!$H$3:$H$19,MATCH($D48,MODELOS!$A$3:$A$19,0)),INDEX(MODELOS!$D$3:$D$19,MATCH($D48,MODELOS!$A$3:$A$19,0))))</f>
        <v>Principal diferencial; deixar o lado direito limpo</v>
      </c>
      <c r="H48" s="11" t="str">
        <f aca="false">IF(INDEX(PRODUTOS!$I$4:$I$63,MATCH($A48,PRODUTOS!$B$4:$B$63,0))="B",INDEX(MODELOS!$I$3:$I$19,MATCH($D48,MODELOS!$A$3:$A$19,0)),INDEX(MODELOS!$E$3:$E$19,MATCH($D48,MODELOS!$A$3:$A$19,0)))</f>
        <v>970 × 300</v>
      </c>
      <c r="I48" s="11" t="str">
        <f aca="false">INDEX(MODELOS!$J$3:$J$19,MATCH($D48,MODELOS!$A$3:$A$19,0))</f>
        <v>Conforme modelo</v>
      </c>
      <c r="J48" s="11" t="str">
        <f aca="false">IF(LEFT($D48,2)&lt;&gt;"AP",IF($I48="SIM","SIM","RECOMENDADA"),IF(INDEX(PRODUTOS!$J$4:$J$63,MATCH($A48,PRODUTOS!$B$4:$B$63,0))&lt;&gt;"","NÃO (usa o A+ do EAN "&amp;INDEX(PRODUTOS!$J$4:$J$63,MATCH($A48,PRODUTOS!$B$4:$B$63,0))&amp;")",IF(AND(INDEX(PRODUTOS!$I$4:$I$63,MATCH($A48,PRODUTOS!$B$4:$B$63,0))="B",$D48="AP07"),"NÃO (modelo B)","SIM")))</f>
        <v>NÃO (usa o A+ do EAN 7898968541504)</v>
      </c>
      <c r="K48" s="13" t="s">
        <v>325</v>
      </c>
      <c r="L48" s="13"/>
    </row>
    <row r="49" customFormat="false" ht="15" hidden="false" customHeight="false" outlineLevel="0" collapsed="false">
      <c r="A49" s="15" t="s">
        <v>62</v>
      </c>
      <c r="B49" s="11" t="str">
        <f aca="false">INDEX(PRODUTOS!$E$4:$E$63,MATCH($A49,PRODUTOS!$B$4:$B$63,0))</f>
        <v>New Dots Ração Seca Premium para Cães Adultos - 5 kg</v>
      </c>
      <c r="C49" s="11" t="str">
        <f aca="false">INDEX(PRODUTOS!$H$4:$H$63,MATCH($A49,PRODUTOS!$B$4:$B$63,0))</f>
        <v>5 kg</v>
      </c>
      <c r="D49" s="11" t="s">
        <v>336</v>
      </c>
      <c r="E49" s="16" t="str">
        <f aca="false">$A49&amp;"."&amp;$D49&amp;".jpg"</f>
        <v>7898968541467.AP03.jpg</v>
      </c>
      <c r="F49" s="11" t="str">
        <f aca="false">IF(INDEX(PRODUTOS!$I$4:$I$63,MATCH($A49,PRODUTOS!$B$4:$B$63,0))="B",INDEX(MODELOS!$F$3:$F$19,MATCH($D49,MODELOS!$A$3:$A$19,0)),INDEX(MODELOS!$B$3:$B$19,MATCH($D49,MODELOS!$A$3:$A$19,0)))</f>
        <v>A+ · Módulo 3 · Benefício 1 de 4</v>
      </c>
      <c r="G49" s="11" t="str">
        <f aca="false">IF(INDEX(PRODUTOS!$F$4:$F$63,MATCH($A49,PRODUTOS!$B$4:$B$63,0))="Ração",IF(INDEX(PRODUTOS!$I$4:$I$63,MATCH($A49,PRODUTOS!$B$4:$B$63,0))="B",INDEX(MODELOS!$G$3:$G$19,MATCH($D49,MODELOS!$A$3:$A$19,0)),INDEX(MODELOS!$C$3:$C$19,MATCH($D49,MODELOS!$A$3:$A$19,0))),IF(INDEX(PRODUTOS!$I$4:$I$63,MATCH($A49,PRODUTOS!$B$4:$B$63,0))="B",INDEX(MODELOS!$H$3:$H$19,MATCH($D49,MODELOS!$A$3:$A$19,0)),INDEX(MODELOS!$D$3:$D$19,MATCH($D49,MODELOS!$A$3:$A$19,0))))</f>
        <v>Foto/ilustração do benefício 1</v>
      </c>
      <c r="H49" s="11" t="str">
        <f aca="false">IF(INDEX(PRODUTOS!$I$4:$I$63,MATCH($A49,PRODUTOS!$B$4:$B$63,0))="B",INDEX(MODELOS!$I$3:$I$19,MATCH($D49,MODELOS!$A$3:$A$19,0)),INDEX(MODELOS!$E$3:$E$19,MATCH($D49,MODELOS!$A$3:$A$19,0)))</f>
        <v>220 × 200</v>
      </c>
      <c r="I49" s="11" t="str">
        <f aca="false">INDEX(MODELOS!$J$3:$J$19,MATCH($D49,MODELOS!$A$3:$A$19,0))</f>
        <v>Conforme modelo</v>
      </c>
      <c r="J49" s="11" t="str">
        <f aca="false">IF(LEFT($D49,2)&lt;&gt;"AP",IF($I49="SIM","SIM","RECOMENDADA"),IF(INDEX(PRODUTOS!$J$4:$J$63,MATCH($A49,PRODUTOS!$B$4:$B$63,0))&lt;&gt;"","NÃO (usa o A+ do EAN "&amp;INDEX(PRODUTOS!$J$4:$J$63,MATCH($A49,PRODUTOS!$B$4:$B$63,0))&amp;")",IF(AND(INDEX(PRODUTOS!$I$4:$I$63,MATCH($A49,PRODUTOS!$B$4:$B$63,0))="B",$D49="AP07"),"NÃO (modelo B)","SIM")))</f>
        <v>NÃO (usa o A+ do EAN 7898968541504)</v>
      </c>
      <c r="K49" s="13" t="s">
        <v>325</v>
      </c>
      <c r="L49" s="13"/>
    </row>
    <row r="50" customFormat="false" ht="15" hidden="false" customHeight="false" outlineLevel="0" collapsed="false">
      <c r="A50" s="15" t="s">
        <v>62</v>
      </c>
      <c r="B50" s="11" t="str">
        <f aca="false">INDEX(PRODUTOS!$E$4:$E$63,MATCH($A50,PRODUTOS!$B$4:$B$63,0))</f>
        <v>New Dots Ração Seca Premium para Cães Adultos - 5 kg</v>
      </c>
      <c r="C50" s="11" t="str">
        <f aca="false">INDEX(PRODUTOS!$H$4:$H$63,MATCH($A50,PRODUTOS!$B$4:$B$63,0))</f>
        <v>5 kg</v>
      </c>
      <c r="D50" s="11" t="s">
        <v>337</v>
      </c>
      <c r="E50" s="16" t="str">
        <f aca="false">$A50&amp;"."&amp;$D50&amp;".jpg"</f>
        <v>7898968541467.AP04.jpg</v>
      </c>
      <c r="F50" s="11" t="str">
        <f aca="false">IF(INDEX(PRODUTOS!$I$4:$I$63,MATCH($A50,PRODUTOS!$B$4:$B$63,0))="B",INDEX(MODELOS!$F$3:$F$19,MATCH($D50,MODELOS!$A$3:$A$19,0)),INDEX(MODELOS!$B$3:$B$19,MATCH($D50,MODELOS!$A$3:$A$19,0)))</f>
        <v>A+ · Módulo 3 · Benefício 2 de 4</v>
      </c>
      <c r="G50" s="11" t="str">
        <f aca="false">IF(INDEX(PRODUTOS!$F$4:$F$63,MATCH($A50,PRODUTOS!$B$4:$B$63,0))="Ração",IF(INDEX(PRODUTOS!$I$4:$I$63,MATCH($A50,PRODUTOS!$B$4:$B$63,0))="B",INDEX(MODELOS!$G$3:$G$19,MATCH($D50,MODELOS!$A$3:$A$19,0)),INDEX(MODELOS!$C$3:$C$19,MATCH($D50,MODELOS!$A$3:$A$19,0))),IF(INDEX(PRODUTOS!$I$4:$I$63,MATCH($A50,PRODUTOS!$B$4:$B$63,0))="B",INDEX(MODELOS!$H$3:$H$19,MATCH($D50,MODELOS!$A$3:$A$19,0)),INDEX(MODELOS!$D$3:$D$19,MATCH($D50,MODELOS!$A$3:$A$19,0))))</f>
        <v>Foto/ilustração do benefício 2</v>
      </c>
      <c r="H50" s="11" t="str">
        <f aca="false">IF(INDEX(PRODUTOS!$I$4:$I$63,MATCH($A50,PRODUTOS!$B$4:$B$63,0))="B",INDEX(MODELOS!$I$3:$I$19,MATCH($D50,MODELOS!$A$3:$A$19,0)),INDEX(MODELOS!$E$3:$E$19,MATCH($D50,MODELOS!$A$3:$A$19,0)))</f>
        <v>220 × 200</v>
      </c>
      <c r="I50" s="11" t="str">
        <f aca="false">INDEX(MODELOS!$J$3:$J$19,MATCH($D50,MODELOS!$A$3:$A$19,0))</f>
        <v>Conforme modelo</v>
      </c>
      <c r="J50" s="11" t="str">
        <f aca="false">IF(LEFT($D50,2)&lt;&gt;"AP",IF($I50="SIM","SIM","RECOMENDADA"),IF(INDEX(PRODUTOS!$J$4:$J$63,MATCH($A50,PRODUTOS!$B$4:$B$63,0))&lt;&gt;"","NÃO (usa o A+ do EAN "&amp;INDEX(PRODUTOS!$J$4:$J$63,MATCH($A50,PRODUTOS!$B$4:$B$63,0))&amp;")",IF(AND(INDEX(PRODUTOS!$I$4:$I$63,MATCH($A50,PRODUTOS!$B$4:$B$63,0))="B",$D50="AP07"),"NÃO (modelo B)","SIM")))</f>
        <v>NÃO (usa o A+ do EAN 7898968541504)</v>
      </c>
      <c r="K50" s="13" t="s">
        <v>325</v>
      </c>
      <c r="L50" s="13"/>
    </row>
    <row r="51" customFormat="false" ht="15" hidden="false" customHeight="false" outlineLevel="0" collapsed="false">
      <c r="A51" s="15" t="s">
        <v>62</v>
      </c>
      <c r="B51" s="11" t="str">
        <f aca="false">INDEX(PRODUTOS!$E$4:$E$63,MATCH($A51,PRODUTOS!$B$4:$B$63,0))</f>
        <v>New Dots Ração Seca Premium para Cães Adultos - 5 kg</v>
      </c>
      <c r="C51" s="11" t="str">
        <f aca="false">INDEX(PRODUTOS!$H$4:$H$63,MATCH($A51,PRODUTOS!$B$4:$B$63,0))</f>
        <v>5 kg</v>
      </c>
      <c r="D51" s="11" t="s">
        <v>338</v>
      </c>
      <c r="E51" s="16" t="str">
        <f aca="false">$A51&amp;"."&amp;$D51&amp;".jpg"</f>
        <v>7898968541467.AP05.jpg</v>
      </c>
      <c r="F51" s="11" t="str">
        <f aca="false">IF(INDEX(PRODUTOS!$I$4:$I$63,MATCH($A51,PRODUTOS!$B$4:$B$63,0))="B",INDEX(MODELOS!$F$3:$F$19,MATCH($D51,MODELOS!$A$3:$A$19,0)),INDEX(MODELOS!$B$3:$B$19,MATCH($D51,MODELOS!$A$3:$A$19,0)))</f>
        <v>A+ · Módulo 3 · Benefício 3 de 4</v>
      </c>
      <c r="G51" s="11" t="str">
        <f aca="false">IF(INDEX(PRODUTOS!$F$4:$F$63,MATCH($A51,PRODUTOS!$B$4:$B$63,0))="Ração",IF(INDEX(PRODUTOS!$I$4:$I$63,MATCH($A51,PRODUTOS!$B$4:$B$63,0))="B",INDEX(MODELOS!$G$3:$G$19,MATCH($D51,MODELOS!$A$3:$A$19,0)),INDEX(MODELOS!$C$3:$C$19,MATCH($D51,MODELOS!$A$3:$A$19,0))),IF(INDEX(PRODUTOS!$I$4:$I$63,MATCH($A51,PRODUTOS!$B$4:$B$63,0))="B",INDEX(MODELOS!$H$3:$H$19,MATCH($D51,MODELOS!$A$3:$A$19,0)),INDEX(MODELOS!$D$3:$D$19,MATCH($D51,MODELOS!$A$3:$A$19,0))))</f>
        <v>Foto/ilustração do benefício 3</v>
      </c>
      <c r="H51" s="11" t="str">
        <f aca="false">IF(INDEX(PRODUTOS!$I$4:$I$63,MATCH($A51,PRODUTOS!$B$4:$B$63,0))="B",INDEX(MODELOS!$I$3:$I$19,MATCH($D51,MODELOS!$A$3:$A$19,0)),INDEX(MODELOS!$E$3:$E$19,MATCH($D51,MODELOS!$A$3:$A$19,0)))</f>
        <v>220 × 200</v>
      </c>
      <c r="I51" s="11" t="str">
        <f aca="false">INDEX(MODELOS!$J$3:$J$19,MATCH($D51,MODELOS!$A$3:$A$19,0))</f>
        <v>Conforme modelo</v>
      </c>
      <c r="J51" s="11" t="str">
        <f aca="false">IF(LEFT($D51,2)&lt;&gt;"AP",IF($I51="SIM","SIM","RECOMENDADA"),IF(INDEX(PRODUTOS!$J$4:$J$63,MATCH($A51,PRODUTOS!$B$4:$B$63,0))&lt;&gt;"","NÃO (usa o A+ do EAN "&amp;INDEX(PRODUTOS!$J$4:$J$63,MATCH($A51,PRODUTOS!$B$4:$B$63,0))&amp;")",IF(AND(INDEX(PRODUTOS!$I$4:$I$63,MATCH($A51,PRODUTOS!$B$4:$B$63,0))="B",$D51="AP07"),"NÃO (modelo B)","SIM")))</f>
        <v>NÃO (usa o A+ do EAN 7898968541504)</v>
      </c>
      <c r="K51" s="13" t="s">
        <v>325</v>
      </c>
      <c r="L51" s="13"/>
    </row>
    <row r="52" customFormat="false" ht="15" hidden="false" customHeight="false" outlineLevel="0" collapsed="false">
      <c r="A52" s="15" t="s">
        <v>62</v>
      </c>
      <c r="B52" s="11" t="str">
        <f aca="false">INDEX(PRODUTOS!$E$4:$E$63,MATCH($A52,PRODUTOS!$B$4:$B$63,0))</f>
        <v>New Dots Ração Seca Premium para Cães Adultos - 5 kg</v>
      </c>
      <c r="C52" s="11" t="str">
        <f aca="false">INDEX(PRODUTOS!$H$4:$H$63,MATCH($A52,PRODUTOS!$B$4:$B$63,0))</f>
        <v>5 kg</v>
      </c>
      <c r="D52" s="11" t="s">
        <v>339</v>
      </c>
      <c r="E52" s="16" t="str">
        <f aca="false">$A52&amp;"."&amp;$D52&amp;".jpg"</f>
        <v>7898968541467.AP06.jpg</v>
      </c>
      <c r="F52" s="11" t="str">
        <f aca="false">IF(INDEX(PRODUTOS!$I$4:$I$63,MATCH($A52,PRODUTOS!$B$4:$B$63,0))="B",INDEX(MODELOS!$F$3:$F$19,MATCH($D52,MODELOS!$A$3:$A$19,0)),INDEX(MODELOS!$B$3:$B$19,MATCH($D52,MODELOS!$A$3:$A$19,0)))</f>
        <v>A+ · Módulo 3 · Benefício 4 de 4</v>
      </c>
      <c r="G52" s="11" t="str">
        <f aca="false">IF(INDEX(PRODUTOS!$F$4:$F$63,MATCH($A52,PRODUTOS!$B$4:$B$63,0))="Ração",IF(INDEX(PRODUTOS!$I$4:$I$63,MATCH($A52,PRODUTOS!$B$4:$B$63,0))="B",INDEX(MODELOS!$G$3:$G$19,MATCH($D52,MODELOS!$A$3:$A$19,0)),INDEX(MODELOS!$C$3:$C$19,MATCH($D52,MODELOS!$A$3:$A$19,0))),IF(INDEX(PRODUTOS!$I$4:$I$63,MATCH($A52,PRODUTOS!$B$4:$B$63,0))="B",INDEX(MODELOS!$H$3:$H$19,MATCH($D52,MODELOS!$A$3:$A$19,0)),INDEX(MODELOS!$D$3:$D$19,MATCH($D52,MODELOS!$A$3:$A$19,0))))</f>
        <v>Foto/ilustração do benefício 4</v>
      </c>
      <c r="H52" s="11" t="str">
        <f aca="false">IF(INDEX(PRODUTOS!$I$4:$I$63,MATCH($A52,PRODUTOS!$B$4:$B$63,0))="B",INDEX(MODELOS!$I$3:$I$19,MATCH($D52,MODELOS!$A$3:$A$19,0)),INDEX(MODELOS!$E$3:$E$19,MATCH($D52,MODELOS!$A$3:$A$19,0)))</f>
        <v>220 × 200</v>
      </c>
      <c r="I52" s="11" t="str">
        <f aca="false">INDEX(MODELOS!$J$3:$J$19,MATCH($D52,MODELOS!$A$3:$A$19,0))</f>
        <v>Conforme modelo</v>
      </c>
      <c r="J52" s="11" t="str">
        <f aca="false">IF(LEFT($D52,2)&lt;&gt;"AP",IF($I52="SIM","SIM","RECOMENDADA"),IF(INDEX(PRODUTOS!$J$4:$J$63,MATCH($A52,PRODUTOS!$B$4:$B$63,0))&lt;&gt;"","NÃO (usa o A+ do EAN "&amp;INDEX(PRODUTOS!$J$4:$J$63,MATCH($A52,PRODUTOS!$B$4:$B$63,0))&amp;")",IF(AND(INDEX(PRODUTOS!$I$4:$I$63,MATCH($A52,PRODUTOS!$B$4:$B$63,0))="B",$D52="AP07"),"NÃO (modelo B)","SIM")))</f>
        <v>NÃO (usa o A+ do EAN 7898968541504)</v>
      </c>
      <c r="K52" s="13" t="s">
        <v>325</v>
      </c>
      <c r="L52" s="13"/>
    </row>
    <row r="53" customFormat="false" ht="15" hidden="false" customHeight="false" outlineLevel="0" collapsed="false">
      <c r="A53" s="15" t="s">
        <v>62</v>
      </c>
      <c r="B53" s="11" t="str">
        <f aca="false">INDEX(PRODUTOS!$E$4:$E$63,MATCH($A53,PRODUTOS!$B$4:$B$63,0))</f>
        <v>New Dots Ração Seca Premium para Cães Adultos - 5 kg</v>
      </c>
      <c r="C53" s="11" t="str">
        <f aca="false">INDEX(PRODUTOS!$H$4:$H$63,MATCH($A53,PRODUTOS!$B$4:$B$63,0))</f>
        <v>5 kg</v>
      </c>
      <c r="D53" s="11" t="s">
        <v>340</v>
      </c>
      <c r="E53" s="16" t="str">
        <f aca="false">$A53&amp;"."&amp;$D53&amp;".jpg"</f>
        <v>7898968541467.AP07.jpg</v>
      </c>
      <c r="F53" s="11" t="str">
        <f aca="false">IF(INDEX(PRODUTOS!$I$4:$I$63,MATCH($A53,PRODUTOS!$B$4:$B$63,0))="B",INDEX(MODELOS!$F$3:$F$19,MATCH($D53,MODELOS!$A$3:$A$19,0)),INDEX(MODELOS!$B$3:$B$19,MATCH($D53,MODELOS!$A$3:$A$19,0)))</f>
        <v>A+ · Módulo 4 · Especificações</v>
      </c>
      <c r="G53" s="11" t="str">
        <f aca="false">IF(INDEX(PRODUTOS!$F$4:$F$63,MATCH($A53,PRODUTOS!$B$4:$B$63,0))="Ração",IF(INDEX(PRODUTOS!$I$4:$I$63,MATCH($A53,PRODUTOS!$B$4:$B$63,0))="B",INDEX(MODELOS!$G$3:$G$19,MATCH($D53,MODELOS!$A$3:$A$19,0)),INDEX(MODELOS!$C$3:$C$19,MATCH($D53,MODELOS!$A$3:$A$19,0))),IF(INDEX(PRODUTOS!$I$4:$I$63,MATCH($A53,PRODUTOS!$B$4:$B$63,0))="B",INDEX(MODELOS!$H$3:$H$19,MATCH($D53,MODELOS!$A$3:$A$19,0)),INDEX(MODELOS!$D$3:$D$19,MATCH($D53,MODELOS!$A$3:$A$19,0))))</f>
        <v>Grão ou pacote em destaque</v>
      </c>
      <c r="H53" s="11" t="str">
        <f aca="false">IF(INDEX(PRODUTOS!$I$4:$I$63,MATCH($A53,PRODUTOS!$B$4:$B$63,0))="B",INDEX(MODELOS!$I$3:$I$19,MATCH($D53,MODELOS!$A$3:$A$19,0)),INDEX(MODELOS!$E$3:$E$19,MATCH($D53,MODELOS!$A$3:$A$19,0)))</f>
        <v>300 × 300</v>
      </c>
      <c r="I53" s="11" t="str">
        <f aca="false">INDEX(MODELOS!$J$3:$J$19,MATCH($D53,MODELOS!$A$3:$A$19,0))</f>
        <v>Conforme modelo</v>
      </c>
      <c r="J53" s="11" t="str">
        <f aca="false">IF(LEFT($D53,2)&lt;&gt;"AP",IF($I53="SIM","SIM","RECOMENDADA"),IF(INDEX(PRODUTOS!$J$4:$J$63,MATCH($A53,PRODUTOS!$B$4:$B$63,0))&lt;&gt;"","NÃO (usa o A+ do EAN "&amp;INDEX(PRODUTOS!$J$4:$J$63,MATCH($A53,PRODUTOS!$B$4:$B$63,0))&amp;")",IF(AND(INDEX(PRODUTOS!$I$4:$I$63,MATCH($A53,PRODUTOS!$B$4:$B$63,0))="B",$D53="AP07"),"NÃO (modelo B)","SIM")))</f>
        <v>NÃO (usa o A+ do EAN 7898968541504)</v>
      </c>
      <c r="K53" s="13" t="s">
        <v>325</v>
      </c>
      <c r="L53" s="13"/>
    </row>
    <row r="54" customFormat="false" ht="15" hidden="false" customHeight="false" outlineLevel="0" collapsed="false">
      <c r="A54" s="15" t="s">
        <v>62</v>
      </c>
      <c r="B54" s="11" t="str">
        <f aca="false">INDEX(PRODUTOS!$E$4:$E$63,MATCH($A54,PRODUTOS!$B$4:$B$63,0))</f>
        <v>New Dots Ração Seca Premium para Cães Adultos - 5 kg</v>
      </c>
      <c r="C54" s="11" t="str">
        <f aca="false">INDEX(PRODUTOS!$H$4:$H$63,MATCH($A54,PRODUTOS!$B$4:$B$63,0))</f>
        <v>5 kg</v>
      </c>
      <c r="D54" s="11" t="s">
        <v>341</v>
      </c>
      <c r="E54" s="16" t="str">
        <f aca="false">$A54&amp;"."&amp;$D54&amp;".jpg"</f>
        <v>7898968541467.COMP.jpg</v>
      </c>
      <c r="F54" s="11" t="str">
        <f aca="false">IF(INDEX(PRODUTOS!$I$4:$I$63,MATCH($A54,PRODUTOS!$B$4:$B$63,0))="B",INDEX(MODELOS!$F$3:$F$19,MATCH($D54,MODELOS!$A$3:$A$19,0)),INDEX(MODELOS!$B$3:$B$19,MATCH($D54,MODELOS!$A$3:$A$19,0)))</f>
        <v>A+ · Tabela comparativa</v>
      </c>
      <c r="G54" s="11" t="str">
        <f aca="false">IF(INDEX(PRODUTOS!$F$4:$F$63,MATCH($A54,PRODUTOS!$B$4:$B$63,0))="Ração",IF(INDEX(PRODUTOS!$I$4:$I$63,MATCH($A54,PRODUTOS!$B$4:$B$63,0))="B",INDEX(MODELOS!$G$3:$G$19,MATCH($D54,MODELOS!$A$3:$A$19,0)),INDEX(MODELOS!$C$3:$C$19,MATCH($D54,MODELOS!$A$3:$A$19,0))),IF(INDEX(PRODUTOS!$I$4:$I$63,MATCH($A54,PRODUTOS!$B$4:$B$63,0))="B",INDEX(MODELOS!$H$3:$H$19,MATCH($D54,MODELOS!$A$3:$A$19,0)),INDEX(MODELOS!$D$3:$D$19,MATCH($D54,MODELOS!$A$3:$A$19,0))))</f>
        <v>Pacote na vertical, sem fundo colorido</v>
      </c>
      <c r="H54" s="11" t="str">
        <f aca="false">IF(INDEX(PRODUTOS!$I$4:$I$63,MATCH($A54,PRODUTOS!$B$4:$B$63,0))="B",INDEX(MODELOS!$I$3:$I$19,MATCH($D54,MODELOS!$A$3:$A$19,0)),INDEX(MODELOS!$E$3:$E$19,MATCH($D54,MODELOS!$A$3:$A$19,0)))</f>
        <v>150 × 300</v>
      </c>
      <c r="I54" s="11" t="str">
        <f aca="false">INDEX(MODELOS!$J$3:$J$19,MATCH($D54,MODELOS!$A$3:$A$19,0))</f>
        <v>SIM</v>
      </c>
      <c r="J54" s="11" t="str">
        <f aca="false">IF(LEFT($D54,2)&lt;&gt;"AP",IF($I54="SIM","SIM","RECOMENDADA"),IF(INDEX(PRODUTOS!$J$4:$J$63,MATCH($A54,PRODUTOS!$B$4:$B$63,0))&lt;&gt;"","NÃO (usa o A+ do EAN "&amp;INDEX(PRODUTOS!$J$4:$J$63,MATCH($A54,PRODUTOS!$B$4:$B$63,0))&amp;")",IF(AND(INDEX(PRODUTOS!$I$4:$I$63,MATCH($A54,PRODUTOS!$B$4:$B$63,0))="B",$D54="AP07"),"NÃO (modelo B)","SIM")))</f>
        <v>SIM</v>
      </c>
      <c r="K54" s="13" t="s">
        <v>325</v>
      </c>
      <c r="L54" s="13"/>
    </row>
    <row r="55" customFormat="false" ht="15" hidden="false" customHeight="false" outlineLevel="0" collapsed="false">
      <c r="A55" s="15" t="s">
        <v>66</v>
      </c>
      <c r="B55" s="11" t="str">
        <f aca="false">INDEX(PRODUTOS!$E$4:$E$63,MATCH($A55,PRODUTOS!$B$4:$B$63,0))</f>
        <v>New Dots Ração Seca Premium para Cães Adultos - 1 kg</v>
      </c>
      <c r="C55" s="11" t="str">
        <f aca="false">INDEX(PRODUTOS!$H$4:$H$63,MATCH($A55,PRODUTOS!$B$4:$B$63,0))</f>
        <v>1 kg</v>
      </c>
      <c r="D55" s="11" t="s">
        <v>324</v>
      </c>
      <c r="E55" s="16" t="str">
        <f aca="false">$A55&amp;"."&amp;$D55&amp;".jpg"</f>
        <v>7898968541450.MAIN.jpg</v>
      </c>
      <c r="F55" s="11" t="str">
        <f aca="false">IF(INDEX(PRODUTOS!$I$4:$I$63,MATCH($A55,PRODUTOS!$B$4:$B$63,0))="B",INDEX(MODELOS!$F$3:$F$19,MATCH($D55,MODELOS!$A$3:$A$19,0)),INDEX(MODELOS!$B$3:$B$19,MATCH($D55,MODELOS!$A$3:$A$19,0)))</f>
        <v>Capa (posição 1)</v>
      </c>
      <c r="G55" s="11" t="str">
        <f aca="false">IF(INDEX(PRODUTOS!$F$4:$F$63,MATCH($A55,PRODUTOS!$B$4:$B$63,0))="Ração",IF(INDEX(PRODUTOS!$I$4:$I$63,MATCH($A55,PRODUTOS!$B$4:$B$63,0))="B",INDEX(MODELOS!$G$3:$G$19,MATCH($D55,MODELOS!$A$3:$A$19,0)),INDEX(MODELOS!$C$3:$C$19,MATCH($D55,MODELOS!$A$3:$A$19,0))),IF(INDEX(PRODUTOS!$I$4:$I$63,MATCH($A55,PRODUTOS!$B$4:$B$63,0))="B",INDEX(MODELOS!$H$3:$H$19,MATCH($D55,MODELOS!$A$3:$A$19,0)),INDEX(MODELOS!$D$3:$D$19,MATCH($D55,MODELOS!$A$3:$A$19,0))))</f>
        <v>Embalagem de frente, fundo branco puro, 85% da área, nada adicionado</v>
      </c>
      <c r="H55" s="11" t="str">
        <f aca="false">IF(INDEX(PRODUTOS!$I$4:$I$63,MATCH($A55,PRODUTOS!$B$4:$B$63,0))="B",INDEX(MODELOS!$I$3:$I$19,MATCH($D55,MODELOS!$A$3:$A$19,0)),INDEX(MODELOS!$E$3:$E$19,MATCH($D55,MODELOS!$A$3:$A$19,0)))</f>
        <v>2000 × 2000</v>
      </c>
      <c r="I55" s="11" t="str">
        <f aca="false">INDEX(MODELOS!$J$3:$J$19,MATCH($D55,MODELOS!$A$3:$A$19,0))</f>
        <v>SIM</v>
      </c>
      <c r="J55" s="11" t="str">
        <f aca="false">IF(LEFT($D55,2)&lt;&gt;"AP",IF($I55="SIM","SIM","RECOMENDADA"),IF(INDEX(PRODUTOS!$J$4:$J$63,MATCH($A55,PRODUTOS!$B$4:$B$63,0))&lt;&gt;"","NÃO (usa o A+ do EAN "&amp;INDEX(PRODUTOS!$J$4:$J$63,MATCH($A55,PRODUTOS!$B$4:$B$63,0))&amp;")",IF(AND(INDEX(PRODUTOS!$I$4:$I$63,MATCH($A55,PRODUTOS!$B$4:$B$63,0))="B",$D55="AP07"),"NÃO (modelo B)","SIM")))</f>
        <v>SIM</v>
      </c>
      <c r="K55" s="13" t="s">
        <v>325</v>
      </c>
      <c r="L55" s="13"/>
    </row>
    <row r="56" customFormat="false" ht="15" hidden="false" customHeight="false" outlineLevel="0" collapsed="false">
      <c r="A56" s="15" t="s">
        <v>66</v>
      </c>
      <c r="B56" s="11" t="str">
        <f aca="false">INDEX(PRODUTOS!$E$4:$E$63,MATCH($A56,PRODUTOS!$B$4:$B$63,0))</f>
        <v>New Dots Ração Seca Premium para Cães Adultos - 1 kg</v>
      </c>
      <c r="C56" s="11" t="str">
        <f aca="false">INDEX(PRODUTOS!$H$4:$H$63,MATCH($A56,PRODUTOS!$B$4:$B$63,0))</f>
        <v>1 kg</v>
      </c>
      <c r="D56" s="11" t="s">
        <v>326</v>
      </c>
      <c r="E56" s="16" t="str">
        <f aca="false">$A56&amp;"."&amp;$D56&amp;".jpg"</f>
        <v>7898968541450.PT01.jpg</v>
      </c>
      <c r="F56" s="11" t="str">
        <f aca="false">IF(INDEX(PRODUTOS!$I$4:$I$63,MATCH($A56,PRODUTOS!$B$4:$B$63,0))="B",INDEX(MODELOS!$F$3:$F$19,MATCH($D56,MODELOS!$A$3:$A$19,0)),INDEX(MODELOS!$B$3:$B$19,MATCH($D56,MODELOS!$A$3:$A$19,0)))</f>
        <v>Galeria · posição 2</v>
      </c>
      <c r="G56" s="11" t="str">
        <f aca="false">IF(INDEX(PRODUTOS!$F$4:$F$63,MATCH($A56,PRODUTOS!$B$4:$B$63,0))="Ração",IF(INDEX(PRODUTOS!$I$4:$I$63,MATCH($A56,PRODUTOS!$B$4:$B$63,0))="B",INDEX(MODELOS!$G$3:$G$19,MATCH($D56,MODELOS!$A$3:$A$19,0)),INDEX(MODELOS!$C$3:$C$19,MATCH($D56,MODELOS!$A$3:$A$19,0))),IF(INDEX(PRODUTOS!$I$4:$I$63,MATCH($A56,PRODUTOS!$B$4:$B$63,0))="B",INDEX(MODELOS!$H$3:$H$19,MATCH($D56,MODELOS!$A$3:$A$19,0)),INDEX(MODELOS!$D$3:$D$19,MATCH($D56,MODELOS!$A$3:$A$19,0))))</f>
        <v>Grande diferencial da linha (número ou promessa forte + grão e ingrediente)</v>
      </c>
      <c r="H56" s="11" t="str">
        <f aca="false">IF(INDEX(PRODUTOS!$I$4:$I$63,MATCH($A56,PRODUTOS!$B$4:$B$63,0))="B",INDEX(MODELOS!$I$3:$I$19,MATCH($D56,MODELOS!$A$3:$A$19,0)),INDEX(MODELOS!$E$3:$E$19,MATCH($D56,MODELOS!$A$3:$A$19,0)))</f>
        <v>2000 × 2000</v>
      </c>
      <c r="I56" s="11" t="str">
        <f aca="false">INDEX(MODELOS!$J$3:$J$19,MATCH($D56,MODELOS!$A$3:$A$19,0))</f>
        <v>SIM</v>
      </c>
      <c r="J56" s="11" t="str">
        <f aca="false">IF(LEFT($D56,2)&lt;&gt;"AP",IF($I56="SIM","SIM","RECOMENDADA"),IF(INDEX(PRODUTOS!$J$4:$J$63,MATCH($A56,PRODUTOS!$B$4:$B$63,0))&lt;&gt;"","NÃO (usa o A+ do EAN "&amp;INDEX(PRODUTOS!$J$4:$J$63,MATCH($A56,PRODUTOS!$B$4:$B$63,0))&amp;")",IF(AND(INDEX(PRODUTOS!$I$4:$I$63,MATCH($A56,PRODUTOS!$B$4:$B$63,0))="B",$D56="AP07"),"NÃO (modelo B)","SIM")))</f>
        <v>SIM</v>
      </c>
      <c r="K56" s="13" t="s">
        <v>325</v>
      </c>
      <c r="L56" s="13"/>
    </row>
    <row r="57" customFormat="false" ht="15" hidden="false" customHeight="false" outlineLevel="0" collapsed="false">
      <c r="A57" s="15" t="s">
        <v>66</v>
      </c>
      <c r="B57" s="11" t="str">
        <f aca="false">INDEX(PRODUTOS!$E$4:$E$63,MATCH($A57,PRODUTOS!$B$4:$B$63,0))</f>
        <v>New Dots Ração Seca Premium para Cães Adultos - 1 kg</v>
      </c>
      <c r="C57" s="11" t="str">
        <f aca="false">INDEX(PRODUTOS!$H$4:$H$63,MATCH($A57,PRODUTOS!$B$4:$B$63,0))</f>
        <v>1 kg</v>
      </c>
      <c r="D57" s="11" t="s">
        <v>327</v>
      </c>
      <c r="E57" s="16" t="str">
        <f aca="false">$A57&amp;"."&amp;$D57&amp;".jpg"</f>
        <v>7898968541450.PT02.jpg</v>
      </c>
      <c r="F57" s="11" t="str">
        <f aca="false">IF(INDEX(PRODUTOS!$I$4:$I$63,MATCH($A57,PRODUTOS!$B$4:$B$63,0))="B",INDEX(MODELOS!$F$3:$F$19,MATCH($D57,MODELOS!$A$3:$A$19,0)),INDEX(MODELOS!$B$3:$B$19,MATCH($D57,MODELOS!$A$3:$A$19,0)))</f>
        <v>Galeria · posição 3</v>
      </c>
      <c r="G57" s="11" t="str">
        <f aca="false">IF(INDEX(PRODUTOS!$F$4:$F$63,MATCH($A57,PRODUTOS!$B$4:$B$63,0))="Ração",IF(INDEX(PRODUTOS!$I$4:$I$63,MATCH($A57,PRODUTOS!$B$4:$B$63,0))="B",INDEX(MODELOS!$G$3:$G$19,MATCH($D57,MODELOS!$A$3:$A$19,0)),INDEX(MODELOS!$C$3:$C$19,MATCH($D57,MODELOS!$A$3:$A$19,0))),IF(INDEX(PRODUTOS!$I$4:$I$63,MATCH($A57,PRODUTOS!$B$4:$B$63,0))="B",INDEX(MODELOS!$H$3:$H$19,MATCH($D57,MODELOS!$A$3:$A$19,0)),INDEX(MODELOS!$D$3:$D$19,MATCH($D57,MODELOS!$A$3:$A$19,0))))</f>
        <v>Benefícios com ícones (4 a 6, impressos na embalagem) + ingrediente</v>
      </c>
      <c r="H57" s="11" t="str">
        <f aca="false">IF(INDEX(PRODUTOS!$I$4:$I$63,MATCH($A57,PRODUTOS!$B$4:$B$63,0))="B",INDEX(MODELOS!$I$3:$I$19,MATCH($D57,MODELOS!$A$3:$A$19,0)),INDEX(MODELOS!$E$3:$E$19,MATCH($D57,MODELOS!$A$3:$A$19,0)))</f>
        <v>2000 × 2000</v>
      </c>
      <c r="I57" s="11" t="str">
        <f aca="false">INDEX(MODELOS!$J$3:$J$19,MATCH($D57,MODELOS!$A$3:$A$19,0))</f>
        <v>SIM</v>
      </c>
      <c r="J57" s="11" t="str">
        <f aca="false">IF(LEFT($D57,2)&lt;&gt;"AP",IF($I57="SIM","SIM","RECOMENDADA"),IF(INDEX(PRODUTOS!$J$4:$J$63,MATCH($A57,PRODUTOS!$B$4:$B$63,0))&lt;&gt;"","NÃO (usa o A+ do EAN "&amp;INDEX(PRODUTOS!$J$4:$J$63,MATCH($A57,PRODUTOS!$B$4:$B$63,0))&amp;")",IF(AND(INDEX(PRODUTOS!$I$4:$I$63,MATCH($A57,PRODUTOS!$B$4:$B$63,0))="B",$D57="AP07"),"NÃO (modelo B)","SIM")))</f>
        <v>SIM</v>
      </c>
      <c r="K57" s="13" t="s">
        <v>325</v>
      </c>
      <c r="L57" s="13"/>
    </row>
    <row r="58" customFormat="false" ht="15" hidden="false" customHeight="false" outlineLevel="0" collapsed="false">
      <c r="A58" s="15" t="s">
        <v>66</v>
      </c>
      <c r="B58" s="11" t="str">
        <f aca="false">INDEX(PRODUTOS!$E$4:$E$63,MATCH($A58,PRODUTOS!$B$4:$B$63,0))</f>
        <v>New Dots Ração Seca Premium para Cães Adultos - 1 kg</v>
      </c>
      <c r="C58" s="11" t="str">
        <f aca="false">INDEX(PRODUTOS!$H$4:$H$63,MATCH($A58,PRODUTOS!$B$4:$B$63,0))</f>
        <v>1 kg</v>
      </c>
      <c r="D58" s="11" t="s">
        <v>328</v>
      </c>
      <c r="E58" s="16" t="str">
        <f aca="false">$A58&amp;"."&amp;$D58&amp;".jpg"</f>
        <v>7898968541450.PT03.jpg</v>
      </c>
      <c r="F58" s="11" t="str">
        <f aca="false">IF(INDEX(PRODUTOS!$I$4:$I$63,MATCH($A58,PRODUTOS!$B$4:$B$63,0))="B",INDEX(MODELOS!$F$3:$F$19,MATCH($D58,MODELOS!$A$3:$A$19,0)),INDEX(MODELOS!$B$3:$B$19,MATCH($D58,MODELOS!$A$3:$A$19,0)))</f>
        <v>Galeria · posição 4</v>
      </c>
      <c r="G58" s="11" t="str">
        <f aca="false">IF(INDEX(PRODUTOS!$F$4:$F$63,MATCH($A58,PRODUTOS!$B$4:$B$63,0))="Ração",IF(INDEX(PRODUTOS!$I$4:$I$63,MATCH($A58,PRODUTOS!$B$4:$B$63,0))="B",INDEX(MODELOS!$G$3:$G$19,MATCH($D58,MODELOS!$A$3:$A$19,0)),INDEX(MODELOS!$C$3:$C$19,MATCH($D58,MODELOS!$A$3:$A$19,0))),IF(INDEX(PRODUTOS!$I$4:$I$63,MATCH($A58,PRODUTOS!$B$4:$B$63,0))="B",INDEX(MODELOS!$H$3:$H$19,MATCH($D58,MODELOS!$A$3:$A$19,0)),INDEX(MODELOS!$D$3:$D$19,MATCH($D58,MODELOS!$A$3:$A$19,0))))</f>
        <v>Formato e tamanho do grão, com medida em mm e referência de tamanho</v>
      </c>
      <c r="H58" s="11" t="str">
        <f aca="false">IF(INDEX(PRODUTOS!$I$4:$I$63,MATCH($A58,PRODUTOS!$B$4:$B$63,0))="B",INDEX(MODELOS!$I$3:$I$19,MATCH($D58,MODELOS!$A$3:$A$19,0)),INDEX(MODELOS!$E$3:$E$19,MATCH($D58,MODELOS!$A$3:$A$19,0)))</f>
        <v>2000 × 2000</v>
      </c>
      <c r="I58" s="11" t="str">
        <f aca="false">INDEX(MODELOS!$J$3:$J$19,MATCH($D58,MODELOS!$A$3:$A$19,0))</f>
        <v>SIM</v>
      </c>
      <c r="J58" s="11" t="str">
        <f aca="false">IF(LEFT($D58,2)&lt;&gt;"AP",IF($I58="SIM","SIM","RECOMENDADA"),IF(INDEX(PRODUTOS!$J$4:$J$63,MATCH($A58,PRODUTOS!$B$4:$B$63,0))&lt;&gt;"","NÃO (usa o A+ do EAN "&amp;INDEX(PRODUTOS!$J$4:$J$63,MATCH($A58,PRODUTOS!$B$4:$B$63,0))&amp;")",IF(AND(INDEX(PRODUTOS!$I$4:$I$63,MATCH($A58,PRODUTOS!$B$4:$B$63,0))="B",$D58="AP07"),"NÃO (modelo B)","SIM")))</f>
        <v>SIM</v>
      </c>
      <c r="K58" s="13" t="s">
        <v>325</v>
      </c>
      <c r="L58" s="13"/>
    </row>
    <row r="59" customFormat="false" ht="15" hidden="false" customHeight="false" outlineLevel="0" collapsed="false">
      <c r="A59" s="15" t="s">
        <v>66</v>
      </c>
      <c r="B59" s="11" t="str">
        <f aca="false">INDEX(PRODUTOS!$E$4:$E$63,MATCH($A59,PRODUTOS!$B$4:$B$63,0))</f>
        <v>New Dots Ração Seca Premium para Cães Adultos - 1 kg</v>
      </c>
      <c r="C59" s="11" t="str">
        <f aca="false">INDEX(PRODUTOS!$H$4:$H$63,MATCH($A59,PRODUTOS!$B$4:$B$63,0))</f>
        <v>1 kg</v>
      </c>
      <c r="D59" s="11" t="s">
        <v>329</v>
      </c>
      <c r="E59" s="16" t="str">
        <f aca="false">$A59&amp;"."&amp;$D59&amp;".jpg"</f>
        <v>7898968541450.PT04.jpg</v>
      </c>
      <c r="F59" s="11" t="str">
        <f aca="false">IF(INDEX(PRODUTOS!$I$4:$I$63,MATCH($A59,PRODUTOS!$B$4:$B$63,0))="B",INDEX(MODELOS!$F$3:$F$19,MATCH($D59,MODELOS!$A$3:$A$19,0)),INDEX(MODELOS!$B$3:$B$19,MATCH($D59,MODELOS!$A$3:$A$19,0)))</f>
        <v>Galeria · posição 5</v>
      </c>
      <c r="G59" s="11" t="str">
        <f aca="false">IF(INDEX(PRODUTOS!$F$4:$F$63,MATCH($A59,PRODUTOS!$B$4:$B$63,0))="Ração",IF(INDEX(PRODUTOS!$I$4:$I$63,MATCH($A59,PRODUTOS!$B$4:$B$63,0))="B",INDEX(MODELOS!$G$3:$G$19,MATCH($D59,MODELOS!$A$3:$A$19,0)),INDEX(MODELOS!$C$3:$C$19,MATCH($D59,MODELOS!$A$3:$A$19,0))),IF(INDEX(PRODUTOS!$I$4:$I$63,MATCH($A59,PRODUTOS!$B$4:$B$63,0))="B",INDEX(MODELOS!$H$3:$H$19,MATCH($D59,MODELOS!$A$3:$A$19,0)),INDEX(MODELOS!$D$3:$D$19,MATCH($D59,MODELOS!$A$3:$A$19,0))))</f>
        <v>Quantidade diária por peso do cão/gato (números idênticos à embalagem)</v>
      </c>
      <c r="H59" s="11" t="str">
        <f aca="false">IF(INDEX(PRODUTOS!$I$4:$I$63,MATCH($A59,PRODUTOS!$B$4:$B$63,0))="B",INDEX(MODELOS!$I$3:$I$19,MATCH($D59,MODELOS!$A$3:$A$19,0)),INDEX(MODELOS!$E$3:$E$19,MATCH($D59,MODELOS!$A$3:$A$19,0)))</f>
        <v>2000 × 2000</v>
      </c>
      <c r="I59" s="11" t="str">
        <f aca="false">INDEX(MODELOS!$J$3:$J$19,MATCH($D59,MODELOS!$A$3:$A$19,0))</f>
        <v>SIM</v>
      </c>
      <c r="J59" s="11" t="str">
        <f aca="false">IF(LEFT($D59,2)&lt;&gt;"AP",IF($I59="SIM","SIM","RECOMENDADA"),IF(INDEX(PRODUTOS!$J$4:$J$63,MATCH($A59,PRODUTOS!$B$4:$B$63,0))&lt;&gt;"","NÃO (usa o A+ do EAN "&amp;INDEX(PRODUTOS!$J$4:$J$63,MATCH($A59,PRODUTOS!$B$4:$B$63,0))&amp;")",IF(AND(INDEX(PRODUTOS!$I$4:$I$63,MATCH($A59,PRODUTOS!$B$4:$B$63,0))="B",$D59="AP07"),"NÃO (modelo B)","SIM")))</f>
        <v>SIM</v>
      </c>
      <c r="K59" s="13" t="s">
        <v>325</v>
      </c>
      <c r="L59" s="13"/>
    </row>
    <row r="60" customFormat="false" ht="15" hidden="false" customHeight="false" outlineLevel="0" collapsed="false">
      <c r="A60" s="15" t="s">
        <v>66</v>
      </c>
      <c r="B60" s="11" t="str">
        <f aca="false">INDEX(PRODUTOS!$E$4:$E$63,MATCH($A60,PRODUTOS!$B$4:$B$63,0))</f>
        <v>New Dots Ração Seca Premium para Cães Adultos - 1 kg</v>
      </c>
      <c r="C60" s="11" t="str">
        <f aca="false">INDEX(PRODUTOS!$H$4:$H$63,MATCH($A60,PRODUTOS!$B$4:$B$63,0))</f>
        <v>1 kg</v>
      </c>
      <c r="D60" s="11" t="s">
        <v>330</v>
      </c>
      <c r="E60" s="16" t="str">
        <f aca="false">$A60&amp;"."&amp;$D60&amp;".jpg"</f>
        <v>7898968541450.PT05.jpg</v>
      </c>
      <c r="F60" s="11" t="str">
        <f aca="false">IF(INDEX(PRODUTOS!$I$4:$I$63,MATCH($A60,PRODUTOS!$B$4:$B$63,0))="B",INDEX(MODELOS!$F$3:$F$19,MATCH($D60,MODELOS!$A$3:$A$19,0)),INDEX(MODELOS!$B$3:$B$19,MATCH($D60,MODELOS!$A$3:$A$19,0)))</f>
        <v>Galeria · posição 6</v>
      </c>
      <c r="G60" s="11" t="str">
        <f aca="false">IF(INDEX(PRODUTOS!$F$4:$F$63,MATCH($A60,PRODUTOS!$B$4:$B$63,0))="Ração",IF(INDEX(PRODUTOS!$I$4:$I$63,MATCH($A60,PRODUTOS!$B$4:$B$63,0))="B",INDEX(MODELOS!$G$3:$G$19,MATCH($D60,MODELOS!$A$3:$A$19,0)),INDEX(MODELOS!$C$3:$C$19,MATCH($D60,MODELOS!$A$3:$A$19,0))),IF(INDEX(PRODUTOS!$I$4:$I$63,MATCH($A60,PRODUTOS!$B$4:$B$63,0))="B",INDEX(MODELOS!$H$3:$H$19,MATCH($D60,MODELOS!$A$3:$A$19,0)),INDEX(MODELOS!$D$3:$D$19,MATCH($D60,MODELOS!$A$3:$A$19,0))))</f>
        <v>Transição alimentar dia a dia (igual ao verso da embalagem)</v>
      </c>
      <c r="H60" s="11" t="str">
        <f aca="false">IF(INDEX(PRODUTOS!$I$4:$I$63,MATCH($A60,PRODUTOS!$B$4:$B$63,0))="B",INDEX(MODELOS!$I$3:$I$19,MATCH($D60,MODELOS!$A$3:$A$19,0)),INDEX(MODELOS!$E$3:$E$19,MATCH($D60,MODELOS!$A$3:$A$19,0)))</f>
        <v>2000 × 2000</v>
      </c>
      <c r="I60" s="11" t="str">
        <f aca="false">INDEX(MODELOS!$J$3:$J$19,MATCH($D60,MODELOS!$A$3:$A$19,0))</f>
        <v>Recomendada</v>
      </c>
      <c r="J60" s="11" t="str">
        <f aca="false">IF(LEFT($D60,2)&lt;&gt;"AP",IF($I60="SIM","SIM","RECOMENDADA"),IF(INDEX(PRODUTOS!$J$4:$J$63,MATCH($A60,PRODUTOS!$B$4:$B$63,0))&lt;&gt;"","NÃO (usa o A+ do EAN "&amp;INDEX(PRODUTOS!$J$4:$J$63,MATCH($A60,PRODUTOS!$B$4:$B$63,0))&amp;")",IF(AND(INDEX(PRODUTOS!$I$4:$I$63,MATCH($A60,PRODUTOS!$B$4:$B$63,0))="B",$D60="AP07"),"NÃO (modelo B)","SIM")))</f>
        <v>RECOMENDADA</v>
      </c>
      <c r="K60" s="13" t="s">
        <v>325</v>
      </c>
      <c r="L60" s="13"/>
    </row>
    <row r="61" customFormat="false" ht="15" hidden="false" customHeight="false" outlineLevel="0" collapsed="false">
      <c r="A61" s="15" t="s">
        <v>66</v>
      </c>
      <c r="B61" s="11" t="str">
        <f aca="false">INDEX(PRODUTOS!$E$4:$E$63,MATCH($A61,PRODUTOS!$B$4:$B$63,0))</f>
        <v>New Dots Ração Seca Premium para Cães Adultos - 1 kg</v>
      </c>
      <c r="C61" s="11" t="str">
        <f aca="false">INDEX(PRODUTOS!$H$4:$H$63,MATCH($A61,PRODUTOS!$B$4:$B$63,0))</f>
        <v>1 kg</v>
      </c>
      <c r="D61" s="11" t="s">
        <v>331</v>
      </c>
      <c r="E61" s="16" t="str">
        <f aca="false">$A61&amp;"."&amp;$D61&amp;".jpg"</f>
        <v>7898968541450.PT06.jpg</v>
      </c>
      <c r="F61" s="11" t="str">
        <f aca="false">IF(INDEX(PRODUTOS!$I$4:$I$63,MATCH($A61,PRODUTOS!$B$4:$B$63,0))="B",INDEX(MODELOS!$F$3:$F$19,MATCH($D61,MODELOS!$A$3:$A$19,0)),INDEX(MODELOS!$B$3:$B$19,MATCH($D61,MODELOS!$A$3:$A$19,0)))</f>
        <v>Galeria · posição 7</v>
      </c>
      <c r="G61" s="11" t="str">
        <f aca="false">IF(INDEX(PRODUTOS!$F$4:$F$63,MATCH($A61,PRODUTOS!$B$4:$B$63,0))="Ração",IF(INDEX(PRODUTOS!$I$4:$I$63,MATCH($A61,PRODUTOS!$B$4:$B$63,0))="B",INDEX(MODELOS!$G$3:$G$19,MATCH($D61,MODELOS!$A$3:$A$19,0)),INDEX(MODELOS!$C$3:$C$19,MATCH($D61,MODELOS!$A$3:$A$19,0))),IF(INDEX(PRODUTOS!$I$4:$I$63,MATCH($A61,PRODUTOS!$B$4:$B$63,0))="B",INDEX(MODELOS!$H$3:$H$19,MATCH($D61,MODELOS!$A$3:$A$19,0)),INDEX(MODELOS!$D$3:$D$19,MATCH($D61,MODELOS!$A$3:$A$19,0))))</f>
        <v>Composição e níveis de garantia em letra grande</v>
      </c>
      <c r="H61" s="11" t="str">
        <f aca="false">IF(INDEX(PRODUTOS!$I$4:$I$63,MATCH($A61,PRODUTOS!$B$4:$B$63,0))="B",INDEX(MODELOS!$I$3:$I$19,MATCH($D61,MODELOS!$A$3:$A$19,0)),INDEX(MODELOS!$E$3:$E$19,MATCH($D61,MODELOS!$A$3:$A$19,0)))</f>
        <v>2000 × 2000</v>
      </c>
      <c r="I61" s="11" t="str">
        <f aca="false">INDEX(MODELOS!$J$3:$J$19,MATCH($D61,MODELOS!$A$3:$A$19,0))</f>
        <v>SIM</v>
      </c>
      <c r="J61" s="11" t="str">
        <f aca="false">IF(LEFT($D61,2)&lt;&gt;"AP",IF($I61="SIM","SIM","RECOMENDADA"),IF(INDEX(PRODUTOS!$J$4:$J$63,MATCH($A61,PRODUTOS!$B$4:$B$63,0))&lt;&gt;"","NÃO (usa o A+ do EAN "&amp;INDEX(PRODUTOS!$J$4:$J$63,MATCH($A61,PRODUTOS!$B$4:$B$63,0))&amp;")",IF(AND(INDEX(PRODUTOS!$I$4:$I$63,MATCH($A61,PRODUTOS!$B$4:$B$63,0))="B",$D61="AP07"),"NÃO (modelo B)","SIM")))</f>
        <v>SIM</v>
      </c>
      <c r="K61" s="13" t="s">
        <v>325</v>
      </c>
      <c r="L61" s="13"/>
    </row>
    <row r="62" customFormat="false" ht="15" hidden="false" customHeight="false" outlineLevel="0" collapsed="false">
      <c r="A62" s="15" t="s">
        <v>66</v>
      </c>
      <c r="B62" s="11" t="str">
        <f aca="false">INDEX(PRODUTOS!$E$4:$E$63,MATCH($A62,PRODUTOS!$B$4:$B$63,0))</f>
        <v>New Dots Ração Seca Premium para Cães Adultos - 1 kg</v>
      </c>
      <c r="C62" s="11" t="str">
        <f aca="false">INDEX(PRODUTOS!$H$4:$H$63,MATCH($A62,PRODUTOS!$B$4:$B$63,0))</f>
        <v>1 kg</v>
      </c>
      <c r="D62" s="11" t="s">
        <v>332</v>
      </c>
      <c r="E62" s="16" t="str">
        <f aca="false">$A62&amp;"."&amp;$D62&amp;".jpg"</f>
        <v>7898968541450.PT07.jpg</v>
      </c>
      <c r="F62" s="11" t="str">
        <f aca="false">IF(INDEX(PRODUTOS!$I$4:$I$63,MATCH($A62,PRODUTOS!$B$4:$B$63,0))="B",INDEX(MODELOS!$F$3:$F$19,MATCH($D62,MODELOS!$A$3:$A$19,0)),INDEX(MODELOS!$B$3:$B$19,MATCH($D62,MODELOS!$A$3:$A$19,0)))</f>
        <v>Galeria · posição 8</v>
      </c>
      <c r="G62" s="11" t="str">
        <f aca="false">IF(INDEX(PRODUTOS!$F$4:$F$63,MATCH($A62,PRODUTOS!$B$4:$B$63,0))="Ração",IF(INDEX(PRODUTOS!$I$4:$I$63,MATCH($A62,PRODUTOS!$B$4:$B$63,0))="B",INDEX(MODELOS!$G$3:$G$19,MATCH($D62,MODELOS!$A$3:$A$19,0)),INDEX(MODELOS!$C$3:$C$19,MATCH($D62,MODELOS!$A$3:$A$19,0))),IF(INDEX(PRODUTOS!$I$4:$I$63,MATCH($A62,PRODUTOS!$B$4:$B$63,0))="B",INDEX(MODELOS!$H$3:$H$19,MATCH($D62,MODELOS!$A$3:$A$19,0)),INDEX(MODELOS!$D$3:$D$19,MATCH($D62,MODELOS!$A$3:$A$19,0))))</f>
        <v>Emocional / momento de uso (pet do porte certo, pote cheio)</v>
      </c>
      <c r="H62" s="11" t="str">
        <f aca="false">IF(INDEX(PRODUTOS!$I$4:$I$63,MATCH($A62,PRODUTOS!$B$4:$B$63,0))="B",INDEX(MODELOS!$I$3:$I$19,MATCH($D62,MODELOS!$A$3:$A$19,0)),INDEX(MODELOS!$E$3:$E$19,MATCH($D62,MODELOS!$A$3:$A$19,0)))</f>
        <v>2000 × 2000</v>
      </c>
      <c r="I62" s="11" t="str">
        <f aca="false">INDEX(MODELOS!$J$3:$J$19,MATCH($D62,MODELOS!$A$3:$A$19,0))</f>
        <v>Recomendada</v>
      </c>
      <c r="J62" s="11" t="str">
        <f aca="false">IF(LEFT($D62,2)&lt;&gt;"AP",IF($I62="SIM","SIM","RECOMENDADA"),IF(INDEX(PRODUTOS!$J$4:$J$63,MATCH($A62,PRODUTOS!$B$4:$B$63,0))&lt;&gt;"","NÃO (usa o A+ do EAN "&amp;INDEX(PRODUTOS!$J$4:$J$63,MATCH($A62,PRODUTOS!$B$4:$B$63,0))&amp;")",IF(AND(INDEX(PRODUTOS!$I$4:$I$63,MATCH($A62,PRODUTOS!$B$4:$B$63,0))="B",$D62="AP07"),"NÃO (modelo B)","SIM")))</f>
        <v>RECOMENDADA</v>
      </c>
      <c r="K62" s="13" t="s">
        <v>325</v>
      </c>
      <c r="L62" s="13"/>
    </row>
    <row r="63" customFormat="false" ht="15" hidden="false" customHeight="false" outlineLevel="0" collapsed="false">
      <c r="A63" s="15" t="s">
        <v>66</v>
      </c>
      <c r="B63" s="11" t="str">
        <f aca="false">INDEX(PRODUTOS!$E$4:$E$63,MATCH($A63,PRODUTOS!$B$4:$B$63,0))</f>
        <v>New Dots Ração Seca Premium para Cães Adultos - 1 kg</v>
      </c>
      <c r="C63" s="11" t="str">
        <f aca="false">INDEX(PRODUTOS!$H$4:$H$63,MATCH($A63,PRODUTOS!$B$4:$B$63,0))</f>
        <v>1 kg</v>
      </c>
      <c r="D63" s="11" t="s">
        <v>333</v>
      </c>
      <c r="E63" s="16" t="str">
        <f aca="false">$A63&amp;"."&amp;$D63&amp;".jpg"</f>
        <v>7898968541450.PT08.jpg</v>
      </c>
      <c r="F63" s="11" t="str">
        <f aca="false">IF(INDEX(PRODUTOS!$I$4:$I$63,MATCH($A63,PRODUTOS!$B$4:$B$63,0))="B",INDEX(MODELOS!$F$3:$F$19,MATCH($D63,MODELOS!$A$3:$A$19,0)),INDEX(MODELOS!$B$3:$B$19,MATCH($D63,MODELOS!$A$3:$A$19,0)))</f>
        <v>Galeria · posição 9</v>
      </c>
      <c r="G63" s="11" t="str">
        <f aca="false">IF(INDEX(PRODUTOS!$F$4:$F$63,MATCH($A63,PRODUTOS!$B$4:$B$63,0))="Ração",IF(INDEX(PRODUTOS!$I$4:$I$63,MATCH($A63,PRODUTOS!$B$4:$B$63,0))="B",INDEX(MODELOS!$G$3:$G$19,MATCH($D63,MODELOS!$A$3:$A$19,0)),INDEX(MODELOS!$C$3:$C$19,MATCH($D63,MODELOS!$A$3:$A$19,0))),IF(INDEX(PRODUTOS!$I$4:$I$63,MATCH($A63,PRODUTOS!$B$4:$B$63,0))="B",INDEX(MODELOS!$H$3:$H$19,MATCH($D63,MODELOS!$A$3:$A$19,0)),INDEX(MODELOS!$D$3:$D$19,MATCH($D63,MODELOS!$A$3:$A$19,0))))</f>
        <v>Linha da marca ou embalagem anterior × nova</v>
      </c>
      <c r="H63" s="11" t="str">
        <f aca="false">IF(INDEX(PRODUTOS!$I$4:$I$63,MATCH($A63,PRODUTOS!$B$4:$B$63,0))="B",INDEX(MODELOS!$I$3:$I$19,MATCH($D63,MODELOS!$A$3:$A$19,0)),INDEX(MODELOS!$E$3:$E$19,MATCH($D63,MODELOS!$A$3:$A$19,0)))</f>
        <v>2000 × 2000</v>
      </c>
      <c r="I63" s="11" t="str">
        <f aca="false">INDEX(MODELOS!$J$3:$J$19,MATCH($D63,MODELOS!$A$3:$A$19,0))</f>
        <v>Recomendada</v>
      </c>
      <c r="J63" s="11" t="str">
        <f aca="false">IF(LEFT($D63,2)&lt;&gt;"AP",IF($I63="SIM","SIM","RECOMENDADA"),IF(INDEX(PRODUTOS!$J$4:$J$63,MATCH($A63,PRODUTOS!$B$4:$B$63,0))&lt;&gt;"","NÃO (usa o A+ do EAN "&amp;INDEX(PRODUTOS!$J$4:$J$63,MATCH($A63,PRODUTOS!$B$4:$B$63,0))&amp;")",IF(AND(INDEX(PRODUTOS!$I$4:$I$63,MATCH($A63,PRODUTOS!$B$4:$B$63,0))="B",$D63="AP07"),"NÃO (modelo B)","SIM")))</f>
        <v>RECOMENDADA</v>
      </c>
      <c r="K63" s="13" t="s">
        <v>325</v>
      </c>
      <c r="L63" s="13"/>
    </row>
    <row r="64" customFormat="false" ht="15" hidden="false" customHeight="false" outlineLevel="0" collapsed="false">
      <c r="A64" s="15" t="s">
        <v>66</v>
      </c>
      <c r="B64" s="11" t="str">
        <f aca="false">INDEX(PRODUTOS!$E$4:$E$63,MATCH($A64,PRODUTOS!$B$4:$B$63,0))</f>
        <v>New Dots Ração Seca Premium para Cães Adultos - 1 kg</v>
      </c>
      <c r="C64" s="11" t="str">
        <f aca="false">INDEX(PRODUTOS!$H$4:$H$63,MATCH($A64,PRODUTOS!$B$4:$B$63,0))</f>
        <v>1 kg</v>
      </c>
      <c r="D64" s="11" t="s">
        <v>334</v>
      </c>
      <c r="E64" s="16" t="str">
        <f aca="false">$A64&amp;"."&amp;$D64&amp;".jpg"</f>
        <v>7898968541450.AP01.jpg</v>
      </c>
      <c r="F64" s="11" t="str">
        <f aca="false">IF(INDEX(PRODUTOS!$I$4:$I$63,MATCH($A64,PRODUTOS!$B$4:$B$63,0))="B",INDEX(MODELOS!$F$3:$F$19,MATCH($D64,MODELOS!$A$3:$A$19,0)),INDEX(MODELOS!$B$3:$B$19,MATCH($D64,MODELOS!$A$3:$A$19,0)))</f>
        <v>A+ · Módulo 1 · Banner</v>
      </c>
      <c r="G64" s="11" t="str">
        <f aca="false">IF(INDEX(PRODUTOS!$F$4:$F$63,MATCH($A64,PRODUTOS!$B$4:$B$63,0))="Ração",IF(INDEX(PRODUTOS!$I$4:$I$63,MATCH($A64,PRODUTOS!$B$4:$B$63,0))="B",INDEX(MODELOS!$G$3:$G$19,MATCH($D64,MODELOS!$A$3:$A$19,0)),INDEX(MODELOS!$C$3:$C$19,MATCH($D64,MODELOS!$A$3:$A$19,0))),IF(INDEX(PRODUTOS!$I$4:$I$63,MATCH($A64,PRODUTOS!$B$4:$B$63,0))="B",INDEX(MODELOS!$H$3:$H$19,MATCH($D64,MODELOS!$A$3:$A$19,0)),INDEX(MODELOS!$D$3:$D$19,MATCH($D64,MODELOS!$A$3:$A$19,0))))</f>
        <v>Embalagem + pet + ingredientes, com o nome da linha</v>
      </c>
      <c r="H64" s="11" t="str">
        <f aca="false">IF(INDEX(PRODUTOS!$I$4:$I$63,MATCH($A64,PRODUTOS!$B$4:$B$63,0))="B",INDEX(MODELOS!$I$3:$I$19,MATCH($D64,MODELOS!$A$3:$A$19,0)),INDEX(MODELOS!$E$3:$E$19,MATCH($D64,MODELOS!$A$3:$A$19,0)))</f>
        <v>970 × 600</v>
      </c>
      <c r="I64" s="11" t="str">
        <f aca="false">INDEX(MODELOS!$J$3:$J$19,MATCH($D64,MODELOS!$A$3:$A$19,0))</f>
        <v>Conforme modelo</v>
      </c>
      <c r="J64" s="11" t="str">
        <f aca="false">IF(LEFT($D64,2)&lt;&gt;"AP",IF($I64="SIM","SIM","RECOMENDADA"),IF(INDEX(PRODUTOS!$J$4:$J$63,MATCH($A64,PRODUTOS!$B$4:$B$63,0))&lt;&gt;"","NÃO (usa o A+ do EAN "&amp;INDEX(PRODUTOS!$J$4:$J$63,MATCH($A64,PRODUTOS!$B$4:$B$63,0))&amp;")",IF(AND(INDEX(PRODUTOS!$I$4:$I$63,MATCH($A64,PRODUTOS!$B$4:$B$63,0))="B",$D64="AP07"),"NÃO (modelo B)","SIM")))</f>
        <v>NÃO (usa o A+ do EAN 7898968541504)</v>
      </c>
      <c r="K64" s="13" t="s">
        <v>325</v>
      </c>
      <c r="L64" s="13"/>
    </row>
    <row r="65" customFormat="false" ht="15" hidden="false" customHeight="false" outlineLevel="0" collapsed="false">
      <c r="A65" s="15" t="s">
        <v>66</v>
      </c>
      <c r="B65" s="11" t="str">
        <f aca="false">INDEX(PRODUTOS!$E$4:$E$63,MATCH($A65,PRODUTOS!$B$4:$B$63,0))</f>
        <v>New Dots Ração Seca Premium para Cães Adultos - 1 kg</v>
      </c>
      <c r="C65" s="11" t="str">
        <f aca="false">INDEX(PRODUTOS!$H$4:$H$63,MATCH($A65,PRODUTOS!$B$4:$B$63,0))</f>
        <v>1 kg</v>
      </c>
      <c r="D65" s="11" t="s">
        <v>335</v>
      </c>
      <c r="E65" s="16" t="str">
        <f aca="false">$A65&amp;"."&amp;$D65&amp;".jpg"</f>
        <v>7898968541450.AP02.jpg</v>
      </c>
      <c r="F65" s="11" t="str">
        <f aca="false">IF(INDEX(PRODUTOS!$I$4:$I$63,MATCH($A65,PRODUTOS!$B$4:$B$63,0))="B",INDEX(MODELOS!$F$3:$F$19,MATCH($D65,MODELOS!$A$3:$A$19,0)),INDEX(MODELOS!$B$3:$B$19,MATCH($D65,MODELOS!$A$3:$A$19,0)))</f>
        <v>A+ · Módulo 2 · Texto sobreposto</v>
      </c>
      <c r="G65" s="11" t="str">
        <f aca="false">IF(INDEX(PRODUTOS!$F$4:$F$63,MATCH($A65,PRODUTOS!$B$4:$B$63,0))="Ração",IF(INDEX(PRODUTOS!$I$4:$I$63,MATCH($A65,PRODUTOS!$B$4:$B$63,0))="B",INDEX(MODELOS!$G$3:$G$19,MATCH($D65,MODELOS!$A$3:$A$19,0)),INDEX(MODELOS!$C$3:$C$19,MATCH($D65,MODELOS!$A$3:$A$19,0))),IF(INDEX(PRODUTOS!$I$4:$I$63,MATCH($A65,PRODUTOS!$B$4:$B$63,0))="B",INDEX(MODELOS!$H$3:$H$19,MATCH($D65,MODELOS!$A$3:$A$19,0)),INDEX(MODELOS!$D$3:$D$19,MATCH($D65,MODELOS!$A$3:$A$19,0))))</f>
        <v>Principal diferencial; deixar o lado direito limpo</v>
      </c>
      <c r="H65" s="11" t="str">
        <f aca="false">IF(INDEX(PRODUTOS!$I$4:$I$63,MATCH($A65,PRODUTOS!$B$4:$B$63,0))="B",INDEX(MODELOS!$I$3:$I$19,MATCH($D65,MODELOS!$A$3:$A$19,0)),INDEX(MODELOS!$E$3:$E$19,MATCH($D65,MODELOS!$A$3:$A$19,0)))</f>
        <v>970 × 300</v>
      </c>
      <c r="I65" s="11" t="str">
        <f aca="false">INDEX(MODELOS!$J$3:$J$19,MATCH($D65,MODELOS!$A$3:$A$19,0))</f>
        <v>Conforme modelo</v>
      </c>
      <c r="J65" s="11" t="str">
        <f aca="false">IF(LEFT($D65,2)&lt;&gt;"AP",IF($I65="SIM","SIM","RECOMENDADA"),IF(INDEX(PRODUTOS!$J$4:$J$63,MATCH($A65,PRODUTOS!$B$4:$B$63,0))&lt;&gt;"","NÃO (usa o A+ do EAN "&amp;INDEX(PRODUTOS!$J$4:$J$63,MATCH($A65,PRODUTOS!$B$4:$B$63,0))&amp;")",IF(AND(INDEX(PRODUTOS!$I$4:$I$63,MATCH($A65,PRODUTOS!$B$4:$B$63,0))="B",$D65="AP07"),"NÃO (modelo B)","SIM")))</f>
        <v>NÃO (usa o A+ do EAN 7898968541504)</v>
      </c>
      <c r="K65" s="13" t="s">
        <v>325</v>
      </c>
      <c r="L65" s="13"/>
    </row>
    <row r="66" customFormat="false" ht="15" hidden="false" customHeight="false" outlineLevel="0" collapsed="false">
      <c r="A66" s="15" t="s">
        <v>66</v>
      </c>
      <c r="B66" s="11" t="str">
        <f aca="false">INDEX(PRODUTOS!$E$4:$E$63,MATCH($A66,PRODUTOS!$B$4:$B$63,0))</f>
        <v>New Dots Ração Seca Premium para Cães Adultos - 1 kg</v>
      </c>
      <c r="C66" s="11" t="str">
        <f aca="false">INDEX(PRODUTOS!$H$4:$H$63,MATCH($A66,PRODUTOS!$B$4:$B$63,0))</f>
        <v>1 kg</v>
      </c>
      <c r="D66" s="11" t="s">
        <v>336</v>
      </c>
      <c r="E66" s="16" t="str">
        <f aca="false">$A66&amp;"."&amp;$D66&amp;".jpg"</f>
        <v>7898968541450.AP03.jpg</v>
      </c>
      <c r="F66" s="11" t="str">
        <f aca="false">IF(INDEX(PRODUTOS!$I$4:$I$63,MATCH($A66,PRODUTOS!$B$4:$B$63,0))="B",INDEX(MODELOS!$F$3:$F$19,MATCH($D66,MODELOS!$A$3:$A$19,0)),INDEX(MODELOS!$B$3:$B$19,MATCH($D66,MODELOS!$A$3:$A$19,0)))</f>
        <v>A+ · Módulo 3 · Benefício 1 de 4</v>
      </c>
      <c r="G66" s="11" t="str">
        <f aca="false">IF(INDEX(PRODUTOS!$F$4:$F$63,MATCH($A66,PRODUTOS!$B$4:$B$63,0))="Ração",IF(INDEX(PRODUTOS!$I$4:$I$63,MATCH($A66,PRODUTOS!$B$4:$B$63,0))="B",INDEX(MODELOS!$G$3:$G$19,MATCH($D66,MODELOS!$A$3:$A$19,0)),INDEX(MODELOS!$C$3:$C$19,MATCH($D66,MODELOS!$A$3:$A$19,0))),IF(INDEX(PRODUTOS!$I$4:$I$63,MATCH($A66,PRODUTOS!$B$4:$B$63,0))="B",INDEX(MODELOS!$H$3:$H$19,MATCH($D66,MODELOS!$A$3:$A$19,0)),INDEX(MODELOS!$D$3:$D$19,MATCH($D66,MODELOS!$A$3:$A$19,0))))</f>
        <v>Foto/ilustração do benefício 1</v>
      </c>
      <c r="H66" s="11" t="str">
        <f aca="false">IF(INDEX(PRODUTOS!$I$4:$I$63,MATCH($A66,PRODUTOS!$B$4:$B$63,0))="B",INDEX(MODELOS!$I$3:$I$19,MATCH($D66,MODELOS!$A$3:$A$19,0)),INDEX(MODELOS!$E$3:$E$19,MATCH($D66,MODELOS!$A$3:$A$19,0)))</f>
        <v>220 × 200</v>
      </c>
      <c r="I66" s="11" t="str">
        <f aca="false">INDEX(MODELOS!$J$3:$J$19,MATCH($D66,MODELOS!$A$3:$A$19,0))</f>
        <v>Conforme modelo</v>
      </c>
      <c r="J66" s="11" t="str">
        <f aca="false">IF(LEFT($D66,2)&lt;&gt;"AP",IF($I66="SIM","SIM","RECOMENDADA"),IF(INDEX(PRODUTOS!$J$4:$J$63,MATCH($A66,PRODUTOS!$B$4:$B$63,0))&lt;&gt;"","NÃO (usa o A+ do EAN "&amp;INDEX(PRODUTOS!$J$4:$J$63,MATCH($A66,PRODUTOS!$B$4:$B$63,0))&amp;")",IF(AND(INDEX(PRODUTOS!$I$4:$I$63,MATCH($A66,PRODUTOS!$B$4:$B$63,0))="B",$D66="AP07"),"NÃO (modelo B)","SIM")))</f>
        <v>NÃO (usa o A+ do EAN 7898968541504)</v>
      </c>
      <c r="K66" s="13" t="s">
        <v>325</v>
      </c>
      <c r="L66" s="13"/>
    </row>
    <row r="67" customFormat="false" ht="15" hidden="false" customHeight="false" outlineLevel="0" collapsed="false">
      <c r="A67" s="15" t="s">
        <v>66</v>
      </c>
      <c r="B67" s="11" t="str">
        <f aca="false">INDEX(PRODUTOS!$E$4:$E$63,MATCH($A67,PRODUTOS!$B$4:$B$63,0))</f>
        <v>New Dots Ração Seca Premium para Cães Adultos - 1 kg</v>
      </c>
      <c r="C67" s="11" t="str">
        <f aca="false">INDEX(PRODUTOS!$H$4:$H$63,MATCH($A67,PRODUTOS!$B$4:$B$63,0))</f>
        <v>1 kg</v>
      </c>
      <c r="D67" s="11" t="s">
        <v>337</v>
      </c>
      <c r="E67" s="16" t="str">
        <f aca="false">$A67&amp;"."&amp;$D67&amp;".jpg"</f>
        <v>7898968541450.AP04.jpg</v>
      </c>
      <c r="F67" s="11" t="str">
        <f aca="false">IF(INDEX(PRODUTOS!$I$4:$I$63,MATCH($A67,PRODUTOS!$B$4:$B$63,0))="B",INDEX(MODELOS!$F$3:$F$19,MATCH($D67,MODELOS!$A$3:$A$19,0)),INDEX(MODELOS!$B$3:$B$19,MATCH($D67,MODELOS!$A$3:$A$19,0)))</f>
        <v>A+ · Módulo 3 · Benefício 2 de 4</v>
      </c>
      <c r="G67" s="11" t="str">
        <f aca="false">IF(INDEX(PRODUTOS!$F$4:$F$63,MATCH($A67,PRODUTOS!$B$4:$B$63,0))="Ração",IF(INDEX(PRODUTOS!$I$4:$I$63,MATCH($A67,PRODUTOS!$B$4:$B$63,0))="B",INDEX(MODELOS!$G$3:$G$19,MATCH($D67,MODELOS!$A$3:$A$19,0)),INDEX(MODELOS!$C$3:$C$19,MATCH($D67,MODELOS!$A$3:$A$19,0))),IF(INDEX(PRODUTOS!$I$4:$I$63,MATCH($A67,PRODUTOS!$B$4:$B$63,0))="B",INDEX(MODELOS!$H$3:$H$19,MATCH($D67,MODELOS!$A$3:$A$19,0)),INDEX(MODELOS!$D$3:$D$19,MATCH($D67,MODELOS!$A$3:$A$19,0))))</f>
        <v>Foto/ilustração do benefício 2</v>
      </c>
      <c r="H67" s="11" t="str">
        <f aca="false">IF(INDEX(PRODUTOS!$I$4:$I$63,MATCH($A67,PRODUTOS!$B$4:$B$63,0))="B",INDEX(MODELOS!$I$3:$I$19,MATCH($D67,MODELOS!$A$3:$A$19,0)),INDEX(MODELOS!$E$3:$E$19,MATCH($D67,MODELOS!$A$3:$A$19,0)))</f>
        <v>220 × 200</v>
      </c>
      <c r="I67" s="11" t="str">
        <f aca="false">INDEX(MODELOS!$J$3:$J$19,MATCH($D67,MODELOS!$A$3:$A$19,0))</f>
        <v>Conforme modelo</v>
      </c>
      <c r="J67" s="11" t="str">
        <f aca="false">IF(LEFT($D67,2)&lt;&gt;"AP",IF($I67="SIM","SIM","RECOMENDADA"),IF(INDEX(PRODUTOS!$J$4:$J$63,MATCH($A67,PRODUTOS!$B$4:$B$63,0))&lt;&gt;"","NÃO (usa o A+ do EAN "&amp;INDEX(PRODUTOS!$J$4:$J$63,MATCH($A67,PRODUTOS!$B$4:$B$63,0))&amp;")",IF(AND(INDEX(PRODUTOS!$I$4:$I$63,MATCH($A67,PRODUTOS!$B$4:$B$63,0))="B",$D67="AP07"),"NÃO (modelo B)","SIM")))</f>
        <v>NÃO (usa o A+ do EAN 7898968541504)</v>
      </c>
      <c r="K67" s="13" t="s">
        <v>325</v>
      </c>
      <c r="L67" s="13"/>
    </row>
    <row r="68" customFormat="false" ht="15" hidden="false" customHeight="false" outlineLevel="0" collapsed="false">
      <c r="A68" s="15" t="s">
        <v>66</v>
      </c>
      <c r="B68" s="11" t="str">
        <f aca="false">INDEX(PRODUTOS!$E$4:$E$63,MATCH($A68,PRODUTOS!$B$4:$B$63,0))</f>
        <v>New Dots Ração Seca Premium para Cães Adultos - 1 kg</v>
      </c>
      <c r="C68" s="11" t="str">
        <f aca="false">INDEX(PRODUTOS!$H$4:$H$63,MATCH($A68,PRODUTOS!$B$4:$B$63,0))</f>
        <v>1 kg</v>
      </c>
      <c r="D68" s="11" t="s">
        <v>338</v>
      </c>
      <c r="E68" s="16" t="str">
        <f aca="false">$A68&amp;"."&amp;$D68&amp;".jpg"</f>
        <v>7898968541450.AP05.jpg</v>
      </c>
      <c r="F68" s="11" t="str">
        <f aca="false">IF(INDEX(PRODUTOS!$I$4:$I$63,MATCH($A68,PRODUTOS!$B$4:$B$63,0))="B",INDEX(MODELOS!$F$3:$F$19,MATCH($D68,MODELOS!$A$3:$A$19,0)),INDEX(MODELOS!$B$3:$B$19,MATCH($D68,MODELOS!$A$3:$A$19,0)))</f>
        <v>A+ · Módulo 3 · Benefício 3 de 4</v>
      </c>
      <c r="G68" s="11" t="str">
        <f aca="false">IF(INDEX(PRODUTOS!$F$4:$F$63,MATCH($A68,PRODUTOS!$B$4:$B$63,0))="Ração",IF(INDEX(PRODUTOS!$I$4:$I$63,MATCH($A68,PRODUTOS!$B$4:$B$63,0))="B",INDEX(MODELOS!$G$3:$G$19,MATCH($D68,MODELOS!$A$3:$A$19,0)),INDEX(MODELOS!$C$3:$C$19,MATCH($D68,MODELOS!$A$3:$A$19,0))),IF(INDEX(PRODUTOS!$I$4:$I$63,MATCH($A68,PRODUTOS!$B$4:$B$63,0))="B",INDEX(MODELOS!$H$3:$H$19,MATCH($D68,MODELOS!$A$3:$A$19,0)),INDEX(MODELOS!$D$3:$D$19,MATCH($D68,MODELOS!$A$3:$A$19,0))))</f>
        <v>Foto/ilustração do benefício 3</v>
      </c>
      <c r="H68" s="11" t="str">
        <f aca="false">IF(INDEX(PRODUTOS!$I$4:$I$63,MATCH($A68,PRODUTOS!$B$4:$B$63,0))="B",INDEX(MODELOS!$I$3:$I$19,MATCH($D68,MODELOS!$A$3:$A$19,0)),INDEX(MODELOS!$E$3:$E$19,MATCH($D68,MODELOS!$A$3:$A$19,0)))</f>
        <v>220 × 200</v>
      </c>
      <c r="I68" s="11" t="str">
        <f aca="false">INDEX(MODELOS!$J$3:$J$19,MATCH($D68,MODELOS!$A$3:$A$19,0))</f>
        <v>Conforme modelo</v>
      </c>
      <c r="J68" s="11" t="str">
        <f aca="false">IF(LEFT($D68,2)&lt;&gt;"AP",IF($I68="SIM","SIM","RECOMENDADA"),IF(INDEX(PRODUTOS!$J$4:$J$63,MATCH($A68,PRODUTOS!$B$4:$B$63,0))&lt;&gt;"","NÃO (usa o A+ do EAN "&amp;INDEX(PRODUTOS!$J$4:$J$63,MATCH($A68,PRODUTOS!$B$4:$B$63,0))&amp;")",IF(AND(INDEX(PRODUTOS!$I$4:$I$63,MATCH($A68,PRODUTOS!$B$4:$B$63,0))="B",$D68="AP07"),"NÃO (modelo B)","SIM")))</f>
        <v>NÃO (usa o A+ do EAN 7898968541504)</v>
      </c>
      <c r="K68" s="13" t="s">
        <v>325</v>
      </c>
      <c r="L68" s="13"/>
    </row>
    <row r="69" customFormat="false" ht="15" hidden="false" customHeight="false" outlineLevel="0" collapsed="false">
      <c r="A69" s="15" t="s">
        <v>66</v>
      </c>
      <c r="B69" s="11" t="str">
        <f aca="false">INDEX(PRODUTOS!$E$4:$E$63,MATCH($A69,PRODUTOS!$B$4:$B$63,0))</f>
        <v>New Dots Ração Seca Premium para Cães Adultos - 1 kg</v>
      </c>
      <c r="C69" s="11" t="str">
        <f aca="false">INDEX(PRODUTOS!$H$4:$H$63,MATCH($A69,PRODUTOS!$B$4:$B$63,0))</f>
        <v>1 kg</v>
      </c>
      <c r="D69" s="11" t="s">
        <v>339</v>
      </c>
      <c r="E69" s="16" t="str">
        <f aca="false">$A69&amp;"."&amp;$D69&amp;".jpg"</f>
        <v>7898968541450.AP06.jpg</v>
      </c>
      <c r="F69" s="11" t="str">
        <f aca="false">IF(INDEX(PRODUTOS!$I$4:$I$63,MATCH($A69,PRODUTOS!$B$4:$B$63,0))="B",INDEX(MODELOS!$F$3:$F$19,MATCH($D69,MODELOS!$A$3:$A$19,0)),INDEX(MODELOS!$B$3:$B$19,MATCH($D69,MODELOS!$A$3:$A$19,0)))</f>
        <v>A+ · Módulo 3 · Benefício 4 de 4</v>
      </c>
      <c r="G69" s="11" t="str">
        <f aca="false">IF(INDEX(PRODUTOS!$F$4:$F$63,MATCH($A69,PRODUTOS!$B$4:$B$63,0))="Ração",IF(INDEX(PRODUTOS!$I$4:$I$63,MATCH($A69,PRODUTOS!$B$4:$B$63,0))="B",INDEX(MODELOS!$G$3:$G$19,MATCH($D69,MODELOS!$A$3:$A$19,0)),INDEX(MODELOS!$C$3:$C$19,MATCH($D69,MODELOS!$A$3:$A$19,0))),IF(INDEX(PRODUTOS!$I$4:$I$63,MATCH($A69,PRODUTOS!$B$4:$B$63,0))="B",INDEX(MODELOS!$H$3:$H$19,MATCH($D69,MODELOS!$A$3:$A$19,0)),INDEX(MODELOS!$D$3:$D$19,MATCH($D69,MODELOS!$A$3:$A$19,0))))</f>
        <v>Foto/ilustração do benefício 4</v>
      </c>
      <c r="H69" s="11" t="str">
        <f aca="false">IF(INDEX(PRODUTOS!$I$4:$I$63,MATCH($A69,PRODUTOS!$B$4:$B$63,0))="B",INDEX(MODELOS!$I$3:$I$19,MATCH($D69,MODELOS!$A$3:$A$19,0)),INDEX(MODELOS!$E$3:$E$19,MATCH($D69,MODELOS!$A$3:$A$19,0)))</f>
        <v>220 × 200</v>
      </c>
      <c r="I69" s="11" t="str">
        <f aca="false">INDEX(MODELOS!$J$3:$J$19,MATCH($D69,MODELOS!$A$3:$A$19,0))</f>
        <v>Conforme modelo</v>
      </c>
      <c r="J69" s="11" t="str">
        <f aca="false">IF(LEFT($D69,2)&lt;&gt;"AP",IF($I69="SIM","SIM","RECOMENDADA"),IF(INDEX(PRODUTOS!$J$4:$J$63,MATCH($A69,PRODUTOS!$B$4:$B$63,0))&lt;&gt;"","NÃO (usa o A+ do EAN "&amp;INDEX(PRODUTOS!$J$4:$J$63,MATCH($A69,PRODUTOS!$B$4:$B$63,0))&amp;")",IF(AND(INDEX(PRODUTOS!$I$4:$I$63,MATCH($A69,PRODUTOS!$B$4:$B$63,0))="B",$D69="AP07"),"NÃO (modelo B)","SIM")))</f>
        <v>NÃO (usa o A+ do EAN 7898968541504)</v>
      </c>
      <c r="K69" s="13" t="s">
        <v>325</v>
      </c>
      <c r="L69" s="13"/>
    </row>
    <row r="70" customFormat="false" ht="15" hidden="false" customHeight="false" outlineLevel="0" collapsed="false">
      <c r="A70" s="15" t="s">
        <v>66</v>
      </c>
      <c r="B70" s="11" t="str">
        <f aca="false">INDEX(PRODUTOS!$E$4:$E$63,MATCH($A70,PRODUTOS!$B$4:$B$63,0))</f>
        <v>New Dots Ração Seca Premium para Cães Adultos - 1 kg</v>
      </c>
      <c r="C70" s="11" t="str">
        <f aca="false">INDEX(PRODUTOS!$H$4:$H$63,MATCH($A70,PRODUTOS!$B$4:$B$63,0))</f>
        <v>1 kg</v>
      </c>
      <c r="D70" s="11" t="s">
        <v>340</v>
      </c>
      <c r="E70" s="16" t="str">
        <f aca="false">$A70&amp;"."&amp;$D70&amp;".jpg"</f>
        <v>7898968541450.AP07.jpg</v>
      </c>
      <c r="F70" s="11" t="str">
        <f aca="false">IF(INDEX(PRODUTOS!$I$4:$I$63,MATCH($A70,PRODUTOS!$B$4:$B$63,0))="B",INDEX(MODELOS!$F$3:$F$19,MATCH($D70,MODELOS!$A$3:$A$19,0)),INDEX(MODELOS!$B$3:$B$19,MATCH($D70,MODELOS!$A$3:$A$19,0)))</f>
        <v>A+ · Módulo 4 · Especificações</v>
      </c>
      <c r="G70" s="11" t="str">
        <f aca="false">IF(INDEX(PRODUTOS!$F$4:$F$63,MATCH($A70,PRODUTOS!$B$4:$B$63,0))="Ração",IF(INDEX(PRODUTOS!$I$4:$I$63,MATCH($A70,PRODUTOS!$B$4:$B$63,0))="B",INDEX(MODELOS!$G$3:$G$19,MATCH($D70,MODELOS!$A$3:$A$19,0)),INDEX(MODELOS!$C$3:$C$19,MATCH($D70,MODELOS!$A$3:$A$19,0))),IF(INDEX(PRODUTOS!$I$4:$I$63,MATCH($A70,PRODUTOS!$B$4:$B$63,0))="B",INDEX(MODELOS!$H$3:$H$19,MATCH($D70,MODELOS!$A$3:$A$19,0)),INDEX(MODELOS!$D$3:$D$19,MATCH($D70,MODELOS!$A$3:$A$19,0))))</f>
        <v>Grão ou pacote em destaque</v>
      </c>
      <c r="H70" s="11" t="str">
        <f aca="false">IF(INDEX(PRODUTOS!$I$4:$I$63,MATCH($A70,PRODUTOS!$B$4:$B$63,0))="B",INDEX(MODELOS!$I$3:$I$19,MATCH($D70,MODELOS!$A$3:$A$19,0)),INDEX(MODELOS!$E$3:$E$19,MATCH($D70,MODELOS!$A$3:$A$19,0)))</f>
        <v>300 × 300</v>
      </c>
      <c r="I70" s="11" t="str">
        <f aca="false">INDEX(MODELOS!$J$3:$J$19,MATCH($D70,MODELOS!$A$3:$A$19,0))</f>
        <v>Conforme modelo</v>
      </c>
      <c r="J70" s="11" t="str">
        <f aca="false">IF(LEFT($D70,2)&lt;&gt;"AP",IF($I70="SIM","SIM","RECOMENDADA"),IF(INDEX(PRODUTOS!$J$4:$J$63,MATCH($A70,PRODUTOS!$B$4:$B$63,0))&lt;&gt;"","NÃO (usa o A+ do EAN "&amp;INDEX(PRODUTOS!$J$4:$J$63,MATCH($A70,PRODUTOS!$B$4:$B$63,0))&amp;")",IF(AND(INDEX(PRODUTOS!$I$4:$I$63,MATCH($A70,PRODUTOS!$B$4:$B$63,0))="B",$D70="AP07"),"NÃO (modelo B)","SIM")))</f>
        <v>NÃO (usa o A+ do EAN 7898968541504)</v>
      </c>
      <c r="K70" s="13" t="s">
        <v>325</v>
      </c>
      <c r="L70" s="13"/>
    </row>
    <row r="71" customFormat="false" ht="15" hidden="false" customHeight="false" outlineLevel="0" collapsed="false">
      <c r="A71" s="15" t="s">
        <v>66</v>
      </c>
      <c r="B71" s="11" t="str">
        <f aca="false">INDEX(PRODUTOS!$E$4:$E$63,MATCH($A71,PRODUTOS!$B$4:$B$63,0))</f>
        <v>New Dots Ração Seca Premium para Cães Adultos - 1 kg</v>
      </c>
      <c r="C71" s="11" t="str">
        <f aca="false">INDEX(PRODUTOS!$H$4:$H$63,MATCH($A71,PRODUTOS!$B$4:$B$63,0))</f>
        <v>1 kg</v>
      </c>
      <c r="D71" s="11" t="s">
        <v>341</v>
      </c>
      <c r="E71" s="16" t="str">
        <f aca="false">$A71&amp;"."&amp;$D71&amp;".jpg"</f>
        <v>7898968541450.COMP.jpg</v>
      </c>
      <c r="F71" s="11" t="str">
        <f aca="false">IF(INDEX(PRODUTOS!$I$4:$I$63,MATCH($A71,PRODUTOS!$B$4:$B$63,0))="B",INDEX(MODELOS!$F$3:$F$19,MATCH($D71,MODELOS!$A$3:$A$19,0)),INDEX(MODELOS!$B$3:$B$19,MATCH($D71,MODELOS!$A$3:$A$19,0)))</f>
        <v>A+ · Tabela comparativa</v>
      </c>
      <c r="G71" s="11" t="str">
        <f aca="false">IF(INDEX(PRODUTOS!$F$4:$F$63,MATCH($A71,PRODUTOS!$B$4:$B$63,0))="Ração",IF(INDEX(PRODUTOS!$I$4:$I$63,MATCH($A71,PRODUTOS!$B$4:$B$63,0))="B",INDEX(MODELOS!$G$3:$G$19,MATCH($D71,MODELOS!$A$3:$A$19,0)),INDEX(MODELOS!$C$3:$C$19,MATCH($D71,MODELOS!$A$3:$A$19,0))),IF(INDEX(PRODUTOS!$I$4:$I$63,MATCH($A71,PRODUTOS!$B$4:$B$63,0))="B",INDEX(MODELOS!$H$3:$H$19,MATCH($D71,MODELOS!$A$3:$A$19,0)),INDEX(MODELOS!$D$3:$D$19,MATCH($D71,MODELOS!$A$3:$A$19,0))))</f>
        <v>Pacote na vertical, sem fundo colorido</v>
      </c>
      <c r="H71" s="11" t="str">
        <f aca="false">IF(INDEX(PRODUTOS!$I$4:$I$63,MATCH($A71,PRODUTOS!$B$4:$B$63,0))="B",INDEX(MODELOS!$I$3:$I$19,MATCH($D71,MODELOS!$A$3:$A$19,0)),INDEX(MODELOS!$E$3:$E$19,MATCH($D71,MODELOS!$A$3:$A$19,0)))</f>
        <v>150 × 300</v>
      </c>
      <c r="I71" s="11" t="str">
        <f aca="false">INDEX(MODELOS!$J$3:$J$19,MATCH($D71,MODELOS!$A$3:$A$19,0))</f>
        <v>SIM</v>
      </c>
      <c r="J71" s="11" t="str">
        <f aca="false">IF(LEFT($D71,2)&lt;&gt;"AP",IF($I71="SIM","SIM","RECOMENDADA"),IF(INDEX(PRODUTOS!$J$4:$J$63,MATCH($A71,PRODUTOS!$B$4:$B$63,0))&lt;&gt;"","NÃO (usa o A+ do EAN "&amp;INDEX(PRODUTOS!$J$4:$J$63,MATCH($A71,PRODUTOS!$B$4:$B$63,0))&amp;")",IF(AND(INDEX(PRODUTOS!$I$4:$I$63,MATCH($A71,PRODUTOS!$B$4:$B$63,0))="B",$D71="AP07"),"NÃO (modelo B)","SIM")))</f>
        <v>SIM</v>
      </c>
      <c r="K71" s="13" t="s">
        <v>325</v>
      </c>
      <c r="L71" s="13"/>
    </row>
    <row r="72" customFormat="false" ht="15" hidden="false" customHeight="false" outlineLevel="0" collapsed="false">
      <c r="A72" s="15" t="s">
        <v>70</v>
      </c>
      <c r="B72" s="11" t="str">
        <f aca="false">INDEX(PRODUTOS!$E$4:$E$63,MATCH($A72,PRODUTOS!$B$4:$B$63,0))</f>
        <v>New Dots Ração Seca Premium para Cães Adultos de Raças Pequenas - 20 kg</v>
      </c>
      <c r="C72" s="11" t="str">
        <f aca="false">INDEX(PRODUTOS!$H$4:$H$63,MATCH($A72,PRODUTOS!$B$4:$B$63,0))</f>
        <v>20 kg</v>
      </c>
      <c r="D72" s="11" t="s">
        <v>324</v>
      </c>
      <c r="E72" s="16" t="str">
        <f aca="false">$A72&amp;"."&amp;$D72&amp;".jpg"</f>
        <v>7898968541535.MAIN.jpg</v>
      </c>
      <c r="F72" s="11" t="str">
        <f aca="false">IF(INDEX(PRODUTOS!$I$4:$I$63,MATCH($A72,PRODUTOS!$B$4:$B$63,0))="B",INDEX(MODELOS!$F$3:$F$19,MATCH($D72,MODELOS!$A$3:$A$19,0)),INDEX(MODELOS!$B$3:$B$19,MATCH($D72,MODELOS!$A$3:$A$19,0)))</f>
        <v>Capa (posição 1)</v>
      </c>
      <c r="G72" s="11" t="str">
        <f aca="false">IF(INDEX(PRODUTOS!$F$4:$F$63,MATCH($A72,PRODUTOS!$B$4:$B$63,0))="Ração",IF(INDEX(PRODUTOS!$I$4:$I$63,MATCH($A72,PRODUTOS!$B$4:$B$63,0))="B",INDEX(MODELOS!$G$3:$G$19,MATCH($D72,MODELOS!$A$3:$A$19,0)),INDEX(MODELOS!$C$3:$C$19,MATCH($D72,MODELOS!$A$3:$A$19,0))),IF(INDEX(PRODUTOS!$I$4:$I$63,MATCH($A72,PRODUTOS!$B$4:$B$63,0))="B",INDEX(MODELOS!$H$3:$H$19,MATCH($D72,MODELOS!$A$3:$A$19,0)),INDEX(MODELOS!$D$3:$D$19,MATCH($D72,MODELOS!$A$3:$A$19,0))))</f>
        <v>Embalagem de frente, fundo branco puro, 85% da área, nada adicionado</v>
      </c>
      <c r="H72" s="11" t="str">
        <f aca="false">IF(INDEX(PRODUTOS!$I$4:$I$63,MATCH($A72,PRODUTOS!$B$4:$B$63,0))="B",INDEX(MODELOS!$I$3:$I$19,MATCH($D72,MODELOS!$A$3:$A$19,0)),INDEX(MODELOS!$E$3:$E$19,MATCH($D72,MODELOS!$A$3:$A$19,0)))</f>
        <v>2000 × 2000</v>
      </c>
      <c r="I72" s="11" t="str">
        <f aca="false">INDEX(MODELOS!$J$3:$J$19,MATCH($D72,MODELOS!$A$3:$A$19,0))</f>
        <v>SIM</v>
      </c>
      <c r="J72" s="11" t="str">
        <f aca="false">IF(LEFT($D72,2)&lt;&gt;"AP",IF($I72="SIM","SIM","RECOMENDADA"),IF(INDEX(PRODUTOS!$J$4:$J$63,MATCH($A72,PRODUTOS!$B$4:$B$63,0))&lt;&gt;"","NÃO (usa o A+ do EAN "&amp;INDEX(PRODUTOS!$J$4:$J$63,MATCH($A72,PRODUTOS!$B$4:$B$63,0))&amp;")",IF(AND(INDEX(PRODUTOS!$I$4:$I$63,MATCH($A72,PRODUTOS!$B$4:$B$63,0))="B",$D72="AP07"),"NÃO (modelo B)","SIM")))</f>
        <v>SIM</v>
      </c>
      <c r="K72" s="13" t="s">
        <v>325</v>
      </c>
      <c r="L72" s="13"/>
    </row>
    <row r="73" customFormat="false" ht="15" hidden="false" customHeight="false" outlineLevel="0" collapsed="false">
      <c r="A73" s="15" t="s">
        <v>70</v>
      </c>
      <c r="B73" s="11" t="str">
        <f aca="false">INDEX(PRODUTOS!$E$4:$E$63,MATCH($A73,PRODUTOS!$B$4:$B$63,0))</f>
        <v>New Dots Ração Seca Premium para Cães Adultos de Raças Pequenas - 20 kg</v>
      </c>
      <c r="C73" s="11" t="str">
        <f aca="false">INDEX(PRODUTOS!$H$4:$H$63,MATCH($A73,PRODUTOS!$B$4:$B$63,0))</f>
        <v>20 kg</v>
      </c>
      <c r="D73" s="11" t="s">
        <v>326</v>
      </c>
      <c r="E73" s="16" t="str">
        <f aca="false">$A73&amp;"."&amp;$D73&amp;".jpg"</f>
        <v>7898968541535.PT01.jpg</v>
      </c>
      <c r="F73" s="11" t="str">
        <f aca="false">IF(INDEX(PRODUTOS!$I$4:$I$63,MATCH($A73,PRODUTOS!$B$4:$B$63,0))="B",INDEX(MODELOS!$F$3:$F$19,MATCH($D73,MODELOS!$A$3:$A$19,0)),INDEX(MODELOS!$B$3:$B$19,MATCH($D73,MODELOS!$A$3:$A$19,0)))</f>
        <v>Galeria · posição 2</v>
      </c>
      <c r="G73" s="11" t="str">
        <f aca="false">IF(INDEX(PRODUTOS!$F$4:$F$63,MATCH($A73,PRODUTOS!$B$4:$B$63,0))="Ração",IF(INDEX(PRODUTOS!$I$4:$I$63,MATCH($A73,PRODUTOS!$B$4:$B$63,0))="B",INDEX(MODELOS!$G$3:$G$19,MATCH($D73,MODELOS!$A$3:$A$19,0)),INDEX(MODELOS!$C$3:$C$19,MATCH($D73,MODELOS!$A$3:$A$19,0))),IF(INDEX(PRODUTOS!$I$4:$I$63,MATCH($A73,PRODUTOS!$B$4:$B$63,0))="B",INDEX(MODELOS!$H$3:$H$19,MATCH($D73,MODELOS!$A$3:$A$19,0)),INDEX(MODELOS!$D$3:$D$19,MATCH($D73,MODELOS!$A$3:$A$19,0))))</f>
        <v>Grande diferencial da linha (número ou promessa forte + grão e ingrediente)</v>
      </c>
      <c r="H73" s="11" t="str">
        <f aca="false">IF(INDEX(PRODUTOS!$I$4:$I$63,MATCH($A73,PRODUTOS!$B$4:$B$63,0))="B",INDEX(MODELOS!$I$3:$I$19,MATCH($D73,MODELOS!$A$3:$A$19,0)),INDEX(MODELOS!$E$3:$E$19,MATCH($D73,MODELOS!$A$3:$A$19,0)))</f>
        <v>2000 × 2000</v>
      </c>
      <c r="I73" s="11" t="str">
        <f aca="false">INDEX(MODELOS!$J$3:$J$19,MATCH($D73,MODELOS!$A$3:$A$19,0))</f>
        <v>SIM</v>
      </c>
      <c r="J73" s="11" t="str">
        <f aca="false">IF(LEFT($D73,2)&lt;&gt;"AP",IF($I73="SIM","SIM","RECOMENDADA"),IF(INDEX(PRODUTOS!$J$4:$J$63,MATCH($A73,PRODUTOS!$B$4:$B$63,0))&lt;&gt;"","NÃO (usa o A+ do EAN "&amp;INDEX(PRODUTOS!$J$4:$J$63,MATCH($A73,PRODUTOS!$B$4:$B$63,0))&amp;")",IF(AND(INDEX(PRODUTOS!$I$4:$I$63,MATCH($A73,PRODUTOS!$B$4:$B$63,0))="B",$D73="AP07"),"NÃO (modelo B)","SIM")))</f>
        <v>SIM</v>
      </c>
      <c r="K73" s="13" t="s">
        <v>325</v>
      </c>
      <c r="L73" s="13"/>
    </row>
    <row r="74" customFormat="false" ht="15" hidden="false" customHeight="false" outlineLevel="0" collapsed="false">
      <c r="A74" s="15" t="s">
        <v>70</v>
      </c>
      <c r="B74" s="11" t="str">
        <f aca="false">INDEX(PRODUTOS!$E$4:$E$63,MATCH($A74,PRODUTOS!$B$4:$B$63,0))</f>
        <v>New Dots Ração Seca Premium para Cães Adultos de Raças Pequenas - 20 kg</v>
      </c>
      <c r="C74" s="11" t="str">
        <f aca="false">INDEX(PRODUTOS!$H$4:$H$63,MATCH($A74,PRODUTOS!$B$4:$B$63,0))</f>
        <v>20 kg</v>
      </c>
      <c r="D74" s="11" t="s">
        <v>327</v>
      </c>
      <c r="E74" s="16" t="str">
        <f aca="false">$A74&amp;"."&amp;$D74&amp;".jpg"</f>
        <v>7898968541535.PT02.jpg</v>
      </c>
      <c r="F74" s="11" t="str">
        <f aca="false">IF(INDEX(PRODUTOS!$I$4:$I$63,MATCH($A74,PRODUTOS!$B$4:$B$63,0))="B",INDEX(MODELOS!$F$3:$F$19,MATCH($D74,MODELOS!$A$3:$A$19,0)),INDEX(MODELOS!$B$3:$B$19,MATCH($D74,MODELOS!$A$3:$A$19,0)))</f>
        <v>Galeria · posição 3</v>
      </c>
      <c r="G74" s="11" t="str">
        <f aca="false">IF(INDEX(PRODUTOS!$F$4:$F$63,MATCH($A74,PRODUTOS!$B$4:$B$63,0))="Ração",IF(INDEX(PRODUTOS!$I$4:$I$63,MATCH($A74,PRODUTOS!$B$4:$B$63,0))="B",INDEX(MODELOS!$G$3:$G$19,MATCH($D74,MODELOS!$A$3:$A$19,0)),INDEX(MODELOS!$C$3:$C$19,MATCH($D74,MODELOS!$A$3:$A$19,0))),IF(INDEX(PRODUTOS!$I$4:$I$63,MATCH($A74,PRODUTOS!$B$4:$B$63,0))="B",INDEX(MODELOS!$H$3:$H$19,MATCH($D74,MODELOS!$A$3:$A$19,0)),INDEX(MODELOS!$D$3:$D$19,MATCH($D74,MODELOS!$A$3:$A$19,0))))</f>
        <v>Benefícios com ícones (4 a 6, impressos na embalagem) + ingrediente</v>
      </c>
      <c r="H74" s="11" t="str">
        <f aca="false">IF(INDEX(PRODUTOS!$I$4:$I$63,MATCH($A74,PRODUTOS!$B$4:$B$63,0))="B",INDEX(MODELOS!$I$3:$I$19,MATCH($D74,MODELOS!$A$3:$A$19,0)),INDEX(MODELOS!$E$3:$E$19,MATCH($D74,MODELOS!$A$3:$A$19,0)))</f>
        <v>2000 × 2000</v>
      </c>
      <c r="I74" s="11" t="str">
        <f aca="false">INDEX(MODELOS!$J$3:$J$19,MATCH($D74,MODELOS!$A$3:$A$19,0))</f>
        <v>SIM</v>
      </c>
      <c r="J74" s="11" t="str">
        <f aca="false">IF(LEFT($D74,2)&lt;&gt;"AP",IF($I74="SIM","SIM","RECOMENDADA"),IF(INDEX(PRODUTOS!$J$4:$J$63,MATCH($A74,PRODUTOS!$B$4:$B$63,0))&lt;&gt;"","NÃO (usa o A+ do EAN "&amp;INDEX(PRODUTOS!$J$4:$J$63,MATCH($A74,PRODUTOS!$B$4:$B$63,0))&amp;")",IF(AND(INDEX(PRODUTOS!$I$4:$I$63,MATCH($A74,PRODUTOS!$B$4:$B$63,0))="B",$D74="AP07"),"NÃO (modelo B)","SIM")))</f>
        <v>SIM</v>
      </c>
      <c r="K74" s="13" t="s">
        <v>325</v>
      </c>
      <c r="L74" s="13"/>
    </row>
    <row r="75" customFormat="false" ht="15" hidden="false" customHeight="false" outlineLevel="0" collapsed="false">
      <c r="A75" s="15" t="s">
        <v>70</v>
      </c>
      <c r="B75" s="11" t="str">
        <f aca="false">INDEX(PRODUTOS!$E$4:$E$63,MATCH($A75,PRODUTOS!$B$4:$B$63,0))</f>
        <v>New Dots Ração Seca Premium para Cães Adultos de Raças Pequenas - 20 kg</v>
      </c>
      <c r="C75" s="11" t="str">
        <f aca="false">INDEX(PRODUTOS!$H$4:$H$63,MATCH($A75,PRODUTOS!$B$4:$B$63,0))</f>
        <v>20 kg</v>
      </c>
      <c r="D75" s="11" t="s">
        <v>328</v>
      </c>
      <c r="E75" s="16" t="str">
        <f aca="false">$A75&amp;"."&amp;$D75&amp;".jpg"</f>
        <v>7898968541535.PT03.jpg</v>
      </c>
      <c r="F75" s="11" t="str">
        <f aca="false">IF(INDEX(PRODUTOS!$I$4:$I$63,MATCH($A75,PRODUTOS!$B$4:$B$63,0))="B",INDEX(MODELOS!$F$3:$F$19,MATCH($D75,MODELOS!$A$3:$A$19,0)),INDEX(MODELOS!$B$3:$B$19,MATCH($D75,MODELOS!$A$3:$A$19,0)))</f>
        <v>Galeria · posição 4</v>
      </c>
      <c r="G75" s="11" t="str">
        <f aca="false">IF(INDEX(PRODUTOS!$F$4:$F$63,MATCH($A75,PRODUTOS!$B$4:$B$63,0))="Ração",IF(INDEX(PRODUTOS!$I$4:$I$63,MATCH($A75,PRODUTOS!$B$4:$B$63,0))="B",INDEX(MODELOS!$G$3:$G$19,MATCH($D75,MODELOS!$A$3:$A$19,0)),INDEX(MODELOS!$C$3:$C$19,MATCH($D75,MODELOS!$A$3:$A$19,0))),IF(INDEX(PRODUTOS!$I$4:$I$63,MATCH($A75,PRODUTOS!$B$4:$B$63,0))="B",INDEX(MODELOS!$H$3:$H$19,MATCH($D75,MODELOS!$A$3:$A$19,0)),INDEX(MODELOS!$D$3:$D$19,MATCH($D75,MODELOS!$A$3:$A$19,0))))</f>
        <v>Formato e tamanho do grão, com medida em mm e referência de tamanho</v>
      </c>
      <c r="H75" s="11" t="str">
        <f aca="false">IF(INDEX(PRODUTOS!$I$4:$I$63,MATCH($A75,PRODUTOS!$B$4:$B$63,0))="B",INDEX(MODELOS!$I$3:$I$19,MATCH($D75,MODELOS!$A$3:$A$19,0)),INDEX(MODELOS!$E$3:$E$19,MATCH($D75,MODELOS!$A$3:$A$19,0)))</f>
        <v>2000 × 2000</v>
      </c>
      <c r="I75" s="11" t="str">
        <f aca="false">INDEX(MODELOS!$J$3:$J$19,MATCH($D75,MODELOS!$A$3:$A$19,0))</f>
        <v>SIM</v>
      </c>
      <c r="J75" s="11" t="str">
        <f aca="false">IF(LEFT($D75,2)&lt;&gt;"AP",IF($I75="SIM","SIM","RECOMENDADA"),IF(INDEX(PRODUTOS!$J$4:$J$63,MATCH($A75,PRODUTOS!$B$4:$B$63,0))&lt;&gt;"","NÃO (usa o A+ do EAN "&amp;INDEX(PRODUTOS!$J$4:$J$63,MATCH($A75,PRODUTOS!$B$4:$B$63,0))&amp;")",IF(AND(INDEX(PRODUTOS!$I$4:$I$63,MATCH($A75,PRODUTOS!$B$4:$B$63,0))="B",$D75="AP07"),"NÃO (modelo B)","SIM")))</f>
        <v>SIM</v>
      </c>
      <c r="K75" s="13" t="s">
        <v>325</v>
      </c>
      <c r="L75" s="13"/>
    </row>
    <row r="76" customFormat="false" ht="15" hidden="false" customHeight="false" outlineLevel="0" collapsed="false">
      <c r="A76" s="15" t="s">
        <v>70</v>
      </c>
      <c r="B76" s="11" t="str">
        <f aca="false">INDEX(PRODUTOS!$E$4:$E$63,MATCH($A76,PRODUTOS!$B$4:$B$63,0))</f>
        <v>New Dots Ração Seca Premium para Cães Adultos de Raças Pequenas - 20 kg</v>
      </c>
      <c r="C76" s="11" t="str">
        <f aca="false">INDEX(PRODUTOS!$H$4:$H$63,MATCH($A76,PRODUTOS!$B$4:$B$63,0))</f>
        <v>20 kg</v>
      </c>
      <c r="D76" s="11" t="s">
        <v>329</v>
      </c>
      <c r="E76" s="16" t="str">
        <f aca="false">$A76&amp;"."&amp;$D76&amp;".jpg"</f>
        <v>7898968541535.PT04.jpg</v>
      </c>
      <c r="F76" s="11" t="str">
        <f aca="false">IF(INDEX(PRODUTOS!$I$4:$I$63,MATCH($A76,PRODUTOS!$B$4:$B$63,0))="B",INDEX(MODELOS!$F$3:$F$19,MATCH($D76,MODELOS!$A$3:$A$19,0)),INDEX(MODELOS!$B$3:$B$19,MATCH($D76,MODELOS!$A$3:$A$19,0)))</f>
        <v>Galeria · posição 5</v>
      </c>
      <c r="G76" s="11" t="str">
        <f aca="false">IF(INDEX(PRODUTOS!$F$4:$F$63,MATCH($A76,PRODUTOS!$B$4:$B$63,0))="Ração",IF(INDEX(PRODUTOS!$I$4:$I$63,MATCH($A76,PRODUTOS!$B$4:$B$63,0))="B",INDEX(MODELOS!$G$3:$G$19,MATCH($D76,MODELOS!$A$3:$A$19,0)),INDEX(MODELOS!$C$3:$C$19,MATCH($D76,MODELOS!$A$3:$A$19,0))),IF(INDEX(PRODUTOS!$I$4:$I$63,MATCH($A76,PRODUTOS!$B$4:$B$63,0))="B",INDEX(MODELOS!$H$3:$H$19,MATCH($D76,MODELOS!$A$3:$A$19,0)),INDEX(MODELOS!$D$3:$D$19,MATCH($D76,MODELOS!$A$3:$A$19,0))))</f>
        <v>Quantidade diária por peso do cão/gato (números idênticos à embalagem)</v>
      </c>
      <c r="H76" s="11" t="str">
        <f aca="false">IF(INDEX(PRODUTOS!$I$4:$I$63,MATCH($A76,PRODUTOS!$B$4:$B$63,0))="B",INDEX(MODELOS!$I$3:$I$19,MATCH($D76,MODELOS!$A$3:$A$19,0)),INDEX(MODELOS!$E$3:$E$19,MATCH($D76,MODELOS!$A$3:$A$19,0)))</f>
        <v>2000 × 2000</v>
      </c>
      <c r="I76" s="11" t="str">
        <f aca="false">INDEX(MODELOS!$J$3:$J$19,MATCH($D76,MODELOS!$A$3:$A$19,0))</f>
        <v>SIM</v>
      </c>
      <c r="J76" s="11" t="str">
        <f aca="false">IF(LEFT($D76,2)&lt;&gt;"AP",IF($I76="SIM","SIM","RECOMENDADA"),IF(INDEX(PRODUTOS!$J$4:$J$63,MATCH($A76,PRODUTOS!$B$4:$B$63,0))&lt;&gt;"","NÃO (usa o A+ do EAN "&amp;INDEX(PRODUTOS!$J$4:$J$63,MATCH($A76,PRODUTOS!$B$4:$B$63,0))&amp;")",IF(AND(INDEX(PRODUTOS!$I$4:$I$63,MATCH($A76,PRODUTOS!$B$4:$B$63,0))="B",$D76="AP07"),"NÃO (modelo B)","SIM")))</f>
        <v>SIM</v>
      </c>
      <c r="K76" s="13" t="s">
        <v>325</v>
      </c>
      <c r="L76" s="13"/>
    </row>
    <row r="77" customFormat="false" ht="15" hidden="false" customHeight="false" outlineLevel="0" collapsed="false">
      <c r="A77" s="15" t="s">
        <v>70</v>
      </c>
      <c r="B77" s="11" t="str">
        <f aca="false">INDEX(PRODUTOS!$E$4:$E$63,MATCH($A77,PRODUTOS!$B$4:$B$63,0))</f>
        <v>New Dots Ração Seca Premium para Cães Adultos de Raças Pequenas - 20 kg</v>
      </c>
      <c r="C77" s="11" t="str">
        <f aca="false">INDEX(PRODUTOS!$H$4:$H$63,MATCH($A77,PRODUTOS!$B$4:$B$63,0))</f>
        <v>20 kg</v>
      </c>
      <c r="D77" s="11" t="s">
        <v>330</v>
      </c>
      <c r="E77" s="16" t="str">
        <f aca="false">$A77&amp;"."&amp;$D77&amp;".jpg"</f>
        <v>7898968541535.PT05.jpg</v>
      </c>
      <c r="F77" s="11" t="str">
        <f aca="false">IF(INDEX(PRODUTOS!$I$4:$I$63,MATCH($A77,PRODUTOS!$B$4:$B$63,0))="B",INDEX(MODELOS!$F$3:$F$19,MATCH($D77,MODELOS!$A$3:$A$19,0)),INDEX(MODELOS!$B$3:$B$19,MATCH($D77,MODELOS!$A$3:$A$19,0)))</f>
        <v>Galeria · posição 6</v>
      </c>
      <c r="G77" s="11" t="str">
        <f aca="false">IF(INDEX(PRODUTOS!$F$4:$F$63,MATCH($A77,PRODUTOS!$B$4:$B$63,0))="Ração",IF(INDEX(PRODUTOS!$I$4:$I$63,MATCH($A77,PRODUTOS!$B$4:$B$63,0))="B",INDEX(MODELOS!$G$3:$G$19,MATCH($D77,MODELOS!$A$3:$A$19,0)),INDEX(MODELOS!$C$3:$C$19,MATCH($D77,MODELOS!$A$3:$A$19,0))),IF(INDEX(PRODUTOS!$I$4:$I$63,MATCH($A77,PRODUTOS!$B$4:$B$63,0))="B",INDEX(MODELOS!$H$3:$H$19,MATCH($D77,MODELOS!$A$3:$A$19,0)),INDEX(MODELOS!$D$3:$D$19,MATCH($D77,MODELOS!$A$3:$A$19,0))))</f>
        <v>Transição alimentar dia a dia (igual ao verso da embalagem)</v>
      </c>
      <c r="H77" s="11" t="str">
        <f aca="false">IF(INDEX(PRODUTOS!$I$4:$I$63,MATCH($A77,PRODUTOS!$B$4:$B$63,0))="B",INDEX(MODELOS!$I$3:$I$19,MATCH($D77,MODELOS!$A$3:$A$19,0)),INDEX(MODELOS!$E$3:$E$19,MATCH($D77,MODELOS!$A$3:$A$19,0)))</f>
        <v>2000 × 2000</v>
      </c>
      <c r="I77" s="11" t="str">
        <f aca="false">INDEX(MODELOS!$J$3:$J$19,MATCH($D77,MODELOS!$A$3:$A$19,0))</f>
        <v>Recomendada</v>
      </c>
      <c r="J77" s="11" t="str">
        <f aca="false">IF(LEFT($D77,2)&lt;&gt;"AP",IF($I77="SIM","SIM","RECOMENDADA"),IF(INDEX(PRODUTOS!$J$4:$J$63,MATCH($A77,PRODUTOS!$B$4:$B$63,0))&lt;&gt;"","NÃO (usa o A+ do EAN "&amp;INDEX(PRODUTOS!$J$4:$J$63,MATCH($A77,PRODUTOS!$B$4:$B$63,0))&amp;")",IF(AND(INDEX(PRODUTOS!$I$4:$I$63,MATCH($A77,PRODUTOS!$B$4:$B$63,0))="B",$D77="AP07"),"NÃO (modelo B)","SIM")))</f>
        <v>RECOMENDADA</v>
      </c>
      <c r="K77" s="13" t="s">
        <v>325</v>
      </c>
      <c r="L77" s="13"/>
    </row>
    <row r="78" customFormat="false" ht="15" hidden="false" customHeight="false" outlineLevel="0" collapsed="false">
      <c r="A78" s="15" t="s">
        <v>70</v>
      </c>
      <c r="B78" s="11" t="str">
        <f aca="false">INDEX(PRODUTOS!$E$4:$E$63,MATCH($A78,PRODUTOS!$B$4:$B$63,0))</f>
        <v>New Dots Ração Seca Premium para Cães Adultos de Raças Pequenas - 20 kg</v>
      </c>
      <c r="C78" s="11" t="str">
        <f aca="false">INDEX(PRODUTOS!$H$4:$H$63,MATCH($A78,PRODUTOS!$B$4:$B$63,0))</f>
        <v>20 kg</v>
      </c>
      <c r="D78" s="11" t="s">
        <v>331</v>
      </c>
      <c r="E78" s="16" t="str">
        <f aca="false">$A78&amp;"."&amp;$D78&amp;".jpg"</f>
        <v>7898968541535.PT06.jpg</v>
      </c>
      <c r="F78" s="11" t="str">
        <f aca="false">IF(INDEX(PRODUTOS!$I$4:$I$63,MATCH($A78,PRODUTOS!$B$4:$B$63,0))="B",INDEX(MODELOS!$F$3:$F$19,MATCH($D78,MODELOS!$A$3:$A$19,0)),INDEX(MODELOS!$B$3:$B$19,MATCH($D78,MODELOS!$A$3:$A$19,0)))</f>
        <v>Galeria · posição 7</v>
      </c>
      <c r="G78" s="11" t="str">
        <f aca="false">IF(INDEX(PRODUTOS!$F$4:$F$63,MATCH($A78,PRODUTOS!$B$4:$B$63,0))="Ração",IF(INDEX(PRODUTOS!$I$4:$I$63,MATCH($A78,PRODUTOS!$B$4:$B$63,0))="B",INDEX(MODELOS!$G$3:$G$19,MATCH($D78,MODELOS!$A$3:$A$19,0)),INDEX(MODELOS!$C$3:$C$19,MATCH($D78,MODELOS!$A$3:$A$19,0))),IF(INDEX(PRODUTOS!$I$4:$I$63,MATCH($A78,PRODUTOS!$B$4:$B$63,0))="B",INDEX(MODELOS!$H$3:$H$19,MATCH($D78,MODELOS!$A$3:$A$19,0)),INDEX(MODELOS!$D$3:$D$19,MATCH($D78,MODELOS!$A$3:$A$19,0))))</f>
        <v>Composição e níveis de garantia em letra grande</v>
      </c>
      <c r="H78" s="11" t="str">
        <f aca="false">IF(INDEX(PRODUTOS!$I$4:$I$63,MATCH($A78,PRODUTOS!$B$4:$B$63,0))="B",INDEX(MODELOS!$I$3:$I$19,MATCH($D78,MODELOS!$A$3:$A$19,0)),INDEX(MODELOS!$E$3:$E$19,MATCH($D78,MODELOS!$A$3:$A$19,0)))</f>
        <v>2000 × 2000</v>
      </c>
      <c r="I78" s="11" t="str">
        <f aca="false">INDEX(MODELOS!$J$3:$J$19,MATCH($D78,MODELOS!$A$3:$A$19,0))</f>
        <v>SIM</v>
      </c>
      <c r="J78" s="11" t="str">
        <f aca="false">IF(LEFT($D78,2)&lt;&gt;"AP",IF($I78="SIM","SIM","RECOMENDADA"),IF(INDEX(PRODUTOS!$J$4:$J$63,MATCH($A78,PRODUTOS!$B$4:$B$63,0))&lt;&gt;"","NÃO (usa o A+ do EAN "&amp;INDEX(PRODUTOS!$J$4:$J$63,MATCH($A78,PRODUTOS!$B$4:$B$63,0))&amp;")",IF(AND(INDEX(PRODUTOS!$I$4:$I$63,MATCH($A78,PRODUTOS!$B$4:$B$63,0))="B",$D78="AP07"),"NÃO (modelo B)","SIM")))</f>
        <v>SIM</v>
      </c>
      <c r="K78" s="13" t="s">
        <v>325</v>
      </c>
      <c r="L78" s="13"/>
    </row>
    <row r="79" customFormat="false" ht="15" hidden="false" customHeight="false" outlineLevel="0" collapsed="false">
      <c r="A79" s="15" t="s">
        <v>70</v>
      </c>
      <c r="B79" s="11" t="str">
        <f aca="false">INDEX(PRODUTOS!$E$4:$E$63,MATCH($A79,PRODUTOS!$B$4:$B$63,0))</f>
        <v>New Dots Ração Seca Premium para Cães Adultos de Raças Pequenas - 20 kg</v>
      </c>
      <c r="C79" s="11" t="str">
        <f aca="false">INDEX(PRODUTOS!$H$4:$H$63,MATCH($A79,PRODUTOS!$B$4:$B$63,0))</f>
        <v>20 kg</v>
      </c>
      <c r="D79" s="11" t="s">
        <v>332</v>
      </c>
      <c r="E79" s="16" t="str">
        <f aca="false">$A79&amp;"."&amp;$D79&amp;".jpg"</f>
        <v>7898968541535.PT07.jpg</v>
      </c>
      <c r="F79" s="11" t="str">
        <f aca="false">IF(INDEX(PRODUTOS!$I$4:$I$63,MATCH($A79,PRODUTOS!$B$4:$B$63,0))="B",INDEX(MODELOS!$F$3:$F$19,MATCH($D79,MODELOS!$A$3:$A$19,0)),INDEX(MODELOS!$B$3:$B$19,MATCH($D79,MODELOS!$A$3:$A$19,0)))</f>
        <v>Galeria · posição 8</v>
      </c>
      <c r="G79" s="11" t="str">
        <f aca="false">IF(INDEX(PRODUTOS!$F$4:$F$63,MATCH($A79,PRODUTOS!$B$4:$B$63,0))="Ração",IF(INDEX(PRODUTOS!$I$4:$I$63,MATCH($A79,PRODUTOS!$B$4:$B$63,0))="B",INDEX(MODELOS!$G$3:$G$19,MATCH($D79,MODELOS!$A$3:$A$19,0)),INDEX(MODELOS!$C$3:$C$19,MATCH($D79,MODELOS!$A$3:$A$19,0))),IF(INDEX(PRODUTOS!$I$4:$I$63,MATCH($A79,PRODUTOS!$B$4:$B$63,0))="B",INDEX(MODELOS!$H$3:$H$19,MATCH($D79,MODELOS!$A$3:$A$19,0)),INDEX(MODELOS!$D$3:$D$19,MATCH($D79,MODELOS!$A$3:$A$19,0))))</f>
        <v>Emocional / momento de uso (pet do porte certo, pote cheio)</v>
      </c>
      <c r="H79" s="11" t="str">
        <f aca="false">IF(INDEX(PRODUTOS!$I$4:$I$63,MATCH($A79,PRODUTOS!$B$4:$B$63,0))="B",INDEX(MODELOS!$I$3:$I$19,MATCH($D79,MODELOS!$A$3:$A$19,0)),INDEX(MODELOS!$E$3:$E$19,MATCH($D79,MODELOS!$A$3:$A$19,0)))</f>
        <v>2000 × 2000</v>
      </c>
      <c r="I79" s="11" t="str">
        <f aca="false">INDEX(MODELOS!$J$3:$J$19,MATCH($D79,MODELOS!$A$3:$A$19,0))</f>
        <v>Recomendada</v>
      </c>
      <c r="J79" s="11" t="str">
        <f aca="false">IF(LEFT($D79,2)&lt;&gt;"AP",IF($I79="SIM","SIM","RECOMENDADA"),IF(INDEX(PRODUTOS!$J$4:$J$63,MATCH($A79,PRODUTOS!$B$4:$B$63,0))&lt;&gt;"","NÃO (usa o A+ do EAN "&amp;INDEX(PRODUTOS!$J$4:$J$63,MATCH($A79,PRODUTOS!$B$4:$B$63,0))&amp;")",IF(AND(INDEX(PRODUTOS!$I$4:$I$63,MATCH($A79,PRODUTOS!$B$4:$B$63,0))="B",$D79="AP07"),"NÃO (modelo B)","SIM")))</f>
        <v>RECOMENDADA</v>
      </c>
      <c r="K79" s="13" t="s">
        <v>325</v>
      </c>
      <c r="L79" s="13"/>
    </row>
    <row r="80" customFormat="false" ht="15" hidden="false" customHeight="false" outlineLevel="0" collapsed="false">
      <c r="A80" s="15" t="s">
        <v>70</v>
      </c>
      <c r="B80" s="11" t="str">
        <f aca="false">INDEX(PRODUTOS!$E$4:$E$63,MATCH($A80,PRODUTOS!$B$4:$B$63,0))</f>
        <v>New Dots Ração Seca Premium para Cães Adultos de Raças Pequenas - 20 kg</v>
      </c>
      <c r="C80" s="11" t="str">
        <f aca="false">INDEX(PRODUTOS!$H$4:$H$63,MATCH($A80,PRODUTOS!$B$4:$B$63,0))</f>
        <v>20 kg</v>
      </c>
      <c r="D80" s="11" t="s">
        <v>333</v>
      </c>
      <c r="E80" s="16" t="str">
        <f aca="false">$A80&amp;"."&amp;$D80&amp;".jpg"</f>
        <v>7898968541535.PT08.jpg</v>
      </c>
      <c r="F80" s="11" t="str">
        <f aca="false">IF(INDEX(PRODUTOS!$I$4:$I$63,MATCH($A80,PRODUTOS!$B$4:$B$63,0))="B",INDEX(MODELOS!$F$3:$F$19,MATCH($D80,MODELOS!$A$3:$A$19,0)),INDEX(MODELOS!$B$3:$B$19,MATCH($D80,MODELOS!$A$3:$A$19,0)))</f>
        <v>Galeria · posição 9</v>
      </c>
      <c r="G80" s="11" t="str">
        <f aca="false">IF(INDEX(PRODUTOS!$F$4:$F$63,MATCH($A80,PRODUTOS!$B$4:$B$63,0))="Ração",IF(INDEX(PRODUTOS!$I$4:$I$63,MATCH($A80,PRODUTOS!$B$4:$B$63,0))="B",INDEX(MODELOS!$G$3:$G$19,MATCH($D80,MODELOS!$A$3:$A$19,0)),INDEX(MODELOS!$C$3:$C$19,MATCH($D80,MODELOS!$A$3:$A$19,0))),IF(INDEX(PRODUTOS!$I$4:$I$63,MATCH($A80,PRODUTOS!$B$4:$B$63,0))="B",INDEX(MODELOS!$H$3:$H$19,MATCH($D80,MODELOS!$A$3:$A$19,0)),INDEX(MODELOS!$D$3:$D$19,MATCH($D80,MODELOS!$A$3:$A$19,0))))</f>
        <v>Linha da marca ou embalagem anterior × nova</v>
      </c>
      <c r="H80" s="11" t="str">
        <f aca="false">IF(INDEX(PRODUTOS!$I$4:$I$63,MATCH($A80,PRODUTOS!$B$4:$B$63,0))="B",INDEX(MODELOS!$I$3:$I$19,MATCH($D80,MODELOS!$A$3:$A$19,0)),INDEX(MODELOS!$E$3:$E$19,MATCH($D80,MODELOS!$A$3:$A$19,0)))</f>
        <v>2000 × 2000</v>
      </c>
      <c r="I80" s="11" t="str">
        <f aca="false">INDEX(MODELOS!$J$3:$J$19,MATCH($D80,MODELOS!$A$3:$A$19,0))</f>
        <v>Recomendada</v>
      </c>
      <c r="J80" s="11" t="str">
        <f aca="false">IF(LEFT($D80,2)&lt;&gt;"AP",IF($I80="SIM","SIM","RECOMENDADA"),IF(INDEX(PRODUTOS!$J$4:$J$63,MATCH($A80,PRODUTOS!$B$4:$B$63,0))&lt;&gt;"","NÃO (usa o A+ do EAN "&amp;INDEX(PRODUTOS!$J$4:$J$63,MATCH($A80,PRODUTOS!$B$4:$B$63,0))&amp;")",IF(AND(INDEX(PRODUTOS!$I$4:$I$63,MATCH($A80,PRODUTOS!$B$4:$B$63,0))="B",$D80="AP07"),"NÃO (modelo B)","SIM")))</f>
        <v>RECOMENDADA</v>
      </c>
      <c r="K80" s="13" t="s">
        <v>325</v>
      </c>
      <c r="L80" s="13"/>
    </row>
    <row r="81" customFormat="false" ht="15" hidden="false" customHeight="false" outlineLevel="0" collapsed="false">
      <c r="A81" s="15" t="s">
        <v>70</v>
      </c>
      <c r="B81" s="11" t="str">
        <f aca="false">INDEX(PRODUTOS!$E$4:$E$63,MATCH($A81,PRODUTOS!$B$4:$B$63,0))</f>
        <v>New Dots Ração Seca Premium para Cães Adultos de Raças Pequenas - 20 kg</v>
      </c>
      <c r="C81" s="11" t="str">
        <f aca="false">INDEX(PRODUTOS!$H$4:$H$63,MATCH($A81,PRODUTOS!$B$4:$B$63,0))</f>
        <v>20 kg</v>
      </c>
      <c r="D81" s="11" t="s">
        <v>334</v>
      </c>
      <c r="E81" s="16" t="str">
        <f aca="false">$A81&amp;"."&amp;$D81&amp;".jpg"</f>
        <v>7898968541535.AP01.jpg</v>
      </c>
      <c r="F81" s="11" t="str">
        <f aca="false">IF(INDEX(PRODUTOS!$I$4:$I$63,MATCH($A81,PRODUTOS!$B$4:$B$63,0))="B",INDEX(MODELOS!$F$3:$F$19,MATCH($D81,MODELOS!$A$3:$A$19,0)),INDEX(MODELOS!$B$3:$B$19,MATCH($D81,MODELOS!$A$3:$A$19,0)))</f>
        <v>A+ · Módulo 1 · Banner</v>
      </c>
      <c r="G81" s="11" t="str">
        <f aca="false">IF(INDEX(PRODUTOS!$F$4:$F$63,MATCH($A81,PRODUTOS!$B$4:$B$63,0))="Ração",IF(INDEX(PRODUTOS!$I$4:$I$63,MATCH($A81,PRODUTOS!$B$4:$B$63,0))="B",INDEX(MODELOS!$G$3:$G$19,MATCH($D81,MODELOS!$A$3:$A$19,0)),INDEX(MODELOS!$C$3:$C$19,MATCH($D81,MODELOS!$A$3:$A$19,0))),IF(INDEX(PRODUTOS!$I$4:$I$63,MATCH($A81,PRODUTOS!$B$4:$B$63,0))="B",INDEX(MODELOS!$H$3:$H$19,MATCH($D81,MODELOS!$A$3:$A$19,0)),INDEX(MODELOS!$D$3:$D$19,MATCH($D81,MODELOS!$A$3:$A$19,0))))</f>
        <v>Embalagem + pet + ingredientes, com o nome da linha</v>
      </c>
      <c r="H81" s="11" t="str">
        <f aca="false">IF(INDEX(PRODUTOS!$I$4:$I$63,MATCH($A81,PRODUTOS!$B$4:$B$63,0))="B",INDEX(MODELOS!$I$3:$I$19,MATCH($D81,MODELOS!$A$3:$A$19,0)),INDEX(MODELOS!$E$3:$E$19,MATCH($D81,MODELOS!$A$3:$A$19,0)))</f>
        <v>970 × 600</v>
      </c>
      <c r="I81" s="11" t="str">
        <f aca="false">INDEX(MODELOS!$J$3:$J$19,MATCH($D81,MODELOS!$A$3:$A$19,0))</f>
        <v>Conforme modelo</v>
      </c>
      <c r="J81" s="11" t="str">
        <f aca="false">IF(LEFT($D81,2)&lt;&gt;"AP",IF($I81="SIM","SIM","RECOMENDADA"),IF(INDEX(PRODUTOS!$J$4:$J$63,MATCH($A81,PRODUTOS!$B$4:$B$63,0))&lt;&gt;"","NÃO (usa o A+ do EAN "&amp;INDEX(PRODUTOS!$J$4:$J$63,MATCH($A81,PRODUTOS!$B$4:$B$63,0))&amp;")",IF(AND(INDEX(PRODUTOS!$I$4:$I$63,MATCH($A81,PRODUTOS!$B$4:$B$63,0))="B",$D81="AP07"),"NÃO (modelo B)","SIM")))</f>
        <v>SIM</v>
      </c>
      <c r="K81" s="13" t="s">
        <v>325</v>
      </c>
      <c r="L81" s="13"/>
    </row>
    <row r="82" customFormat="false" ht="15" hidden="false" customHeight="false" outlineLevel="0" collapsed="false">
      <c r="A82" s="15" t="s">
        <v>70</v>
      </c>
      <c r="B82" s="11" t="str">
        <f aca="false">INDEX(PRODUTOS!$E$4:$E$63,MATCH($A82,PRODUTOS!$B$4:$B$63,0))</f>
        <v>New Dots Ração Seca Premium para Cães Adultos de Raças Pequenas - 20 kg</v>
      </c>
      <c r="C82" s="11" t="str">
        <f aca="false">INDEX(PRODUTOS!$H$4:$H$63,MATCH($A82,PRODUTOS!$B$4:$B$63,0))</f>
        <v>20 kg</v>
      </c>
      <c r="D82" s="11" t="s">
        <v>335</v>
      </c>
      <c r="E82" s="16" t="str">
        <f aca="false">$A82&amp;"."&amp;$D82&amp;".jpg"</f>
        <v>7898968541535.AP02.jpg</v>
      </c>
      <c r="F82" s="11" t="str">
        <f aca="false">IF(INDEX(PRODUTOS!$I$4:$I$63,MATCH($A82,PRODUTOS!$B$4:$B$63,0))="B",INDEX(MODELOS!$F$3:$F$19,MATCH($D82,MODELOS!$A$3:$A$19,0)),INDEX(MODELOS!$B$3:$B$19,MATCH($D82,MODELOS!$A$3:$A$19,0)))</f>
        <v>A+ · Módulo 2 · Texto sobreposto</v>
      </c>
      <c r="G82" s="11" t="str">
        <f aca="false">IF(INDEX(PRODUTOS!$F$4:$F$63,MATCH($A82,PRODUTOS!$B$4:$B$63,0))="Ração",IF(INDEX(PRODUTOS!$I$4:$I$63,MATCH($A82,PRODUTOS!$B$4:$B$63,0))="B",INDEX(MODELOS!$G$3:$G$19,MATCH($D82,MODELOS!$A$3:$A$19,0)),INDEX(MODELOS!$C$3:$C$19,MATCH($D82,MODELOS!$A$3:$A$19,0))),IF(INDEX(PRODUTOS!$I$4:$I$63,MATCH($A82,PRODUTOS!$B$4:$B$63,0))="B",INDEX(MODELOS!$H$3:$H$19,MATCH($D82,MODELOS!$A$3:$A$19,0)),INDEX(MODELOS!$D$3:$D$19,MATCH($D82,MODELOS!$A$3:$A$19,0))))</f>
        <v>Principal diferencial; deixar o lado direito limpo</v>
      </c>
      <c r="H82" s="11" t="str">
        <f aca="false">IF(INDEX(PRODUTOS!$I$4:$I$63,MATCH($A82,PRODUTOS!$B$4:$B$63,0))="B",INDEX(MODELOS!$I$3:$I$19,MATCH($D82,MODELOS!$A$3:$A$19,0)),INDEX(MODELOS!$E$3:$E$19,MATCH($D82,MODELOS!$A$3:$A$19,0)))</f>
        <v>970 × 300</v>
      </c>
      <c r="I82" s="11" t="str">
        <f aca="false">INDEX(MODELOS!$J$3:$J$19,MATCH($D82,MODELOS!$A$3:$A$19,0))</f>
        <v>Conforme modelo</v>
      </c>
      <c r="J82" s="11" t="str">
        <f aca="false">IF(LEFT($D82,2)&lt;&gt;"AP",IF($I82="SIM","SIM","RECOMENDADA"),IF(INDEX(PRODUTOS!$J$4:$J$63,MATCH($A82,PRODUTOS!$B$4:$B$63,0))&lt;&gt;"","NÃO (usa o A+ do EAN "&amp;INDEX(PRODUTOS!$J$4:$J$63,MATCH($A82,PRODUTOS!$B$4:$B$63,0))&amp;")",IF(AND(INDEX(PRODUTOS!$I$4:$I$63,MATCH($A82,PRODUTOS!$B$4:$B$63,0))="B",$D82="AP07"),"NÃO (modelo B)","SIM")))</f>
        <v>SIM</v>
      </c>
      <c r="K82" s="13" t="s">
        <v>325</v>
      </c>
      <c r="L82" s="13"/>
    </row>
    <row r="83" customFormat="false" ht="15" hidden="false" customHeight="false" outlineLevel="0" collapsed="false">
      <c r="A83" s="15" t="s">
        <v>70</v>
      </c>
      <c r="B83" s="11" t="str">
        <f aca="false">INDEX(PRODUTOS!$E$4:$E$63,MATCH($A83,PRODUTOS!$B$4:$B$63,0))</f>
        <v>New Dots Ração Seca Premium para Cães Adultos de Raças Pequenas - 20 kg</v>
      </c>
      <c r="C83" s="11" t="str">
        <f aca="false">INDEX(PRODUTOS!$H$4:$H$63,MATCH($A83,PRODUTOS!$B$4:$B$63,0))</f>
        <v>20 kg</v>
      </c>
      <c r="D83" s="11" t="s">
        <v>336</v>
      </c>
      <c r="E83" s="16" t="str">
        <f aca="false">$A83&amp;"."&amp;$D83&amp;".jpg"</f>
        <v>7898968541535.AP03.jpg</v>
      </c>
      <c r="F83" s="11" t="str">
        <f aca="false">IF(INDEX(PRODUTOS!$I$4:$I$63,MATCH($A83,PRODUTOS!$B$4:$B$63,0))="B",INDEX(MODELOS!$F$3:$F$19,MATCH($D83,MODELOS!$A$3:$A$19,0)),INDEX(MODELOS!$B$3:$B$19,MATCH($D83,MODELOS!$A$3:$A$19,0)))</f>
        <v>A+ · Módulo 3 · Benefício 1 de 4</v>
      </c>
      <c r="G83" s="11" t="str">
        <f aca="false">IF(INDEX(PRODUTOS!$F$4:$F$63,MATCH($A83,PRODUTOS!$B$4:$B$63,0))="Ração",IF(INDEX(PRODUTOS!$I$4:$I$63,MATCH($A83,PRODUTOS!$B$4:$B$63,0))="B",INDEX(MODELOS!$G$3:$G$19,MATCH($D83,MODELOS!$A$3:$A$19,0)),INDEX(MODELOS!$C$3:$C$19,MATCH($D83,MODELOS!$A$3:$A$19,0))),IF(INDEX(PRODUTOS!$I$4:$I$63,MATCH($A83,PRODUTOS!$B$4:$B$63,0))="B",INDEX(MODELOS!$H$3:$H$19,MATCH($D83,MODELOS!$A$3:$A$19,0)),INDEX(MODELOS!$D$3:$D$19,MATCH($D83,MODELOS!$A$3:$A$19,0))))</f>
        <v>Foto/ilustração do benefício 1</v>
      </c>
      <c r="H83" s="11" t="str">
        <f aca="false">IF(INDEX(PRODUTOS!$I$4:$I$63,MATCH($A83,PRODUTOS!$B$4:$B$63,0))="B",INDEX(MODELOS!$I$3:$I$19,MATCH($D83,MODELOS!$A$3:$A$19,0)),INDEX(MODELOS!$E$3:$E$19,MATCH($D83,MODELOS!$A$3:$A$19,0)))</f>
        <v>220 × 200</v>
      </c>
      <c r="I83" s="11" t="str">
        <f aca="false">INDEX(MODELOS!$J$3:$J$19,MATCH($D83,MODELOS!$A$3:$A$19,0))</f>
        <v>Conforme modelo</v>
      </c>
      <c r="J83" s="11" t="str">
        <f aca="false">IF(LEFT($D83,2)&lt;&gt;"AP",IF($I83="SIM","SIM","RECOMENDADA"),IF(INDEX(PRODUTOS!$J$4:$J$63,MATCH($A83,PRODUTOS!$B$4:$B$63,0))&lt;&gt;"","NÃO (usa o A+ do EAN "&amp;INDEX(PRODUTOS!$J$4:$J$63,MATCH($A83,PRODUTOS!$B$4:$B$63,0))&amp;")",IF(AND(INDEX(PRODUTOS!$I$4:$I$63,MATCH($A83,PRODUTOS!$B$4:$B$63,0))="B",$D83="AP07"),"NÃO (modelo B)","SIM")))</f>
        <v>SIM</v>
      </c>
      <c r="K83" s="13" t="s">
        <v>325</v>
      </c>
      <c r="L83" s="13"/>
    </row>
    <row r="84" customFormat="false" ht="15" hidden="false" customHeight="false" outlineLevel="0" collapsed="false">
      <c r="A84" s="15" t="s">
        <v>70</v>
      </c>
      <c r="B84" s="11" t="str">
        <f aca="false">INDEX(PRODUTOS!$E$4:$E$63,MATCH($A84,PRODUTOS!$B$4:$B$63,0))</f>
        <v>New Dots Ração Seca Premium para Cães Adultos de Raças Pequenas - 20 kg</v>
      </c>
      <c r="C84" s="11" t="str">
        <f aca="false">INDEX(PRODUTOS!$H$4:$H$63,MATCH($A84,PRODUTOS!$B$4:$B$63,0))</f>
        <v>20 kg</v>
      </c>
      <c r="D84" s="11" t="s">
        <v>337</v>
      </c>
      <c r="E84" s="16" t="str">
        <f aca="false">$A84&amp;"."&amp;$D84&amp;".jpg"</f>
        <v>7898968541535.AP04.jpg</v>
      </c>
      <c r="F84" s="11" t="str">
        <f aca="false">IF(INDEX(PRODUTOS!$I$4:$I$63,MATCH($A84,PRODUTOS!$B$4:$B$63,0))="B",INDEX(MODELOS!$F$3:$F$19,MATCH($D84,MODELOS!$A$3:$A$19,0)),INDEX(MODELOS!$B$3:$B$19,MATCH($D84,MODELOS!$A$3:$A$19,0)))</f>
        <v>A+ · Módulo 3 · Benefício 2 de 4</v>
      </c>
      <c r="G84" s="11" t="str">
        <f aca="false">IF(INDEX(PRODUTOS!$F$4:$F$63,MATCH($A84,PRODUTOS!$B$4:$B$63,0))="Ração",IF(INDEX(PRODUTOS!$I$4:$I$63,MATCH($A84,PRODUTOS!$B$4:$B$63,0))="B",INDEX(MODELOS!$G$3:$G$19,MATCH($D84,MODELOS!$A$3:$A$19,0)),INDEX(MODELOS!$C$3:$C$19,MATCH($D84,MODELOS!$A$3:$A$19,0))),IF(INDEX(PRODUTOS!$I$4:$I$63,MATCH($A84,PRODUTOS!$B$4:$B$63,0))="B",INDEX(MODELOS!$H$3:$H$19,MATCH($D84,MODELOS!$A$3:$A$19,0)),INDEX(MODELOS!$D$3:$D$19,MATCH($D84,MODELOS!$A$3:$A$19,0))))</f>
        <v>Foto/ilustração do benefício 2</v>
      </c>
      <c r="H84" s="11" t="str">
        <f aca="false">IF(INDEX(PRODUTOS!$I$4:$I$63,MATCH($A84,PRODUTOS!$B$4:$B$63,0))="B",INDEX(MODELOS!$I$3:$I$19,MATCH($D84,MODELOS!$A$3:$A$19,0)),INDEX(MODELOS!$E$3:$E$19,MATCH($D84,MODELOS!$A$3:$A$19,0)))</f>
        <v>220 × 200</v>
      </c>
      <c r="I84" s="11" t="str">
        <f aca="false">INDEX(MODELOS!$J$3:$J$19,MATCH($D84,MODELOS!$A$3:$A$19,0))</f>
        <v>Conforme modelo</v>
      </c>
      <c r="J84" s="11" t="str">
        <f aca="false">IF(LEFT($D84,2)&lt;&gt;"AP",IF($I84="SIM","SIM","RECOMENDADA"),IF(INDEX(PRODUTOS!$J$4:$J$63,MATCH($A84,PRODUTOS!$B$4:$B$63,0))&lt;&gt;"","NÃO (usa o A+ do EAN "&amp;INDEX(PRODUTOS!$J$4:$J$63,MATCH($A84,PRODUTOS!$B$4:$B$63,0))&amp;")",IF(AND(INDEX(PRODUTOS!$I$4:$I$63,MATCH($A84,PRODUTOS!$B$4:$B$63,0))="B",$D84="AP07"),"NÃO (modelo B)","SIM")))</f>
        <v>SIM</v>
      </c>
      <c r="K84" s="13" t="s">
        <v>325</v>
      </c>
      <c r="L84" s="13"/>
    </row>
    <row r="85" customFormat="false" ht="15" hidden="false" customHeight="false" outlineLevel="0" collapsed="false">
      <c r="A85" s="15" t="s">
        <v>70</v>
      </c>
      <c r="B85" s="11" t="str">
        <f aca="false">INDEX(PRODUTOS!$E$4:$E$63,MATCH($A85,PRODUTOS!$B$4:$B$63,0))</f>
        <v>New Dots Ração Seca Premium para Cães Adultos de Raças Pequenas - 20 kg</v>
      </c>
      <c r="C85" s="11" t="str">
        <f aca="false">INDEX(PRODUTOS!$H$4:$H$63,MATCH($A85,PRODUTOS!$B$4:$B$63,0))</f>
        <v>20 kg</v>
      </c>
      <c r="D85" s="11" t="s">
        <v>338</v>
      </c>
      <c r="E85" s="16" t="str">
        <f aca="false">$A85&amp;"."&amp;$D85&amp;".jpg"</f>
        <v>7898968541535.AP05.jpg</v>
      </c>
      <c r="F85" s="11" t="str">
        <f aca="false">IF(INDEX(PRODUTOS!$I$4:$I$63,MATCH($A85,PRODUTOS!$B$4:$B$63,0))="B",INDEX(MODELOS!$F$3:$F$19,MATCH($D85,MODELOS!$A$3:$A$19,0)),INDEX(MODELOS!$B$3:$B$19,MATCH($D85,MODELOS!$A$3:$A$19,0)))</f>
        <v>A+ · Módulo 3 · Benefício 3 de 4</v>
      </c>
      <c r="G85" s="11" t="str">
        <f aca="false">IF(INDEX(PRODUTOS!$F$4:$F$63,MATCH($A85,PRODUTOS!$B$4:$B$63,0))="Ração",IF(INDEX(PRODUTOS!$I$4:$I$63,MATCH($A85,PRODUTOS!$B$4:$B$63,0))="B",INDEX(MODELOS!$G$3:$G$19,MATCH($D85,MODELOS!$A$3:$A$19,0)),INDEX(MODELOS!$C$3:$C$19,MATCH($D85,MODELOS!$A$3:$A$19,0))),IF(INDEX(PRODUTOS!$I$4:$I$63,MATCH($A85,PRODUTOS!$B$4:$B$63,0))="B",INDEX(MODELOS!$H$3:$H$19,MATCH($D85,MODELOS!$A$3:$A$19,0)),INDEX(MODELOS!$D$3:$D$19,MATCH($D85,MODELOS!$A$3:$A$19,0))))</f>
        <v>Foto/ilustração do benefício 3</v>
      </c>
      <c r="H85" s="11" t="str">
        <f aca="false">IF(INDEX(PRODUTOS!$I$4:$I$63,MATCH($A85,PRODUTOS!$B$4:$B$63,0))="B",INDEX(MODELOS!$I$3:$I$19,MATCH($D85,MODELOS!$A$3:$A$19,0)),INDEX(MODELOS!$E$3:$E$19,MATCH($D85,MODELOS!$A$3:$A$19,0)))</f>
        <v>220 × 200</v>
      </c>
      <c r="I85" s="11" t="str">
        <f aca="false">INDEX(MODELOS!$J$3:$J$19,MATCH($D85,MODELOS!$A$3:$A$19,0))</f>
        <v>Conforme modelo</v>
      </c>
      <c r="J85" s="11" t="str">
        <f aca="false">IF(LEFT($D85,2)&lt;&gt;"AP",IF($I85="SIM","SIM","RECOMENDADA"),IF(INDEX(PRODUTOS!$J$4:$J$63,MATCH($A85,PRODUTOS!$B$4:$B$63,0))&lt;&gt;"","NÃO (usa o A+ do EAN "&amp;INDEX(PRODUTOS!$J$4:$J$63,MATCH($A85,PRODUTOS!$B$4:$B$63,0))&amp;")",IF(AND(INDEX(PRODUTOS!$I$4:$I$63,MATCH($A85,PRODUTOS!$B$4:$B$63,0))="B",$D85="AP07"),"NÃO (modelo B)","SIM")))</f>
        <v>SIM</v>
      </c>
      <c r="K85" s="13" t="s">
        <v>325</v>
      </c>
      <c r="L85" s="13"/>
    </row>
    <row r="86" customFormat="false" ht="15" hidden="false" customHeight="false" outlineLevel="0" collapsed="false">
      <c r="A86" s="15" t="s">
        <v>70</v>
      </c>
      <c r="B86" s="11" t="str">
        <f aca="false">INDEX(PRODUTOS!$E$4:$E$63,MATCH($A86,PRODUTOS!$B$4:$B$63,0))</f>
        <v>New Dots Ração Seca Premium para Cães Adultos de Raças Pequenas - 20 kg</v>
      </c>
      <c r="C86" s="11" t="str">
        <f aca="false">INDEX(PRODUTOS!$H$4:$H$63,MATCH($A86,PRODUTOS!$B$4:$B$63,0))</f>
        <v>20 kg</v>
      </c>
      <c r="D86" s="11" t="s">
        <v>339</v>
      </c>
      <c r="E86" s="16" t="str">
        <f aca="false">$A86&amp;"."&amp;$D86&amp;".jpg"</f>
        <v>7898968541535.AP06.jpg</v>
      </c>
      <c r="F86" s="11" t="str">
        <f aca="false">IF(INDEX(PRODUTOS!$I$4:$I$63,MATCH($A86,PRODUTOS!$B$4:$B$63,0))="B",INDEX(MODELOS!$F$3:$F$19,MATCH($D86,MODELOS!$A$3:$A$19,0)),INDEX(MODELOS!$B$3:$B$19,MATCH($D86,MODELOS!$A$3:$A$19,0)))</f>
        <v>A+ · Módulo 3 · Benefício 4 de 4</v>
      </c>
      <c r="G86" s="11" t="str">
        <f aca="false">IF(INDEX(PRODUTOS!$F$4:$F$63,MATCH($A86,PRODUTOS!$B$4:$B$63,0))="Ração",IF(INDEX(PRODUTOS!$I$4:$I$63,MATCH($A86,PRODUTOS!$B$4:$B$63,0))="B",INDEX(MODELOS!$G$3:$G$19,MATCH($D86,MODELOS!$A$3:$A$19,0)),INDEX(MODELOS!$C$3:$C$19,MATCH($D86,MODELOS!$A$3:$A$19,0))),IF(INDEX(PRODUTOS!$I$4:$I$63,MATCH($A86,PRODUTOS!$B$4:$B$63,0))="B",INDEX(MODELOS!$H$3:$H$19,MATCH($D86,MODELOS!$A$3:$A$19,0)),INDEX(MODELOS!$D$3:$D$19,MATCH($D86,MODELOS!$A$3:$A$19,0))))</f>
        <v>Foto/ilustração do benefício 4</v>
      </c>
      <c r="H86" s="11" t="str">
        <f aca="false">IF(INDEX(PRODUTOS!$I$4:$I$63,MATCH($A86,PRODUTOS!$B$4:$B$63,0))="B",INDEX(MODELOS!$I$3:$I$19,MATCH($D86,MODELOS!$A$3:$A$19,0)),INDEX(MODELOS!$E$3:$E$19,MATCH($D86,MODELOS!$A$3:$A$19,0)))</f>
        <v>220 × 200</v>
      </c>
      <c r="I86" s="11" t="str">
        <f aca="false">INDEX(MODELOS!$J$3:$J$19,MATCH($D86,MODELOS!$A$3:$A$19,0))</f>
        <v>Conforme modelo</v>
      </c>
      <c r="J86" s="11" t="str">
        <f aca="false">IF(LEFT($D86,2)&lt;&gt;"AP",IF($I86="SIM","SIM","RECOMENDADA"),IF(INDEX(PRODUTOS!$J$4:$J$63,MATCH($A86,PRODUTOS!$B$4:$B$63,0))&lt;&gt;"","NÃO (usa o A+ do EAN "&amp;INDEX(PRODUTOS!$J$4:$J$63,MATCH($A86,PRODUTOS!$B$4:$B$63,0))&amp;")",IF(AND(INDEX(PRODUTOS!$I$4:$I$63,MATCH($A86,PRODUTOS!$B$4:$B$63,0))="B",$D86="AP07"),"NÃO (modelo B)","SIM")))</f>
        <v>SIM</v>
      </c>
      <c r="K86" s="13" t="s">
        <v>325</v>
      </c>
      <c r="L86" s="13"/>
    </row>
    <row r="87" customFormat="false" ht="15" hidden="false" customHeight="false" outlineLevel="0" collapsed="false">
      <c r="A87" s="15" t="s">
        <v>70</v>
      </c>
      <c r="B87" s="11" t="str">
        <f aca="false">INDEX(PRODUTOS!$E$4:$E$63,MATCH($A87,PRODUTOS!$B$4:$B$63,0))</f>
        <v>New Dots Ração Seca Premium para Cães Adultos de Raças Pequenas - 20 kg</v>
      </c>
      <c r="C87" s="11" t="str">
        <f aca="false">INDEX(PRODUTOS!$H$4:$H$63,MATCH($A87,PRODUTOS!$B$4:$B$63,0))</f>
        <v>20 kg</v>
      </c>
      <c r="D87" s="11" t="s">
        <v>340</v>
      </c>
      <c r="E87" s="16" t="str">
        <f aca="false">$A87&amp;"."&amp;$D87&amp;".jpg"</f>
        <v>7898968541535.AP07.jpg</v>
      </c>
      <c r="F87" s="11" t="str">
        <f aca="false">IF(INDEX(PRODUTOS!$I$4:$I$63,MATCH($A87,PRODUTOS!$B$4:$B$63,0))="B",INDEX(MODELOS!$F$3:$F$19,MATCH($D87,MODELOS!$A$3:$A$19,0)),INDEX(MODELOS!$B$3:$B$19,MATCH($D87,MODELOS!$A$3:$A$19,0)))</f>
        <v>A+ · Módulo 4 · Especificações</v>
      </c>
      <c r="G87" s="11" t="str">
        <f aca="false">IF(INDEX(PRODUTOS!$F$4:$F$63,MATCH($A87,PRODUTOS!$B$4:$B$63,0))="Ração",IF(INDEX(PRODUTOS!$I$4:$I$63,MATCH($A87,PRODUTOS!$B$4:$B$63,0))="B",INDEX(MODELOS!$G$3:$G$19,MATCH($D87,MODELOS!$A$3:$A$19,0)),INDEX(MODELOS!$C$3:$C$19,MATCH($D87,MODELOS!$A$3:$A$19,0))),IF(INDEX(PRODUTOS!$I$4:$I$63,MATCH($A87,PRODUTOS!$B$4:$B$63,0))="B",INDEX(MODELOS!$H$3:$H$19,MATCH($D87,MODELOS!$A$3:$A$19,0)),INDEX(MODELOS!$D$3:$D$19,MATCH($D87,MODELOS!$A$3:$A$19,0))))</f>
        <v>Grão ou pacote em destaque</v>
      </c>
      <c r="H87" s="11" t="str">
        <f aca="false">IF(INDEX(PRODUTOS!$I$4:$I$63,MATCH($A87,PRODUTOS!$B$4:$B$63,0))="B",INDEX(MODELOS!$I$3:$I$19,MATCH($D87,MODELOS!$A$3:$A$19,0)),INDEX(MODELOS!$E$3:$E$19,MATCH($D87,MODELOS!$A$3:$A$19,0)))</f>
        <v>300 × 300</v>
      </c>
      <c r="I87" s="11" t="str">
        <f aca="false">INDEX(MODELOS!$J$3:$J$19,MATCH($D87,MODELOS!$A$3:$A$19,0))</f>
        <v>Conforme modelo</v>
      </c>
      <c r="J87" s="11" t="str">
        <f aca="false">IF(LEFT($D87,2)&lt;&gt;"AP",IF($I87="SIM","SIM","RECOMENDADA"),IF(INDEX(PRODUTOS!$J$4:$J$63,MATCH($A87,PRODUTOS!$B$4:$B$63,0))&lt;&gt;"","NÃO (usa o A+ do EAN "&amp;INDEX(PRODUTOS!$J$4:$J$63,MATCH($A87,PRODUTOS!$B$4:$B$63,0))&amp;")",IF(AND(INDEX(PRODUTOS!$I$4:$I$63,MATCH($A87,PRODUTOS!$B$4:$B$63,0))="B",$D87="AP07"),"NÃO (modelo B)","SIM")))</f>
        <v>SIM</v>
      </c>
      <c r="K87" s="13" t="s">
        <v>325</v>
      </c>
      <c r="L87" s="13"/>
    </row>
    <row r="88" customFormat="false" ht="15" hidden="false" customHeight="false" outlineLevel="0" collapsed="false">
      <c r="A88" s="15" t="s">
        <v>70</v>
      </c>
      <c r="B88" s="11" t="str">
        <f aca="false">INDEX(PRODUTOS!$E$4:$E$63,MATCH($A88,PRODUTOS!$B$4:$B$63,0))</f>
        <v>New Dots Ração Seca Premium para Cães Adultos de Raças Pequenas - 20 kg</v>
      </c>
      <c r="C88" s="11" t="str">
        <f aca="false">INDEX(PRODUTOS!$H$4:$H$63,MATCH($A88,PRODUTOS!$B$4:$B$63,0))</f>
        <v>20 kg</v>
      </c>
      <c r="D88" s="11" t="s">
        <v>341</v>
      </c>
      <c r="E88" s="16" t="str">
        <f aca="false">$A88&amp;"."&amp;$D88&amp;".jpg"</f>
        <v>7898968541535.COMP.jpg</v>
      </c>
      <c r="F88" s="11" t="str">
        <f aca="false">IF(INDEX(PRODUTOS!$I$4:$I$63,MATCH($A88,PRODUTOS!$B$4:$B$63,0))="B",INDEX(MODELOS!$F$3:$F$19,MATCH($D88,MODELOS!$A$3:$A$19,0)),INDEX(MODELOS!$B$3:$B$19,MATCH($D88,MODELOS!$A$3:$A$19,0)))</f>
        <v>A+ · Tabela comparativa</v>
      </c>
      <c r="G88" s="11" t="str">
        <f aca="false">IF(INDEX(PRODUTOS!$F$4:$F$63,MATCH($A88,PRODUTOS!$B$4:$B$63,0))="Ração",IF(INDEX(PRODUTOS!$I$4:$I$63,MATCH($A88,PRODUTOS!$B$4:$B$63,0))="B",INDEX(MODELOS!$G$3:$G$19,MATCH($D88,MODELOS!$A$3:$A$19,0)),INDEX(MODELOS!$C$3:$C$19,MATCH($D88,MODELOS!$A$3:$A$19,0))),IF(INDEX(PRODUTOS!$I$4:$I$63,MATCH($A88,PRODUTOS!$B$4:$B$63,0))="B",INDEX(MODELOS!$H$3:$H$19,MATCH($D88,MODELOS!$A$3:$A$19,0)),INDEX(MODELOS!$D$3:$D$19,MATCH($D88,MODELOS!$A$3:$A$19,0))))</f>
        <v>Pacote na vertical, sem fundo colorido</v>
      </c>
      <c r="H88" s="11" t="str">
        <f aca="false">IF(INDEX(PRODUTOS!$I$4:$I$63,MATCH($A88,PRODUTOS!$B$4:$B$63,0))="B",INDEX(MODELOS!$I$3:$I$19,MATCH($D88,MODELOS!$A$3:$A$19,0)),INDEX(MODELOS!$E$3:$E$19,MATCH($D88,MODELOS!$A$3:$A$19,0)))</f>
        <v>150 × 300</v>
      </c>
      <c r="I88" s="11" t="str">
        <f aca="false">INDEX(MODELOS!$J$3:$J$19,MATCH($D88,MODELOS!$A$3:$A$19,0))</f>
        <v>SIM</v>
      </c>
      <c r="J88" s="11" t="str">
        <f aca="false">IF(LEFT($D88,2)&lt;&gt;"AP",IF($I88="SIM","SIM","RECOMENDADA"),IF(INDEX(PRODUTOS!$J$4:$J$63,MATCH($A88,PRODUTOS!$B$4:$B$63,0))&lt;&gt;"","NÃO (usa o A+ do EAN "&amp;INDEX(PRODUTOS!$J$4:$J$63,MATCH($A88,PRODUTOS!$B$4:$B$63,0))&amp;")",IF(AND(INDEX(PRODUTOS!$I$4:$I$63,MATCH($A88,PRODUTOS!$B$4:$B$63,0))="B",$D88="AP07"),"NÃO (modelo B)","SIM")))</f>
        <v>SIM</v>
      </c>
      <c r="K88" s="13" t="s">
        <v>325</v>
      </c>
      <c r="L88" s="13"/>
    </row>
    <row r="89" customFormat="false" ht="15" hidden="false" customHeight="false" outlineLevel="0" collapsed="false">
      <c r="A89" s="15" t="s">
        <v>75</v>
      </c>
      <c r="B89" s="11" t="str">
        <f aca="false">INDEX(PRODUTOS!$E$4:$E$63,MATCH($A89,PRODUTOS!$B$4:$B$63,0))</f>
        <v>New Dots Ração Seca Premium para Cães Adultos de Raças Pequenas - 5 kg</v>
      </c>
      <c r="C89" s="11" t="str">
        <f aca="false">INDEX(PRODUTOS!$H$4:$H$63,MATCH($A89,PRODUTOS!$B$4:$B$63,0))</f>
        <v>5 kg</v>
      </c>
      <c r="D89" s="11" t="s">
        <v>324</v>
      </c>
      <c r="E89" s="16" t="str">
        <f aca="false">$A89&amp;"."&amp;$D89&amp;".jpg"</f>
        <v>7898968541528.MAIN.jpg</v>
      </c>
      <c r="F89" s="11" t="str">
        <f aca="false">IF(INDEX(PRODUTOS!$I$4:$I$63,MATCH($A89,PRODUTOS!$B$4:$B$63,0))="B",INDEX(MODELOS!$F$3:$F$19,MATCH($D89,MODELOS!$A$3:$A$19,0)),INDEX(MODELOS!$B$3:$B$19,MATCH($D89,MODELOS!$A$3:$A$19,0)))</f>
        <v>Capa (posição 1)</v>
      </c>
      <c r="G89" s="11" t="str">
        <f aca="false">IF(INDEX(PRODUTOS!$F$4:$F$63,MATCH($A89,PRODUTOS!$B$4:$B$63,0))="Ração",IF(INDEX(PRODUTOS!$I$4:$I$63,MATCH($A89,PRODUTOS!$B$4:$B$63,0))="B",INDEX(MODELOS!$G$3:$G$19,MATCH($D89,MODELOS!$A$3:$A$19,0)),INDEX(MODELOS!$C$3:$C$19,MATCH($D89,MODELOS!$A$3:$A$19,0))),IF(INDEX(PRODUTOS!$I$4:$I$63,MATCH($A89,PRODUTOS!$B$4:$B$63,0))="B",INDEX(MODELOS!$H$3:$H$19,MATCH($D89,MODELOS!$A$3:$A$19,0)),INDEX(MODELOS!$D$3:$D$19,MATCH($D89,MODELOS!$A$3:$A$19,0))))</f>
        <v>Embalagem de frente, fundo branco puro, 85% da área, nada adicionado</v>
      </c>
      <c r="H89" s="11" t="str">
        <f aca="false">IF(INDEX(PRODUTOS!$I$4:$I$63,MATCH($A89,PRODUTOS!$B$4:$B$63,0))="B",INDEX(MODELOS!$I$3:$I$19,MATCH($D89,MODELOS!$A$3:$A$19,0)),INDEX(MODELOS!$E$3:$E$19,MATCH($D89,MODELOS!$A$3:$A$19,0)))</f>
        <v>2000 × 2000</v>
      </c>
      <c r="I89" s="11" t="str">
        <f aca="false">INDEX(MODELOS!$J$3:$J$19,MATCH($D89,MODELOS!$A$3:$A$19,0))</f>
        <v>SIM</v>
      </c>
      <c r="J89" s="11" t="str">
        <f aca="false">IF(LEFT($D89,2)&lt;&gt;"AP",IF($I89="SIM","SIM","RECOMENDADA"),IF(INDEX(PRODUTOS!$J$4:$J$63,MATCH($A89,PRODUTOS!$B$4:$B$63,0))&lt;&gt;"","NÃO (usa o A+ do EAN "&amp;INDEX(PRODUTOS!$J$4:$J$63,MATCH($A89,PRODUTOS!$B$4:$B$63,0))&amp;")",IF(AND(INDEX(PRODUTOS!$I$4:$I$63,MATCH($A89,PRODUTOS!$B$4:$B$63,0))="B",$D89="AP07"),"NÃO (modelo B)","SIM")))</f>
        <v>SIM</v>
      </c>
      <c r="K89" s="13" t="s">
        <v>325</v>
      </c>
      <c r="L89" s="13"/>
    </row>
    <row r="90" customFormat="false" ht="15" hidden="false" customHeight="false" outlineLevel="0" collapsed="false">
      <c r="A90" s="15" t="s">
        <v>75</v>
      </c>
      <c r="B90" s="11" t="str">
        <f aca="false">INDEX(PRODUTOS!$E$4:$E$63,MATCH($A90,PRODUTOS!$B$4:$B$63,0))</f>
        <v>New Dots Ração Seca Premium para Cães Adultos de Raças Pequenas - 5 kg</v>
      </c>
      <c r="C90" s="11" t="str">
        <f aca="false">INDEX(PRODUTOS!$H$4:$H$63,MATCH($A90,PRODUTOS!$B$4:$B$63,0))</f>
        <v>5 kg</v>
      </c>
      <c r="D90" s="11" t="s">
        <v>326</v>
      </c>
      <c r="E90" s="16" t="str">
        <f aca="false">$A90&amp;"."&amp;$D90&amp;".jpg"</f>
        <v>7898968541528.PT01.jpg</v>
      </c>
      <c r="F90" s="11" t="str">
        <f aca="false">IF(INDEX(PRODUTOS!$I$4:$I$63,MATCH($A90,PRODUTOS!$B$4:$B$63,0))="B",INDEX(MODELOS!$F$3:$F$19,MATCH($D90,MODELOS!$A$3:$A$19,0)),INDEX(MODELOS!$B$3:$B$19,MATCH($D90,MODELOS!$A$3:$A$19,0)))</f>
        <v>Galeria · posição 2</v>
      </c>
      <c r="G90" s="11" t="str">
        <f aca="false">IF(INDEX(PRODUTOS!$F$4:$F$63,MATCH($A90,PRODUTOS!$B$4:$B$63,0))="Ração",IF(INDEX(PRODUTOS!$I$4:$I$63,MATCH($A90,PRODUTOS!$B$4:$B$63,0))="B",INDEX(MODELOS!$G$3:$G$19,MATCH($D90,MODELOS!$A$3:$A$19,0)),INDEX(MODELOS!$C$3:$C$19,MATCH($D90,MODELOS!$A$3:$A$19,0))),IF(INDEX(PRODUTOS!$I$4:$I$63,MATCH($A90,PRODUTOS!$B$4:$B$63,0))="B",INDEX(MODELOS!$H$3:$H$19,MATCH($D90,MODELOS!$A$3:$A$19,0)),INDEX(MODELOS!$D$3:$D$19,MATCH($D90,MODELOS!$A$3:$A$19,0))))</f>
        <v>Grande diferencial da linha (número ou promessa forte + grão e ingrediente)</v>
      </c>
      <c r="H90" s="11" t="str">
        <f aca="false">IF(INDEX(PRODUTOS!$I$4:$I$63,MATCH($A90,PRODUTOS!$B$4:$B$63,0))="B",INDEX(MODELOS!$I$3:$I$19,MATCH($D90,MODELOS!$A$3:$A$19,0)),INDEX(MODELOS!$E$3:$E$19,MATCH($D90,MODELOS!$A$3:$A$19,0)))</f>
        <v>2000 × 2000</v>
      </c>
      <c r="I90" s="11" t="str">
        <f aca="false">INDEX(MODELOS!$J$3:$J$19,MATCH($D90,MODELOS!$A$3:$A$19,0))</f>
        <v>SIM</v>
      </c>
      <c r="J90" s="11" t="str">
        <f aca="false">IF(LEFT($D90,2)&lt;&gt;"AP",IF($I90="SIM","SIM","RECOMENDADA"),IF(INDEX(PRODUTOS!$J$4:$J$63,MATCH($A90,PRODUTOS!$B$4:$B$63,0))&lt;&gt;"","NÃO (usa o A+ do EAN "&amp;INDEX(PRODUTOS!$J$4:$J$63,MATCH($A90,PRODUTOS!$B$4:$B$63,0))&amp;")",IF(AND(INDEX(PRODUTOS!$I$4:$I$63,MATCH($A90,PRODUTOS!$B$4:$B$63,0))="B",$D90="AP07"),"NÃO (modelo B)","SIM")))</f>
        <v>SIM</v>
      </c>
      <c r="K90" s="13" t="s">
        <v>325</v>
      </c>
      <c r="L90" s="13"/>
    </row>
    <row r="91" customFormat="false" ht="15" hidden="false" customHeight="false" outlineLevel="0" collapsed="false">
      <c r="A91" s="15" t="s">
        <v>75</v>
      </c>
      <c r="B91" s="11" t="str">
        <f aca="false">INDEX(PRODUTOS!$E$4:$E$63,MATCH($A91,PRODUTOS!$B$4:$B$63,0))</f>
        <v>New Dots Ração Seca Premium para Cães Adultos de Raças Pequenas - 5 kg</v>
      </c>
      <c r="C91" s="11" t="str">
        <f aca="false">INDEX(PRODUTOS!$H$4:$H$63,MATCH($A91,PRODUTOS!$B$4:$B$63,0))</f>
        <v>5 kg</v>
      </c>
      <c r="D91" s="11" t="s">
        <v>327</v>
      </c>
      <c r="E91" s="16" t="str">
        <f aca="false">$A91&amp;"."&amp;$D91&amp;".jpg"</f>
        <v>7898968541528.PT02.jpg</v>
      </c>
      <c r="F91" s="11" t="str">
        <f aca="false">IF(INDEX(PRODUTOS!$I$4:$I$63,MATCH($A91,PRODUTOS!$B$4:$B$63,0))="B",INDEX(MODELOS!$F$3:$F$19,MATCH($D91,MODELOS!$A$3:$A$19,0)),INDEX(MODELOS!$B$3:$B$19,MATCH($D91,MODELOS!$A$3:$A$19,0)))</f>
        <v>Galeria · posição 3</v>
      </c>
      <c r="G91" s="11" t="str">
        <f aca="false">IF(INDEX(PRODUTOS!$F$4:$F$63,MATCH($A91,PRODUTOS!$B$4:$B$63,0))="Ração",IF(INDEX(PRODUTOS!$I$4:$I$63,MATCH($A91,PRODUTOS!$B$4:$B$63,0))="B",INDEX(MODELOS!$G$3:$G$19,MATCH($D91,MODELOS!$A$3:$A$19,0)),INDEX(MODELOS!$C$3:$C$19,MATCH($D91,MODELOS!$A$3:$A$19,0))),IF(INDEX(PRODUTOS!$I$4:$I$63,MATCH($A91,PRODUTOS!$B$4:$B$63,0))="B",INDEX(MODELOS!$H$3:$H$19,MATCH($D91,MODELOS!$A$3:$A$19,0)),INDEX(MODELOS!$D$3:$D$19,MATCH($D91,MODELOS!$A$3:$A$19,0))))</f>
        <v>Benefícios com ícones (4 a 6, impressos na embalagem) + ingrediente</v>
      </c>
      <c r="H91" s="11" t="str">
        <f aca="false">IF(INDEX(PRODUTOS!$I$4:$I$63,MATCH($A91,PRODUTOS!$B$4:$B$63,0))="B",INDEX(MODELOS!$I$3:$I$19,MATCH($D91,MODELOS!$A$3:$A$19,0)),INDEX(MODELOS!$E$3:$E$19,MATCH($D91,MODELOS!$A$3:$A$19,0)))</f>
        <v>2000 × 2000</v>
      </c>
      <c r="I91" s="11" t="str">
        <f aca="false">INDEX(MODELOS!$J$3:$J$19,MATCH($D91,MODELOS!$A$3:$A$19,0))</f>
        <v>SIM</v>
      </c>
      <c r="J91" s="11" t="str">
        <f aca="false">IF(LEFT($D91,2)&lt;&gt;"AP",IF($I91="SIM","SIM","RECOMENDADA"),IF(INDEX(PRODUTOS!$J$4:$J$63,MATCH($A91,PRODUTOS!$B$4:$B$63,0))&lt;&gt;"","NÃO (usa o A+ do EAN "&amp;INDEX(PRODUTOS!$J$4:$J$63,MATCH($A91,PRODUTOS!$B$4:$B$63,0))&amp;")",IF(AND(INDEX(PRODUTOS!$I$4:$I$63,MATCH($A91,PRODUTOS!$B$4:$B$63,0))="B",$D91="AP07"),"NÃO (modelo B)","SIM")))</f>
        <v>SIM</v>
      </c>
      <c r="K91" s="13" t="s">
        <v>325</v>
      </c>
      <c r="L91" s="13"/>
    </row>
    <row r="92" customFormat="false" ht="15" hidden="false" customHeight="false" outlineLevel="0" collapsed="false">
      <c r="A92" s="15" t="s">
        <v>75</v>
      </c>
      <c r="B92" s="11" t="str">
        <f aca="false">INDEX(PRODUTOS!$E$4:$E$63,MATCH($A92,PRODUTOS!$B$4:$B$63,0))</f>
        <v>New Dots Ração Seca Premium para Cães Adultos de Raças Pequenas - 5 kg</v>
      </c>
      <c r="C92" s="11" t="str">
        <f aca="false">INDEX(PRODUTOS!$H$4:$H$63,MATCH($A92,PRODUTOS!$B$4:$B$63,0))</f>
        <v>5 kg</v>
      </c>
      <c r="D92" s="11" t="s">
        <v>328</v>
      </c>
      <c r="E92" s="16" t="str">
        <f aca="false">$A92&amp;"."&amp;$D92&amp;".jpg"</f>
        <v>7898968541528.PT03.jpg</v>
      </c>
      <c r="F92" s="11" t="str">
        <f aca="false">IF(INDEX(PRODUTOS!$I$4:$I$63,MATCH($A92,PRODUTOS!$B$4:$B$63,0))="B",INDEX(MODELOS!$F$3:$F$19,MATCH($D92,MODELOS!$A$3:$A$19,0)),INDEX(MODELOS!$B$3:$B$19,MATCH($D92,MODELOS!$A$3:$A$19,0)))</f>
        <v>Galeria · posição 4</v>
      </c>
      <c r="G92" s="11" t="str">
        <f aca="false">IF(INDEX(PRODUTOS!$F$4:$F$63,MATCH($A92,PRODUTOS!$B$4:$B$63,0))="Ração",IF(INDEX(PRODUTOS!$I$4:$I$63,MATCH($A92,PRODUTOS!$B$4:$B$63,0))="B",INDEX(MODELOS!$G$3:$G$19,MATCH($D92,MODELOS!$A$3:$A$19,0)),INDEX(MODELOS!$C$3:$C$19,MATCH($D92,MODELOS!$A$3:$A$19,0))),IF(INDEX(PRODUTOS!$I$4:$I$63,MATCH($A92,PRODUTOS!$B$4:$B$63,0))="B",INDEX(MODELOS!$H$3:$H$19,MATCH($D92,MODELOS!$A$3:$A$19,0)),INDEX(MODELOS!$D$3:$D$19,MATCH($D92,MODELOS!$A$3:$A$19,0))))</f>
        <v>Formato e tamanho do grão, com medida em mm e referência de tamanho</v>
      </c>
      <c r="H92" s="11" t="str">
        <f aca="false">IF(INDEX(PRODUTOS!$I$4:$I$63,MATCH($A92,PRODUTOS!$B$4:$B$63,0))="B",INDEX(MODELOS!$I$3:$I$19,MATCH($D92,MODELOS!$A$3:$A$19,0)),INDEX(MODELOS!$E$3:$E$19,MATCH($D92,MODELOS!$A$3:$A$19,0)))</f>
        <v>2000 × 2000</v>
      </c>
      <c r="I92" s="11" t="str">
        <f aca="false">INDEX(MODELOS!$J$3:$J$19,MATCH($D92,MODELOS!$A$3:$A$19,0))</f>
        <v>SIM</v>
      </c>
      <c r="J92" s="11" t="str">
        <f aca="false">IF(LEFT($D92,2)&lt;&gt;"AP",IF($I92="SIM","SIM","RECOMENDADA"),IF(INDEX(PRODUTOS!$J$4:$J$63,MATCH($A92,PRODUTOS!$B$4:$B$63,0))&lt;&gt;"","NÃO (usa o A+ do EAN "&amp;INDEX(PRODUTOS!$J$4:$J$63,MATCH($A92,PRODUTOS!$B$4:$B$63,0))&amp;")",IF(AND(INDEX(PRODUTOS!$I$4:$I$63,MATCH($A92,PRODUTOS!$B$4:$B$63,0))="B",$D92="AP07"),"NÃO (modelo B)","SIM")))</f>
        <v>SIM</v>
      </c>
      <c r="K92" s="13" t="s">
        <v>325</v>
      </c>
      <c r="L92" s="13"/>
    </row>
    <row r="93" customFormat="false" ht="15" hidden="false" customHeight="false" outlineLevel="0" collapsed="false">
      <c r="A93" s="15" t="s">
        <v>75</v>
      </c>
      <c r="B93" s="11" t="str">
        <f aca="false">INDEX(PRODUTOS!$E$4:$E$63,MATCH($A93,PRODUTOS!$B$4:$B$63,0))</f>
        <v>New Dots Ração Seca Premium para Cães Adultos de Raças Pequenas - 5 kg</v>
      </c>
      <c r="C93" s="11" t="str">
        <f aca="false">INDEX(PRODUTOS!$H$4:$H$63,MATCH($A93,PRODUTOS!$B$4:$B$63,0))</f>
        <v>5 kg</v>
      </c>
      <c r="D93" s="11" t="s">
        <v>329</v>
      </c>
      <c r="E93" s="16" t="str">
        <f aca="false">$A93&amp;"."&amp;$D93&amp;".jpg"</f>
        <v>7898968541528.PT04.jpg</v>
      </c>
      <c r="F93" s="11" t="str">
        <f aca="false">IF(INDEX(PRODUTOS!$I$4:$I$63,MATCH($A93,PRODUTOS!$B$4:$B$63,0))="B",INDEX(MODELOS!$F$3:$F$19,MATCH($D93,MODELOS!$A$3:$A$19,0)),INDEX(MODELOS!$B$3:$B$19,MATCH($D93,MODELOS!$A$3:$A$19,0)))</f>
        <v>Galeria · posição 5</v>
      </c>
      <c r="G93" s="11" t="str">
        <f aca="false">IF(INDEX(PRODUTOS!$F$4:$F$63,MATCH($A93,PRODUTOS!$B$4:$B$63,0))="Ração",IF(INDEX(PRODUTOS!$I$4:$I$63,MATCH($A93,PRODUTOS!$B$4:$B$63,0))="B",INDEX(MODELOS!$G$3:$G$19,MATCH($D93,MODELOS!$A$3:$A$19,0)),INDEX(MODELOS!$C$3:$C$19,MATCH($D93,MODELOS!$A$3:$A$19,0))),IF(INDEX(PRODUTOS!$I$4:$I$63,MATCH($A93,PRODUTOS!$B$4:$B$63,0))="B",INDEX(MODELOS!$H$3:$H$19,MATCH($D93,MODELOS!$A$3:$A$19,0)),INDEX(MODELOS!$D$3:$D$19,MATCH($D93,MODELOS!$A$3:$A$19,0))))</f>
        <v>Quantidade diária por peso do cão/gato (números idênticos à embalagem)</v>
      </c>
      <c r="H93" s="11" t="str">
        <f aca="false">IF(INDEX(PRODUTOS!$I$4:$I$63,MATCH($A93,PRODUTOS!$B$4:$B$63,0))="B",INDEX(MODELOS!$I$3:$I$19,MATCH($D93,MODELOS!$A$3:$A$19,0)),INDEX(MODELOS!$E$3:$E$19,MATCH($D93,MODELOS!$A$3:$A$19,0)))</f>
        <v>2000 × 2000</v>
      </c>
      <c r="I93" s="11" t="str">
        <f aca="false">INDEX(MODELOS!$J$3:$J$19,MATCH($D93,MODELOS!$A$3:$A$19,0))</f>
        <v>SIM</v>
      </c>
      <c r="J93" s="11" t="str">
        <f aca="false">IF(LEFT($D93,2)&lt;&gt;"AP",IF($I93="SIM","SIM","RECOMENDADA"),IF(INDEX(PRODUTOS!$J$4:$J$63,MATCH($A93,PRODUTOS!$B$4:$B$63,0))&lt;&gt;"","NÃO (usa o A+ do EAN "&amp;INDEX(PRODUTOS!$J$4:$J$63,MATCH($A93,PRODUTOS!$B$4:$B$63,0))&amp;")",IF(AND(INDEX(PRODUTOS!$I$4:$I$63,MATCH($A93,PRODUTOS!$B$4:$B$63,0))="B",$D93="AP07"),"NÃO (modelo B)","SIM")))</f>
        <v>SIM</v>
      </c>
      <c r="K93" s="13" t="s">
        <v>325</v>
      </c>
      <c r="L93" s="13"/>
    </row>
    <row r="94" customFormat="false" ht="15" hidden="false" customHeight="false" outlineLevel="0" collapsed="false">
      <c r="A94" s="15" t="s">
        <v>75</v>
      </c>
      <c r="B94" s="11" t="str">
        <f aca="false">INDEX(PRODUTOS!$E$4:$E$63,MATCH($A94,PRODUTOS!$B$4:$B$63,0))</f>
        <v>New Dots Ração Seca Premium para Cães Adultos de Raças Pequenas - 5 kg</v>
      </c>
      <c r="C94" s="11" t="str">
        <f aca="false">INDEX(PRODUTOS!$H$4:$H$63,MATCH($A94,PRODUTOS!$B$4:$B$63,0))</f>
        <v>5 kg</v>
      </c>
      <c r="D94" s="11" t="s">
        <v>330</v>
      </c>
      <c r="E94" s="16" t="str">
        <f aca="false">$A94&amp;"."&amp;$D94&amp;".jpg"</f>
        <v>7898968541528.PT05.jpg</v>
      </c>
      <c r="F94" s="11" t="str">
        <f aca="false">IF(INDEX(PRODUTOS!$I$4:$I$63,MATCH($A94,PRODUTOS!$B$4:$B$63,0))="B",INDEX(MODELOS!$F$3:$F$19,MATCH($D94,MODELOS!$A$3:$A$19,0)),INDEX(MODELOS!$B$3:$B$19,MATCH($D94,MODELOS!$A$3:$A$19,0)))</f>
        <v>Galeria · posição 6</v>
      </c>
      <c r="G94" s="11" t="str">
        <f aca="false">IF(INDEX(PRODUTOS!$F$4:$F$63,MATCH($A94,PRODUTOS!$B$4:$B$63,0))="Ração",IF(INDEX(PRODUTOS!$I$4:$I$63,MATCH($A94,PRODUTOS!$B$4:$B$63,0))="B",INDEX(MODELOS!$G$3:$G$19,MATCH($D94,MODELOS!$A$3:$A$19,0)),INDEX(MODELOS!$C$3:$C$19,MATCH($D94,MODELOS!$A$3:$A$19,0))),IF(INDEX(PRODUTOS!$I$4:$I$63,MATCH($A94,PRODUTOS!$B$4:$B$63,0))="B",INDEX(MODELOS!$H$3:$H$19,MATCH($D94,MODELOS!$A$3:$A$19,0)),INDEX(MODELOS!$D$3:$D$19,MATCH($D94,MODELOS!$A$3:$A$19,0))))</f>
        <v>Transição alimentar dia a dia (igual ao verso da embalagem)</v>
      </c>
      <c r="H94" s="11" t="str">
        <f aca="false">IF(INDEX(PRODUTOS!$I$4:$I$63,MATCH($A94,PRODUTOS!$B$4:$B$63,0))="B",INDEX(MODELOS!$I$3:$I$19,MATCH($D94,MODELOS!$A$3:$A$19,0)),INDEX(MODELOS!$E$3:$E$19,MATCH($D94,MODELOS!$A$3:$A$19,0)))</f>
        <v>2000 × 2000</v>
      </c>
      <c r="I94" s="11" t="str">
        <f aca="false">INDEX(MODELOS!$J$3:$J$19,MATCH($D94,MODELOS!$A$3:$A$19,0))</f>
        <v>Recomendada</v>
      </c>
      <c r="J94" s="11" t="str">
        <f aca="false">IF(LEFT($D94,2)&lt;&gt;"AP",IF($I94="SIM","SIM","RECOMENDADA"),IF(INDEX(PRODUTOS!$J$4:$J$63,MATCH($A94,PRODUTOS!$B$4:$B$63,0))&lt;&gt;"","NÃO (usa o A+ do EAN "&amp;INDEX(PRODUTOS!$J$4:$J$63,MATCH($A94,PRODUTOS!$B$4:$B$63,0))&amp;")",IF(AND(INDEX(PRODUTOS!$I$4:$I$63,MATCH($A94,PRODUTOS!$B$4:$B$63,0))="B",$D94="AP07"),"NÃO (modelo B)","SIM")))</f>
        <v>RECOMENDADA</v>
      </c>
      <c r="K94" s="13" t="s">
        <v>325</v>
      </c>
      <c r="L94" s="13"/>
    </row>
    <row r="95" customFormat="false" ht="15" hidden="false" customHeight="false" outlineLevel="0" collapsed="false">
      <c r="A95" s="15" t="s">
        <v>75</v>
      </c>
      <c r="B95" s="11" t="str">
        <f aca="false">INDEX(PRODUTOS!$E$4:$E$63,MATCH($A95,PRODUTOS!$B$4:$B$63,0))</f>
        <v>New Dots Ração Seca Premium para Cães Adultos de Raças Pequenas - 5 kg</v>
      </c>
      <c r="C95" s="11" t="str">
        <f aca="false">INDEX(PRODUTOS!$H$4:$H$63,MATCH($A95,PRODUTOS!$B$4:$B$63,0))</f>
        <v>5 kg</v>
      </c>
      <c r="D95" s="11" t="s">
        <v>331</v>
      </c>
      <c r="E95" s="16" t="str">
        <f aca="false">$A95&amp;"."&amp;$D95&amp;".jpg"</f>
        <v>7898968541528.PT06.jpg</v>
      </c>
      <c r="F95" s="11" t="str">
        <f aca="false">IF(INDEX(PRODUTOS!$I$4:$I$63,MATCH($A95,PRODUTOS!$B$4:$B$63,0))="B",INDEX(MODELOS!$F$3:$F$19,MATCH($D95,MODELOS!$A$3:$A$19,0)),INDEX(MODELOS!$B$3:$B$19,MATCH($D95,MODELOS!$A$3:$A$19,0)))</f>
        <v>Galeria · posição 7</v>
      </c>
      <c r="G95" s="11" t="str">
        <f aca="false">IF(INDEX(PRODUTOS!$F$4:$F$63,MATCH($A95,PRODUTOS!$B$4:$B$63,0))="Ração",IF(INDEX(PRODUTOS!$I$4:$I$63,MATCH($A95,PRODUTOS!$B$4:$B$63,0))="B",INDEX(MODELOS!$G$3:$G$19,MATCH($D95,MODELOS!$A$3:$A$19,0)),INDEX(MODELOS!$C$3:$C$19,MATCH($D95,MODELOS!$A$3:$A$19,0))),IF(INDEX(PRODUTOS!$I$4:$I$63,MATCH($A95,PRODUTOS!$B$4:$B$63,0))="B",INDEX(MODELOS!$H$3:$H$19,MATCH($D95,MODELOS!$A$3:$A$19,0)),INDEX(MODELOS!$D$3:$D$19,MATCH($D95,MODELOS!$A$3:$A$19,0))))</f>
        <v>Composição e níveis de garantia em letra grande</v>
      </c>
      <c r="H95" s="11" t="str">
        <f aca="false">IF(INDEX(PRODUTOS!$I$4:$I$63,MATCH($A95,PRODUTOS!$B$4:$B$63,0))="B",INDEX(MODELOS!$I$3:$I$19,MATCH($D95,MODELOS!$A$3:$A$19,0)),INDEX(MODELOS!$E$3:$E$19,MATCH($D95,MODELOS!$A$3:$A$19,0)))</f>
        <v>2000 × 2000</v>
      </c>
      <c r="I95" s="11" t="str">
        <f aca="false">INDEX(MODELOS!$J$3:$J$19,MATCH($D95,MODELOS!$A$3:$A$19,0))</f>
        <v>SIM</v>
      </c>
      <c r="J95" s="11" t="str">
        <f aca="false">IF(LEFT($D95,2)&lt;&gt;"AP",IF($I95="SIM","SIM","RECOMENDADA"),IF(INDEX(PRODUTOS!$J$4:$J$63,MATCH($A95,PRODUTOS!$B$4:$B$63,0))&lt;&gt;"","NÃO (usa o A+ do EAN "&amp;INDEX(PRODUTOS!$J$4:$J$63,MATCH($A95,PRODUTOS!$B$4:$B$63,0))&amp;")",IF(AND(INDEX(PRODUTOS!$I$4:$I$63,MATCH($A95,PRODUTOS!$B$4:$B$63,0))="B",$D95="AP07"),"NÃO (modelo B)","SIM")))</f>
        <v>SIM</v>
      </c>
      <c r="K95" s="13" t="s">
        <v>325</v>
      </c>
      <c r="L95" s="13"/>
    </row>
    <row r="96" customFormat="false" ht="15" hidden="false" customHeight="false" outlineLevel="0" collapsed="false">
      <c r="A96" s="15" t="s">
        <v>75</v>
      </c>
      <c r="B96" s="11" t="str">
        <f aca="false">INDEX(PRODUTOS!$E$4:$E$63,MATCH($A96,PRODUTOS!$B$4:$B$63,0))</f>
        <v>New Dots Ração Seca Premium para Cães Adultos de Raças Pequenas - 5 kg</v>
      </c>
      <c r="C96" s="11" t="str">
        <f aca="false">INDEX(PRODUTOS!$H$4:$H$63,MATCH($A96,PRODUTOS!$B$4:$B$63,0))</f>
        <v>5 kg</v>
      </c>
      <c r="D96" s="11" t="s">
        <v>332</v>
      </c>
      <c r="E96" s="16" t="str">
        <f aca="false">$A96&amp;"."&amp;$D96&amp;".jpg"</f>
        <v>7898968541528.PT07.jpg</v>
      </c>
      <c r="F96" s="11" t="str">
        <f aca="false">IF(INDEX(PRODUTOS!$I$4:$I$63,MATCH($A96,PRODUTOS!$B$4:$B$63,0))="B",INDEX(MODELOS!$F$3:$F$19,MATCH($D96,MODELOS!$A$3:$A$19,0)),INDEX(MODELOS!$B$3:$B$19,MATCH($D96,MODELOS!$A$3:$A$19,0)))</f>
        <v>Galeria · posição 8</v>
      </c>
      <c r="G96" s="11" t="str">
        <f aca="false">IF(INDEX(PRODUTOS!$F$4:$F$63,MATCH($A96,PRODUTOS!$B$4:$B$63,0))="Ração",IF(INDEX(PRODUTOS!$I$4:$I$63,MATCH($A96,PRODUTOS!$B$4:$B$63,0))="B",INDEX(MODELOS!$G$3:$G$19,MATCH($D96,MODELOS!$A$3:$A$19,0)),INDEX(MODELOS!$C$3:$C$19,MATCH($D96,MODELOS!$A$3:$A$19,0))),IF(INDEX(PRODUTOS!$I$4:$I$63,MATCH($A96,PRODUTOS!$B$4:$B$63,0))="B",INDEX(MODELOS!$H$3:$H$19,MATCH($D96,MODELOS!$A$3:$A$19,0)),INDEX(MODELOS!$D$3:$D$19,MATCH($D96,MODELOS!$A$3:$A$19,0))))</f>
        <v>Emocional / momento de uso (pet do porte certo, pote cheio)</v>
      </c>
      <c r="H96" s="11" t="str">
        <f aca="false">IF(INDEX(PRODUTOS!$I$4:$I$63,MATCH($A96,PRODUTOS!$B$4:$B$63,0))="B",INDEX(MODELOS!$I$3:$I$19,MATCH($D96,MODELOS!$A$3:$A$19,0)),INDEX(MODELOS!$E$3:$E$19,MATCH($D96,MODELOS!$A$3:$A$19,0)))</f>
        <v>2000 × 2000</v>
      </c>
      <c r="I96" s="11" t="str">
        <f aca="false">INDEX(MODELOS!$J$3:$J$19,MATCH($D96,MODELOS!$A$3:$A$19,0))</f>
        <v>Recomendada</v>
      </c>
      <c r="J96" s="11" t="str">
        <f aca="false">IF(LEFT($D96,2)&lt;&gt;"AP",IF($I96="SIM","SIM","RECOMENDADA"),IF(INDEX(PRODUTOS!$J$4:$J$63,MATCH($A96,PRODUTOS!$B$4:$B$63,0))&lt;&gt;"","NÃO (usa o A+ do EAN "&amp;INDEX(PRODUTOS!$J$4:$J$63,MATCH($A96,PRODUTOS!$B$4:$B$63,0))&amp;")",IF(AND(INDEX(PRODUTOS!$I$4:$I$63,MATCH($A96,PRODUTOS!$B$4:$B$63,0))="B",$D96="AP07"),"NÃO (modelo B)","SIM")))</f>
        <v>RECOMENDADA</v>
      </c>
      <c r="K96" s="13" t="s">
        <v>325</v>
      </c>
      <c r="L96" s="13"/>
    </row>
    <row r="97" customFormat="false" ht="15" hidden="false" customHeight="false" outlineLevel="0" collapsed="false">
      <c r="A97" s="15" t="s">
        <v>75</v>
      </c>
      <c r="B97" s="11" t="str">
        <f aca="false">INDEX(PRODUTOS!$E$4:$E$63,MATCH($A97,PRODUTOS!$B$4:$B$63,0))</f>
        <v>New Dots Ração Seca Premium para Cães Adultos de Raças Pequenas - 5 kg</v>
      </c>
      <c r="C97" s="11" t="str">
        <f aca="false">INDEX(PRODUTOS!$H$4:$H$63,MATCH($A97,PRODUTOS!$B$4:$B$63,0))</f>
        <v>5 kg</v>
      </c>
      <c r="D97" s="11" t="s">
        <v>333</v>
      </c>
      <c r="E97" s="16" t="str">
        <f aca="false">$A97&amp;"."&amp;$D97&amp;".jpg"</f>
        <v>7898968541528.PT08.jpg</v>
      </c>
      <c r="F97" s="11" t="str">
        <f aca="false">IF(INDEX(PRODUTOS!$I$4:$I$63,MATCH($A97,PRODUTOS!$B$4:$B$63,0))="B",INDEX(MODELOS!$F$3:$F$19,MATCH($D97,MODELOS!$A$3:$A$19,0)),INDEX(MODELOS!$B$3:$B$19,MATCH($D97,MODELOS!$A$3:$A$19,0)))</f>
        <v>Galeria · posição 9</v>
      </c>
      <c r="G97" s="11" t="str">
        <f aca="false">IF(INDEX(PRODUTOS!$F$4:$F$63,MATCH($A97,PRODUTOS!$B$4:$B$63,0))="Ração",IF(INDEX(PRODUTOS!$I$4:$I$63,MATCH($A97,PRODUTOS!$B$4:$B$63,0))="B",INDEX(MODELOS!$G$3:$G$19,MATCH($D97,MODELOS!$A$3:$A$19,0)),INDEX(MODELOS!$C$3:$C$19,MATCH($D97,MODELOS!$A$3:$A$19,0))),IF(INDEX(PRODUTOS!$I$4:$I$63,MATCH($A97,PRODUTOS!$B$4:$B$63,0))="B",INDEX(MODELOS!$H$3:$H$19,MATCH($D97,MODELOS!$A$3:$A$19,0)),INDEX(MODELOS!$D$3:$D$19,MATCH($D97,MODELOS!$A$3:$A$19,0))))</f>
        <v>Linha da marca ou embalagem anterior × nova</v>
      </c>
      <c r="H97" s="11" t="str">
        <f aca="false">IF(INDEX(PRODUTOS!$I$4:$I$63,MATCH($A97,PRODUTOS!$B$4:$B$63,0))="B",INDEX(MODELOS!$I$3:$I$19,MATCH($D97,MODELOS!$A$3:$A$19,0)),INDEX(MODELOS!$E$3:$E$19,MATCH($D97,MODELOS!$A$3:$A$19,0)))</f>
        <v>2000 × 2000</v>
      </c>
      <c r="I97" s="11" t="str">
        <f aca="false">INDEX(MODELOS!$J$3:$J$19,MATCH($D97,MODELOS!$A$3:$A$19,0))</f>
        <v>Recomendada</v>
      </c>
      <c r="J97" s="11" t="str">
        <f aca="false">IF(LEFT($D97,2)&lt;&gt;"AP",IF($I97="SIM","SIM","RECOMENDADA"),IF(INDEX(PRODUTOS!$J$4:$J$63,MATCH($A97,PRODUTOS!$B$4:$B$63,0))&lt;&gt;"","NÃO (usa o A+ do EAN "&amp;INDEX(PRODUTOS!$J$4:$J$63,MATCH($A97,PRODUTOS!$B$4:$B$63,0))&amp;")",IF(AND(INDEX(PRODUTOS!$I$4:$I$63,MATCH($A97,PRODUTOS!$B$4:$B$63,0))="B",$D97="AP07"),"NÃO (modelo B)","SIM")))</f>
        <v>RECOMENDADA</v>
      </c>
      <c r="K97" s="13" t="s">
        <v>325</v>
      </c>
      <c r="L97" s="13"/>
    </row>
    <row r="98" customFormat="false" ht="15" hidden="false" customHeight="false" outlineLevel="0" collapsed="false">
      <c r="A98" s="15" t="s">
        <v>75</v>
      </c>
      <c r="B98" s="11" t="str">
        <f aca="false">INDEX(PRODUTOS!$E$4:$E$63,MATCH($A98,PRODUTOS!$B$4:$B$63,0))</f>
        <v>New Dots Ração Seca Premium para Cães Adultos de Raças Pequenas - 5 kg</v>
      </c>
      <c r="C98" s="11" t="str">
        <f aca="false">INDEX(PRODUTOS!$H$4:$H$63,MATCH($A98,PRODUTOS!$B$4:$B$63,0))</f>
        <v>5 kg</v>
      </c>
      <c r="D98" s="11" t="s">
        <v>334</v>
      </c>
      <c r="E98" s="16" t="str">
        <f aca="false">$A98&amp;"."&amp;$D98&amp;".jpg"</f>
        <v>7898968541528.AP01.jpg</v>
      </c>
      <c r="F98" s="11" t="str">
        <f aca="false">IF(INDEX(PRODUTOS!$I$4:$I$63,MATCH($A98,PRODUTOS!$B$4:$B$63,0))="B",INDEX(MODELOS!$F$3:$F$19,MATCH($D98,MODELOS!$A$3:$A$19,0)),INDEX(MODELOS!$B$3:$B$19,MATCH($D98,MODELOS!$A$3:$A$19,0)))</f>
        <v>A+ · Módulo 1 · Banner</v>
      </c>
      <c r="G98" s="11" t="str">
        <f aca="false">IF(INDEX(PRODUTOS!$F$4:$F$63,MATCH($A98,PRODUTOS!$B$4:$B$63,0))="Ração",IF(INDEX(PRODUTOS!$I$4:$I$63,MATCH($A98,PRODUTOS!$B$4:$B$63,0))="B",INDEX(MODELOS!$G$3:$G$19,MATCH($D98,MODELOS!$A$3:$A$19,0)),INDEX(MODELOS!$C$3:$C$19,MATCH($D98,MODELOS!$A$3:$A$19,0))),IF(INDEX(PRODUTOS!$I$4:$I$63,MATCH($A98,PRODUTOS!$B$4:$B$63,0))="B",INDEX(MODELOS!$H$3:$H$19,MATCH($D98,MODELOS!$A$3:$A$19,0)),INDEX(MODELOS!$D$3:$D$19,MATCH($D98,MODELOS!$A$3:$A$19,0))))</f>
        <v>Embalagem + pet + ingredientes, com o nome da linha</v>
      </c>
      <c r="H98" s="11" t="str">
        <f aca="false">IF(INDEX(PRODUTOS!$I$4:$I$63,MATCH($A98,PRODUTOS!$B$4:$B$63,0))="B",INDEX(MODELOS!$I$3:$I$19,MATCH($D98,MODELOS!$A$3:$A$19,0)),INDEX(MODELOS!$E$3:$E$19,MATCH($D98,MODELOS!$A$3:$A$19,0)))</f>
        <v>970 × 600</v>
      </c>
      <c r="I98" s="11" t="str">
        <f aca="false">INDEX(MODELOS!$J$3:$J$19,MATCH($D98,MODELOS!$A$3:$A$19,0))</f>
        <v>Conforme modelo</v>
      </c>
      <c r="J98" s="11" t="str">
        <f aca="false">IF(LEFT($D98,2)&lt;&gt;"AP",IF($I98="SIM","SIM","RECOMENDADA"),IF(INDEX(PRODUTOS!$J$4:$J$63,MATCH($A98,PRODUTOS!$B$4:$B$63,0))&lt;&gt;"","NÃO (usa o A+ do EAN "&amp;INDEX(PRODUTOS!$J$4:$J$63,MATCH($A98,PRODUTOS!$B$4:$B$63,0))&amp;")",IF(AND(INDEX(PRODUTOS!$I$4:$I$63,MATCH($A98,PRODUTOS!$B$4:$B$63,0))="B",$D98="AP07"),"NÃO (modelo B)","SIM")))</f>
        <v>NÃO (usa o A+ do EAN 7898968541535)</v>
      </c>
      <c r="K98" s="13" t="s">
        <v>325</v>
      </c>
      <c r="L98" s="13"/>
    </row>
    <row r="99" customFormat="false" ht="15" hidden="false" customHeight="false" outlineLevel="0" collapsed="false">
      <c r="A99" s="15" t="s">
        <v>75</v>
      </c>
      <c r="B99" s="11" t="str">
        <f aca="false">INDEX(PRODUTOS!$E$4:$E$63,MATCH($A99,PRODUTOS!$B$4:$B$63,0))</f>
        <v>New Dots Ração Seca Premium para Cães Adultos de Raças Pequenas - 5 kg</v>
      </c>
      <c r="C99" s="11" t="str">
        <f aca="false">INDEX(PRODUTOS!$H$4:$H$63,MATCH($A99,PRODUTOS!$B$4:$B$63,0))</f>
        <v>5 kg</v>
      </c>
      <c r="D99" s="11" t="s">
        <v>335</v>
      </c>
      <c r="E99" s="16" t="str">
        <f aca="false">$A99&amp;"."&amp;$D99&amp;".jpg"</f>
        <v>7898968541528.AP02.jpg</v>
      </c>
      <c r="F99" s="11" t="str">
        <f aca="false">IF(INDEX(PRODUTOS!$I$4:$I$63,MATCH($A99,PRODUTOS!$B$4:$B$63,0))="B",INDEX(MODELOS!$F$3:$F$19,MATCH($D99,MODELOS!$A$3:$A$19,0)),INDEX(MODELOS!$B$3:$B$19,MATCH($D99,MODELOS!$A$3:$A$19,0)))</f>
        <v>A+ · Módulo 2 · Texto sobreposto</v>
      </c>
      <c r="G99" s="11" t="str">
        <f aca="false">IF(INDEX(PRODUTOS!$F$4:$F$63,MATCH($A99,PRODUTOS!$B$4:$B$63,0))="Ração",IF(INDEX(PRODUTOS!$I$4:$I$63,MATCH($A99,PRODUTOS!$B$4:$B$63,0))="B",INDEX(MODELOS!$G$3:$G$19,MATCH($D99,MODELOS!$A$3:$A$19,0)),INDEX(MODELOS!$C$3:$C$19,MATCH($D99,MODELOS!$A$3:$A$19,0))),IF(INDEX(PRODUTOS!$I$4:$I$63,MATCH($A99,PRODUTOS!$B$4:$B$63,0))="B",INDEX(MODELOS!$H$3:$H$19,MATCH($D99,MODELOS!$A$3:$A$19,0)),INDEX(MODELOS!$D$3:$D$19,MATCH($D99,MODELOS!$A$3:$A$19,0))))</f>
        <v>Principal diferencial; deixar o lado direito limpo</v>
      </c>
      <c r="H99" s="11" t="str">
        <f aca="false">IF(INDEX(PRODUTOS!$I$4:$I$63,MATCH($A99,PRODUTOS!$B$4:$B$63,0))="B",INDEX(MODELOS!$I$3:$I$19,MATCH($D99,MODELOS!$A$3:$A$19,0)),INDEX(MODELOS!$E$3:$E$19,MATCH($D99,MODELOS!$A$3:$A$19,0)))</f>
        <v>970 × 300</v>
      </c>
      <c r="I99" s="11" t="str">
        <f aca="false">INDEX(MODELOS!$J$3:$J$19,MATCH($D99,MODELOS!$A$3:$A$19,0))</f>
        <v>Conforme modelo</v>
      </c>
      <c r="J99" s="11" t="str">
        <f aca="false">IF(LEFT($D99,2)&lt;&gt;"AP",IF($I99="SIM","SIM","RECOMENDADA"),IF(INDEX(PRODUTOS!$J$4:$J$63,MATCH($A99,PRODUTOS!$B$4:$B$63,0))&lt;&gt;"","NÃO (usa o A+ do EAN "&amp;INDEX(PRODUTOS!$J$4:$J$63,MATCH($A99,PRODUTOS!$B$4:$B$63,0))&amp;")",IF(AND(INDEX(PRODUTOS!$I$4:$I$63,MATCH($A99,PRODUTOS!$B$4:$B$63,0))="B",$D99="AP07"),"NÃO (modelo B)","SIM")))</f>
        <v>NÃO (usa o A+ do EAN 7898968541535)</v>
      </c>
      <c r="K99" s="13" t="s">
        <v>325</v>
      </c>
      <c r="L99" s="13"/>
    </row>
    <row r="100" customFormat="false" ht="15" hidden="false" customHeight="false" outlineLevel="0" collapsed="false">
      <c r="A100" s="15" t="s">
        <v>75</v>
      </c>
      <c r="B100" s="11" t="str">
        <f aca="false">INDEX(PRODUTOS!$E$4:$E$63,MATCH($A100,PRODUTOS!$B$4:$B$63,0))</f>
        <v>New Dots Ração Seca Premium para Cães Adultos de Raças Pequenas - 5 kg</v>
      </c>
      <c r="C100" s="11" t="str">
        <f aca="false">INDEX(PRODUTOS!$H$4:$H$63,MATCH($A100,PRODUTOS!$B$4:$B$63,0))</f>
        <v>5 kg</v>
      </c>
      <c r="D100" s="11" t="s">
        <v>336</v>
      </c>
      <c r="E100" s="16" t="str">
        <f aca="false">$A100&amp;"."&amp;$D100&amp;".jpg"</f>
        <v>7898968541528.AP03.jpg</v>
      </c>
      <c r="F100" s="11" t="str">
        <f aca="false">IF(INDEX(PRODUTOS!$I$4:$I$63,MATCH($A100,PRODUTOS!$B$4:$B$63,0))="B",INDEX(MODELOS!$F$3:$F$19,MATCH($D100,MODELOS!$A$3:$A$19,0)),INDEX(MODELOS!$B$3:$B$19,MATCH($D100,MODELOS!$A$3:$A$19,0)))</f>
        <v>A+ · Módulo 3 · Benefício 1 de 4</v>
      </c>
      <c r="G100" s="11" t="str">
        <f aca="false">IF(INDEX(PRODUTOS!$F$4:$F$63,MATCH($A100,PRODUTOS!$B$4:$B$63,0))="Ração",IF(INDEX(PRODUTOS!$I$4:$I$63,MATCH($A100,PRODUTOS!$B$4:$B$63,0))="B",INDEX(MODELOS!$G$3:$G$19,MATCH($D100,MODELOS!$A$3:$A$19,0)),INDEX(MODELOS!$C$3:$C$19,MATCH($D100,MODELOS!$A$3:$A$19,0))),IF(INDEX(PRODUTOS!$I$4:$I$63,MATCH($A100,PRODUTOS!$B$4:$B$63,0))="B",INDEX(MODELOS!$H$3:$H$19,MATCH($D100,MODELOS!$A$3:$A$19,0)),INDEX(MODELOS!$D$3:$D$19,MATCH($D100,MODELOS!$A$3:$A$19,0))))</f>
        <v>Foto/ilustração do benefício 1</v>
      </c>
      <c r="H100" s="11" t="str">
        <f aca="false">IF(INDEX(PRODUTOS!$I$4:$I$63,MATCH($A100,PRODUTOS!$B$4:$B$63,0))="B",INDEX(MODELOS!$I$3:$I$19,MATCH($D100,MODELOS!$A$3:$A$19,0)),INDEX(MODELOS!$E$3:$E$19,MATCH($D100,MODELOS!$A$3:$A$19,0)))</f>
        <v>220 × 200</v>
      </c>
      <c r="I100" s="11" t="str">
        <f aca="false">INDEX(MODELOS!$J$3:$J$19,MATCH($D100,MODELOS!$A$3:$A$19,0))</f>
        <v>Conforme modelo</v>
      </c>
      <c r="J100" s="11" t="str">
        <f aca="false">IF(LEFT($D100,2)&lt;&gt;"AP",IF($I100="SIM","SIM","RECOMENDADA"),IF(INDEX(PRODUTOS!$J$4:$J$63,MATCH($A100,PRODUTOS!$B$4:$B$63,0))&lt;&gt;"","NÃO (usa o A+ do EAN "&amp;INDEX(PRODUTOS!$J$4:$J$63,MATCH($A100,PRODUTOS!$B$4:$B$63,0))&amp;")",IF(AND(INDEX(PRODUTOS!$I$4:$I$63,MATCH($A100,PRODUTOS!$B$4:$B$63,0))="B",$D100="AP07"),"NÃO (modelo B)","SIM")))</f>
        <v>NÃO (usa o A+ do EAN 7898968541535)</v>
      </c>
      <c r="K100" s="13" t="s">
        <v>325</v>
      </c>
      <c r="L100" s="13"/>
    </row>
    <row r="101" customFormat="false" ht="15" hidden="false" customHeight="false" outlineLevel="0" collapsed="false">
      <c r="A101" s="15" t="s">
        <v>75</v>
      </c>
      <c r="B101" s="11" t="str">
        <f aca="false">INDEX(PRODUTOS!$E$4:$E$63,MATCH($A101,PRODUTOS!$B$4:$B$63,0))</f>
        <v>New Dots Ração Seca Premium para Cães Adultos de Raças Pequenas - 5 kg</v>
      </c>
      <c r="C101" s="11" t="str">
        <f aca="false">INDEX(PRODUTOS!$H$4:$H$63,MATCH($A101,PRODUTOS!$B$4:$B$63,0))</f>
        <v>5 kg</v>
      </c>
      <c r="D101" s="11" t="s">
        <v>337</v>
      </c>
      <c r="E101" s="16" t="str">
        <f aca="false">$A101&amp;"."&amp;$D101&amp;".jpg"</f>
        <v>7898968541528.AP04.jpg</v>
      </c>
      <c r="F101" s="11" t="str">
        <f aca="false">IF(INDEX(PRODUTOS!$I$4:$I$63,MATCH($A101,PRODUTOS!$B$4:$B$63,0))="B",INDEX(MODELOS!$F$3:$F$19,MATCH($D101,MODELOS!$A$3:$A$19,0)),INDEX(MODELOS!$B$3:$B$19,MATCH($D101,MODELOS!$A$3:$A$19,0)))</f>
        <v>A+ · Módulo 3 · Benefício 2 de 4</v>
      </c>
      <c r="G101" s="11" t="str">
        <f aca="false">IF(INDEX(PRODUTOS!$F$4:$F$63,MATCH($A101,PRODUTOS!$B$4:$B$63,0))="Ração",IF(INDEX(PRODUTOS!$I$4:$I$63,MATCH($A101,PRODUTOS!$B$4:$B$63,0))="B",INDEX(MODELOS!$G$3:$G$19,MATCH($D101,MODELOS!$A$3:$A$19,0)),INDEX(MODELOS!$C$3:$C$19,MATCH($D101,MODELOS!$A$3:$A$19,0))),IF(INDEX(PRODUTOS!$I$4:$I$63,MATCH($A101,PRODUTOS!$B$4:$B$63,0))="B",INDEX(MODELOS!$H$3:$H$19,MATCH($D101,MODELOS!$A$3:$A$19,0)),INDEX(MODELOS!$D$3:$D$19,MATCH($D101,MODELOS!$A$3:$A$19,0))))</f>
        <v>Foto/ilustração do benefício 2</v>
      </c>
      <c r="H101" s="11" t="str">
        <f aca="false">IF(INDEX(PRODUTOS!$I$4:$I$63,MATCH($A101,PRODUTOS!$B$4:$B$63,0))="B",INDEX(MODELOS!$I$3:$I$19,MATCH($D101,MODELOS!$A$3:$A$19,0)),INDEX(MODELOS!$E$3:$E$19,MATCH($D101,MODELOS!$A$3:$A$19,0)))</f>
        <v>220 × 200</v>
      </c>
      <c r="I101" s="11" t="str">
        <f aca="false">INDEX(MODELOS!$J$3:$J$19,MATCH($D101,MODELOS!$A$3:$A$19,0))</f>
        <v>Conforme modelo</v>
      </c>
      <c r="J101" s="11" t="str">
        <f aca="false">IF(LEFT($D101,2)&lt;&gt;"AP",IF($I101="SIM","SIM","RECOMENDADA"),IF(INDEX(PRODUTOS!$J$4:$J$63,MATCH($A101,PRODUTOS!$B$4:$B$63,0))&lt;&gt;"","NÃO (usa o A+ do EAN "&amp;INDEX(PRODUTOS!$J$4:$J$63,MATCH($A101,PRODUTOS!$B$4:$B$63,0))&amp;")",IF(AND(INDEX(PRODUTOS!$I$4:$I$63,MATCH($A101,PRODUTOS!$B$4:$B$63,0))="B",$D101="AP07"),"NÃO (modelo B)","SIM")))</f>
        <v>NÃO (usa o A+ do EAN 7898968541535)</v>
      </c>
      <c r="K101" s="13" t="s">
        <v>325</v>
      </c>
      <c r="L101" s="13"/>
    </row>
    <row r="102" customFormat="false" ht="15" hidden="false" customHeight="false" outlineLevel="0" collapsed="false">
      <c r="A102" s="15" t="s">
        <v>75</v>
      </c>
      <c r="B102" s="11" t="str">
        <f aca="false">INDEX(PRODUTOS!$E$4:$E$63,MATCH($A102,PRODUTOS!$B$4:$B$63,0))</f>
        <v>New Dots Ração Seca Premium para Cães Adultos de Raças Pequenas - 5 kg</v>
      </c>
      <c r="C102" s="11" t="str">
        <f aca="false">INDEX(PRODUTOS!$H$4:$H$63,MATCH($A102,PRODUTOS!$B$4:$B$63,0))</f>
        <v>5 kg</v>
      </c>
      <c r="D102" s="11" t="s">
        <v>338</v>
      </c>
      <c r="E102" s="16" t="str">
        <f aca="false">$A102&amp;"."&amp;$D102&amp;".jpg"</f>
        <v>7898968541528.AP05.jpg</v>
      </c>
      <c r="F102" s="11" t="str">
        <f aca="false">IF(INDEX(PRODUTOS!$I$4:$I$63,MATCH($A102,PRODUTOS!$B$4:$B$63,0))="B",INDEX(MODELOS!$F$3:$F$19,MATCH($D102,MODELOS!$A$3:$A$19,0)),INDEX(MODELOS!$B$3:$B$19,MATCH($D102,MODELOS!$A$3:$A$19,0)))</f>
        <v>A+ · Módulo 3 · Benefício 3 de 4</v>
      </c>
      <c r="G102" s="11" t="str">
        <f aca="false">IF(INDEX(PRODUTOS!$F$4:$F$63,MATCH($A102,PRODUTOS!$B$4:$B$63,0))="Ração",IF(INDEX(PRODUTOS!$I$4:$I$63,MATCH($A102,PRODUTOS!$B$4:$B$63,0))="B",INDEX(MODELOS!$G$3:$G$19,MATCH($D102,MODELOS!$A$3:$A$19,0)),INDEX(MODELOS!$C$3:$C$19,MATCH($D102,MODELOS!$A$3:$A$19,0))),IF(INDEX(PRODUTOS!$I$4:$I$63,MATCH($A102,PRODUTOS!$B$4:$B$63,0))="B",INDEX(MODELOS!$H$3:$H$19,MATCH($D102,MODELOS!$A$3:$A$19,0)),INDEX(MODELOS!$D$3:$D$19,MATCH($D102,MODELOS!$A$3:$A$19,0))))</f>
        <v>Foto/ilustração do benefício 3</v>
      </c>
      <c r="H102" s="11" t="str">
        <f aca="false">IF(INDEX(PRODUTOS!$I$4:$I$63,MATCH($A102,PRODUTOS!$B$4:$B$63,0))="B",INDEX(MODELOS!$I$3:$I$19,MATCH($D102,MODELOS!$A$3:$A$19,0)),INDEX(MODELOS!$E$3:$E$19,MATCH($D102,MODELOS!$A$3:$A$19,0)))</f>
        <v>220 × 200</v>
      </c>
      <c r="I102" s="11" t="str">
        <f aca="false">INDEX(MODELOS!$J$3:$J$19,MATCH($D102,MODELOS!$A$3:$A$19,0))</f>
        <v>Conforme modelo</v>
      </c>
      <c r="J102" s="11" t="str">
        <f aca="false">IF(LEFT($D102,2)&lt;&gt;"AP",IF($I102="SIM","SIM","RECOMENDADA"),IF(INDEX(PRODUTOS!$J$4:$J$63,MATCH($A102,PRODUTOS!$B$4:$B$63,0))&lt;&gt;"","NÃO (usa o A+ do EAN "&amp;INDEX(PRODUTOS!$J$4:$J$63,MATCH($A102,PRODUTOS!$B$4:$B$63,0))&amp;")",IF(AND(INDEX(PRODUTOS!$I$4:$I$63,MATCH($A102,PRODUTOS!$B$4:$B$63,0))="B",$D102="AP07"),"NÃO (modelo B)","SIM")))</f>
        <v>NÃO (usa o A+ do EAN 7898968541535)</v>
      </c>
      <c r="K102" s="13" t="s">
        <v>325</v>
      </c>
      <c r="L102" s="13"/>
    </row>
    <row r="103" customFormat="false" ht="15" hidden="false" customHeight="false" outlineLevel="0" collapsed="false">
      <c r="A103" s="15" t="s">
        <v>75</v>
      </c>
      <c r="B103" s="11" t="str">
        <f aca="false">INDEX(PRODUTOS!$E$4:$E$63,MATCH($A103,PRODUTOS!$B$4:$B$63,0))</f>
        <v>New Dots Ração Seca Premium para Cães Adultos de Raças Pequenas - 5 kg</v>
      </c>
      <c r="C103" s="11" t="str">
        <f aca="false">INDEX(PRODUTOS!$H$4:$H$63,MATCH($A103,PRODUTOS!$B$4:$B$63,0))</f>
        <v>5 kg</v>
      </c>
      <c r="D103" s="11" t="s">
        <v>339</v>
      </c>
      <c r="E103" s="16" t="str">
        <f aca="false">$A103&amp;"."&amp;$D103&amp;".jpg"</f>
        <v>7898968541528.AP06.jpg</v>
      </c>
      <c r="F103" s="11" t="str">
        <f aca="false">IF(INDEX(PRODUTOS!$I$4:$I$63,MATCH($A103,PRODUTOS!$B$4:$B$63,0))="B",INDEX(MODELOS!$F$3:$F$19,MATCH($D103,MODELOS!$A$3:$A$19,0)),INDEX(MODELOS!$B$3:$B$19,MATCH($D103,MODELOS!$A$3:$A$19,0)))</f>
        <v>A+ · Módulo 3 · Benefício 4 de 4</v>
      </c>
      <c r="G103" s="11" t="str">
        <f aca="false">IF(INDEX(PRODUTOS!$F$4:$F$63,MATCH($A103,PRODUTOS!$B$4:$B$63,0))="Ração",IF(INDEX(PRODUTOS!$I$4:$I$63,MATCH($A103,PRODUTOS!$B$4:$B$63,0))="B",INDEX(MODELOS!$G$3:$G$19,MATCH($D103,MODELOS!$A$3:$A$19,0)),INDEX(MODELOS!$C$3:$C$19,MATCH($D103,MODELOS!$A$3:$A$19,0))),IF(INDEX(PRODUTOS!$I$4:$I$63,MATCH($A103,PRODUTOS!$B$4:$B$63,0))="B",INDEX(MODELOS!$H$3:$H$19,MATCH($D103,MODELOS!$A$3:$A$19,0)),INDEX(MODELOS!$D$3:$D$19,MATCH($D103,MODELOS!$A$3:$A$19,0))))</f>
        <v>Foto/ilustração do benefício 4</v>
      </c>
      <c r="H103" s="11" t="str">
        <f aca="false">IF(INDEX(PRODUTOS!$I$4:$I$63,MATCH($A103,PRODUTOS!$B$4:$B$63,0))="B",INDEX(MODELOS!$I$3:$I$19,MATCH($D103,MODELOS!$A$3:$A$19,0)),INDEX(MODELOS!$E$3:$E$19,MATCH($D103,MODELOS!$A$3:$A$19,0)))</f>
        <v>220 × 200</v>
      </c>
      <c r="I103" s="11" t="str">
        <f aca="false">INDEX(MODELOS!$J$3:$J$19,MATCH($D103,MODELOS!$A$3:$A$19,0))</f>
        <v>Conforme modelo</v>
      </c>
      <c r="J103" s="11" t="str">
        <f aca="false">IF(LEFT($D103,2)&lt;&gt;"AP",IF($I103="SIM","SIM","RECOMENDADA"),IF(INDEX(PRODUTOS!$J$4:$J$63,MATCH($A103,PRODUTOS!$B$4:$B$63,0))&lt;&gt;"","NÃO (usa o A+ do EAN "&amp;INDEX(PRODUTOS!$J$4:$J$63,MATCH($A103,PRODUTOS!$B$4:$B$63,0))&amp;")",IF(AND(INDEX(PRODUTOS!$I$4:$I$63,MATCH($A103,PRODUTOS!$B$4:$B$63,0))="B",$D103="AP07"),"NÃO (modelo B)","SIM")))</f>
        <v>NÃO (usa o A+ do EAN 7898968541535)</v>
      </c>
      <c r="K103" s="13" t="s">
        <v>325</v>
      </c>
      <c r="L103" s="13"/>
    </row>
    <row r="104" customFormat="false" ht="15" hidden="false" customHeight="false" outlineLevel="0" collapsed="false">
      <c r="A104" s="15" t="s">
        <v>75</v>
      </c>
      <c r="B104" s="11" t="str">
        <f aca="false">INDEX(PRODUTOS!$E$4:$E$63,MATCH($A104,PRODUTOS!$B$4:$B$63,0))</f>
        <v>New Dots Ração Seca Premium para Cães Adultos de Raças Pequenas - 5 kg</v>
      </c>
      <c r="C104" s="11" t="str">
        <f aca="false">INDEX(PRODUTOS!$H$4:$H$63,MATCH($A104,PRODUTOS!$B$4:$B$63,0))</f>
        <v>5 kg</v>
      </c>
      <c r="D104" s="11" t="s">
        <v>340</v>
      </c>
      <c r="E104" s="16" t="str">
        <f aca="false">$A104&amp;"."&amp;$D104&amp;".jpg"</f>
        <v>7898968541528.AP07.jpg</v>
      </c>
      <c r="F104" s="11" t="str">
        <f aca="false">IF(INDEX(PRODUTOS!$I$4:$I$63,MATCH($A104,PRODUTOS!$B$4:$B$63,0))="B",INDEX(MODELOS!$F$3:$F$19,MATCH($D104,MODELOS!$A$3:$A$19,0)),INDEX(MODELOS!$B$3:$B$19,MATCH($D104,MODELOS!$A$3:$A$19,0)))</f>
        <v>A+ · Módulo 4 · Especificações</v>
      </c>
      <c r="G104" s="11" t="str">
        <f aca="false">IF(INDEX(PRODUTOS!$F$4:$F$63,MATCH($A104,PRODUTOS!$B$4:$B$63,0))="Ração",IF(INDEX(PRODUTOS!$I$4:$I$63,MATCH($A104,PRODUTOS!$B$4:$B$63,0))="B",INDEX(MODELOS!$G$3:$G$19,MATCH($D104,MODELOS!$A$3:$A$19,0)),INDEX(MODELOS!$C$3:$C$19,MATCH($D104,MODELOS!$A$3:$A$19,0))),IF(INDEX(PRODUTOS!$I$4:$I$63,MATCH($A104,PRODUTOS!$B$4:$B$63,0))="B",INDEX(MODELOS!$H$3:$H$19,MATCH($D104,MODELOS!$A$3:$A$19,0)),INDEX(MODELOS!$D$3:$D$19,MATCH($D104,MODELOS!$A$3:$A$19,0))))</f>
        <v>Grão ou pacote em destaque</v>
      </c>
      <c r="H104" s="11" t="str">
        <f aca="false">IF(INDEX(PRODUTOS!$I$4:$I$63,MATCH($A104,PRODUTOS!$B$4:$B$63,0))="B",INDEX(MODELOS!$I$3:$I$19,MATCH($D104,MODELOS!$A$3:$A$19,0)),INDEX(MODELOS!$E$3:$E$19,MATCH($D104,MODELOS!$A$3:$A$19,0)))</f>
        <v>300 × 300</v>
      </c>
      <c r="I104" s="11" t="str">
        <f aca="false">INDEX(MODELOS!$J$3:$J$19,MATCH($D104,MODELOS!$A$3:$A$19,0))</f>
        <v>Conforme modelo</v>
      </c>
      <c r="J104" s="11" t="str">
        <f aca="false">IF(LEFT($D104,2)&lt;&gt;"AP",IF($I104="SIM","SIM","RECOMENDADA"),IF(INDEX(PRODUTOS!$J$4:$J$63,MATCH($A104,PRODUTOS!$B$4:$B$63,0))&lt;&gt;"","NÃO (usa o A+ do EAN "&amp;INDEX(PRODUTOS!$J$4:$J$63,MATCH($A104,PRODUTOS!$B$4:$B$63,0))&amp;")",IF(AND(INDEX(PRODUTOS!$I$4:$I$63,MATCH($A104,PRODUTOS!$B$4:$B$63,0))="B",$D104="AP07"),"NÃO (modelo B)","SIM")))</f>
        <v>NÃO (usa o A+ do EAN 7898968541535)</v>
      </c>
      <c r="K104" s="13" t="s">
        <v>325</v>
      </c>
      <c r="L104" s="13"/>
    </row>
    <row r="105" customFormat="false" ht="15" hidden="false" customHeight="false" outlineLevel="0" collapsed="false">
      <c r="A105" s="15" t="s">
        <v>75</v>
      </c>
      <c r="B105" s="11" t="str">
        <f aca="false">INDEX(PRODUTOS!$E$4:$E$63,MATCH($A105,PRODUTOS!$B$4:$B$63,0))</f>
        <v>New Dots Ração Seca Premium para Cães Adultos de Raças Pequenas - 5 kg</v>
      </c>
      <c r="C105" s="11" t="str">
        <f aca="false">INDEX(PRODUTOS!$H$4:$H$63,MATCH($A105,PRODUTOS!$B$4:$B$63,0))</f>
        <v>5 kg</v>
      </c>
      <c r="D105" s="11" t="s">
        <v>341</v>
      </c>
      <c r="E105" s="16" t="str">
        <f aca="false">$A105&amp;"."&amp;$D105&amp;".jpg"</f>
        <v>7898968541528.COMP.jpg</v>
      </c>
      <c r="F105" s="11" t="str">
        <f aca="false">IF(INDEX(PRODUTOS!$I$4:$I$63,MATCH($A105,PRODUTOS!$B$4:$B$63,0))="B",INDEX(MODELOS!$F$3:$F$19,MATCH($D105,MODELOS!$A$3:$A$19,0)),INDEX(MODELOS!$B$3:$B$19,MATCH($D105,MODELOS!$A$3:$A$19,0)))</f>
        <v>A+ · Tabela comparativa</v>
      </c>
      <c r="G105" s="11" t="str">
        <f aca="false">IF(INDEX(PRODUTOS!$F$4:$F$63,MATCH($A105,PRODUTOS!$B$4:$B$63,0))="Ração",IF(INDEX(PRODUTOS!$I$4:$I$63,MATCH($A105,PRODUTOS!$B$4:$B$63,0))="B",INDEX(MODELOS!$G$3:$G$19,MATCH($D105,MODELOS!$A$3:$A$19,0)),INDEX(MODELOS!$C$3:$C$19,MATCH($D105,MODELOS!$A$3:$A$19,0))),IF(INDEX(PRODUTOS!$I$4:$I$63,MATCH($A105,PRODUTOS!$B$4:$B$63,0))="B",INDEX(MODELOS!$H$3:$H$19,MATCH($D105,MODELOS!$A$3:$A$19,0)),INDEX(MODELOS!$D$3:$D$19,MATCH($D105,MODELOS!$A$3:$A$19,0))))</f>
        <v>Pacote na vertical, sem fundo colorido</v>
      </c>
      <c r="H105" s="11" t="str">
        <f aca="false">IF(INDEX(PRODUTOS!$I$4:$I$63,MATCH($A105,PRODUTOS!$B$4:$B$63,0))="B",INDEX(MODELOS!$I$3:$I$19,MATCH($D105,MODELOS!$A$3:$A$19,0)),INDEX(MODELOS!$E$3:$E$19,MATCH($D105,MODELOS!$A$3:$A$19,0)))</f>
        <v>150 × 300</v>
      </c>
      <c r="I105" s="11" t="str">
        <f aca="false">INDEX(MODELOS!$J$3:$J$19,MATCH($D105,MODELOS!$A$3:$A$19,0))</f>
        <v>SIM</v>
      </c>
      <c r="J105" s="11" t="str">
        <f aca="false">IF(LEFT($D105,2)&lt;&gt;"AP",IF($I105="SIM","SIM","RECOMENDADA"),IF(INDEX(PRODUTOS!$J$4:$J$63,MATCH($A105,PRODUTOS!$B$4:$B$63,0))&lt;&gt;"","NÃO (usa o A+ do EAN "&amp;INDEX(PRODUTOS!$J$4:$J$63,MATCH($A105,PRODUTOS!$B$4:$B$63,0))&amp;")",IF(AND(INDEX(PRODUTOS!$I$4:$I$63,MATCH($A105,PRODUTOS!$B$4:$B$63,0))="B",$D105="AP07"),"NÃO (modelo B)","SIM")))</f>
        <v>SIM</v>
      </c>
      <c r="K105" s="13" t="s">
        <v>325</v>
      </c>
      <c r="L105" s="13"/>
    </row>
    <row r="106" customFormat="false" ht="15" hidden="false" customHeight="false" outlineLevel="0" collapsed="false">
      <c r="A106" s="15" t="s">
        <v>78</v>
      </c>
      <c r="B106" s="11" t="str">
        <f aca="false">INDEX(PRODUTOS!$E$4:$E$63,MATCH($A106,PRODUTOS!$B$4:$B$63,0))</f>
        <v>New Dots Ração Seca Premium para Cães Adultos de Raças Pequenas - 1 kg</v>
      </c>
      <c r="C106" s="11" t="str">
        <f aca="false">INDEX(PRODUTOS!$H$4:$H$63,MATCH($A106,PRODUTOS!$B$4:$B$63,0))</f>
        <v>1 kg</v>
      </c>
      <c r="D106" s="11" t="s">
        <v>324</v>
      </c>
      <c r="E106" s="16" t="str">
        <f aca="false">$A106&amp;"."&amp;$D106&amp;".jpg"</f>
        <v>7898968541511.MAIN.jpg</v>
      </c>
      <c r="F106" s="11" t="str">
        <f aca="false">IF(INDEX(PRODUTOS!$I$4:$I$63,MATCH($A106,PRODUTOS!$B$4:$B$63,0))="B",INDEX(MODELOS!$F$3:$F$19,MATCH($D106,MODELOS!$A$3:$A$19,0)),INDEX(MODELOS!$B$3:$B$19,MATCH($D106,MODELOS!$A$3:$A$19,0)))</f>
        <v>Capa (posição 1)</v>
      </c>
      <c r="G106" s="11" t="str">
        <f aca="false">IF(INDEX(PRODUTOS!$F$4:$F$63,MATCH($A106,PRODUTOS!$B$4:$B$63,0))="Ração",IF(INDEX(PRODUTOS!$I$4:$I$63,MATCH($A106,PRODUTOS!$B$4:$B$63,0))="B",INDEX(MODELOS!$G$3:$G$19,MATCH($D106,MODELOS!$A$3:$A$19,0)),INDEX(MODELOS!$C$3:$C$19,MATCH($D106,MODELOS!$A$3:$A$19,0))),IF(INDEX(PRODUTOS!$I$4:$I$63,MATCH($A106,PRODUTOS!$B$4:$B$63,0))="B",INDEX(MODELOS!$H$3:$H$19,MATCH($D106,MODELOS!$A$3:$A$19,0)),INDEX(MODELOS!$D$3:$D$19,MATCH($D106,MODELOS!$A$3:$A$19,0))))</f>
        <v>Embalagem de frente, fundo branco puro, 85% da área, nada adicionado</v>
      </c>
      <c r="H106" s="11" t="str">
        <f aca="false">IF(INDEX(PRODUTOS!$I$4:$I$63,MATCH($A106,PRODUTOS!$B$4:$B$63,0))="B",INDEX(MODELOS!$I$3:$I$19,MATCH($D106,MODELOS!$A$3:$A$19,0)),INDEX(MODELOS!$E$3:$E$19,MATCH($D106,MODELOS!$A$3:$A$19,0)))</f>
        <v>2000 × 2000</v>
      </c>
      <c r="I106" s="11" t="str">
        <f aca="false">INDEX(MODELOS!$J$3:$J$19,MATCH($D106,MODELOS!$A$3:$A$19,0))</f>
        <v>SIM</v>
      </c>
      <c r="J106" s="11" t="str">
        <f aca="false">IF(LEFT($D106,2)&lt;&gt;"AP",IF($I106="SIM","SIM","RECOMENDADA"),IF(INDEX(PRODUTOS!$J$4:$J$63,MATCH($A106,PRODUTOS!$B$4:$B$63,0))&lt;&gt;"","NÃO (usa o A+ do EAN "&amp;INDEX(PRODUTOS!$J$4:$J$63,MATCH($A106,PRODUTOS!$B$4:$B$63,0))&amp;")",IF(AND(INDEX(PRODUTOS!$I$4:$I$63,MATCH($A106,PRODUTOS!$B$4:$B$63,0))="B",$D106="AP07"),"NÃO (modelo B)","SIM")))</f>
        <v>SIM</v>
      </c>
      <c r="K106" s="13" t="s">
        <v>325</v>
      </c>
      <c r="L106" s="13"/>
    </row>
    <row r="107" customFormat="false" ht="15" hidden="false" customHeight="false" outlineLevel="0" collapsed="false">
      <c r="A107" s="15" t="s">
        <v>78</v>
      </c>
      <c r="B107" s="11" t="str">
        <f aca="false">INDEX(PRODUTOS!$E$4:$E$63,MATCH($A107,PRODUTOS!$B$4:$B$63,0))</f>
        <v>New Dots Ração Seca Premium para Cães Adultos de Raças Pequenas - 1 kg</v>
      </c>
      <c r="C107" s="11" t="str">
        <f aca="false">INDEX(PRODUTOS!$H$4:$H$63,MATCH($A107,PRODUTOS!$B$4:$B$63,0))</f>
        <v>1 kg</v>
      </c>
      <c r="D107" s="11" t="s">
        <v>326</v>
      </c>
      <c r="E107" s="16" t="str">
        <f aca="false">$A107&amp;"."&amp;$D107&amp;".jpg"</f>
        <v>7898968541511.PT01.jpg</v>
      </c>
      <c r="F107" s="11" t="str">
        <f aca="false">IF(INDEX(PRODUTOS!$I$4:$I$63,MATCH($A107,PRODUTOS!$B$4:$B$63,0))="B",INDEX(MODELOS!$F$3:$F$19,MATCH($D107,MODELOS!$A$3:$A$19,0)),INDEX(MODELOS!$B$3:$B$19,MATCH($D107,MODELOS!$A$3:$A$19,0)))</f>
        <v>Galeria · posição 2</v>
      </c>
      <c r="G107" s="11" t="str">
        <f aca="false">IF(INDEX(PRODUTOS!$F$4:$F$63,MATCH($A107,PRODUTOS!$B$4:$B$63,0))="Ração",IF(INDEX(PRODUTOS!$I$4:$I$63,MATCH($A107,PRODUTOS!$B$4:$B$63,0))="B",INDEX(MODELOS!$G$3:$G$19,MATCH($D107,MODELOS!$A$3:$A$19,0)),INDEX(MODELOS!$C$3:$C$19,MATCH($D107,MODELOS!$A$3:$A$19,0))),IF(INDEX(PRODUTOS!$I$4:$I$63,MATCH($A107,PRODUTOS!$B$4:$B$63,0))="B",INDEX(MODELOS!$H$3:$H$19,MATCH($D107,MODELOS!$A$3:$A$19,0)),INDEX(MODELOS!$D$3:$D$19,MATCH($D107,MODELOS!$A$3:$A$19,0))))</f>
        <v>Grande diferencial da linha (número ou promessa forte + grão e ingrediente)</v>
      </c>
      <c r="H107" s="11" t="str">
        <f aca="false">IF(INDEX(PRODUTOS!$I$4:$I$63,MATCH($A107,PRODUTOS!$B$4:$B$63,0))="B",INDEX(MODELOS!$I$3:$I$19,MATCH($D107,MODELOS!$A$3:$A$19,0)),INDEX(MODELOS!$E$3:$E$19,MATCH($D107,MODELOS!$A$3:$A$19,0)))</f>
        <v>2000 × 2000</v>
      </c>
      <c r="I107" s="11" t="str">
        <f aca="false">INDEX(MODELOS!$J$3:$J$19,MATCH($D107,MODELOS!$A$3:$A$19,0))</f>
        <v>SIM</v>
      </c>
      <c r="J107" s="11" t="str">
        <f aca="false">IF(LEFT($D107,2)&lt;&gt;"AP",IF($I107="SIM","SIM","RECOMENDADA"),IF(INDEX(PRODUTOS!$J$4:$J$63,MATCH($A107,PRODUTOS!$B$4:$B$63,0))&lt;&gt;"","NÃO (usa o A+ do EAN "&amp;INDEX(PRODUTOS!$J$4:$J$63,MATCH($A107,PRODUTOS!$B$4:$B$63,0))&amp;")",IF(AND(INDEX(PRODUTOS!$I$4:$I$63,MATCH($A107,PRODUTOS!$B$4:$B$63,0))="B",$D107="AP07"),"NÃO (modelo B)","SIM")))</f>
        <v>SIM</v>
      </c>
      <c r="K107" s="13" t="s">
        <v>325</v>
      </c>
      <c r="L107" s="13"/>
    </row>
    <row r="108" customFormat="false" ht="15" hidden="false" customHeight="false" outlineLevel="0" collapsed="false">
      <c r="A108" s="15" t="s">
        <v>78</v>
      </c>
      <c r="B108" s="11" t="str">
        <f aca="false">INDEX(PRODUTOS!$E$4:$E$63,MATCH($A108,PRODUTOS!$B$4:$B$63,0))</f>
        <v>New Dots Ração Seca Premium para Cães Adultos de Raças Pequenas - 1 kg</v>
      </c>
      <c r="C108" s="11" t="str">
        <f aca="false">INDEX(PRODUTOS!$H$4:$H$63,MATCH($A108,PRODUTOS!$B$4:$B$63,0))</f>
        <v>1 kg</v>
      </c>
      <c r="D108" s="11" t="s">
        <v>327</v>
      </c>
      <c r="E108" s="16" t="str">
        <f aca="false">$A108&amp;"."&amp;$D108&amp;".jpg"</f>
        <v>7898968541511.PT02.jpg</v>
      </c>
      <c r="F108" s="11" t="str">
        <f aca="false">IF(INDEX(PRODUTOS!$I$4:$I$63,MATCH($A108,PRODUTOS!$B$4:$B$63,0))="B",INDEX(MODELOS!$F$3:$F$19,MATCH($D108,MODELOS!$A$3:$A$19,0)),INDEX(MODELOS!$B$3:$B$19,MATCH($D108,MODELOS!$A$3:$A$19,0)))</f>
        <v>Galeria · posição 3</v>
      </c>
      <c r="G108" s="11" t="str">
        <f aca="false">IF(INDEX(PRODUTOS!$F$4:$F$63,MATCH($A108,PRODUTOS!$B$4:$B$63,0))="Ração",IF(INDEX(PRODUTOS!$I$4:$I$63,MATCH($A108,PRODUTOS!$B$4:$B$63,0))="B",INDEX(MODELOS!$G$3:$G$19,MATCH($D108,MODELOS!$A$3:$A$19,0)),INDEX(MODELOS!$C$3:$C$19,MATCH($D108,MODELOS!$A$3:$A$19,0))),IF(INDEX(PRODUTOS!$I$4:$I$63,MATCH($A108,PRODUTOS!$B$4:$B$63,0))="B",INDEX(MODELOS!$H$3:$H$19,MATCH($D108,MODELOS!$A$3:$A$19,0)),INDEX(MODELOS!$D$3:$D$19,MATCH($D108,MODELOS!$A$3:$A$19,0))))</f>
        <v>Benefícios com ícones (4 a 6, impressos na embalagem) + ingrediente</v>
      </c>
      <c r="H108" s="11" t="str">
        <f aca="false">IF(INDEX(PRODUTOS!$I$4:$I$63,MATCH($A108,PRODUTOS!$B$4:$B$63,0))="B",INDEX(MODELOS!$I$3:$I$19,MATCH($D108,MODELOS!$A$3:$A$19,0)),INDEX(MODELOS!$E$3:$E$19,MATCH($D108,MODELOS!$A$3:$A$19,0)))</f>
        <v>2000 × 2000</v>
      </c>
      <c r="I108" s="11" t="str">
        <f aca="false">INDEX(MODELOS!$J$3:$J$19,MATCH($D108,MODELOS!$A$3:$A$19,0))</f>
        <v>SIM</v>
      </c>
      <c r="J108" s="11" t="str">
        <f aca="false">IF(LEFT($D108,2)&lt;&gt;"AP",IF($I108="SIM","SIM","RECOMENDADA"),IF(INDEX(PRODUTOS!$J$4:$J$63,MATCH($A108,PRODUTOS!$B$4:$B$63,0))&lt;&gt;"","NÃO (usa o A+ do EAN "&amp;INDEX(PRODUTOS!$J$4:$J$63,MATCH($A108,PRODUTOS!$B$4:$B$63,0))&amp;")",IF(AND(INDEX(PRODUTOS!$I$4:$I$63,MATCH($A108,PRODUTOS!$B$4:$B$63,0))="B",$D108="AP07"),"NÃO (modelo B)","SIM")))</f>
        <v>SIM</v>
      </c>
      <c r="K108" s="13" t="s">
        <v>325</v>
      </c>
      <c r="L108" s="13"/>
    </row>
    <row r="109" customFormat="false" ht="15" hidden="false" customHeight="false" outlineLevel="0" collapsed="false">
      <c r="A109" s="15" t="s">
        <v>78</v>
      </c>
      <c r="B109" s="11" t="str">
        <f aca="false">INDEX(PRODUTOS!$E$4:$E$63,MATCH($A109,PRODUTOS!$B$4:$B$63,0))</f>
        <v>New Dots Ração Seca Premium para Cães Adultos de Raças Pequenas - 1 kg</v>
      </c>
      <c r="C109" s="11" t="str">
        <f aca="false">INDEX(PRODUTOS!$H$4:$H$63,MATCH($A109,PRODUTOS!$B$4:$B$63,0))</f>
        <v>1 kg</v>
      </c>
      <c r="D109" s="11" t="s">
        <v>328</v>
      </c>
      <c r="E109" s="16" t="str">
        <f aca="false">$A109&amp;"."&amp;$D109&amp;".jpg"</f>
        <v>7898968541511.PT03.jpg</v>
      </c>
      <c r="F109" s="11" t="str">
        <f aca="false">IF(INDEX(PRODUTOS!$I$4:$I$63,MATCH($A109,PRODUTOS!$B$4:$B$63,0))="B",INDEX(MODELOS!$F$3:$F$19,MATCH($D109,MODELOS!$A$3:$A$19,0)),INDEX(MODELOS!$B$3:$B$19,MATCH($D109,MODELOS!$A$3:$A$19,0)))</f>
        <v>Galeria · posição 4</v>
      </c>
      <c r="G109" s="11" t="str">
        <f aca="false">IF(INDEX(PRODUTOS!$F$4:$F$63,MATCH($A109,PRODUTOS!$B$4:$B$63,0))="Ração",IF(INDEX(PRODUTOS!$I$4:$I$63,MATCH($A109,PRODUTOS!$B$4:$B$63,0))="B",INDEX(MODELOS!$G$3:$G$19,MATCH($D109,MODELOS!$A$3:$A$19,0)),INDEX(MODELOS!$C$3:$C$19,MATCH($D109,MODELOS!$A$3:$A$19,0))),IF(INDEX(PRODUTOS!$I$4:$I$63,MATCH($A109,PRODUTOS!$B$4:$B$63,0))="B",INDEX(MODELOS!$H$3:$H$19,MATCH($D109,MODELOS!$A$3:$A$19,0)),INDEX(MODELOS!$D$3:$D$19,MATCH($D109,MODELOS!$A$3:$A$19,0))))</f>
        <v>Formato e tamanho do grão, com medida em mm e referência de tamanho</v>
      </c>
      <c r="H109" s="11" t="str">
        <f aca="false">IF(INDEX(PRODUTOS!$I$4:$I$63,MATCH($A109,PRODUTOS!$B$4:$B$63,0))="B",INDEX(MODELOS!$I$3:$I$19,MATCH($D109,MODELOS!$A$3:$A$19,0)),INDEX(MODELOS!$E$3:$E$19,MATCH($D109,MODELOS!$A$3:$A$19,0)))</f>
        <v>2000 × 2000</v>
      </c>
      <c r="I109" s="11" t="str">
        <f aca="false">INDEX(MODELOS!$J$3:$J$19,MATCH($D109,MODELOS!$A$3:$A$19,0))</f>
        <v>SIM</v>
      </c>
      <c r="J109" s="11" t="str">
        <f aca="false">IF(LEFT($D109,2)&lt;&gt;"AP",IF($I109="SIM","SIM","RECOMENDADA"),IF(INDEX(PRODUTOS!$J$4:$J$63,MATCH($A109,PRODUTOS!$B$4:$B$63,0))&lt;&gt;"","NÃO (usa o A+ do EAN "&amp;INDEX(PRODUTOS!$J$4:$J$63,MATCH($A109,PRODUTOS!$B$4:$B$63,0))&amp;")",IF(AND(INDEX(PRODUTOS!$I$4:$I$63,MATCH($A109,PRODUTOS!$B$4:$B$63,0))="B",$D109="AP07"),"NÃO (modelo B)","SIM")))</f>
        <v>SIM</v>
      </c>
      <c r="K109" s="13" t="s">
        <v>325</v>
      </c>
      <c r="L109" s="13"/>
    </row>
    <row r="110" customFormat="false" ht="15" hidden="false" customHeight="false" outlineLevel="0" collapsed="false">
      <c r="A110" s="15" t="s">
        <v>78</v>
      </c>
      <c r="B110" s="11" t="str">
        <f aca="false">INDEX(PRODUTOS!$E$4:$E$63,MATCH($A110,PRODUTOS!$B$4:$B$63,0))</f>
        <v>New Dots Ração Seca Premium para Cães Adultos de Raças Pequenas - 1 kg</v>
      </c>
      <c r="C110" s="11" t="str">
        <f aca="false">INDEX(PRODUTOS!$H$4:$H$63,MATCH($A110,PRODUTOS!$B$4:$B$63,0))</f>
        <v>1 kg</v>
      </c>
      <c r="D110" s="11" t="s">
        <v>329</v>
      </c>
      <c r="E110" s="16" t="str">
        <f aca="false">$A110&amp;"."&amp;$D110&amp;".jpg"</f>
        <v>7898968541511.PT04.jpg</v>
      </c>
      <c r="F110" s="11" t="str">
        <f aca="false">IF(INDEX(PRODUTOS!$I$4:$I$63,MATCH($A110,PRODUTOS!$B$4:$B$63,0))="B",INDEX(MODELOS!$F$3:$F$19,MATCH($D110,MODELOS!$A$3:$A$19,0)),INDEX(MODELOS!$B$3:$B$19,MATCH($D110,MODELOS!$A$3:$A$19,0)))</f>
        <v>Galeria · posição 5</v>
      </c>
      <c r="G110" s="11" t="str">
        <f aca="false">IF(INDEX(PRODUTOS!$F$4:$F$63,MATCH($A110,PRODUTOS!$B$4:$B$63,0))="Ração",IF(INDEX(PRODUTOS!$I$4:$I$63,MATCH($A110,PRODUTOS!$B$4:$B$63,0))="B",INDEX(MODELOS!$G$3:$G$19,MATCH($D110,MODELOS!$A$3:$A$19,0)),INDEX(MODELOS!$C$3:$C$19,MATCH($D110,MODELOS!$A$3:$A$19,0))),IF(INDEX(PRODUTOS!$I$4:$I$63,MATCH($A110,PRODUTOS!$B$4:$B$63,0))="B",INDEX(MODELOS!$H$3:$H$19,MATCH($D110,MODELOS!$A$3:$A$19,0)),INDEX(MODELOS!$D$3:$D$19,MATCH($D110,MODELOS!$A$3:$A$19,0))))</f>
        <v>Quantidade diária por peso do cão/gato (números idênticos à embalagem)</v>
      </c>
      <c r="H110" s="11" t="str">
        <f aca="false">IF(INDEX(PRODUTOS!$I$4:$I$63,MATCH($A110,PRODUTOS!$B$4:$B$63,0))="B",INDEX(MODELOS!$I$3:$I$19,MATCH($D110,MODELOS!$A$3:$A$19,0)),INDEX(MODELOS!$E$3:$E$19,MATCH($D110,MODELOS!$A$3:$A$19,0)))</f>
        <v>2000 × 2000</v>
      </c>
      <c r="I110" s="11" t="str">
        <f aca="false">INDEX(MODELOS!$J$3:$J$19,MATCH($D110,MODELOS!$A$3:$A$19,0))</f>
        <v>SIM</v>
      </c>
      <c r="J110" s="11" t="str">
        <f aca="false">IF(LEFT($D110,2)&lt;&gt;"AP",IF($I110="SIM","SIM","RECOMENDADA"),IF(INDEX(PRODUTOS!$J$4:$J$63,MATCH($A110,PRODUTOS!$B$4:$B$63,0))&lt;&gt;"","NÃO (usa o A+ do EAN "&amp;INDEX(PRODUTOS!$J$4:$J$63,MATCH($A110,PRODUTOS!$B$4:$B$63,0))&amp;")",IF(AND(INDEX(PRODUTOS!$I$4:$I$63,MATCH($A110,PRODUTOS!$B$4:$B$63,0))="B",$D110="AP07"),"NÃO (modelo B)","SIM")))</f>
        <v>SIM</v>
      </c>
      <c r="K110" s="13" t="s">
        <v>325</v>
      </c>
      <c r="L110" s="13"/>
    </row>
    <row r="111" customFormat="false" ht="15" hidden="false" customHeight="false" outlineLevel="0" collapsed="false">
      <c r="A111" s="15" t="s">
        <v>78</v>
      </c>
      <c r="B111" s="11" t="str">
        <f aca="false">INDEX(PRODUTOS!$E$4:$E$63,MATCH($A111,PRODUTOS!$B$4:$B$63,0))</f>
        <v>New Dots Ração Seca Premium para Cães Adultos de Raças Pequenas - 1 kg</v>
      </c>
      <c r="C111" s="11" t="str">
        <f aca="false">INDEX(PRODUTOS!$H$4:$H$63,MATCH($A111,PRODUTOS!$B$4:$B$63,0))</f>
        <v>1 kg</v>
      </c>
      <c r="D111" s="11" t="s">
        <v>330</v>
      </c>
      <c r="E111" s="16" t="str">
        <f aca="false">$A111&amp;"."&amp;$D111&amp;".jpg"</f>
        <v>7898968541511.PT05.jpg</v>
      </c>
      <c r="F111" s="11" t="str">
        <f aca="false">IF(INDEX(PRODUTOS!$I$4:$I$63,MATCH($A111,PRODUTOS!$B$4:$B$63,0))="B",INDEX(MODELOS!$F$3:$F$19,MATCH($D111,MODELOS!$A$3:$A$19,0)),INDEX(MODELOS!$B$3:$B$19,MATCH($D111,MODELOS!$A$3:$A$19,0)))</f>
        <v>Galeria · posição 6</v>
      </c>
      <c r="G111" s="11" t="str">
        <f aca="false">IF(INDEX(PRODUTOS!$F$4:$F$63,MATCH($A111,PRODUTOS!$B$4:$B$63,0))="Ração",IF(INDEX(PRODUTOS!$I$4:$I$63,MATCH($A111,PRODUTOS!$B$4:$B$63,0))="B",INDEX(MODELOS!$G$3:$G$19,MATCH($D111,MODELOS!$A$3:$A$19,0)),INDEX(MODELOS!$C$3:$C$19,MATCH($D111,MODELOS!$A$3:$A$19,0))),IF(INDEX(PRODUTOS!$I$4:$I$63,MATCH($A111,PRODUTOS!$B$4:$B$63,0))="B",INDEX(MODELOS!$H$3:$H$19,MATCH($D111,MODELOS!$A$3:$A$19,0)),INDEX(MODELOS!$D$3:$D$19,MATCH($D111,MODELOS!$A$3:$A$19,0))))</f>
        <v>Transição alimentar dia a dia (igual ao verso da embalagem)</v>
      </c>
      <c r="H111" s="11" t="str">
        <f aca="false">IF(INDEX(PRODUTOS!$I$4:$I$63,MATCH($A111,PRODUTOS!$B$4:$B$63,0))="B",INDEX(MODELOS!$I$3:$I$19,MATCH($D111,MODELOS!$A$3:$A$19,0)),INDEX(MODELOS!$E$3:$E$19,MATCH($D111,MODELOS!$A$3:$A$19,0)))</f>
        <v>2000 × 2000</v>
      </c>
      <c r="I111" s="11" t="str">
        <f aca="false">INDEX(MODELOS!$J$3:$J$19,MATCH($D111,MODELOS!$A$3:$A$19,0))</f>
        <v>Recomendada</v>
      </c>
      <c r="J111" s="11" t="str">
        <f aca="false">IF(LEFT($D111,2)&lt;&gt;"AP",IF($I111="SIM","SIM","RECOMENDADA"),IF(INDEX(PRODUTOS!$J$4:$J$63,MATCH($A111,PRODUTOS!$B$4:$B$63,0))&lt;&gt;"","NÃO (usa o A+ do EAN "&amp;INDEX(PRODUTOS!$J$4:$J$63,MATCH($A111,PRODUTOS!$B$4:$B$63,0))&amp;")",IF(AND(INDEX(PRODUTOS!$I$4:$I$63,MATCH($A111,PRODUTOS!$B$4:$B$63,0))="B",$D111="AP07"),"NÃO (modelo B)","SIM")))</f>
        <v>RECOMENDADA</v>
      </c>
      <c r="K111" s="13" t="s">
        <v>325</v>
      </c>
      <c r="L111" s="13"/>
    </row>
    <row r="112" customFormat="false" ht="15" hidden="false" customHeight="false" outlineLevel="0" collapsed="false">
      <c r="A112" s="15" t="s">
        <v>78</v>
      </c>
      <c r="B112" s="11" t="str">
        <f aca="false">INDEX(PRODUTOS!$E$4:$E$63,MATCH($A112,PRODUTOS!$B$4:$B$63,0))</f>
        <v>New Dots Ração Seca Premium para Cães Adultos de Raças Pequenas - 1 kg</v>
      </c>
      <c r="C112" s="11" t="str">
        <f aca="false">INDEX(PRODUTOS!$H$4:$H$63,MATCH($A112,PRODUTOS!$B$4:$B$63,0))</f>
        <v>1 kg</v>
      </c>
      <c r="D112" s="11" t="s">
        <v>331</v>
      </c>
      <c r="E112" s="16" t="str">
        <f aca="false">$A112&amp;"."&amp;$D112&amp;".jpg"</f>
        <v>7898968541511.PT06.jpg</v>
      </c>
      <c r="F112" s="11" t="str">
        <f aca="false">IF(INDEX(PRODUTOS!$I$4:$I$63,MATCH($A112,PRODUTOS!$B$4:$B$63,0))="B",INDEX(MODELOS!$F$3:$F$19,MATCH($D112,MODELOS!$A$3:$A$19,0)),INDEX(MODELOS!$B$3:$B$19,MATCH($D112,MODELOS!$A$3:$A$19,0)))</f>
        <v>Galeria · posição 7</v>
      </c>
      <c r="G112" s="11" t="str">
        <f aca="false">IF(INDEX(PRODUTOS!$F$4:$F$63,MATCH($A112,PRODUTOS!$B$4:$B$63,0))="Ração",IF(INDEX(PRODUTOS!$I$4:$I$63,MATCH($A112,PRODUTOS!$B$4:$B$63,0))="B",INDEX(MODELOS!$G$3:$G$19,MATCH($D112,MODELOS!$A$3:$A$19,0)),INDEX(MODELOS!$C$3:$C$19,MATCH($D112,MODELOS!$A$3:$A$19,0))),IF(INDEX(PRODUTOS!$I$4:$I$63,MATCH($A112,PRODUTOS!$B$4:$B$63,0))="B",INDEX(MODELOS!$H$3:$H$19,MATCH($D112,MODELOS!$A$3:$A$19,0)),INDEX(MODELOS!$D$3:$D$19,MATCH($D112,MODELOS!$A$3:$A$19,0))))</f>
        <v>Composição e níveis de garantia em letra grande</v>
      </c>
      <c r="H112" s="11" t="str">
        <f aca="false">IF(INDEX(PRODUTOS!$I$4:$I$63,MATCH($A112,PRODUTOS!$B$4:$B$63,0))="B",INDEX(MODELOS!$I$3:$I$19,MATCH($D112,MODELOS!$A$3:$A$19,0)),INDEX(MODELOS!$E$3:$E$19,MATCH($D112,MODELOS!$A$3:$A$19,0)))</f>
        <v>2000 × 2000</v>
      </c>
      <c r="I112" s="11" t="str">
        <f aca="false">INDEX(MODELOS!$J$3:$J$19,MATCH($D112,MODELOS!$A$3:$A$19,0))</f>
        <v>SIM</v>
      </c>
      <c r="J112" s="11" t="str">
        <f aca="false">IF(LEFT($D112,2)&lt;&gt;"AP",IF($I112="SIM","SIM","RECOMENDADA"),IF(INDEX(PRODUTOS!$J$4:$J$63,MATCH($A112,PRODUTOS!$B$4:$B$63,0))&lt;&gt;"","NÃO (usa o A+ do EAN "&amp;INDEX(PRODUTOS!$J$4:$J$63,MATCH($A112,PRODUTOS!$B$4:$B$63,0))&amp;")",IF(AND(INDEX(PRODUTOS!$I$4:$I$63,MATCH($A112,PRODUTOS!$B$4:$B$63,0))="B",$D112="AP07"),"NÃO (modelo B)","SIM")))</f>
        <v>SIM</v>
      </c>
      <c r="K112" s="13" t="s">
        <v>325</v>
      </c>
      <c r="L112" s="13"/>
    </row>
    <row r="113" customFormat="false" ht="15" hidden="false" customHeight="false" outlineLevel="0" collapsed="false">
      <c r="A113" s="15" t="s">
        <v>78</v>
      </c>
      <c r="B113" s="11" t="str">
        <f aca="false">INDEX(PRODUTOS!$E$4:$E$63,MATCH($A113,PRODUTOS!$B$4:$B$63,0))</f>
        <v>New Dots Ração Seca Premium para Cães Adultos de Raças Pequenas - 1 kg</v>
      </c>
      <c r="C113" s="11" t="str">
        <f aca="false">INDEX(PRODUTOS!$H$4:$H$63,MATCH($A113,PRODUTOS!$B$4:$B$63,0))</f>
        <v>1 kg</v>
      </c>
      <c r="D113" s="11" t="s">
        <v>332</v>
      </c>
      <c r="E113" s="16" t="str">
        <f aca="false">$A113&amp;"."&amp;$D113&amp;".jpg"</f>
        <v>7898968541511.PT07.jpg</v>
      </c>
      <c r="F113" s="11" t="str">
        <f aca="false">IF(INDEX(PRODUTOS!$I$4:$I$63,MATCH($A113,PRODUTOS!$B$4:$B$63,0))="B",INDEX(MODELOS!$F$3:$F$19,MATCH($D113,MODELOS!$A$3:$A$19,0)),INDEX(MODELOS!$B$3:$B$19,MATCH($D113,MODELOS!$A$3:$A$19,0)))</f>
        <v>Galeria · posição 8</v>
      </c>
      <c r="G113" s="11" t="str">
        <f aca="false">IF(INDEX(PRODUTOS!$F$4:$F$63,MATCH($A113,PRODUTOS!$B$4:$B$63,0))="Ração",IF(INDEX(PRODUTOS!$I$4:$I$63,MATCH($A113,PRODUTOS!$B$4:$B$63,0))="B",INDEX(MODELOS!$G$3:$G$19,MATCH($D113,MODELOS!$A$3:$A$19,0)),INDEX(MODELOS!$C$3:$C$19,MATCH($D113,MODELOS!$A$3:$A$19,0))),IF(INDEX(PRODUTOS!$I$4:$I$63,MATCH($A113,PRODUTOS!$B$4:$B$63,0))="B",INDEX(MODELOS!$H$3:$H$19,MATCH($D113,MODELOS!$A$3:$A$19,0)),INDEX(MODELOS!$D$3:$D$19,MATCH($D113,MODELOS!$A$3:$A$19,0))))</f>
        <v>Emocional / momento de uso (pet do porte certo, pote cheio)</v>
      </c>
      <c r="H113" s="11" t="str">
        <f aca="false">IF(INDEX(PRODUTOS!$I$4:$I$63,MATCH($A113,PRODUTOS!$B$4:$B$63,0))="B",INDEX(MODELOS!$I$3:$I$19,MATCH($D113,MODELOS!$A$3:$A$19,0)),INDEX(MODELOS!$E$3:$E$19,MATCH($D113,MODELOS!$A$3:$A$19,0)))</f>
        <v>2000 × 2000</v>
      </c>
      <c r="I113" s="11" t="str">
        <f aca="false">INDEX(MODELOS!$J$3:$J$19,MATCH($D113,MODELOS!$A$3:$A$19,0))</f>
        <v>Recomendada</v>
      </c>
      <c r="J113" s="11" t="str">
        <f aca="false">IF(LEFT($D113,2)&lt;&gt;"AP",IF($I113="SIM","SIM","RECOMENDADA"),IF(INDEX(PRODUTOS!$J$4:$J$63,MATCH($A113,PRODUTOS!$B$4:$B$63,0))&lt;&gt;"","NÃO (usa o A+ do EAN "&amp;INDEX(PRODUTOS!$J$4:$J$63,MATCH($A113,PRODUTOS!$B$4:$B$63,0))&amp;")",IF(AND(INDEX(PRODUTOS!$I$4:$I$63,MATCH($A113,PRODUTOS!$B$4:$B$63,0))="B",$D113="AP07"),"NÃO (modelo B)","SIM")))</f>
        <v>RECOMENDADA</v>
      </c>
      <c r="K113" s="13" t="s">
        <v>325</v>
      </c>
      <c r="L113" s="13"/>
    </row>
    <row r="114" customFormat="false" ht="15" hidden="false" customHeight="false" outlineLevel="0" collapsed="false">
      <c r="A114" s="15" t="s">
        <v>78</v>
      </c>
      <c r="B114" s="11" t="str">
        <f aca="false">INDEX(PRODUTOS!$E$4:$E$63,MATCH($A114,PRODUTOS!$B$4:$B$63,0))</f>
        <v>New Dots Ração Seca Premium para Cães Adultos de Raças Pequenas - 1 kg</v>
      </c>
      <c r="C114" s="11" t="str">
        <f aca="false">INDEX(PRODUTOS!$H$4:$H$63,MATCH($A114,PRODUTOS!$B$4:$B$63,0))</f>
        <v>1 kg</v>
      </c>
      <c r="D114" s="11" t="s">
        <v>333</v>
      </c>
      <c r="E114" s="16" t="str">
        <f aca="false">$A114&amp;"."&amp;$D114&amp;".jpg"</f>
        <v>7898968541511.PT08.jpg</v>
      </c>
      <c r="F114" s="11" t="str">
        <f aca="false">IF(INDEX(PRODUTOS!$I$4:$I$63,MATCH($A114,PRODUTOS!$B$4:$B$63,0))="B",INDEX(MODELOS!$F$3:$F$19,MATCH($D114,MODELOS!$A$3:$A$19,0)),INDEX(MODELOS!$B$3:$B$19,MATCH($D114,MODELOS!$A$3:$A$19,0)))</f>
        <v>Galeria · posição 9</v>
      </c>
      <c r="G114" s="11" t="str">
        <f aca="false">IF(INDEX(PRODUTOS!$F$4:$F$63,MATCH($A114,PRODUTOS!$B$4:$B$63,0))="Ração",IF(INDEX(PRODUTOS!$I$4:$I$63,MATCH($A114,PRODUTOS!$B$4:$B$63,0))="B",INDEX(MODELOS!$G$3:$G$19,MATCH($D114,MODELOS!$A$3:$A$19,0)),INDEX(MODELOS!$C$3:$C$19,MATCH($D114,MODELOS!$A$3:$A$19,0))),IF(INDEX(PRODUTOS!$I$4:$I$63,MATCH($A114,PRODUTOS!$B$4:$B$63,0))="B",INDEX(MODELOS!$H$3:$H$19,MATCH($D114,MODELOS!$A$3:$A$19,0)),INDEX(MODELOS!$D$3:$D$19,MATCH($D114,MODELOS!$A$3:$A$19,0))))</f>
        <v>Linha da marca ou embalagem anterior × nova</v>
      </c>
      <c r="H114" s="11" t="str">
        <f aca="false">IF(INDEX(PRODUTOS!$I$4:$I$63,MATCH($A114,PRODUTOS!$B$4:$B$63,0))="B",INDEX(MODELOS!$I$3:$I$19,MATCH($D114,MODELOS!$A$3:$A$19,0)),INDEX(MODELOS!$E$3:$E$19,MATCH($D114,MODELOS!$A$3:$A$19,0)))</f>
        <v>2000 × 2000</v>
      </c>
      <c r="I114" s="11" t="str">
        <f aca="false">INDEX(MODELOS!$J$3:$J$19,MATCH($D114,MODELOS!$A$3:$A$19,0))</f>
        <v>Recomendada</v>
      </c>
      <c r="J114" s="11" t="str">
        <f aca="false">IF(LEFT($D114,2)&lt;&gt;"AP",IF($I114="SIM","SIM","RECOMENDADA"),IF(INDEX(PRODUTOS!$J$4:$J$63,MATCH($A114,PRODUTOS!$B$4:$B$63,0))&lt;&gt;"","NÃO (usa o A+ do EAN "&amp;INDEX(PRODUTOS!$J$4:$J$63,MATCH($A114,PRODUTOS!$B$4:$B$63,0))&amp;")",IF(AND(INDEX(PRODUTOS!$I$4:$I$63,MATCH($A114,PRODUTOS!$B$4:$B$63,0))="B",$D114="AP07"),"NÃO (modelo B)","SIM")))</f>
        <v>RECOMENDADA</v>
      </c>
      <c r="K114" s="13" t="s">
        <v>325</v>
      </c>
      <c r="L114" s="13"/>
    </row>
    <row r="115" customFormat="false" ht="15" hidden="false" customHeight="false" outlineLevel="0" collapsed="false">
      <c r="A115" s="15" t="s">
        <v>78</v>
      </c>
      <c r="B115" s="11" t="str">
        <f aca="false">INDEX(PRODUTOS!$E$4:$E$63,MATCH($A115,PRODUTOS!$B$4:$B$63,0))</f>
        <v>New Dots Ração Seca Premium para Cães Adultos de Raças Pequenas - 1 kg</v>
      </c>
      <c r="C115" s="11" t="str">
        <f aca="false">INDEX(PRODUTOS!$H$4:$H$63,MATCH($A115,PRODUTOS!$B$4:$B$63,0))</f>
        <v>1 kg</v>
      </c>
      <c r="D115" s="11" t="s">
        <v>334</v>
      </c>
      <c r="E115" s="16" t="str">
        <f aca="false">$A115&amp;"."&amp;$D115&amp;".jpg"</f>
        <v>7898968541511.AP01.jpg</v>
      </c>
      <c r="F115" s="11" t="str">
        <f aca="false">IF(INDEX(PRODUTOS!$I$4:$I$63,MATCH($A115,PRODUTOS!$B$4:$B$63,0))="B",INDEX(MODELOS!$F$3:$F$19,MATCH($D115,MODELOS!$A$3:$A$19,0)),INDEX(MODELOS!$B$3:$B$19,MATCH($D115,MODELOS!$A$3:$A$19,0)))</f>
        <v>A+ · Módulo 1 · Banner</v>
      </c>
      <c r="G115" s="11" t="str">
        <f aca="false">IF(INDEX(PRODUTOS!$F$4:$F$63,MATCH($A115,PRODUTOS!$B$4:$B$63,0))="Ração",IF(INDEX(PRODUTOS!$I$4:$I$63,MATCH($A115,PRODUTOS!$B$4:$B$63,0))="B",INDEX(MODELOS!$G$3:$G$19,MATCH($D115,MODELOS!$A$3:$A$19,0)),INDEX(MODELOS!$C$3:$C$19,MATCH($D115,MODELOS!$A$3:$A$19,0))),IF(INDEX(PRODUTOS!$I$4:$I$63,MATCH($A115,PRODUTOS!$B$4:$B$63,0))="B",INDEX(MODELOS!$H$3:$H$19,MATCH($D115,MODELOS!$A$3:$A$19,0)),INDEX(MODELOS!$D$3:$D$19,MATCH($D115,MODELOS!$A$3:$A$19,0))))</f>
        <v>Embalagem + pet + ingredientes, com o nome da linha</v>
      </c>
      <c r="H115" s="11" t="str">
        <f aca="false">IF(INDEX(PRODUTOS!$I$4:$I$63,MATCH($A115,PRODUTOS!$B$4:$B$63,0))="B",INDEX(MODELOS!$I$3:$I$19,MATCH($D115,MODELOS!$A$3:$A$19,0)),INDEX(MODELOS!$E$3:$E$19,MATCH($D115,MODELOS!$A$3:$A$19,0)))</f>
        <v>970 × 600</v>
      </c>
      <c r="I115" s="11" t="str">
        <f aca="false">INDEX(MODELOS!$J$3:$J$19,MATCH($D115,MODELOS!$A$3:$A$19,0))</f>
        <v>Conforme modelo</v>
      </c>
      <c r="J115" s="11" t="str">
        <f aca="false">IF(LEFT($D115,2)&lt;&gt;"AP",IF($I115="SIM","SIM","RECOMENDADA"),IF(INDEX(PRODUTOS!$J$4:$J$63,MATCH($A115,PRODUTOS!$B$4:$B$63,0))&lt;&gt;"","NÃO (usa o A+ do EAN "&amp;INDEX(PRODUTOS!$J$4:$J$63,MATCH($A115,PRODUTOS!$B$4:$B$63,0))&amp;")",IF(AND(INDEX(PRODUTOS!$I$4:$I$63,MATCH($A115,PRODUTOS!$B$4:$B$63,0))="B",$D115="AP07"),"NÃO (modelo B)","SIM")))</f>
        <v>NÃO (usa o A+ do EAN 7898968541535)</v>
      </c>
      <c r="K115" s="13" t="s">
        <v>325</v>
      </c>
      <c r="L115" s="13"/>
    </row>
    <row r="116" customFormat="false" ht="15" hidden="false" customHeight="false" outlineLevel="0" collapsed="false">
      <c r="A116" s="15" t="s">
        <v>78</v>
      </c>
      <c r="B116" s="11" t="str">
        <f aca="false">INDEX(PRODUTOS!$E$4:$E$63,MATCH($A116,PRODUTOS!$B$4:$B$63,0))</f>
        <v>New Dots Ração Seca Premium para Cães Adultos de Raças Pequenas - 1 kg</v>
      </c>
      <c r="C116" s="11" t="str">
        <f aca="false">INDEX(PRODUTOS!$H$4:$H$63,MATCH($A116,PRODUTOS!$B$4:$B$63,0))</f>
        <v>1 kg</v>
      </c>
      <c r="D116" s="11" t="s">
        <v>335</v>
      </c>
      <c r="E116" s="16" t="str">
        <f aca="false">$A116&amp;"."&amp;$D116&amp;".jpg"</f>
        <v>7898968541511.AP02.jpg</v>
      </c>
      <c r="F116" s="11" t="str">
        <f aca="false">IF(INDEX(PRODUTOS!$I$4:$I$63,MATCH($A116,PRODUTOS!$B$4:$B$63,0))="B",INDEX(MODELOS!$F$3:$F$19,MATCH($D116,MODELOS!$A$3:$A$19,0)),INDEX(MODELOS!$B$3:$B$19,MATCH($D116,MODELOS!$A$3:$A$19,0)))</f>
        <v>A+ · Módulo 2 · Texto sobreposto</v>
      </c>
      <c r="G116" s="11" t="str">
        <f aca="false">IF(INDEX(PRODUTOS!$F$4:$F$63,MATCH($A116,PRODUTOS!$B$4:$B$63,0))="Ração",IF(INDEX(PRODUTOS!$I$4:$I$63,MATCH($A116,PRODUTOS!$B$4:$B$63,0))="B",INDEX(MODELOS!$G$3:$G$19,MATCH($D116,MODELOS!$A$3:$A$19,0)),INDEX(MODELOS!$C$3:$C$19,MATCH($D116,MODELOS!$A$3:$A$19,0))),IF(INDEX(PRODUTOS!$I$4:$I$63,MATCH($A116,PRODUTOS!$B$4:$B$63,0))="B",INDEX(MODELOS!$H$3:$H$19,MATCH($D116,MODELOS!$A$3:$A$19,0)),INDEX(MODELOS!$D$3:$D$19,MATCH($D116,MODELOS!$A$3:$A$19,0))))</f>
        <v>Principal diferencial; deixar o lado direito limpo</v>
      </c>
      <c r="H116" s="11" t="str">
        <f aca="false">IF(INDEX(PRODUTOS!$I$4:$I$63,MATCH($A116,PRODUTOS!$B$4:$B$63,0))="B",INDEX(MODELOS!$I$3:$I$19,MATCH($D116,MODELOS!$A$3:$A$19,0)),INDEX(MODELOS!$E$3:$E$19,MATCH($D116,MODELOS!$A$3:$A$19,0)))</f>
        <v>970 × 300</v>
      </c>
      <c r="I116" s="11" t="str">
        <f aca="false">INDEX(MODELOS!$J$3:$J$19,MATCH($D116,MODELOS!$A$3:$A$19,0))</f>
        <v>Conforme modelo</v>
      </c>
      <c r="J116" s="11" t="str">
        <f aca="false">IF(LEFT($D116,2)&lt;&gt;"AP",IF($I116="SIM","SIM","RECOMENDADA"),IF(INDEX(PRODUTOS!$J$4:$J$63,MATCH($A116,PRODUTOS!$B$4:$B$63,0))&lt;&gt;"","NÃO (usa o A+ do EAN "&amp;INDEX(PRODUTOS!$J$4:$J$63,MATCH($A116,PRODUTOS!$B$4:$B$63,0))&amp;")",IF(AND(INDEX(PRODUTOS!$I$4:$I$63,MATCH($A116,PRODUTOS!$B$4:$B$63,0))="B",$D116="AP07"),"NÃO (modelo B)","SIM")))</f>
        <v>NÃO (usa o A+ do EAN 7898968541535)</v>
      </c>
      <c r="K116" s="13" t="s">
        <v>325</v>
      </c>
      <c r="L116" s="13"/>
    </row>
    <row r="117" customFormat="false" ht="15" hidden="false" customHeight="false" outlineLevel="0" collapsed="false">
      <c r="A117" s="15" t="s">
        <v>78</v>
      </c>
      <c r="B117" s="11" t="str">
        <f aca="false">INDEX(PRODUTOS!$E$4:$E$63,MATCH($A117,PRODUTOS!$B$4:$B$63,0))</f>
        <v>New Dots Ração Seca Premium para Cães Adultos de Raças Pequenas - 1 kg</v>
      </c>
      <c r="C117" s="11" t="str">
        <f aca="false">INDEX(PRODUTOS!$H$4:$H$63,MATCH($A117,PRODUTOS!$B$4:$B$63,0))</f>
        <v>1 kg</v>
      </c>
      <c r="D117" s="11" t="s">
        <v>336</v>
      </c>
      <c r="E117" s="16" t="str">
        <f aca="false">$A117&amp;"."&amp;$D117&amp;".jpg"</f>
        <v>7898968541511.AP03.jpg</v>
      </c>
      <c r="F117" s="11" t="str">
        <f aca="false">IF(INDEX(PRODUTOS!$I$4:$I$63,MATCH($A117,PRODUTOS!$B$4:$B$63,0))="B",INDEX(MODELOS!$F$3:$F$19,MATCH($D117,MODELOS!$A$3:$A$19,0)),INDEX(MODELOS!$B$3:$B$19,MATCH($D117,MODELOS!$A$3:$A$19,0)))</f>
        <v>A+ · Módulo 3 · Benefício 1 de 4</v>
      </c>
      <c r="G117" s="11" t="str">
        <f aca="false">IF(INDEX(PRODUTOS!$F$4:$F$63,MATCH($A117,PRODUTOS!$B$4:$B$63,0))="Ração",IF(INDEX(PRODUTOS!$I$4:$I$63,MATCH($A117,PRODUTOS!$B$4:$B$63,0))="B",INDEX(MODELOS!$G$3:$G$19,MATCH($D117,MODELOS!$A$3:$A$19,0)),INDEX(MODELOS!$C$3:$C$19,MATCH($D117,MODELOS!$A$3:$A$19,0))),IF(INDEX(PRODUTOS!$I$4:$I$63,MATCH($A117,PRODUTOS!$B$4:$B$63,0))="B",INDEX(MODELOS!$H$3:$H$19,MATCH($D117,MODELOS!$A$3:$A$19,0)),INDEX(MODELOS!$D$3:$D$19,MATCH($D117,MODELOS!$A$3:$A$19,0))))</f>
        <v>Foto/ilustração do benefício 1</v>
      </c>
      <c r="H117" s="11" t="str">
        <f aca="false">IF(INDEX(PRODUTOS!$I$4:$I$63,MATCH($A117,PRODUTOS!$B$4:$B$63,0))="B",INDEX(MODELOS!$I$3:$I$19,MATCH($D117,MODELOS!$A$3:$A$19,0)),INDEX(MODELOS!$E$3:$E$19,MATCH($D117,MODELOS!$A$3:$A$19,0)))</f>
        <v>220 × 200</v>
      </c>
      <c r="I117" s="11" t="str">
        <f aca="false">INDEX(MODELOS!$J$3:$J$19,MATCH($D117,MODELOS!$A$3:$A$19,0))</f>
        <v>Conforme modelo</v>
      </c>
      <c r="J117" s="11" t="str">
        <f aca="false">IF(LEFT($D117,2)&lt;&gt;"AP",IF($I117="SIM","SIM","RECOMENDADA"),IF(INDEX(PRODUTOS!$J$4:$J$63,MATCH($A117,PRODUTOS!$B$4:$B$63,0))&lt;&gt;"","NÃO (usa o A+ do EAN "&amp;INDEX(PRODUTOS!$J$4:$J$63,MATCH($A117,PRODUTOS!$B$4:$B$63,0))&amp;")",IF(AND(INDEX(PRODUTOS!$I$4:$I$63,MATCH($A117,PRODUTOS!$B$4:$B$63,0))="B",$D117="AP07"),"NÃO (modelo B)","SIM")))</f>
        <v>NÃO (usa o A+ do EAN 7898968541535)</v>
      </c>
      <c r="K117" s="13" t="s">
        <v>325</v>
      </c>
      <c r="L117" s="13"/>
    </row>
    <row r="118" customFormat="false" ht="15" hidden="false" customHeight="false" outlineLevel="0" collapsed="false">
      <c r="A118" s="15" t="s">
        <v>78</v>
      </c>
      <c r="B118" s="11" t="str">
        <f aca="false">INDEX(PRODUTOS!$E$4:$E$63,MATCH($A118,PRODUTOS!$B$4:$B$63,0))</f>
        <v>New Dots Ração Seca Premium para Cães Adultos de Raças Pequenas - 1 kg</v>
      </c>
      <c r="C118" s="11" t="str">
        <f aca="false">INDEX(PRODUTOS!$H$4:$H$63,MATCH($A118,PRODUTOS!$B$4:$B$63,0))</f>
        <v>1 kg</v>
      </c>
      <c r="D118" s="11" t="s">
        <v>337</v>
      </c>
      <c r="E118" s="16" t="str">
        <f aca="false">$A118&amp;"."&amp;$D118&amp;".jpg"</f>
        <v>7898968541511.AP04.jpg</v>
      </c>
      <c r="F118" s="11" t="str">
        <f aca="false">IF(INDEX(PRODUTOS!$I$4:$I$63,MATCH($A118,PRODUTOS!$B$4:$B$63,0))="B",INDEX(MODELOS!$F$3:$F$19,MATCH($D118,MODELOS!$A$3:$A$19,0)),INDEX(MODELOS!$B$3:$B$19,MATCH($D118,MODELOS!$A$3:$A$19,0)))</f>
        <v>A+ · Módulo 3 · Benefício 2 de 4</v>
      </c>
      <c r="G118" s="11" t="str">
        <f aca="false">IF(INDEX(PRODUTOS!$F$4:$F$63,MATCH($A118,PRODUTOS!$B$4:$B$63,0))="Ração",IF(INDEX(PRODUTOS!$I$4:$I$63,MATCH($A118,PRODUTOS!$B$4:$B$63,0))="B",INDEX(MODELOS!$G$3:$G$19,MATCH($D118,MODELOS!$A$3:$A$19,0)),INDEX(MODELOS!$C$3:$C$19,MATCH($D118,MODELOS!$A$3:$A$19,0))),IF(INDEX(PRODUTOS!$I$4:$I$63,MATCH($A118,PRODUTOS!$B$4:$B$63,0))="B",INDEX(MODELOS!$H$3:$H$19,MATCH($D118,MODELOS!$A$3:$A$19,0)),INDEX(MODELOS!$D$3:$D$19,MATCH($D118,MODELOS!$A$3:$A$19,0))))</f>
        <v>Foto/ilustração do benefício 2</v>
      </c>
      <c r="H118" s="11" t="str">
        <f aca="false">IF(INDEX(PRODUTOS!$I$4:$I$63,MATCH($A118,PRODUTOS!$B$4:$B$63,0))="B",INDEX(MODELOS!$I$3:$I$19,MATCH($D118,MODELOS!$A$3:$A$19,0)),INDEX(MODELOS!$E$3:$E$19,MATCH($D118,MODELOS!$A$3:$A$19,0)))</f>
        <v>220 × 200</v>
      </c>
      <c r="I118" s="11" t="str">
        <f aca="false">INDEX(MODELOS!$J$3:$J$19,MATCH($D118,MODELOS!$A$3:$A$19,0))</f>
        <v>Conforme modelo</v>
      </c>
      <c r="J118" s="11" t="str">
        <f aca="false">IF(LEFT($D118,2)&lt;&gt;"AP",IF($I118="SIM","SIM","RECOMENDADA"),IF(INDEX(PRODUTOS!$J$4:$J$63,MATCH($A118,PRODUTOS!$B$4:$B$63,0))&lt;&gt;"","NÃO (usa o A+ do EAN "&amp;INDEX(PRODUTOS!$J$4:$J$63,MATCH($A118,PRODUTOS!$B$4:$B$63,0))&amp;")",IF(AND(INDEX(PRODUTOS!$I$4:$I$63,MATCH($A118,PRODUTOS!$B$4:$B$63,0))="B",$D118="AP07"),"NÃO (modelo B)","SIM")))</f>
        <v>NÃO (usa o A+ do EAN 7898968541535)</v>
      </c>
      <c r="K118" s="13" t="s">
        <v>325</v>
      </c>
      <c r="L118" s="13"/>
    </row>
    <row r="119" customFormat="false" ht="15" hidden="false" customHeight="false" outlineLevel="0" collapsed="false">
      <c r="A119" s="15" t="s">
        <v>78</v>
      </c>
      <c r="B119" s="11" t="str">
        <f aca="false">INDEX(PRODUTOS!$E$4:$E$63,MATCH($A119,PRODUTOS!$B$4:$B$63,0))</f>
        <v>New Dots Ração Seca Premium para Cães Adultos de Raças Pequenas - 1 kg</v>
      </c>
      <c r="C119" s="11" t="str">
        <f aca="false">INDEX(PRODUTOS!$H$4:$H$63,MATCH($A119,PRODUTOS!$B$4:$B$63,0))</f>
        <v>1 kg</v>
      </c>
      <c r="D119" s="11" t="s">
        <v>338</v>
      </c>
      <c r="E119" s="16" t="str">
        <f aca="false">$A119&amp;"."&amp;$D119&amp;".jpg"</f>
        <v>7898968541511.AP05.jpg</v>
      </c>
      <c r="F119" s="11" t="str">
        <f aca="false">IF(INDEX(PRODUTOS!$I$4:$I$63,MATCH($A119,PRODUTOS!$B$4:$B$63,0))="B",INDEX(MODELOS!$F$3:$F$19,MATCH($D119,MODELOS!$A$3:$A$19,0)),INDEX(MODELOS!$B$3:$B$19,MATCH($D119,MODELOS!$A$3:$A$19,0)))</f>
        <v>A+ · Módulo 3 · Benefício 3 de 4</v>
      </c>
      <c r="G119" s="11" t="str">
        <f aca="false">IF(INDEX(PRODUTOS!$F$4:$F$63,MATCH($A119,PRODUTOS!$B$4:$B$63,0))="Ração",IF(INDEX(PRODUTOS!$I$4:$I$63,MATCH($A119,PRODUTOS!$B$4:$B$63,0))="B",INDEX(MODELOS!$G$3:$G$19,MATCH($D119,MODELOS!$A$3:$A$19,0)),INDEX(MODELOS!$C$3:$C$19,MATCH($D119,MODELOS!$A$3:$A$19,0))),IF(INDEX(PRODUTOS!$I$4:$I$63,MATCH($A119,PRODUTOS!$B$4:$B$63,0))="B",INDEX(MODELOS!$H$3:$H$19,MATCH($D119,MODELOS!$A$3:$A$19,0)),INDEX(MODELOS!$D$3:$D$19,MATCH($D119,MODELOS!$A$3:$A$19,0))))</f>
        <v>Foto/ilustração do benefício 3</v>
      </c>
      <c r="H119" s="11" t="str">
        <f aca="false">IF(INDEX(PRODUTOS!$I$4:$I$63,MATCH($A119,PRODUTOS!$B$4:$B$63,0))="B",INDEX(MODELOS!$I$3:$I$19,MATCH($D119,MODELOS!$A$3:$A$19,0)),INDEX(MODELOS!$E$3:$E$19,MATCH($D119,MODELOS!$A$3:$A$19,0)))</f>
        <v>220 × 200</v>
      </c>
      <c r="I119" s="11" t="str">
        <f aca="false">INDEX(MODELOS!$J$3:$J$19,MATCH($D119,MODELOS!$A$3:$A$19,0))</f>
        <v>Conforme modelo</v>
      </c>
      <c r="J119" s="11" t="str">
        <f aca="false">IF(LEFT($D119,2)&lt;&gt;"AP",IF($I119="SIM","SIM","RECOMENDADA"),IF(INDEX(PRODUTOS!$J$4:$J$63,MATCH($A119,PRODUTOS!$B$4:$B$63,0))&lt;&gt;"","NÃO (usa o A+ do EAN "&amp;INDEX(PRODUTOS!$J$4:$J$63,MATCH($A119,PRODUTOS!$B$4:$B$63,0))&amp;")",IF(AND(INDEX(PRODUTOS!$I$4:$I$63,MATCH($A119,PRODUTOS!$B$4:$B$63,0))="B",$D119="AP07"),"NÃO (modelo B)","SIM")))</f>
        <v>NÃO (usa o A+ do EAN 7898968541535)</v>
      </c>
      <c r="K119" s="13" t="s">
        <v>325</v>
      </c>
      <c r="L119" s="13"/>
    </row>
    <row r="120" customFormat="false" ht="15" hidden="false" customHeight="false" outlineLevel="0" collapsed="false">
      <c r="A120" s="15" t="s">
        <v>78</v>
      </c>
      <c r="B120" s="11" t="str">
        <f aca="false">INDEX(PRODUTOS!$E$4:$E$63,MATCH($A120,PRODUTOS!$B$4:$B$63,0))</f>
        <v>New Dots Ração Seca Premium para Cães Adultos de Raças Pequenas - 1 kg</v>
      </c>
      <c r="C120" s="11" t="str">
        <f aca="false">INDEX(PRODUTOS!$H$4:$H$63,MATCH($A120,PRODUTOS!$B$4:$B$63,0))</f>
        <v>1 kg</v>
      </c>
      <c r="D120" s="11" t="s">
        <v>339</v>
      </c>
      <c r="E120" s="16" t="str">
        <f aca="false">$A120&amp;"."&amp;$D120&amp;".jpg"</f>
        <v>7898968541511.AP06.jpg</v>
      </c>
      <c r="F120" s="11" t="str">
        <f aca="false">IF(INDEX(PRODUTOS!$I$4:$I$63,MATCH($A120,PRODUTOS!$B$4:$B$63,0))="B",INDEX(MODELOS!$F$3:$F$19,MATCH($D120,MODELOS!$A$3:$A$19,0)),INDEX(MODELOS!$B$3:$B$19,MATCH($D120,MODELOS!$A$3:$A$19,0)))</f>
        <v>A+ · Módulo 3 · Benefício 4 de 4</v>
      </c>
      <c r="G120" s="11" t="str">
        <f aca="false">IF(INDEX(PRODUTOS!$F$4:$F$63,MATCH($A120,PRODUTOS!$B$4:$B$63,0))="Ração",IF(INDEX(PRODUTOS!$I$4:$I$63,MATCH($A120,PRODUTOS!$B$4:$B$63,0))="B",INDEX(MODELOS!$G$3:$G$19,MATCH($D120,MODELOS!$A$3:$A$19,0)),INDEX(MODELOS!$C$3:$C$19,MATCH($D120,MODELOS!$A$3:$A$19,0))),IF(INDEX(PRODUTOS!$I$4:$I$63,MATCH($A120,PRODUTOS!$B$4:$B$63,0))="B",INDEX(MODELOS!$H$3:$H$19,MATCH($D120,MODELOS!$A$3:$A$19,0)),INDEX(MODELOS!$D$3:$D$19,MATCH($D120,MODELOS!$A$3:$A$19,0))))</f>
        <v>Foto/ilustração do benefício 4</v>
      </c>
      <c r="H120" s="11" t="str">
        <f aca="false">IF(INDEX(PRODUTOS!$I$4:$I$63,MATCH($A120,PRODUTOS!$B$4:$B$63,0))="B",INDEX(MODELOS!$I$3:$I$19,MATCH($D120,MODELOS!$A$3:$A$19,0)),INDEX(MODELOS!$E$3:$E$19,MATCH($D120,MODELOS!$A$3:$A$19,0)))</f>
        <v>220 × 200</v>
      </c>
      <c r="I120" s="11" t="str">
        <f aca="false">INDEX(MODELOS!$J$3:$J$19,MATCH($D120,MODELOS!$A$3:$A$19,0))</f>
        <v>Conforme modelo</v>
      </c>
      <c r="J120" s="11" t="str">
        <f aca="false">IF(LEFT($D120,2)&lt;&gt;"AP",IF($I120="SIM","SIM","RECOMENDADA"),IF(INDEX(PRODUTOS!$J$4:$J$63,MATCH($A120,PRODUTOS!$B$4:$B$63,0))&lt;&gt;"","NÃO (usa o A+ do EAN "&amp;INDEX(PRODUTOS!$J$4:$J$63,MATCH($A120,PRODUTOS!$B$4:$B$63,0))&amp;")",IF(AND(INDEX(PRODUTOS!$I$4:$I$63,MATCH($A120,PRODUTOS!$B$4:$B$63,0))="B",$D120="AP07"),"NÃO (modelo B)","SIM")))</f>
        <v>NÃO (usa o A+ do EAN 7898968541535)</v>
      </c>
      <c r="K120" s="13" t="s">
        <v>325</v>
      </c>
      <c r="L120" s="13"/>
    </row>
    <row r="121" customFormat="false" ht="15" hidden="false" customHeight="false" outlineLevel="0" collapsed="false">
      <c r="A121" s="15" t="s">
        <v>78</v>
      </c>
      <c r="B121" s="11" t="str">
        <f aca="false">INDEX(PRODUTOS!$E$4:$E$63,MATCH($A121,PRODUTOS!$B$4:$B$63,0))</f>
        <v>New Dots Ração Seca Premium para Cães Adultos de Raças Pequenas - 1 kg</v>
      </c>
      <c r="C121" s="11" t="str">
        <f aca="false">INDEX(PRODUTOS!$H$4:$H$63,MATCH($A121,PRODUTOS!$B$4:$B$63,0))</f>
        <v>1 kg</v>
      </c>
      <c r="D121" s="11" t="s">
        <v>340</v>
      </c>
      <c r="E121" s="16" t="str">
        <f aca="false">$A121&amp;"."&amp;$D121&amp;".jpg"</f>
        <v>7898968541511.AP07.jpg</v>
      </c>
      <c r="F121" s="11" t="str">
        <f aca="false">IF(INDEX(PRODUTOS!$I$4:$I$63,MATCH($A121,PRODUTOS!$B$4:$B$63,0))="B",INDEX(MODELOS!$F$3:$F$19,MATCH($D121,MODELOS!$A$3:$A$19,0)),INDEX(MODELOS!$B$3:$B$19,MATCH($D121,MODELOS!$A$3:$A$19,0)))</f>
        <v>A+ · Módulo 4 · Especificações</v>
      </c>
      <c r="G121" s="11" t="str">
        <f aca="false">IF(INDEX(PRODUTOS!$F$4:$F$63,MATCH($A121,PRODUTOS!$B$4:$B$63,0))="Ração",IF(INDEX(PRODUTOS!$I$4:$I$63,MATCH($A121,PRODUTOS!$B$4:$B$63,0))="B",INDEX(MODELOS!$G$3:$G$19,MATCH($D121,MODELOS!$A$3:$A$19,0)),INDEX(MODELOS!$C$3:$C$19,MATCH($D121,MODELOS!$A$3:$A$19,0))),IF(INDEX(PRODUTOS!$I$4:$I$63,MATCH($A121,PRODUTOS!$B$4:$B$63,0))="B",INDEX(MODELOS!$H$3:$H$19,MATCH($D121,MODELOS!$A$3:$A$19,0)),INDEX(MODELOS!$D$3:$D$19,MATCH($D121,MODELOS!$A$3:$A$19,0))))</f>
        <v>Grão ou pacote em destaque</v>
      </c>
      <c r="H121" s="11" t="str">
        <f aca="false">IF(INDEX(PRODUTOS!$I$4:$I$63,MATCH($A121,PRODUTOS!$B$4:$B$63,0))="B",INDEX(MODELOS!$I$3:$I$19,MATCH($D121,MODELOS!$A$3:$A$19,0)),INDEX(MODELOS!$E$3:$E$19,MATCH($D121,MODELOS!$A$3:$A$19,0)))</f>
        <v>300 × 300</v>
      </c>
      <c r="I121" s="11" t="str">
        <f aca="false">INDEX(MODELOS!$J$3:$J$19,MATCH($D121,MODELOS!$A$3:$A$19,0))</f>
        <v>Conforme modelo</v>
      </c>
      <c r="J121" s="11" t="str">
        <f aca="false">IF(LEFT($D121,2)&lt;&gt;"AP",IF($I121="SIM","SIM","RECOMENDADA"),IF(INDEX(PRODUTOS!$J$4:$J$63,MATCH($A121,PRODUTOS!$B$4:$B$63,0))&lt;&gt;"","NÃO (usa o A+ do EAN "&amp;INDEX(PRODUTOS!$J$4:$J$63,MATCH($A121,PRODUTOS!$B$4:$B$63,0))&amp;")",IF(AND(INDEX(PRODUTOS!$I$4:$I$63,MATCH($A121,PRODUTOS!$B$4:$B$63,0))="B",$D121="AP07"),"NÃO (modelo B)","SIM")))</f>
        <v>NÃO (usa o A+ do EAN 7898968541535)</v>
      </c>
      <c r="K121" s="13" t="s">
        <v>325</v>
      </c>
      <c r="L121" s="13"/>
    </row>
    <row r="122" customFormat="false" ht="15" hidden="false" customHeight="false" outlineLevel="0" collapsed="false">
      <c r="A122" s="15" t="s">
        <v>78</v>
      </c>
      <c r="B122" s="11" t="str">
        <f aca="false">INDEX(PRODUTOS!$E$4:$E$63,MATCH($A122,PRODUTOS!$B$4:$B$63,0))</f>
        <v>New Dots Ração Seca Premium para Cães Adultos de Raças Pequenas - 1 kg</v>
      </c>
      <c r="C122" s="11" t="str">
        <f aca="false">INDEX(PRODUTOS!$H$4:$H$63,MATCH($A122,PRODUTOS!$B$4:$B$63,0))</f>
        <v>1 kg</v>
      </c>
      <c r="D122" s="11" t="s">
        <v>341</v>
      </c>
      <c r="E122" s="16" t="str">
        <f aca="false">$A122&amp;"."&amp;$D122&amp;".jpg"</f>
        <v>7898968541511.COMP.jpg</v>
      </c>
      <c r="F122" s="11" t="str">
        <f aca="false">IF(INDEX(PRODUTOS!$I$4:$I$63,MATCH($A122,PRODUTOS!$B$4:$B$63,0))="B",INDEX(MODELOS!$F$3:$F$19,MATCH($D122,MODELOS!$A$3:$A$19,0)),INDEX(MODELOS!$B$3:$B$19,MATCH($D122,MODELOS!$A$3:$A$19,0)))</f>
        <v>A+ · Tabela comparativa</v>
      </c>
      <c r="G122" s="11" t="str">
        <f aca="false">IF(INDEX(PRODUTOS!$F$4:$F$63,MATCH($A122,PRODUTOS!$B$4:$B$63,0))="Ração",IF(INDEX(PRODUTOS!$I$4:$I$63,MATCH($A122,PRODUTOS!$B$4:$B$63,0))="B",INDEX(MODELOS!$G$3:$G$19,MATCH($D122,MODELOS!$A$3:$A$19,0)),INDEX(MODELOS!$C$3:$C$19,MATCH($D122,MODELOS!$A$3:$A$19,0))),IF(INDEX(PRODUTOS!$I$4:$I$63,MATCH($A122,PRODUTOS!$B$4:$B$63,0))="B",INDEX(MODELOS!$H$3:$H$19,MATCH($D122,MODELOS!$A$3:$A$19,0)),INDEX(MODELOS!$D$3:$D$19,MATCH($D122,MODELOS!$A$3:$A$19,0))))</f>
        <v>Pacote na vertical, sem fundo colorido</v>
      </c>
      <c r="H122" s="11" t="str">
        <f aca="false">IF(INDEX(PRODUTOS!$I$4:$I$63,MATCH($A122,PRODUTOS!$B$4:$B$63,0))="B",INDEX(MODELOS!$I$3:$I$19,MATCH($D122,MODELOS!$A$3:$A$19,0)),INDEX(MODELOS!$E$3:$E$19,MATCH($D122,MODELOS!$A$3:$A$19,0)))</f>
        <v>150 × 300</v>
      </c>
      <c r="I122" s="11" t="str">
        <f aca="false">INDEX(MODELOS!$J$3:$J$19,MATCH($D122,MODELOS!$A$3:$A$19,0))</f>
        <v>SIM</v>
      </c>
      <c r="J122" s="11" t="str">
        <f aca="false">IF(LEFT($D122,2)&lt;&gt;"AP",IF($I122="SIM","SIM","RECOMENDADA"),IF(INDEX(PRODUTOS!$J$4:$J$63,MATCH($A122,PRODUTOS!$B$4:$B$63,0))&lt;&gt;"","NÃO (usa o A+ do EAN "&amp;INDEX(PRODUTOS!$J$4:$J$63,MATCH($A122,PRODUTOS!$B$4:$B$63,0))&amp;")",IF(AND(INDEX(PRODUTOS!$I$4:$I$63,MATCH($A122,PRODUTOS!$B$4:$B$63,0))="B",$D122="AP07"),"NÃO (modelo B)","SIM")))</f>
        <v>SIM</v>
      </c>
      <c r="K122" s="13" t="s">
        <v>325</v>
      </c>
      <c r="L122" s="13"/>
    </row>
    <row r="123" customFormat="false" ht="15" hidden="false" customHeight="false" outlineLevel="0" collapsed="false">
      <c r="A123" s="15" t="s">
        <v>81</v>
      </c>
      <c r="B123" s="11" t="str">
        <f aca="false">INDEX(PRODUTOS!$E$4:$E$63,MATCH($A123,PRODUTOS!$B$4:$B$63,0))</f>
        <v>New Dots Ração Seca Premium para Cães Filhotes - 20 kg</v>
      </c>
      <c r="C123" s="11" t="str">
        <f aca="false">INDEX(PRODUTOS!$H$4:$H$63,MATCH($A123,PRODUTOS!$B$4:$B$63,0))</f>
        <v>20 kg</v>
      </c>
      <c r="D123" s="11" t="s">
        <v>324</v>
      </c>
      <c r="E123" s="16" t="str">
        <f aca="false">$A123&amp;"."&amp;$D123&amp;".jpg"</f>
        <v>7898968541566.MAIN.jpg</v>
      </c>
      <c r="F123" s="11" t="str">
        <f aca="false">IF(INDEX(PRODUTOS!$I$4:$I$63,MATCH($A123,PRODUTOS!$B$4:$B$63,0))="B",INDEX(MODELOS!$F$3:$F$19,MATCH($D123,MODELOS!$A$3:$A$19,0)),INDEX(MODELOS!$B$3:$B$19,MATCH($D123,MODELOS!$A$3:$A$19,0)))</f>
        <v>Capa (posição 1)</v>
      </c>
      <c r="G123" s="11" t="str">
        <f aca="false">IF(INDEX(PRODUTOS!$F$4:$F$63,MATCH($A123,PRODUTOS!$B$4:$B$63,0))="Ração",IF(INDEX(PRODUTOS!$I$4:$I$63,MATCH($A123,PRODUTOS!$B$4:$B$63,0))="B",INDEX(MODELOS!$G$3:$G$19,MATCH($D123,MODELOS!$A$3:$A$19,0)),INDEX(MODELOS!$C$3:$C$19,MATCH($D123,MODELOS!$A$3:$A$19,0))),IF(INDEX(PRODUTOS!$I$4:$I$63,MATCH($A123,PRODUTOS!$B$4:$B$63,0))="B",INDEX(MODELOS!$H$3:$H$19,MATCH($D123,MODELOS!$A$3:$A$19,0)),INDEX(MODELOS!$D$3:$D$19,MATCH($D123,MODELOS!$A$3:$A$19,0))))</f>
        <v>Embalagem de frente, fundo branco puro, 85% da área, nada adicionado</v>
      </c>
      <c r="H123" s="11" t="str">
        <f aca="false">IF(INDEX(PRODUTOS!$I$4:$I$63,MATCH($A123,PRODUTOS!$B$4:$B$63,0))="B",INDEX(MODELOS!$I$3:$I$19,MATCH($D123,MODELOS!$A$3:$A$19,0)),INDEX(MODELOS!$E$3:$E$19,MATCH($D123,MODELOS!$A$3:$A$19,0)))</f>
        <v>2000 × 2000</v>
      </c>
      <c r="I123" s="11" t="str">
        <f aca="false">INDEX(MODELOS!$J$3:$J$19,MATCH($D123,MODELOS!$A$3:$A$19,0))</f>
        <v>SIM</v>
      </c>
      <c r="J123" s="11" t="str">
        <f aca="false">IF(LEFT($D123,2)&lt;&gt;"AP",IF($I123="SIM","SIM","RECOMENDADA"),IF(INDEX(PRODUTOS!$J$4:$J$63,MATCH($A123,PRODUTOS!$B$4:$B$63,0))&lt;&gt;"","NÃO (usa o A+ do EAN "&amp;INDEX(PRODUTOS!$J$4:$J$63,MATCH($A123,PRODUTOS!$B$4:$B$63,0))&amp;")",IF(AND(INDEX(PRODUTOS!$I$4:$I$63,MATCH($A123,PRODUTOS!$B$4:$B$63,0))="B",$D123="AP07"),"NÃO (modelo B)","SIM")))</f>
        <v>SIM</v>
      </c>
      <c r="K123" s="13" t="s">
        <v>325</v>
      </c>
      <c r="L123" s="13"/>
    </row>
    <row r="124" customFormat="false" ht="15" hidden="false" customHeight="false" outlineLevel="0" collapsed="false">
      <c r="A124" s="15" t="s">
        <v>81</v>
      </c>
      <c r="B124" s="11" t="str">
        <f aca="false">INDEX(PRODUTOS!$E$4:$E$63,MATCH($A124,PRODUTOS!$B$4:$B$63,0))</f>
        <v>New Dots Ração Seca Premium para Cães Filhotes - 20 kg</v>
      </c>
      <c r="C124" s="11" t="str">
        <f aca="false">INDEX(PRODUTOS!$H$4:$H$63,MATCH($A124,PRODUTOS!$B$4:$B$63,0))</f>
        <v>20 kg</v>
      </c>
      <c r="D124" s="11" t="s">
        <v>326</v>
      </c>
      <c r="E124" s="16" t="str">
        <f aca="false">$A124&amp;"."&amp;$D124&amp;".jpg"</f>
        <v>7898968541566.PT01.jpg</v>
      </c>
      <c r="F124" s="11" t="str">
        <f aca="false">IF(INDEX(PRODUTOS!$I$4:$I$63,MATCH($A124,PRODUTOS!$B$4:$B$63,0))="B",INDEX(MODELOS!$F$3:$F$19,MATCH($D124,MODELOS!$A$3:$A$19,0)),INDEX(MODELOS!$B$3:$B$19,MATCH($D124,MODELOS!$A$3:$A$19,0)))</f>
        <v>Galeria · posição 2</v>
      </c>
      <c r="G124" s="11" t="str">
        <f aca="false">IF(INDEX(PRODUTOS!$F$4:$F$63,MATCH($A124,PRODUTOS!$B$4:$B$63,0))="Ração",IF(INDEX(PRODUTOS!$I$4:$I$63,MATCH($A124,PRODUTOS!$B$4:$B$63,0))="B",INDEX(MODELOS!$G$3:$G$19,MATCH($D124,MODELOS!$A$3:$A$19,0)),INDEX(MODELOS!$C$3:$C$19,MATCH($D124,MODELOS!$A$3:$A$19,0))),IF(INDEX(PRODUTOS!$I$4:$I$63,MATCH($A124,PRODUTOS!$B$4:$B$63,0))="B",INDEX(MODELOS!$H$3:$H$19,MATCH($D124,MODELOS!$A$3:$A$19,0)),INDEX(MODELOS!$D$3:$D$19,MATCH($D124,MODELOS!$A$3:$A$19,0))))</f>
        <v>Grande diferencial da linha (número ou promessa forte + grão e ingrediente)</v>
      </c>
      <c r="H124" s="11" t="str">
        <f aca="false">IF(INDEX(PRODUTOS!$I$4:$I$63,MATCH($A124,PRODUTOS!$B$4:$B$63,0))="B",INDEX(MODELOS!$I$3:$I$19,MATCH($D124,MODELOS!$A$3:$A$19,0)),INDEX(MODELOS!$E$3:$E$19,MATCH($D124,MODELOS!$A$3:$A$19,0)))</f>
        <v>2000 × 2000</v>
      </c>
      <c r="I124" s="11" t="str">
        <f aca="false">INDEX(MODELOS!$J$3:$J$19,MATCH($D124,MODELOS!$A$3:$A$19,0))</f>
        <v>SIM</v>
      </c>
      <c r="J124" s="11" t="str">
        <f aca="false">IF(LEFT($D124,2)&lt;&gt;"AP",IF($I124="SIM","SIM","RECOMENDADA"),IF(INDEX(PRODUTOS!$J$4:$J$63,MATCH($A124,PRODUTOS!$B$4:$B$63,0))&lt;&gt;"","NÃO (usa o A+ do EAN "&amp;INDEX(PRODUTOS!$J$4:$J$63,MATCH($A124,PRODUTOS!$B$4:$B$63,0))&amp;")",IF(AND(INDEX(PRODUTOS!$I$4:$I$63,MATCH($A124,PRODUTOS!$B$4:$B$63,0))="B",$D124="AP07"),"NÃO (modelo B)","SIM")))</f>
        <v>SIM</v>
      </c>
      <c r="K124" s="13" t="s">
        <v>325</v>
      </c>
      <c r="L124" s="13"/>
    </row>
    <row r="125" customFormat="false" ht="15" hidden="false" customHeight="false" outlineLevel="0" collapsed="false">
      <c r="A125" s="15" t="s">
        <v>81</v>
      </c>
      <c r="B125" s="11" t="str">
        <f aca="false">INDEX(PRODUTOS!$E$4:$E$63,MATCH($A125,PRODUTOS!$B$4:$B$63,0))</f>
        <v>New Dots Ração Seca Premium para Cães Filhotes - 20 kg</v>
      </c>
      <c r="C125" s="11" t="str">
        <f aca="false">INDEX(PRODUTOS!$H$4:$H$63,MATCH($A125,PRODUTOS!$B$4:$B$63,0))</f>
        <v>20 kg</v>
      </c>
      <c r="D125" s="11" t="s">
        <v>327</v>
      </c>
      <c r="E125" s="16" t="str">
        <f aca="false">$A125&amp;"."&amp;$D125&amp;".jpg"</f>
        <v>7898968541566.PT02.jpg</v>
      </c>
      <c r="F125" s="11" t="str">
        <f aca="false">IF(INDEX(PRODUTOS!$I$4:$I$63,MATCH($A125,PRODUTOS!$B$4:$B$63,0))="B",INDEX(MODELOS!$F$3:$F$19,MATCH($D125,MODELOS!$A$3:$A$19,0)),INDEX(MODELOS!$B$3:$B$19,MATCH($D125,MODELOS!$A$3:$A$19,0)))</f>
        <v>Galeria · posição 3</v>
      </c>
      <c r="G125" s="11" t="str">
        <f aca="false">IF(INDEX(PRODUTOS!$F$4:$F$63,MATCH($A125,PRODUTOS!$B$4:$B$63,0))="Ração",IF(INDEX(PRODUTOS!$I$4:$I$63,MATCH($A125,PRODUTOS!$B$4:$B$63,0))="B",INDEX(MODELOS!$G$3:$G$19,MATCH($D125,MODELOS!$A$3:$A$19,0)),INDEX(MODELOS!$C$3:$C$19,MATCH($D125,MODELOS!$A$3:$A$19,0))),IF(INDEX(PRODUTOS!$I$4:$I$63,MATCH($A125,PRODUTOS!$B$4:$B$63,0))="B",INDEX(MODELOS!$H$3:$H$19,MATCH($D125,MODELOS!$A$3:$A$19,0)),INDEX(MODELOS!$D$3:$D$19,MATCH($D125,MODELOS!$A$3:$A$19,0))))</f>
        <v>Benefícios com ícones (4 a 6, impressos na embalagem) + ingrediente</v>
      </c>
      <c r="H125" s="11" t="str">
        <f aca="false">IF(INDEX(PRODUTOS!$I$4:$I$63,MATCH($A125,PRODUTOS!$B$4:$B$63,0))="B",INDEX(MODELOS!$I$3:$I$19,MATCH($D125,MODELOS!$A$3:$A$19,0)),INDEX(MODELOS!$E$3:$E$19,MATCH($D125,MODELOS!$A$3:$A$19,0)))</f>
        <v>2000 × 2000</v>
      </c>
      <c r="I125" s="11" t="str">
        <f aca="false">INDEX(MODELOS!$J$3:$J$19,MATCH($D125,MODELOS!$A$3:$A$19,0))</f>
        <v>SIM</v>
      </c>
      <c r="J125" s="11" t="str">
        <f aca="false">IF(LEFT($D125,2)&lt;&gt;"AP",IF($I125="SIM","SIM","RECOMENDADA"),IF(INDEX(PRODUTOS!$J$4:$J$63,MATCH($A125,PRODUTOS!$B$4:$B$63,0))&lt;&gt;"","NÃO (usa o A+ do EAN "&amp;INDEX(PRODUTOS!$J$4:$J$63,MATCH($A125,PRODUTOS!$B$4:$B$63,0))&amp;")",IF(AND(INDEX(PRODUTOS!$I$4:$I$63,MATCH($A125,PRODUTOS!$B$4:$B$63,0))="B",$D125="AP07"),"NÃO (modelo B)","SIM")))</f>
        <v>SIM</v>
      </c>
      <c r="K125" s="13" t="s">
        <v>325</v>
      </c>
      <c r="L125" s="13"/>
    </row>
    <row r="126" customFormat="false" ht="15" hidden="false" customHeight="false" outlineLevel="0" collapsed="false">
      <c r="A126" s="15" t="s">
        <v>81</v>
      </c>
      <c r="B126" s="11" t="str">
        <f aca="false">INDEX(PRODUTOS!$E$4:$E$63,MATCH($A126,PRODUTOS!$B$4:$B$63,0))</f>
        <v>New Dots Ração Seca Premium para Cães Filhotes - 20 kg</v>
      </c>
      <c r="C126" s="11" t="str">
        <f aca="false">INDEX(PRODUTOS!$H$4:$H$63,MATCH($A126,PRODUTOS!$B$4:$B$63,0))</f>
        <v>20 kg</v>
      </c>
      <c r="D126" s="11" t="s">
        <v>328</v>
      </c>
      <c r="E126" s="16" t="str">
        <f aca="false">$A126&amp;"."&amp;$D126&amp;".jpg"</f>
        <v>7898968541566.PT03.jpg</v>
      </c>
      <c r="F126" s="11" t="str">
        <f aca="false">IF(INDEX(PRODUTOS!$I$4:$I$63,MATCH($A126,PRODUTOS!$B$4:$B$63,0))="B",INDEX(MODELOS!$F$3:$F$19,MATCH($D126,MODELOS!$A$3:$A$19,0)),INDEX(MODELOS!$B$3:$B$19,MATCH($D126,MODELOS!$A$3:$A$19,0)))</f>
        <v>Galeria · posição 4</v>
      </c>
      <c r="G126" s="11" t="str">
        <f aca="false">IF(INDEX(PRODUTOS!$F$4:$F$63,MATCH($A126,PRODUTOS!$B$4:$B$63,0))="Ração",IF(INDEX(PRODUTOS!$I$4:$I$63,MATCH($A126,PRODUTOS!$B$4:$B$63,0))="B",INDEX(MODELOS!$G$3:$G$19,MATCH($D126,MODELOS!$A$3:$A$19,0)),INDEX(MODELOS!$C$3:$C$19,MATCH($D126,MODELOS!$A$3:$A$19,0))),IF(INDEX(PRODUTOS!$I$4:$I$63,MATCH($A126,PRODUTOS!$B$4:$B$63,0))="B",INDEX(MODELOS!$H$3:$H$19,MATCH($D126,MODELOS!$A$3:$A$19,0)),INDEX(MODELOS!$D$3:$D$19,MATCH($D126,MODELOS!$A$3:$A$19,0))))</f>
        <v>Formato e tamanho do grão, com medida em mm e referência de tamanho</v>
      </c>
      <c r="H126" s="11" t="str">
        <f aca="false">IF(INDEX(PRODUTOS!$I$4:$I$63,MATCH($A126,PRODUTOS!$B$4:$B$63,0))="B",INDEX(MODELOS!$I$3:$I$19,MATCH($D126,MODELOS!$A$3:$A$19,0)),INDEX(MODELOS!$E$3:$E$19,MATCH($D126,MODELOS!$A$3:$A$19,0)))</f>
        <v>2000 × 2000</v>
      </c>
      <c r="I126" s="11" t="str">
        <f aca="false">INDEX(MODELOS!$J$3:$J$19,MATCH($D126,MODELOS!$A$3:$A$19,0))</f>
        <v>SIM</v>
      </c>
      <c r="J126" s="11" t="str">
        <f aca="false">IF(LEFT($D126,2)&lt;&gt;"AP",IF($I126="SIM","SIM","RECOMENDADA"),IF(INDEX(PRODUTOS!$J$4:$J$63,MATCH($A126,PRODUTOS!$B$4:$B$63,0))&lt;&gt;"","NÃO (usa o A+ do EAN "&amp;INDEX(PRODUTOS!$J$4:$J$63,MATCH($A126,PRODUTOS!$B$4:$B$63,0))&amp;")",IF(AND(INDEX(PRODUTOS!$I$4:$I$63,MATCH($A126,PRODUTOS!$B$4:$B$63,0))="B",$D126="AP07"),"NÃO (modelo B)","SIM")))</f>
        <v>SIM</v>
      </c>
      <c r="K126" s="13" t="s">
        <v>325</v>
      </c>
      <c r="L126" s="13"/>
    </row>
    <row r="127" customFormat="false" ht="15" hidden="false" customHeight="false" outlineLevel="0" collapsed="false">
      <c r="A127" s="15" t="s">
        <v>81</v>
      </c>
      <c r="B127" s="11" t="str">
        <f aca="false">INDEX(PRODUTOS!$E$4:$E$63,MATCH($A127,PRODUTOS!$B$4:$B$63,0))</f>
        <v>New Dots Ração Seca Premium para Cães Filhotes - 20 kg</v>
      </c>
      <c r="C127" s="11" t="str">
        <f aca="false">INDEX(PRODUTOS!$H$4:$H$63,MATCH($A127,PRODUTOS!$B$4:$B$63,0))</f>
        <v>20 kg</v>
      </c>
      <c r="D127" s="11" t="s">
        <v>329</v>
      </c>
      <c r="E127" s="16" t="str">
        <f aca="false">$A127&amp;"."&amp;$D127&amp;".jpg"</f>
        <v>7898968541566.PT04.jpg</v>
      </c>
      <c r="F127" s="11" t="str">
        <f aca="false">IF(INDEX(PRODUTOS!$I$4:$I$63,MATCH($A127,PRODUTOS!$B$4:$B$63,0))="B",INDEX(MODELOS!$F$3:$F$19,MATCH($D127,MODELOS!$A$3:$A$19,0)),INDEX(MODELOS!$B$3:$B$19,MATCH($D127,MODELOS!$A$3:$A$19,0)))</f>
        <v>Galeria · posição 5</v>
      </c>
      <c r="G127" s="11" t="str">
        <f aca="false">IF(INDEX(PRODUTOS!$F$4:$F$63,MATCH($A127,PRODUTOS!$B$4:$B$63,0))="Ração",IF(INDEX(PRODUTOS!$I$4:$I$63,MATCH($A127,PRODUTOS!$B$4:$B$63,0))="B",INDEX(MODELOS!$G$3:$G$19,MATCH($D127,MODELOS!$A$3:$A$19,0)),INDEX(MODELOS!$C$3:$C$19,MATCH($D127,MODELOS!$A$3:$A$19,0))),IF(INDEX(PRODUTOS!$I$4:$I$63,MATCH($A127,PRODUTOS!$B$4:$B$63,0))="B",INDEX(MODELOS!$H$3:$H$19,MATCH($D127,MODELOS!$A$3:$A$19,0)),INDEX(MODELOS!$D$3:$D$19,MATCH($D127,MODELOS!$A$3:$A$19,0))))</f>
        <v>Quantidade diária por peso do cão/gato (números idênticos à embalagem)</v>
      </c>
      <c r="H127" s="11" t="str">
        <f aca="false">IF(INDEX(PRODUTOS!$I$4:$I$63,MATCH($A127,PRODUTOS!$B$4:$B$63,0))="B",INDEX(MODELOS!$I$3:$I$19,MATCH($D127,MODELOS!$A$3:$A$19,0)),INDEX(MODELOS!$E$3:$E$19,MATCH($D127,MODELOS!$A$3:$A$19,0)))</f>
        <v>2000 × 2000</v>
      </c>
      <c r="I127" s="11" t="str">
        <f aca="false">INDEX(MODELOS!$J$3:$J$19,MATCH($D127,MODELOS!$A$3:$A$19,0))</f>
        <v>SIM</v>
      </c>
      <c r="J127" s="11" t="str">
        <f aca="false">IF(LEFT($D127,2)&lt;&gt;"AP",IF($I127="SIM","SIM","RECOMENDADA"),IF(INDEX(PRODUTOS!$J$4:$J$63,MATCH($A127,PRODUTOS!$B$4:$B$63,0))&lt;&gt;"","NÃO (usa o A+ do EAN "&amp;INDEX(PRODUTOS!$J$4:$J$63,MATCH($A127,PRODUTOS!$B$4:$B$63,0))&amp;")",IF(AND(INDEX(PRODUTOS!$I$4:$I$63,MATCH($A127,PRODUTOS!$B$4:$B$63,0))="B",$D127="AP07"),"NÃO (modelo B)","SIM")))</f>
        <v>SIM</v>
      </c>
      <c r="K127" s="13" t="s">
        <v>325</v>
      </c>
      <c r="L127" s="13"/>
    </row>
    <row r="128" customFormat="false" ht="15" hidden="false" customHeight="false" outlineLevel="0" collapsed="false">
      <c r="A128" s="15" t="s">
        <v>81</v>
      </c>
      <c r="B128" s="11" t="str">
        <f aca="false">INDEX(PRODUTOS!$E$4:$E$63,MATCH($A128,PRODUTOS!$B$4:$B$63,0))</f>
        <v>New Dots Ração Seca Premium para Cães Filhotes - 20 kg</v>
      </c>
      <c r="C128" s="11" t="str">
        <f aca="false">INDEX(PRODUTOS!$H$4:$H$63,MATCH($A128,PRODUTOS!$B$4:$B$63,0))</f>
        <v>20 kg</v>
      </c>
      <c r="D128" s="11" t="s">
        <v>330</v>
      </c>
      <c r="E128" s="16" t="str">
        <f aca="false">$A128&amp;"."&amp;$D128&amp;".jpg"</f>
        <v>7898968541566.PT05.jpg</v>
      </c>
      <c r="F128" s="11" t="str">
        <f aca="false">IF(INDEX(PRODUTOS!$I$4:$I$63,MATCH($A128,PRODUTOS!$B$4:$B$63,0))="B",INDEX(MODELOS!$F$3:$F$19,MATCH($D128,MODELOS!$A$3:$A$19,0)),INDEX(MODELOS!$B$3:$B$19,MATCH($D128,MODELOS!$A$3:$A$19,0)))</f>
        <v>Galeria · posição 6</v>
      </c>
      <c r="G128" s="11" t="str">
        <f aca="false">IF(INDEX(PRODUTOS!$F$4:$F$63,MATCH($A128,PRODUTOS!$B$4:$B$63,0))="Ração",IF(INDEX(PRODUTOS!$I$4:$I$63,MATCH($A128,PRODUTOS!$B$4:$B$63,0))="B",INDEX(MODELOS!$G$3:$G$19,MATCH($D128,MODELOS!$A$3:$A$19,0)),INDEX(MODELOS!$C$3:$C$19,MATCH($D128,MODELOS!$A$3:$A$19,0))),IF(INDEX(PRODUTOS!$I$4:$I$63,MATCH($A128,PRODUTOS!$B$4:$B$63,0))="B",INDEX(MODELOS!$H$3:$H$19,MATCH($D128,MODELOS!$A$3:$A$19,0)),INDEX(MODELOS!$D$3:$D$19,MATCH($D128,MODELOS!$A$3:$A$19,0))))</f>
        <v>Transição alimentar dia a dia (igual ao verso da embalagem)</v>
      </c>
      <c r="H128" s="11" t="str">
        <f aca="false">IF(INDEX(PRODUTOS!$I$4:$I$63,MATCH($A128,PRODUTOS!$B$4:$B$63,0))="B",INDEX(MODELOS!$I$3:$I$19,MATCH($D128,MODELOS!$A$3:$A$19,0)),INDEX(MODELOS!$E$3:$E$19,MATCH($D128,MODELOS!$A$3:$A$19,0)))</f>
        <v>2000 × 2000</v>
      </c>
      <c r="I128" s="11" t="str">
        <f aca="false">INDEX(MODELOS!$J$3:$J$19,MATCH($D128,MODELOS!$A$3:$A$19,0))</f>
        <v>Recomendada</v>
      </c>
      <c r="J128" s="11" t="str">
        <f aca="false">IF(LEFT($D128,2)&lt;&gt;"AP",IF($I128="SIM","SIM","RECOMENDADA"),IF(INDEX(PRODUTOS!$J$4:$J$63,MATCH($A128,PRODUTOS!$B$4:$B$63,0))&lt;&gt;"","NÃO (usa o A+ do EAN "&amp;INDEX(PRODUTOS!$J$4:$J$63,MATCH($A128,PRODUTOS!$B$4:$B$63,0))&amp;")",IF(AND(INDEX(PRODUTOS!$I$4:$I$63,MATCH($A128,PRODUTOS!$B$4:$B$63,0))="B",$D128="AP07"),"NÃO (modelo B)","SIM")))</f>
        <v>RECOMENDADA</v>
      </c>
      <c r="K128" s="13" t="s">
        <v>325</v>
      </c>
      <c r="L128" s="13"/>
    </row>
    <row r="129" customFormat="false" ht="15" hidden="false" customHeight="false" outlineLevel="0" collapsed="false">
      <c r="A129" s="15" t="s">
        <v>81</v>
      </c>
      <c r="B129" s="11" t="str">
        <f aca="false">INDEX(PRODUTOS!$E$4:$E$63,MATCH($A129,PRODUTOS!$B$4:$B$63,0))</f>
        <v>New Dots Ração Seca Premium para Cães Filhotes - 20 kg</v>
      </c>
      <c r="C129" s="11" t="str">
        <f aca="false">INDEX(PRODUTOS!$H$4:$H$63,MATCH($A129,PRODUTOS!$B$4:$B$63,0))</f>
        <v>20 kg</v>
      </c>
      <c r="D129" s="11" t="s">
        <v>331</v>
      </c>
      <c r="E129" s="16" t="str">
        <f aca="false">$A129&amp;"."&amp;$D129&amp;".jpg"</f>
        <v>7898968541566.PT06.jpg</v>
      </c>
      <c r="F129" s="11" t="str">
        <f aca="false">IF(INDEX(PRODUTOS!$I$4:$I$63,MATCH($A129,PRODUTOS!$B$4:$B$63,0))="B",INDEX(MODELOS!$F$3:$F$19,MATCH($D129,MODELOS!$A$3:$A$19,0)),INDEX(MODELOS!$B$3:$B$19,MATCH($D129,MODELOS!$A$3:$A$19,0)))</f>
        <v>Galeria · posição 7</v>
      </c>
      <c r="G129" s="11" t="str">
        <f aca="false">IF(INDEX(PRODUTOS!$F$4:$F$63,MATCH($A129,PRODUTOS!$B$4:$B$63,0))="Ração",IF(INDEX(PRODUTOS!$I$4:$I$63,MATCH($A129,PRODUTOS!$B$4:$B$63,0))="B",INDEX(MODELOS!$G$3:$G$19,MATCH($D129,MODELOS!$A$3:$A$19,0)),INDEX(MODELOS!$C$3:$C$19,MATCH($D129,MODELOS!$A$3:$A$19,0))),IF(INDEX(PRODUTOS!$I$4:$I$63,MATCH($A129,PRODUTOS!$B$4:$B$63,0))="B",INDEX(MODELOS!$H$3:$H$19,MATCH($D129,MODELOS!$A$3:$A$19,0)),INDEX(MODELOS!$D$3:$D$19,MATCH($D129,MODELOS!$A$3:$A$19,0))))</f>
        <v>Composição e níveis de garantia em letra grande</v>
      </c>
      <c r="H129" s="11" t="str">
        <f aca="false">IF(INDEX(PRODUTOS!$I$4:$I$63,MATCH($A129,PRODUTOS!$B$4:$B$63,0))="B",INDEX(MODELOS!$I$3:$I$19,MATCH($D129,MODELOS!$A$3:$A$19,0)),INDEX(MODELOS!$E$3:$E$19,MATCH($D129,MODELOS!$A$3:$A$19,0)))</f>
        <v>2000 × 2000</v>
      </c>
      <c r="I129" s="11" t="str">
        <f aca="false">INDEX(MODELOS!$J$3:$J$19,MATCH($D129,MODELOS!$A$3:$A$19,0))</f>
        <v>SIM</v>
      </c>
      <c r="J129" s="11" t="str">
        <f aca="false">IF(LEFT($D129,2)&lt;&gt;"AP",IF($I129="SIM","SIM","RECOMENDADA"),IF(INDEX(PRODUTOS!$J$4:$J$63,MATCH($A129,PRODUTOS!$B$4:$B$63,0))&lt;&gt;"","NÃO (usa o A+ do EAN "&amp;INDEX(PRODUTOS!$J$4:$J$63,MATCH($A129,PRODUTOS!$B$4:$B$63,0))&amp;")",IF(AND(INDEX(PRODUTOS!$I$4:$I$63,MATCH($A129,PRODUTOS!$B$4:$B$63,0))="B",$D129="AP07"),"NÃO (modelo B)","SIM")))</f>
        <v>SIM</v>
      </c>
      <c r="K129" s="13" t="s">
        <v>325</v>
      </c>
      <c r="L129" s="13"/>
    </row>
    <row r="130" customFormat="false" ht="15" hidden="false" customHeight="false" outlineLevel="0" collapsed="false">
      <c r="A130" s="15" t="s">
        <v>81</v>
      </c>
      <c r="B130" s="11" t="str">
        <f aca="false">INDEX(PRODUTOS!$E$4:$E$63,MATCH($A130,PRODUTOS!$B$4:$B$63,0))</f>
        <v>New Dots Ração Seca Premium para Cães Filhotes - 20 kg</v>
      </c>
      <c r="C130" s="11" t="str">
        <f aca="false">INDEX(PRODUTOS!$H$4:$H$63,MATCH($A130,PRODUTOS!$B$4:$B$63,0))</f>
        <v>20 kg</v>
      </c>
      <c r="D130" s="11" t="s">
        <v>332</v>
      </c>
      <c r="E130" s="16" t="str">
        <f aca="false">$A130&amp;"."&amp;$D130&amp;".jpg"</f>
        <v>7898968541566.PT07.jpg</v>
      </c>
      <c r="F130" s="11" t="str">
        <f aca="false">IF(INDEX(PRODUTOS!$I$4:$I$63,MATCH($A130,PRODUTOS!$B$4:$B$63,0))="B",INDEX(MODELOS!$F$3:$F$19,MATCH($D130,MODELOS!$A$3:$A$19,0)),INDEX(MODELOS!$B$3:$B$19,MATCH($D130,MODELOS!$A$3:$A$19,0)))</f>
        <v>Galeria · posição 8</v>
      </c>
      <c r="G130" s="11" t="str">
        <f aca="false">IF(INDEX(PRODUTOS!$F$4:$F$63,MATCH($A130,PRODUTOS!$B$4:$B$63,0))="Ração",IF(INDEX(PRODUTOS!$I$4:$I$63,MATCH($A130,PRODUTOS!$B$4:$B$63,0))="B",INDEX(MODELOS!$G$3:$G$19,MATCH($D130,MODELOS!$A$3:$A$19,0)),INDEX(MODELOS!$C$3:$C$19,MATCH($D130,MODELOS!$A$3:$A$19,0))),IF(INDEX(PRODUTOS!$I$4:$I$63,MATCH($A130,PRODUTOS!$B$4:$B$63,0))="B",INDEX(MODELOS!$H$3:$H$19,MATCH($D130,MODELOS!$A$3:$A$19,0)),INDEX(MODELOS!$D$3:$D$19,MATCH($D130,MODELOS!$A$3:$A$19,0))))</f>
        <v>Emocional / momento de uso (pet do porte certo, pote cheio)</v>
      </c>
      <c r="H130" s="11" t="str">
        <f aca="false">IF(INDEX(PRODUTOS!$I$4:$I$63,MATCH($A130,PRODUTOS!$B$4:$B$63,0))="B",INDEX(MODELOS!$I$3:$I$19,MATCH($D130,MODELOS!$A$3:$A$19,0)),INDEX(MODELOS!$E$3:$E$19,MATCH($D130,MODELOS!$A$3:$A$19,0)))</f>
        <v>2000 × 2000</v>
      </c>
      <c r="I130" s="11" t="str">
        <f aca="false">INDEX(MODELOS!$J$3:$J$19,MATCH($D130,MODELOS!$A$3:$A$19,0))</f>
        <v>Recomendada</v>
      </c>
      <c r="J130" s="11" t="str">
        <f aca="false">IF(LEFT($D130,2)&lt;&gt;"AP",IF($I130="SIM","SIM","RECOMENDADA"),IF(INDEX(PRODUTOS!$J$4:$J$63,MATCH($A130,PRODUTOS!$B$4:$B$63,0))&lt;&gt;"","NÃO (usa o A+ do EAN "&amp;INDEX(PRODUTOS!$J$4:$J$63,MATCH($A130,PRODUTOS!$B$4:$B$63,0))&amp;")",IF(AND(INDEX(PRODUTOS!$I$4:$I$63,MATCH($A130,PRODUTOS!$B$4:$B$63,0))="B",$D130="AP07"),"NÃO (modelo B)","SIM")))</f>
        <v>RECOMENDADA</v>
      </c>
      <c r="K130" s="13" t="s">
        <v>325</v>
      </c>
      <c r="L130" s="13"/>
    </row>
    <row r="131" customFormat="false" ht="15" hidden="false" customHeight="false" outlineLevel="0" collapsed="false">
      <c r="A131" s="15" t="s">
        <v>81</v>
      </c>
      <c r="B131" s="11" t="str">
        <f aca="false">INDEX(PRODUTOS!$E$4:$E$63,MATCH($A131,PRODUTOS!$B$4:$B$63,0))</f>
        <v>New Dots Ração Seca Premium para Cães Filhotes - 20 kg</v>
      </c>
      <c r="C131" s="11" t="str">
        <f aca="false">INDEX(PRODUTOS!$H$4:$H$63,MATCH($A131,PRODUTOS!$B$4:$B$63,0))</f>
        <v>20 kg</v>
      </c>
      <c r="D131" s="11" t="s">
        <v>333</v>
      </c>
      <c r="E131" s="16" t="str">
        <f aca="false">$A131&amp;"."&amp;$D131&amp;".jpg"</f>
        <v>7898968541566.PT08.jpg</v>
      </c>
      <c r="F131" s="11" t="str">
        <f aca="false">IF(INDEX(PRODUTOS!$I$4:$I$63,MATCH($A131,PRODUTOS!$B$4:$B$63,0))="B",INDEX(MODELOS!$F$3:$F$19,MATCH($D131,MODELOS!$A$3:$A$19,0)),INDEX(MODELOS!$B$3:$B$19,MATCH($D131,MODELOS!$A$3:$A$19,0)))</f>
        <v>Galeria · posição 9</v>
      </c>
      <c r="G131" s="11" t="str">
        <f aca="false">IF(INDEX(PRODUTOS!$F$4:$F$63,MATCH($A131,PRODUTOS!$B$4:$B$63,0))="Ração",IF(INDEX(PRODUTOS!$I$4:$I$63,MATCH($A131,PRODUTOS!$B$4:$B$63,0))="B",INDEX(MODELOS!$G$3:$G$19,MATCH($D131,MODELOS!$A$3:$A$19,0)),INDEX(MODELOS!$C$3:$C$19,MATCH($D131,MODELOS!$A$3:$A$19,0))),IF(INDEX(PRODUTOS!$I$4:$I$63,MATCH($A131,PRODUTOS!$B$4:$B$63,0))="B",INDEX(MODELOS!$H$3:$H$19,MATCH($D131,MODELOS!$A$3:$A$19,0)),INDEX(MODELOS!$D$3:$D$19,MATCH($D131,MODELOS!$A$3:$A$19,0))))</f>
        <v>Linha da marca ou embalagem anterior × nova</v>
      </c>
      <c r="H131" s="11" t="str">
        <f aca="false">IF(INDEX(PRODUTOS!$I$4:$I$63,MATCH($A131,PRODUTOS!$B$4:$B$63,0))="B",INDEX(MODELOS!$I$3:$I$19,MATCH($D131,MODELOS!$A$3:$A$19,0)),INDEX(MODELOS!$E$3:$E$19,MATCH($D131,MODELOS!$A$3:$A$19,0)))</f>
        <v>2000 × 2000</v>
      </c>
      <c r="I131" s="11" t="str">
        <f aca="false">INDEX(MODELOS!$J$3:$J$19,MATCH($D131,MODELOS!$A$3:$A$19,0))</f>
        <v>Recomendada</v>
      </c>
      <c r="J131" s="11" t="str">
        <f aca="false">IF(LEFT($D131,2)&lt;&gt;"AP",IF($I131="SIM","SIM","RECOMENDADA"),IF(INDEX(PRODUTOS!$J$4:$J$63,MATCH($A131,PRODUTOS!$B$4:$B$63,0))&lt;&gt;"","NÃO (usa o A+ do EAN "&amp;INDEX(PRODUTOS!$J$4:$J$63,MATCH($A131,PRODUTOS!$B$4:$B$63,0))&amp;")",IF(AND(INDEX(PRODUTOS!$I$4:$I$63,MATCH($A131,PRODUTOS!$B$4:$B$63,0))="B",$D131="AP07"),"NÃO (modelo B)","SIM")))</f>
        <v>RECOMENDADA</v>
      </c>
      <c r="K131" s="13" t="s">
        <v>325</v>
      </c>
      <c r="L131" s="13"/>
    </row>
    <row r="132" customFormat="false" ht="15" hidden="false" customHeight="false" outlineLevel="0" collapsed="false">
      <c r="A132" s="15" t="s">
        <v>81</v>
      </c>
      <c r="B132" s="11" t="str">
        <f aca="false">INDEX(PRODUTOS!$E$4:$E$63,MATCH($A132,PRODUTOS!$B$4:$B$63,0))</f>
        <v>New Dots Ração Seca Premium para Cães Filhotes - 20 kg</v>
      </c>
      <c r="C132" s="11" t="str">
        <f aca="false">INDEX(PRODUTOS!$H$4:$H$63,MATCH($A132,PRODUTOS!$B$4:$B$63,0))</f>
        <v>20 kg</v>
      </c>
      <c r="D132" s="11" t="s">
        <v>334</v>
      </c>
      <c r="E132" s="16" t="str">
        <f aca="false">$A132&amp;"."&amp;$D132&amp;".jpg"</f>
        <v>7898968541566.AP01.jpg</v>
      </c>
      <c r="F132" s="11" t="str">
        <f aca="false">IF(INDEX(PRODUTOS!$I$4:$I$63,MATCH($A132,PRODUTOS!$B$4:$B$63,0))="B",INDEX(MODELOS!$F$3:$F$19,MATCH($D132,MODELOS!$A$3:$A$19,0)),INDEX(MODELOS!$B$3:$B$19,MATCH($D132,MODELOS!$A$3:$A$19,0)))</f>
        <v>A+ · Módulo 1 · Banner</v>
      </c>
      <c r="G132" s="11" t="str">
        <f aca="false">IF(INDEX(PRODUTOS!$F$4:$F$63,MATCH($A132,PRODUTOS!$B$4:$B$63,0))="Ração",IF(INDEX(PRODUTOS!$I$4:$I$63,MATCH($A132,PRODUTOS!$B$4:$B$63,0))="B",INDEX(MODELOS!$G$3:$G$19,MATCH($D132,MODELOS!$A$3:$A$19,0)),INDEX(MODELOS!$C$3:$C$19,MATCH($D132,MODELOS!$A$3:$A$19,0))),IF(INDEX(PRODUTOS!$I$4:$I$63,MATCH($A132,PRODUTOS!$B$4:$B$63,0))="B",INDEX(MODELOS!$H$3:$H$19,MATCH($D132,MODELOS!$A$3:$A$19,0)),INDEX(MODELOS!$D$3:$D$19,MATCH($D132,MODELOS!$A$3:$A$19,0))))</f>
        <v>Embalagem + pet + ingredientes, com o nome da linha</v>
      </c>
      <c r="H132" s="11" t="str">
        <f aca="false">IF(INDEX(PRODUTOS!$I$4:$I$63,MATCH($A132,PRODUTOS!$B$4:$B$63,0))="B",INDEX(MODELOS!$I$3:$I$19,MATCH($D132,MODELOS!$A$3:$A$19,0)),INDEX(MODELOS!$E$3:$E$19,MATCH($D132,MODELOS!$A$3:$A$19,0)))</f>
        <v>970 × 600</v>
      </c>
      <c r="I132" s="11" t="str">
        <f aca="false">INDEX(MODELOS!$J$3:$J$19,MATCH($D132,MODELOS!$A$3:$A$19,0))</f>
        <v>Conforme modelo</v>
      </c>
      <c r="J132" s="11" t="str">
        <f aca="false">IF(LEFT($D132,2)&lt;&gt;"AP",IF($I132="SIM","SIM","RECOMENDADA"),IF(INDEX(PRODUTOS!$J$4:$J$63,MATCH($A132,PRODUTOS!$B$4:$B$63,0))&lt;&gt;"","NÃO (usa o A+ do EAN "&amp;INDEX(PRODUTOS!$J$4:$J$63,MATCH($A132,PRODUTOS!$B$4:$B$63,0))&amp;")",IF(AND(INDEX(PRODUTOS!$I$4:$I$63,MATCH($A132,PRODUTOS!$B$4:$B$63,0))="B",$D132="AP07"),"NÃO (modelo B)","SIM")))</f>
        <v>SIM</v>
      </c>
      <c r="K132" s="13" t="s">
        <v>325</v>
      </c>
      <c r="L132" s="13"/>
    </row>
    <row r="133" customFormat="false" ht="15" hidden="false" customHeight="false" outlineLevel="0" collapsed="false">
      <c r="A133" s="15" t="s">
        <v>81</v>
      </c>
      <c r="B133" s="11" t="str">
        <f aca="false">INDEX(PRODUTOS!$E$4:$E$63,MATCH($A133,PRODUTOS!$B$4:$B$63,0))</f>
        <v>New Dots Ração Seca Premium para Cães Filhotes - 20 kg</v>
      </c>
      <c r="C133" s="11" t="str">
        <f aca="false">INDEX(PRODUTOS!$H$4:$H$63,MATCH($A133,PRODUTOS!$B$4:$B$63,0))</f>
        <v>20 kg</v>
      </c>
      <c r="D133" s="11" t="s">
        <v>335</v>
      </c>
      <c r="E133" s="16" t="str">
        <f aca="false">$A133&amp;"."&amp;$D133&amp;".jpg"</f>
        <v>7898968541566.AP02.jpg</v>
      </c>
      <c r="F133" s="11" t="str">
        <f aca="false">IF(INDEX(PRODUTOS!$I$4:$I$63,MATCH($A133,PRODUTOS!$B$4:$B$63,0))="B",INDEX(MODELOS!$F$3:$F$19,MATCH($D133,MODELOS!$A$3:$A$19,0)),INDEX(MODELOS!$B$3:$B$19,MATCH($D133,MODELOS!$A$3:$A$19,0)))</f>
        <v>A+ · Módulo 2 · Texto sobreposto</v>
      </c>
      <c r="G133" s="11" t="str">
        <f aca="false">IF(INDEX(PRODUTOS!$F$4:$F$63,MATCH($A133,PRODUTOS!$B$4:$B$63,0))="Ração",IF(INDEX(PRODUTOS!$I$4:$I$63,MATCH($A133,PRODUTOS!$B$4:$B$63,0))="B",INDEX(MODELOS!$G$3:$G$19,MATCH($D133,MODELOS!$A$3:$A$19,0)),INDEX(MODELOS!$C$3:$C$19,MATCH($D133,MODELOS!$A$3:$A$19,0))),IF(INDEX(PRODUTOS!$I$4:$I$63,MATCH($A133,PRODUTOS!$B$4:$B$63,0))="B",INDEX(MODELOS!$H$3:$H$19,MATCH($D133,MODELOS!$A$3:$A$19,0)),INDEX(MODELOS!$D$3:$D$19,MATCH($D133,MODELOS!$A$3:$A$19,0))))</f>
        <v>Principal diferencial; deixar o lado direito limpo</v>
      </c>
      <c r="H133" s="11" t="str">
        <f aca="false">IF(INDEX(PRODUTOS!$I$4:$I$63,MATCH($A133,PRODUTOS!$B$4:$B$63,0))="B",INDEX(MODELOS!$I$3:$I$19,MATCH($D133,MODELOS!$A$3:$A$19,0)),INDEX(MODELOS!$E$3:$E$19,MATCH($D133,MODELOS!$A$3:$A$19,0)))</f>
        <v>970 × 300</v>
      </c>
      <c r="I133" s="11" t="str">
        <f aca="false">INDEX(MODELOS!$J$3:$J$19,MATCH($D133,MODELOS!$A$3:$A$19,0))</f>
        <v>Conforme modelo</v>
      </c>
      <c r="J133" s="11" t="str">
        <f aca="false">IF(LEFT($D133,2)&lt;&gt;"AP",IF($I133="SIM","SIM","RECOMENDADA"),IF(INDEX(PRODUTOS!$J$4:$J$63,MATCH($A133,PRODUTOS!$B$4:$B$63,0))&lt;&gt;"","NÃO (usa o A+ do EAN "&amp;INDEX(PRODUTOS!$J$4:$J$63,MATCH($A133,PRODUTOS!$B$4:$B$63,0))&amp;")",IF(AND(INDEX(PRODUTOS!$I$4:$I$63,MATCH($A133,PRODUTOS!$B$4:$B$63,0))="B",$D133="AP07"),"NÃO (modelo B)","SIM")))</f>
        <v>SIM</v>
      </c>
      <c r="K133" s="13" t="s">
        <v>325</v>
      </c>
      <c r="L133" s="13"/>
    </row>
    <row r="134" customFormat="false" ht="15" hidden="false" customHeight="false" outlineLevel="0" collapsed="false">
      <c r="A134" s="15" t="s">
        <v>81</v>
      </c>
      <c r="B134" s="11" t="str">
        <f aca="false">INDEX(PRODUTOS!$E$4:$E$63,MATCH($A134,PRODUTOS!$B$4:$B$63,0))</f>
        <v>New Dots Ração Seca Premium para Cães Filhotes - 20 kg</v>
      </c>
      <c r="C134" s="11" t="str">
        <f aca="false">INDEX(PRODUTOS!$H$4:$H$63,MATCH($A134,PRODUTOS!$B$4:$B$63,0))</f>
        <v>20 kg</v>
      </c>
      <c r="D134" s="11" t="s">
        <v>336</v>
      </c>
      <c r="E134" s="16" t="str">
        <f aca="false">$A134&amp;"."&amp;$D134&amp;".jpg"</f>
        <v>7898968541566.AP03.jpg</v>
      </c>
      <c r="F134" s="11" t="str">
        <f aca="false">IF(INDEX(PRODUTOS!$I$4:$I$63,MATCH($A134,PRODUTOS!$B$4:$B$63,0))="B",INDEX(MODELOS!$F$3:$F$19,MATCH($D134,MODELOS!$A$3:$A$19,0)),INDEX(MODELOS!$B$3:$B$19,MATCH($D134,MODELOS!$A$3:$A$19,0)))</f>
        <v>A+ · Módulo 3 · Benefício 1 de 4</v>
      </c>
      <c r="G134" s="11" t="str">
        <f aca="false">IF(INDEX(PRODUTOS!$F$4:$F$63,MATCH($A134,PRODUTOS!$B$4:$B$63,0))="Ração",IF(INDEX(PRODUTOS!$I$4:$I$63,MATCH($A134,PRODUTOS!$B$4:$B$63,0))="B",INDEX(MODELOS!$G$3:$G$19,MATCH($D134,MODELOS!$A$3:$A$19,0)),INDEX(MODELOS!$C$3:$C$19,MATCH($D134,MODELOS!$A$3:$A$19,0))),IF(INDEX(PRODUTOS!$I$4:$I$63,MATCH($A134,PRODUTOS!$B$4:$B$63,0))="B",INDEX(MODELOS!$H$3:$H$19,MATCH($D134,MODELOS!$A$3:$A$19,0)),INDEX(MODELOS!$D$3:$D$19,MATCH($D134,MODELOS!$A$3:$A$19,0))))</f>
        <v>Foto/ilustração do benefício 1</v>
      </c>
      <c r="H134" s="11" t="str">
        <f aca="false">IF(INDEX(PRODUTOS!$I$4:$I$63,MATCH($A134,PRODUTOS!$B$4:$B$63,0))="B",INDEX(MODELOS!$I$3:$I$19,MATCH($D134,MODELOS!$A$3:$A$19,0)),INDEX(MODELOS!$E$3:$E$19,MATCH($D134,MODELOS!$A$3:$A$19,0)))</f>
        <v>220 × 200</v>
      </c>
      <c r="I134" s="11" t="str">
        <f aca="false">INDEX(MODELOS!$J$3:$J$19,MATCH($D134,MODELOS!$A$3:$A$19,0))</f>
        <v>Conforme modelo</v>
      </c>
      <c r="J134" s="11" t="str">
        <f aca="false">IF(LEFT($D134,2)&lt;&gt;"AP",IF($I134="SIM","SIM","RECOMENDADA"),IF(INDEX(PRODUTOS!$J$4:$J$63,MATCH($A134,PRODUTOS!$B$4:$B$63,0))&lt;&gt;"","NÃO (usa o A+ do EAN "&amp;INDEX(PRODUTOS!$J$4:$J$63,MATCH($A134,PRODUTOS!$B$4:$B$63,0))&amp;")",IF(AND(INDEX(PRODUTOS!$I$4:$I$63,MATCH($A134,PRODUTOS!$B$4:$B$63,0))="B",$D134="AP07"),"NÃO (modelo B)","SIM")))</f>
        <v>SIM</v>
      </c>
      <c r="K134" s="13" t="s">
        <v>325</v>
      </c>
      <c r="L134" s="13"/>
    </row>
    <row r="135" customFormat="false" ht="15" hidden="false" customHeight="false" outlineLevel="0" collapsed="false">
      <c r="A135" s="15" t="s">
        <v>81</v>
      </c>
      <c r="B135" s="11" t="str">
        <f aca="false">INDEX(PRODUTOS!$E$4:$E$63,MATCH($A135,PRODUTOS!$B$4:$B$63,0))</f>
        <v>New Dots Ração Seca Premium para Cães Filhotes - 20 kg</v>
      </c>
      <c r="C135" s="11" t="str">
        <f aca="false">INDEX(PRODUTOS!$H$4:$H$63,MATCH($A135,PRODUTOS!$B$4:$B$63,0))</f>
        <v>20 kg</v>
      </c>
      <c r="D135" s="11" t="s">
        <v>337</v>
      </c>
      <c r="E135" s="16" t="str">
        <f aca="false">$A135&amp;"."&amp;$D135&amp;".jpg"</f>
        <v>7898968541566.AP04.jpg</v>
      </c>
      <c r="F135" s="11" t="str">
        <f aca="false">IF(INDEX(PRODUTOS!$I$4:$I$63,MATCH($A135,PRODUTOS!$B$4:$B$63,0))="B",INDEX(MODELOS!$F$3:$F$19,MATCH($D135,MODELOS!$A$3:$A$19,0)),INDEX(MODELOS!$B$3:$B$19,MATCH($D135,MODELOS!$A$3:$A$19,0)))</f>
        <v>A+ · Módulo 3 · Benefício 2 de 4</v>
      </c>
      <c r="G135" s="11" t="str">
        <f aca="false">IF(INDEX(PRODUTOS!$F$4:$F$63,MATCH($A135,PRODUTOS!$B$4:$B$63,0))="Ração",IF(INDEX(PRODUTOS!$I$4:$I$63,MATCH($A135,PRODUTOS!$B$4:$B$63,0))="B",INDEX(MODELOS!$G$3:$G$19,MATCH($D135,MODELOS!$A$3:$A$19,0)),INDEX(MODELOS!$C$3:$C$19,MATCH($D135,MODELOS!$A$3:$A$19,0))),IF(INDEX(PRODUTOS!$I$4:$I$63,MATCH($A135,PRODUTOS!$B$4:$B$63,0))="B",INDEX(MODELOS!$H$3:$H$19,MATCH($D135,MODELOS!$A$3:$A$19,0)),INDEX(MODELOS!$D$3:$D$19,MATCH($D135,MODELOS!$A$3:$A$19,0))))</f>
        <v>Foto/ilustração do benefício 2</v>
      </c>
      <c r="H135" s="11" t="str">
        <f aca="false">IF(INDEX(PRODUTOS!$I$4:$I$63,MATCH($A135,PRODUTOS!$B$4:$B$63,0))="B",INDEX(MODELOS!$I$3:$I$19,MATCH($D135,MODELOS!$A$3:$A$19,0)),INDEX(MODELOS!$E$3:$E$19,MATCH($D135,MODELOS!$A$3:$A$19,0)))</f>
        <v>220 × 200</v>
      </c>
      <c r="I135" s="11" t="str">
        <f aca="false">INDEX(MODELOS!$J$3:$J$19,MATCH($D135,MODELOS!$A$3:$A$19,0))</f>
        <v>Conforme modelo</v>
      </c>
      <c r="J135" s="11" t="str">
        <f aca="false">IF(LEFT($D135,2)&lt;&gt;"AP",IF($I135="SIM","SIM","RECOMENDADA"),IF(INDEX(PRODUTOS!$J$4:$J$63,MATCH($A135,PRODUTOS!$B$4:$B$63,0))&lt;&gt;"","NÃO (usa o A+ do EAN "&amp;INDEX(PRODUTOS!$J$4:$J$63,MATCH($A135,PRODUTOS!$B$4:$B$63,0))&amp;")",IF(AND(INDEX(PRODUTOS!$I$4:$I$63,MATCH($A135,PRODUTOS!$B$4:$B$63,0))="B",$D135="AP07"),"NÃO (modelo B)","SIM")))</f>
        <v>SIM</v>
      </c>
      <c r="K135" s="13" t="s">
        <v>325</v>
      </c>
      <c r="L135" s="13"/>
    </row>
    <row r="136" customFormat="false" ht="15" hidden="false" customHeight="false" outlineLevel="0" collapsed="false">
      <c r="A136" s="15" t="s">
        <v>81</v>
      </c>
      <c r="B136" s="11" t="str">
        <f aca="false">INDEX(PRODUTOS!$E$4:$E$63,MATCH($A136,PRODUTOS!$B$4:$B$63,0))</f>
        <v>New Dots Ração Seca Premium para Cães Filhotes - 20 kg</v>
      </c>
      <c r="C136" s="11" t="str">
        <f aca="false">INDEX(PRODUTOS!$H$4:$H$63,MATCH($A136,PRODUTOS!$B$4:$B$63,0))</f>
        <v>20 kg</v>
      </c>
      <c r="D136" s="11" t="s">
        <v>338</v>
      </c>
      <c r="E136" s="16" t="str">
        <f aca="false">$A136&amp;"."&amp;$D136&amp;".jpg"</f>
        <v>7898968541566.AP05.jpg</v>
      </c>
      <c r="F136" s="11" t="str">
        <f aca="false">IF(INDEX(PRODUTOS!$I$4:$I$63,MATCH($A136,PRODUTOS!$B$4:$B$63,0))="B",INDEX(MODELOS!$F$3:$F$19,MATCH($D136,MODELOS!$A$3:$A$19,0)),INDEX(MODELOS!$B$3:$B$19,MATCH($D136,MODELOS!$A$3:$A$19,0)))</f>
        <v>A+ · Módulo 3 · Benefício 3 de 4</v>
      </c>
      <c r="G136" s="11" t="str">
        <f aca="false">IF(INDEX(PRODUTOS!$F$4:$F$63,MATCH($A136,PRODUTOS!$B$4:$B$63,0))="Ração",IF(INDEX(PRODUTOS!$I$4:$I$63,MATCH($A136,PRODUTOS!$B$4:$B$63,0))="B",INDEX(MODELOS!$G$3:$G$19,MATCH($D136,MODELOS!$A$3:$A$19,0)),INDEX(MODELOS!$C$3:$C$19,MATCH($D136,MODELOS!$A$3:$A$19,0))),IF(INDEX(PRODUTOS!$I$4:$I$63,MATCH($A136,PRODUTOS!$B$4:$B$63,0))="B",INDEX(MODELOS!$H$3:$H$19,MATCH($D136,MODELOS!$A$3:$A$19,0)),INDEX(MODELOS!$D$3:$D$19,MATCH($D136,MODELOS!$A$3:$A$19,0))))</f>
        <v>Foto/ilustração do benefício 3</v>
      </c>
      <c r="H136" s="11" t="str">
        <f aca="false">IF(INDEX(PRODUTOS!$I$4:$I$63,MATCH($A136,PRODUTOS!$B$4:$B$63,0))="B",INDEX(MODELOS!$I$3:$I$19,MATCH($D136,MODELOS!$A$3:$A$19,0)),INDEX(MODELOS!$E$3:$E$19,MATCH($D136,MODELOS!$A$3:$A$19,0)))</f>
        <v>220 × 200</v>
      </c>
      <c r="I136" s="11" t="str">
        <f aca="false">INDEX(MODELOS!$J$3:$J$19,MATCH($D136,MODELOS!$A$3:$A$19,0))</f>
        <v>Conforme modelo</v>
      </c>
      <c r="J136" s="11" t="str">
        <f aca="false">IF(LEFT($D136,2)&lt;&gt;"AP",IF($I136="SIM","SIM","RECOMENDADA"),IF(INDEX(PRODUTOS!$J$4:$J$63,MATCH($A136,PRODUTOS!$B$4:$B$63,0))&lt;&gt;"","NÃO (usa o A+ do EAN "&amp;INDEX(PRODUTOS!$J$4:$J$63,MATCH($A136,PRODUTOS!$B$4:$B$63,0))&amp;")",IF(AND(INDEX(PRODUTOS!$I$4:$I$63,MATCH($A136,PRODUTOS!$B$4:$B$63,0))="B",$D136="AP07"),"NÃO (modelo B)","SIM")))</f>
        <v>SIM</v>
      </c>
      <c r="K136" s="13" t="s">
        <v>325</v>
      </c>
      <c r="L136" s="13"/>
    </row>
    <row r="137" customFormat="false" ht="15" hidden="false" customHeight="false" outlineLevel="0" collapsed="false">
      <c r="A137" s="15" t="s">
        <v>81</v>
      </c>
      <c r="B137" s="11" t="str">
        <f aca="false">INDEX(PRODUTOS!$E$4:$E$63,MATCH($A137,PRODUTOS!$B$4:$B$63,0))</f>
        <v>New Dots Ração Seca Premium para Cães Filhotes - 20 kg</v>
      </c>
      <c r="C137" s="11" t="str">
        <f aca="false">INDEX(PRODUTOS!$H$4:$H$63,MATCH($A137,PRODUTOS!$B$4:$B$63,0))</f>
        <v>20 kg</v>
      </c>
      <c r="D137" s="11" t="s">
        <v>339</v>
      </c>
      <c r="E137" s="16" t="str">
        <f aca="false">$A137&amp;"."&amp;$D137&amp;".jpg"</f>
        <v>7898968541566.AP06.jpg</v>
      </c>
      <c r="F137" s="11" t="str">
        <f aca="false">IF(INDEX(PRODUTOS!$I$4:$I$63,MATCH($A137,PRODUTOS!$B$4:$B$63,0))="B",INDEX(MODELOS!$F$3:$F$19,MATCH($D137,MODELOS!$A$3:$A$19,0)),INDEX(MODELOS!$B$3:$B$19,MATCH($D137,MODELOS!$A$3:$A$19,0)))</f>
        <v>A+ · Módulo 3 · Benefício 4 de 4</v>
      </c>
      <c r="G137" s="11" t="str">
        <f aca="false">IF(INDEX(PRODUTOS!$F$4:$F$63,MATCH($A137,PRODUTOS!$B$4:$B$63,0))="Ração",IF(INDEX(PRODUTOS!$I$4:$I$63,MATCH($A137,PRODUTOS!$B$4:$B$63,0))="B",INDEX(MODELOS!$G$3:$G$19,MATCH($D137,MODELOS!$A$3:$A$19,0)),INDEX(MODELOS!$C$3:$C$19,MATCH($D137,MODELOS!$A$3:$A$19,0))),IF(INDEX(PRODUTOS!$I$4:$I$63,MATCH($A137,PRODUTOS!$B$4:$B$63,0))="B",INDEX(MODELOS!$H$3:$H$19,MATCH($D137,MODELOS!$A$3:$A$19,0)),INDEX(MODELOS!$D$3:$D$19,MATCH($D137,MODELOS!$A$3:$A$19,0))))</f>
        <v>Foto/ilustração do benefício 4</v>
      </c>
      <c r="H137" s="11" t="str">
        <f aca="false">IF(INDEX(PRODUTOS!$I$4:$I$63,MATCH($A137,PRODUTOS!$B$4:$B$63,0))="B",INDEX(MODELOS!$I$3:$I$19,MATCH($D137,MODELOS!$A$3:$A$19,0)),INDEX(MODELOS!$E$3:$E$19,MATCH($D137,MODELOS!$A$3:$A$19,0)))</f>
        <v>220 × 200</v>
      </c>
      <c r="I137" s="11" t="str">
        <f aca="false">INDEX(MODELOS!$J$3:$J$19,MATCH($D137,MODELOS!$A$3:$A$19,0))</f>
        <v>Conforme modelo</v>
      </c>
      <c r="J137" s="11" t="str">
        <f aca="false">IF(LEFT($D137,2)&lt;&gt;"AP",IF($I137="SIM","SIM","RECOMENDADA"),IF(INDEX(PRODUTOS!$J$4:$J$63,MATCH($A137,PRODUTOS!$B$4:$B$63,0))&lt;&gt;"","NÃO (usa o A+ do EAN "&amp;INDEX(PRODUTOS!$J$4:$J$63,MATCH($A137,PRODUTOS!$B$4:$B$63,0))&amp;")",IF(AND(INDEX(PRODUTOS!$I$4:$I$63,MATCH($A137,PRODUTOS!$B$4:$B$63,0))="B",$D137="AP07"),"NÃO (modelo B)","SIM")))</f>
        <v>SIM</v>
      </c>
      <c r="K137" s="13" t="s">
        <v>325</v>
      </c>
      <c r="L137" s="13"/>
    </row>
    <row r="138" customFormat="false" ht="15" hidden="false" customHeight="false" outlineLevel="0" collapsed="false">
      <c r="A138" s="15" t="s">
        <v>81</v>
      </c>
      <c r="B138" s="11" t="str">
        <f aca="false">INDEX(PRODUTOS!$E$4:$E$63,MATCH($A138,PRODUTOS!$B$4:$B$63,0))</f>
        <v>New Dots Ração Seca Premium para Cães Filhotes - 20 kg</v>
      </c>
      <c r="C138" s="11" t="str">
        <f aca="false">INDEX(PRODUTOS!$H$4:$H$63,MATCH($A138,PRODUTOS!$B$4:$B$63,0))</f>
        <v>20 kg</v>
      </c>
      <c r="D138" s="11" t="s">
        <v>340</v>
      </c>
      <c r="E138" s="16" t="str">
        <f aca="false">$A138&amp;"."&amp;$D138&amp;".jpg"</f>
        <v>7898968541566.AP07.jpg</v>
      </c>
      <c r="F138" s="11" t="str">
        <f aca="false">IF(INDEX(PRODUTOS!$I$4:$I$63,MATCH($A138,PRODUTOS!$B$4:$B$63,0))="B",INDEX(MODELOS!$F$3:$F$19,MATCH($D138,MODELOS!$A$3:$A$19,0)),INDEX(MODELOS!$B$3:$B$19,MATCH($D138,MODELOS!$A$3:$A$19,0)))</f>
        <v>A+ · Módulo 4 · Especificações</v>
      </c>
      <c r="G138" s="11" t="str">
        <f aca="false">IF(INDEX(PRODUTOS!$F$4:$F$63,MATCH($A138,PRODUTOS!$B$4:$B$63,0))="Ração",IF(INDEX(PRODUTOS!$I$4:$I$63,MATCH($A138,PRODUTOS!$B$4:$B$63,0))="B",INDEX(MODELOS!$G$3:$G$19,MATCH($D138,MODELOS!$A$3:$A$19,0)),INDEX(MODELOS!$C$3:$C$19,MATCH($D138,MODELOS!$A$3:$A$19,0))),IF(INDEX(PRODUTOS!$I$4:$I$63,MATCH($A138,PRODUTOS!$B$4:$B$63,0))="B",INDEX(MODELOS!$H$3:$H$19,MATCH($D138,MODELOS!$A$3:$A$19,0)),INDEX(MODELOS!$D$3:$D$19,MATCH($D138,MODELOS!$A$3:$A$19,0))))</f>
        <v>Grão ou pacote em destaque</v>
      </c>
      <c r="H138" s="11" t="str">
        <f aca="false">IF(INDEX(PRODUTOS!$I$4:$I$63,MATCH($A138,PRODUTOS!$B$4:$B$63,0))="B",INDEX(MODELOS!$I$3:$I$19,MATCH($D138,MODELOS!$A$3:$A$19,0)),INDEX(MODELOS!$E$3:$E$19,MATCH($D138,MODELOS!$A$3:$A$19,0)))</f>
        <v>300 × 300</v>
      </c>
      <c r="I138" s="11" t="str">
        <f aca="false">INDEX(MODELOS!$J$3:$J$19,MATCH($D138,MODELOS!$A$3:$A$19,0))</f>
        <v>Conforme modelo</v>
      </c>
      <c r="J138" s="11" t="str">
        <f aca="false">IF(LEFT($D138,2)&lt;&gt;"AP",IF($I138="SIM","SIM","RECOMENDADA"),IF(INDEX(PRODUTOS!$J$4:$J$63,MATCH($A138,PRODUTOS!$B$4:$B$63,0))&lt;&gt;"","NÃO (usa o A+ do EAN "&amp;INDEX(PRODUTOS!$J$4:$J$63,MATCH($A138,PRODUTOS!$B$4:$B$63,0))&amp;")",IF(AND(INDEX(PRODUTOS!$I$4:$I$63,MATCH($A138,PRODUTOS!$B$4:$B$63,0))="B",$D138="AP07"),"NÃO (modelo B)","SIM")))</f>
        <v>SIM</v>
      </c>
      <c r="K138" s="13" t="s">
        <v>325</v>
      </c>
      <c r="L138" s="13"/>
    </row>
    <row r="139" customFormat="false" ht="15" hidden="false" customHeight="false" outlineLevel="0" collapsed="false">
      <c r="A139" s="15" t="s">
        <v>81</v>
      </c>
      <c r="B139" s="11" t="str">
        <f aca="false">INDEX(PRODUTOS!$E$4:$E$63,MATCH($A139,PRODUTOS!$B$4:$B$63,0))</f>
        <v>New Dots Ração Seca Premium para Cães Filhotes - 20 kg</v>
      </c>
      <c r="C139" s="11" t="str">
        <f aca="false">INDEX(PRODUTOS!$H$4:$H$63,MATCH($A139,PRODUTOS!$B$4:$B$63,0))</f>
        <v>20 kg</v>
      </c>
      <c r="D139" s="11" t="s">
        <v>341</v>
      </c>
      <c r="E139" s="16" t="str">
        <f aca="false">$A139&amp;"."&amp;$D139&amp;".jpg"</f>
        <v>7898968541566.COMP.jpg</v>
      </c>
      <c r="F139" s="11" t="str">
        <f aca="false">IF(INDEX(PRODUTOS!$I$4:$I$63,MATCH($A139,PRODUTOS!$B$4:$B$63,0))="B",INDEX(MODELOS!$F$3:$F$19,MATCH($D139,MODELOS!$A$3:$A$19,0)),INDEX(MODELOS!$B$3:$B$19,MATCH($D139,MODELOS!$A$3:$A$19,0)))</f>
        <v>A+ · Tabela comparativa</v>
      </c>
      <c r="G139" s="11" t="str">
        <f aca="false">IF(INDEX(PRODUTOS!$F$4:$F$63,MATCH($A139,PRODUTOS!$B$4:$B$63,0))="Ração",IF(INDEX(PRODUTOS!$I$4:$I$63,MATCH($A139,PRODUTOS!$B$4:$B$63,0))="B",INDEX(MODELOS!$G$3:$G$19,MATCH($D139,MODELOS!$A$3:$A$19,0)),INDEX(MODELOS!$C$3:$C$19,MATCH($D139,MODELOS!$A$3:$A$19,0))),IF(INDEX(PRODUTOS!$I$4:$I$63,MATCH($A139,PRODUTOS!$B$4:$B$63,0))="B",INDEX(MODELOS!$H$3:$H$19,MATCH($D139,MODELOS!$A$3:$A$19,0)),INDEX(MODELOS!$D$3:$D$19,MATCH($D139,MODELOS!$A$3:$A$19,0))))</f>
        <v>Pacote na vertical, sem fundo colorido</v>
      </c>
      <c r="H139" s="11" t="str">
        <f aca="false">IF(INDEX(PRODUTOS!$I$4:$I$63,MATCH($A139,PRODUTOS!$B$4:$B$63,0))="B",INDEX(MODELOS!$I$3:$I$19,MATCH($D139,MODELOS!$A$3:$A$19,0)),INDEX(MODELOS!$E$3:$E$19,MATCH($D139,MODELOS!$A$3:$A$19,0)))</f>
        <v>150 × 300</v>
      </c>
      <c r="I139" s="11" t="str">
        <f aca="false">INDEX(MODELOS!$J$3:$J$19,MATCH($D139,MODELOS!$A$3:$A$19,0))</f>
        <v>SIM</v>
      </c>
      <c r="J139" s="11" t="str">
        <f aca="false">IF(LEFT($D139,2)&lt;&gt;"AP",IF($I139="SIM","SIM","RECOMENDADA"),IF(INDEX(PRODUTOS!$J$4:$J$63,MATCH($A139,PRODUTOS!$B$4:$B$63,0))&lt;&gt;"","NÃO (usa o A+ do EAN "&amp;INDEX(PRODUTOS!$J$4:$J$63,MATCH($A139,PRODUTOS!$B$4:$B$63,0))&amp;")",IF(AND(INDEX(PRODUTOS!$I$4:$I$63,MATCH($A139,PRODUTOS!$B$4:$B$63,0))="B",$D139="AP07"),"NÃO (modelo B)","SIM")))</f>
        <v>SIM</v>
      </c>
      <c r="K139" s="13" t="s">
        <v>325</v>
      </c>
      <c r="L139" s="13"/>
    </row>
    <row r="140" customFormat="false" ht="15" hidden="false" customHeight="false" outlineLevel="0" collapsed="false">
      <c r="A140" s="15" t="s">
        <v>85</v>
      </c>
      <c r="B140" s="11" t="str">
        <f aca="false">INDEX(PRODUTOS!$E$4:$E$63,MATCH($A140,PRODUTOS!$B$4:$B$63,0))</f>
        <v>New Dots Ração Seca Premium para Cães Filhotes - 5 kg</v>
      </c>
      <c r="C140" s="11" t="str">
        <f aca="false">INDEX(PRODUTOS!$H$4:$H$63,MATCH($A140,PRODUTOS!$B$4:$B$63,0))</f>
        <v>5 kg</v>
      </c>
      <c r="D140" s="11" t="s">
        <v>324</v>
      </c>
      <c r="E140" s="16" t="str">
        <f aca="false">$A140&amp;"."&amp;$D140&amp;".jpg"</f>
        <v>7898968541559.MAIN.jpg</v>
      </c>
      <c r="F140" s="11" t="str">
        <f aca="false">IF(INDEX(PRODUTOS!$I$4:$I$63,MATCH($A140,PRODUTOS!$B$4:$B$63,0))="B",INDEX(MODELOS!$F$3:$F$19,MATCH($D140,MODELOS!$A$3:$A$19,0)),INDEX(MODELOS!$B$3:$B$19,MATCH($D140,MODELOS!$A$3:$A$19,0)))</f>
        <v>Capa (posição 1)</v>
      </c>
      <c r="G140" s="11" t="str">
        <f aca="false">IF(INDEX(PRODUTOS!$F$4:$F$63,MATCH($A140,PRODUTOS!$B$4:$B$63,0))="Ração",IF(INDEX(PRODUTOS!$I$4:$I$63,MATCH($A140,PRODUTOS!$B$4:$B$63,0))="B",INDEX(MODELOS!$G$3:$G$19,MATCH($D140,MODELOS!$A$3:$A$19,0)),INDEX(MODELOS!$C$3:$C$19,MATCH($D140,MODELOS!$A$3:$A$19,0))),IF(INDEX(PRODUTOS!$I$4:$I$63,MATCH($A140,PRODUTOS!$B$4:$B$63,0))="B",INDEX(MODELOS!$H$3:$H$19,MATCH($D140,MODELOS!$A$3:$A$19,0)),INDEX(MODELOS!$D$3:$D$19,MATCH($D140,MODELOS!$A$3:$A$19,0))))</f>
        <v>Embalagem de frente, fundo branco puro, 85% da área, nada adicionado</v>
      </c>
      <c r="H140" s="11" t="str">
        <f aca="false">IF(INDEX(PRODUTOS!$I$4:$I$63,MATCH($A140,PRODUTOS!$B$4:$B$63,0))="B",INDEX(MODELOS!$I$3:$I$19,MATCH($D140,MODELOS!$A$3:$A$19,0)),INDEX(MODELOS!$E$3:$E$19,MATCH($D140,MODELOS!$A$3:$A$19,0)))</f>
        <v>2000 × 2000</v>
      </c>
      <c r="I140" s="11" t="str">
        <f aca="false">INDEX(MODELOS!$J$3:$J$19,MATCH($D140,MODELOS!$A$3:$A$19,0))</f>
        <v>SIM</v>
      </c>
      <c r="J140" s="11" t="str">
        <f aca="false">IF(LEFT($D140,2)&lt;&gt;"AP",IF($I140="SIM","SIM","RECOMENDADA"),IF(INDEX(PRODUTOS!$J$4:$J$63,MATCH($A140,PRODUTOS!$B$4:$B$63,0))&lt;&gt;"","NÃO (usa o A+ do EAN "&amp;INDEX(PRODUTOS!$J$4:$J$63,MATCH($A140,PRODUTOS!$B$4:$B$63,0))&amp;")",IF(AND(INDEX(PRODUTOS!$I$4:$I$63,MATCH($A140,PRODUTOS!$B$4:$B$63,0))="B",$D140="AP07"),"NÃO (modelo B)","SIM")))</f>
        <v>SIM</v>
      </c>
      <c r="K140" s="13" t="s">
        <v>325</v>
      </c>
      <c r="L140" s="13"/>
    </row>
    <row r="141" customFormat="false" ht="15" hidden="false" customHeight="false" outlineLevel="0" collapsed="false">
      <c r="A141" s="15" t="s">
        <v>85</v>
      </c>
      <c r="B141" s="11" t="str">
        <f aca="false">INDEX(PRODUTOS!$E$4:$E$63,MATCH($A141,PRODUTOS!$B$4:$B$63,0))</f>
        <v>New Dots Ração Seca Premium para Cães Filhotes - 5 kg</v>
      </c>
      <c r="C141" s="11" t="str">
        <f aca="false">INDEX(PRODUTOS!$H$4:$H$63,MATCH($A141,PRODUTOS!$B$4:$B$63,0))</f>
        <v>5 kg</v>
      </c>
      <c r="D141" s="11" t="s">
        <v>326</v>
      </c>
      <c r="E141" s="16" t="str">
        <f aca="false">$A141&amp;"."&amp;$D141&amp;".jpg"</f>
        <v>7898968541559.PT01.jpg</v>
      </c>
      <c r="F141" s="11" t="str">
        <f aca="false">IF(INDEX(PRODUTOS!$I$4:$I$63,MATCH($A141,PRODUTOS!$B$4:$B$63,0))="B",INDEX(MODELOS!$F$3:$F$19,MATCH($D141,MODELOS!$A$3:$A$19,0)),INDEX(MODELOS!$B$3:$B$19,MATCH($D141,MODELOS!$A$3:$A$19,0)))</f>
        <v>Galeria · posição 2</v>
      </c>
      <c r="G141" s="11" t="str">
        <f aca="false">IF(INDEX(PRODUTOS!$F$4:$F$63,MATCH($A141,PRODUTOS!$B$4:$B$63,0))="Ração",IF(INDEX(PRODUTOS!$I$4:$I$63,MATCH($A141,PRODUTOS!$B$4:$B$63,0))="B",INDEX(MODELOS!$G$3:$G$19,MATCH($D141,MODELOS!$A$3:$A$19,0)),INDEX(MODELOS!$C$3:$C$19,MATCH($D141,MODELOS!$A$3:$A$19,0))),IF(INDEX(PRODUTOS!$I$4:$I$63,MATCH($A141,PRODUTOS!$B$4:$B$63,0))="B",INDEX(MODELOS!$H$3:$H$19,MATCH($D141,MODELOS!$A$3:$A$19,0)),INDEX(MODELOS!$D$3:$D$19,MATCH($D141,MODELOS!$A$3:$A$19,0))))</f>
        <v>Grande diferencial da linha (número ou promessa forte + grão e ingrediente)</v>
      </c>
      <c r="H141" s="11" t="str">
        <f aca="false">IF(INDEX(PRODUTOS!$I$4:$I$63,MATCH($A141,PRODUTOS!$B$4:$B$63,0))="B",INDEX(MODELOS!$I$3:$I$19,MATCH($D141,MODELOS!$A$3:$A$19,0)),INDEX(MODELOS!$E$3:$E$19,MATCH($D141,MODELOS!$A$3:$A$19,0)))</f>
        <v>2000 × 2000</v>
      </c>
      <c r="I141" s="11" t="str">
        <f aca="false">INDEX(MODELOS!$J$3:$J$19,MATCH($D141,MODELOS!$A$3:$A$19,0))</f>
        <v>SIM</v>
      </c>
      <c r="J141" s="11" t="str">
        <f aca="false">IF(LEFT($D141,2)&lt;&gt;"AP",IF($I141="SIM","SIM","RECOMENDADA"),IF(INDEX(PRODUTOS!$J$4:$J$63,MATCH($A141,PRODUTOS!$B$4:$B$63,0))&lt;&gt;"","NÃO (usa o A+ do EAN "&amp;INDEX(PRODUTOS!$J$4:$J$63,MATCH($A141,PRODUTOS!$B$4:$B$63,0))&amp;")",IF(AND(INDEX(PRODUTOS!$I$4:$I$63,MATCH($A141,PRODUTOS!$B$4:$B$63,0))="B",$D141="AP07"),"NÃO (modelo B)","SIM")))</f>
        <v>SIM</v>
      </c>
      <c r="K141" s="13" t="s">
        <v>325</v>
      </c>
      <c r="L141" s="13"/>
    </row>
    <row r="142" customFormat="false" ht="15" hidden="false" customHeight="false" outlineLevel="0" collapsed="false">
      <c r="A142" s="15" t="s">
        <v>85</v>
      </c>
      <c r="B142" s="11" t="str">
        <f aca="false">INDEX(PRODUTOS!$E$4:$E$63,MATCH($A142,PRODUTOS!$B$4:$B$63,0))</f>
        <v>New Dots Ração Seca Premium para Cães Filhotes - 5 kg</v>
      </c>
      <c r="C142" s="11" t="str">
        <f aca="false">INDEX(PRODUTOS!$H$4:$H$63,MATCH($A142,PRODUTOS!$B$4:$B$63,0))</f>
        <v>5 kg</v>
      </c>
      <c r="D142" s="11" t="s">
        <v>327</v>
      </c>
      <c r="E142" s="16" t="str">
        <f aca="false">$A142&amp;"."&amp;$D142&amp;".jpg"</f>
        <v>7898968541559.PT02.jpg</v>
      </c>
      <c r="F142" s="11" t="str">
        <f aca="false">IF(INDEX(PRODUTOS!$I$4:$I$63,MATCH($A142,PRODUTOS!$B$4:$B$63,0))="B",INDEX(MODELOS!$F$3:$F$19,MATCH($D142,MODELOS!$A$3:$A$19,0)),INDEX(MODELOS!$B$3:$B$19,MATCH($D142,MODELOS!$A$3:$A$19,0)))</f>
        <v>Galeria · posição 3</v>
      </c>
      <c r="G142" s="11" t="str">
        <f aca="false">IF(INDEX(PRODUTOS!$F$4:$F$63,MATCH($A142,PRODUTOS!$B$4:$B$63,0))="Ração",IF(INDEX(PRODUTOS!$I$4:$I$63,MATCH($A142,PRODUTOS!$B$4:$B$63,0))="B",INDEX(MODELOS!$G$3:$G$19,MATCH($D142,MODELOS!$A$3:$A$19,0)),INDEX(MODELOS!$C$3:$C$19,MATCH($D142,MODELOS!$A$3:$A$19,0))),IF(INDEX(PRODUTOS!$I$4:$I$63,MATCH($A142,PRODUTOS!$B$4:$B$63,0))="B",INDEX(MODELOS!$H$3:$H$19,MATCH($D142,MODELOS!$A$3:$A$19,0)),INDEX(MODELOS!$D$3:$D$19,MATCH($D142,MODELOS!$A$3:$A$19,0))))</f>
        <v>Benefícios com ícones (4 a 6, impressos na embalagem) + ingrediente</v>
      </c>
      <c r="H142" s="11" t="str">
        <f aca="false">IF(INDEX(PRODUTOS!$I$4:$I$63,MATCH($A142,PRODUTOS!$B$4:$B$63,0))="B",INDEX(MODELOS!$I$3:$I$19,MATCH($D142,MODELOS!$A$3:$A$19,0)),INDEX(MODELOS!$E$3:$E$19,MATCH($D142,MODELOS!$A$3:$A$19,0)))</f>
        <v>2000 × 2000</v>
      </c>
      <c r="I142" s="11" t="str">
        <f aca="false">INDEX(MODELOS!$J$3:$J$19,MATCH($D142,MODELOS!$A$3:$A$19,0))</f>
        <v>SIM</v>
      </c>
      <c r="J142" s="11" t="str">
        <f aca="false">IF(LEFT($D142,2)&lt;&gt;"AP",IF($I142="SIM","SIM","RECOMENDADA"),IF(INDEX(PRODUTOS!$J$4:$J$63,MATCH($A142,PRODUTOS!$B$4:$B$63,0))&lt;&gt;"","NÃO (usa o A+ do EAN "&amp;INDEX(PRODUTOS!$J$4:$J$63,MATCH($A142,PRODUTOS!$B$4:$B$63,0))&amp;")",IF(AND(INDEX(PRODUTOS!$I$4:$I$63,MATCH($A142,PRODUTOS!$B$4:$B$63,0))="B",$D142="AP07"),"NÃO (modelo B)","SIM")))</f>
        <v>SIM</v>
      </c>
      <c r="K142" s="13" t="s">
        <v>325</v>
      </c>
      <c r="L142" s="13"/>
    </row>
    <row r="143" customFormat="false" ht="15" hidden="false" customHeight="false" outlineLevel="0" collapsed="false">
      <c r="A143" s="15" t="s">
        <v>85</v>
      </c>
      <c r="B143" s="11" t="str">
        <f aca="false">INDEX(PRODUTOS!$E$4:$E$63,MATCH($A143,PRODUTOS!$B$4:$B$63,0))</f>
        <v>New Dots Ração Seca Premium para Cães Filhotes - 5 kg</v>
      </c>
      <c r="C143" s="11" t="str">
        <f aca="false">INDEX(PRODUTOS!$H$4:$H$63,MATCH($A143,PRODUTOS!$B$4:$B$63,0))</f>
        <v>5 kg</v>
      </c>
      <c r="D143" s="11" t="s">
        <v>328</v>
      </c>
      <c r="E143" s="16" t="str">
        <f aca="false">$A143&amp;"."&amp;$D143&amp;".jpg"</f>
        <v>7898968541559.PT03.jpg</v>
      </c>
      <c r="F143" s="11" t="str">
        <f aca="false">IF(INDEX(PRODUTOS!$I$4:$I$63,MATCH($A143,PRODUTOS!$B$4:$B$63,0))="B",INDEX(MODELOS!$F$3:$F$19,MATCH($D143,MODELOS!$A$3:$A$19,0)),INDEX(MODELOS!$B$3:$B$19,MATCH($D143,MODELOS!$A$3:$A$19,0)))</f>
        <v>Galeria · posição 4</v>
      </c>
      <c r="G143" s="11" t="str">
        <f aca="false">IF(INDEX(PRODUTOS!$F$4:$F$63,MATCH($A143,PRODUTOS!$B$4:$B$63,0))="Ração",IF(INDEX(PRODUTOS!$I$4:$I$63,MATCH($A143,PRODUTOS!$B$4:$B$63,0))="B",INDEX(MODELOS!$G$3:$G$19,MATCH($D143,MODELOS!$A$3:$A$19,0)),INDEX(MODELOS!$C$3:$C$19,MATCH($D143,MODELOS!$A$3:$A$19,0))),IF(INDEX(PRODUTOS!$I$4:$I$63,MATCH($A143,PRODUTOS!$B$4:$B$63,0))="B",INDEX(MODELOS!$H$3:$H$19,MATCH($D143,MODELOS!$A$3:$A$19,0)),INDEX(MODELOS!$D$3:$D$19,MATCH($D143,MODELOS!$A$3:$A$19,0))))</f>
        <v>Formato e tamanho do grão, com medida em mm e referência de tamanho</v>
      </c>
      <c r="H143" s="11" t="str">
        <f aca="false">IF(INDEX(PRODUTOS!$I$4:$I$63,MATCH($A143,PRODUTOS!$B$4:$B$63,0))="B",INDEX(MODELOS!$I$3:$I$19,MATCH($D143,MODELOS!$A$3:$A$19,0)),INDEX(MODELOS!$E$3:$E$19,MATCH($D143,MODELOS!$A$3:$A$19,0)))</f>
        <v>2000 × 2000</v>
      </c>
      <c r="I143" s="11" t="str">
        <f aca="false">INDEX(MODELOS!$J$3:$J$19,MATCH($D143,MODELOS!$A$3:$A$19,0))</f>
        <v>SIM</v>
      </c>
      <c r="J143" s="11" t="str">
        <f aca="false">IF(LEFT($D143,2)&lt;&gt;"AP",IF($I143="SIM","SIM","RECOMENDADA"),IF(INDEX(PRODUTOS!$J$4:$J$63,MATCH($A143,PRODUTOS!$B$4:$B$63,0))&lt;&gt;"","NÃO (usa o A+ do EAN "&amp;INDEX(PRODUTOS!$J$4:$J$63,MATCH($A143,PRODUTOS!$B$4:$B$63,0))&amp;")",IF(AND(INDEX(PRODUTOS!$I$4:$I$63,MATCH($A143,PRODUTOS!$B$4:$B$63,0))="B",$D143="AP07"),"NÃO (modelo B)","SIM")))</f>
        <v>SIM</v>
      </c>
      <c r="K143" s="13" t="s">
        <v>325</v>
      </c>
      <c r="L143" s="13"/>
    </row>
    <row r="144" customFormat="false" ht="15" hidden="false" customHeight="false" outlineLevel="0" collapsed="false">
      <c r="A144" s="15" t="s">
        <v>85</v>
      </c>
      <c r="B144" s="11" t="str">
        <f aca="false">INDEX(PRODUTOS!$E$4:$E$63,MATCH($A144,PRODUTOS!$B$4:$B$63,0))</f>
        <v>New Dots Ração Seca Premium para Cães Filhotes - 5 kg</v>
      </c>
      <c r="C144" s="11" t="str">
        <f aca="false">INDEX(PRODUTOS!$H$4:$H$63,MATCH($A144,PRODUTOS!$B$4:$B$63,0))</f>
        <v>5 kg</v>
      </c>
      <c r="D144" s="11" t="s">
        <v>329</v>
      </c>
      <c r="E144" s="16" t="str">
        <f aca="false">$A144&amp;"."&amp;$D144&amp;".jpg"</f>
        <v>7898968541559.PT04.jpg</v>
      </c>
      <c r="F144" s="11" t="str">
        <f aca="false">IF(INDEX(PRODUTOS!$I$4:$I$63,MATCH($A144,PRODUTOS!$B$4:$B$63,0))="B",INDEX(MODELOS!$F$3:$F$19,MATCH($D144,MODELOS!$A$3:$A$19,0)),INDEX(MODELOS!$B$3:$B$19,MATCH($D144,MODELOS!$A$3:$A$19,0)))</f>
        <v>Galeria · posição 5</v>
      </c>
      <c r="G144" s="11" t="str">
        <f aca="false">IF(INDEX(PRODUTOS!$F$4:$F$63,MATCH($A144,PRODUTOS!$B$4:$B$63,0))="Ração",IF(INDEX(PRODUTOS!$I$4:$I$63,MATCH($A144,PRODUTOS!$B$4:$B$63,0))="B",INDEX(MODELOS!$G$3:$G$19,MATCH($D144,MODELOS!$A$3:$A$19,0)),INDEX(MODELOS!$C$3:$C$19,MATCH($D144,MODELOS!$A$3:$A$19,0))),IF(INDEX(PRODUTOS!$I$4:$I$63,MATCH($A144,PRODUTOS!$B$4:$B$63,0))="B",INDEX(MODELOS!$H$3:$H$19,MATCH($D144,MODELOS!$A$3:$A$19,0)),INDEX(MODELOS!$D$3:$D$19,MATCH($D144,MODELOS!$A$3:$A$19,0))))</f>
        <v>Quantidade diária por peso do cão/gato (números idênticos à embalagem)</v>
      </c>
      <c r="H144" s="11" t="str">
        <f aca="false">IF(INDEX(PRODUTOS!$I$4:$I$63,MATCH($A144,PRODUTOS!$B$4:$B$63,0))="B",INDEX(MODELOS!$I$3:$I$19,MATCH($D144,MODELOS!$A$3:$A$19,0)),INDEX(MODELOS!$E$3:$E$19,MATCH($D144,MODELOS!$A$3:$A$19,0)))</f>
        <v>2000 × 2000</v>
      </c>
      <c r="I144" s="11" t="str">
        <f aca="false">INDEX(MODELOS!$J$3:$J$19,MATCH($D144,MODELOS!$A$3:$A$19,0))</f>
        <v>SIM</v>
      </c>
      <c r="J144" s="11" t="str">
        <f aca="false">IF(LEFT($D144,2)&lt;&gt;"AP",IF($I144="SIM","SIM","RECOMENDADA"),IF(INDEX(PRODUTOS!$J$4:$J$63,MATCH($A144,PRODUTOS!$B$4:$B$63,0))&lt;&gt;"","NÃO (usa o A+ do EAN "&amp;INDEX(PRODUTOS!$J$4:$J$63,MATCH($A144,PRODUTOS!$B$4:$B$63,0))&amp;")",IF(AND(INDEX(PRODUTOS!$I$4:$I$63,MATCH($A144,PRODUTOS!$B$4:$B$63,0))="B",$D144="AP07"),"NÃO (modelo B)","SIM")))</f>
        <v>SIM</v>
      </c>
      <c r="K144" s="13" t="s">
        <v>325</v>
      </c>
      <c r="L144" s="13"/>
    </row>
    <row r="145" customFormat="false" ht="15" hidden="false" customHeight="false" outlineLevel="0" collapsed="false">
      <c r="A145" s="15" t="s">
        <v>85</v>
      </c>
      <c r="B145" s="11" t="str">
        <f aca="false">INDEX(PRODUTOS!$E$4:$E$63,MATCH($A145,PRODUTOS!$B$4:$B$63,0))</f>
        <v>New Dots Ração Seca Premium para Cães Filhotes - 5 kg</v>
      </c>
      <c r="C145" s="11" t="str">
        <f aca="false">INDEX(PRODUTOS!$H$4:$H$63,MATCH($A145,PRODUTOS!$B$4:$B$63,0))</f>
        <v>5 kg</v>
      </c>
      <c r="D145" s="11" t="s">
        <v>330</v>
      </c>
      <c r="E145" s="16" t="str">
        <f aca="false">$A145&amp;"."&amp;$D145&amp;".jpg"</f>
        <v>7898968541559.PT05.jpg</v>
      </c>
      <c r="F145" s="11" t="str">
        <f aca="false">IF(INDEX(PRODUTOS!$I$4:$I$63,MATCH($A145,PRODUTOS!$B$4:$B$63,0))="B",INDEX(MODELOS!$F$3:$F$19,MATCH($D145,MODELOS!$A$3:$A$19,0)),INDEX(MODELOS!$B$3:$B$19,MATCH($D145,MODELOS!$A$3:$A$19,0)))</f>
        <v>Galeria · posição 6</v>
      </c>
      <c r="G145" s="11" t="str">
        <f aca="false">IF(INDEX(PRODUTOS!$F$4:$F$63,MATCH($A145,PRODUTOS!$B$4:$B$63,0))="Ração",IF(INDEX(PRODUTOS!$I$4:$I$63,MATCH($A145,PRODUTOS!$B$4:$B$63,0))="B",INDEX(MODELOS!$G$3:$G$19,MATCH($D145,MODELOS!$A$3:$A$19,0)),INDEX(MODELOS!$C$3:$C$19,MATCH($D145,MODELOS!$A$3:$A$19,0))),IF(INDEX(PRODUTOS!$I$4:$I$63,MATCH($A145,PRODUTOS!$B$4:$B$63,0))="B",INDEX(MODELOS!$H$3:$H$19,MATCH($D145,MODELOS!$A$3:$A$19,0)),INDEX(MODELOS!$D$3:$D$19,MATCH($D145,MODELOS!$A$3:$A$19,0))))</f>
        <v>Transição alimentar dia a dia (igual ao verso da embalagem)</v>
      </c>
      <c r="H145" s="11" t="str">
        <f aca="false">IF(INDEX(PRODUTOS!$I$4:$I$63,MATCH($A145,PRODUTOS!$B$4:$B$63,0))="B",INDEX(MODELOS!$I$3:$I$19,MATCH($D145,MODELOS!$A$3:$A$19,0)),INDEX(MODELOS!$E$3:$E$19,MATCH($D145,MODELOS!$A$3:$A$19,0)))</f>
        <v>2000 × 2000</v>
      </c>
      <c r="I145" s="11" t="str">
        <f aca="false">INDEX(MODELOS!$J$3:$J$19,MATCH($D145,MODELOS!$A$3:$A$19,0))</f>
        <v>Recomendada</v>
      </c>
      <c r="J145" s="11" t="str">
        <f aca="false">IF(LEFT($D145,2)&lt;&gt;"AP",IF($I145="SIM","SIM","RECOMENDADA"),IF(INDEX(PRODUTOS!$J$4:$J$63,MATCH($A145,PRODUTOS!$B$4:$B$63,0))&lt;&gt;"","NÃO (usa o A+ do EAN "&amp;INDEX(PRODUTOS!$J$4:$J$63,MATCH($A145,PRODUTOS!$B$4:$B$63,0))&amp;")",IF(AND(INDEX(PRODUTOS!$I$4:$I$63,MATCH($A145,PRODUTOS!$B$4:$B$63,0))="B",$D145="AP07"),"NÃO (modelo B)","SIM")))</f>
        <v>RECOMENDADA</v>
      </c>
      <c r="K145" s="13" t="s">
        <v>325</v>
      </c>
      <c r="L145" s="13"/>
    </row>
    <row r="146" customFormat="false" ht="15" hidden="false" customHeight="false" outlineLevel="0" collapsed="false">
      <c r="A146" s="15" t="s">
        <v>85</v>
      </c>
      <c r="B146" s="11" t="str">
        <f aca="false">INDEX(PRODUTOS!$E$4:$E$63,MATCH($A146,PRODUTOS!$B$4:$B$63,0))</f>
        <v>New Dots Ração Seca Premium para Cães Filhotes - 5 kg</v>
      </c>
      <c r="C146" s="11" t="str">
        <f aca="false">INDEX(PRODUTOS!$H$4:$H$63,MATCH($A146,PRODUTOS!$B$4:$B$63,0))</f>
        <v>5 kg</v>
      </c>
      <c r="D146" s="11" t="s">
        <v>331</v>
      </c>
      <c r="E146" s="16" t="str">
        <f aca="false">$A146&amp;"."&amp;$D146&amp;".jpg"</f>
        <v>7898968541559.PT06.jpg</v>
      </c>
      <c r="F146" s="11" t="str">
        <f aca="false">IF(INDEX(PRODUTOS!$I$4:$I$63,MATCH($A146,PRODUTOS!$B$4:$B$63,0))="B",INDEX(MODELOS!$F$3:$F$19,MATCH($D146,MODELOS!$A$3:$A$19,0)),INDEX(MODELOS!$B$3:$B$19,MATCH($D146,MODELOS!$A$3:$A$19,0)))</f>
        <v>Galeria · posição 7</v>
      </c>
      <c r="G146" s="11" t="str">
        <f aca="false">IF(INDEX(PRODUTOS!$F$4:$F$63,MATCH($A146,PRODUTOS!$B$4:$B$63,0))="Ração",IF(INDEX(PRODUTOS!$I$4:$I$63,MATCH($A146,PRODUTOS!$B$4:$B$63,0))="B",INDEX(MODELOS!$G$3:$G$19,MATCH($D146,MODELOS!$A$3:$A$19,0)),INDEX(MODELOS!$C$3:$C$19,MATCH($D146,MODELOS!$A$3:$A$19,0))),IF(INDEX(PRODUTOS!$I$4:$I$63,MATCH($A146,PRODUTOS!$B$4:$B$63,0))="B",INDEX(MODELOS!$H$3:$H$19,MATCH($D146,MODELOS!$A$3:$A$19,0)),INDEX(MODELOS!$D$3:$D$19,MATCH($D146,MODELOS!$A$3:$A$19,0))))</f>
        <v>Composição e níveis de garantia em letra grande</v>
      </c>
      <c r="H146" s="11" t="str">
        <f aca="false">IF(INDEX(PRODUTOS!$I$4:$I$63,MATCH($A146,PRODUTOS!$B$4:$B$63,0))="B",INDEX(MODELOS!$I$3:$I$19,MATCH($D146,MODELOS!$A$3:$A$19,0)),INDEX(MODELOS!$E$3:$E$19,MATCH($D146,MODELOS!$A$3:$A$19,0)))</f>
        <v>2000 × 2000</v>
      </c>
      <c r="I146" s="11" t="str">
        <f aca="false">INDEX(MODELOS!$J$3:$J$19,MATCH($D146,MODELOS!$A$3:$A$19,0))</f>
        <v>SIM</v>
      </c>
      <c r="J146" s="11" t="str">
        <f aca="false">IF(LEFT($D146,2)&lt;&gt;"AP",IF($I146="SIM","SIM","RECOMENDADA"),IF(INDEX(PRODUTOS!$J$4:$J$63,MATCH($A146,PRODUTOS!$B$4:$B$63,0))&lt;&gt;"","NÃO (usa o A+ do EAN "&amp;INDEX(PRODUTOS!$J$4:$J$63,MATCH($A146,PRODUTOS!$B$4:$B$63,0))&amp;")",IF(AND(INDEX(PRODUTOS!$I$4:$I$63,MATCH($A146,PRODUTOS!$B$4:$B$63,0))="B",$D146="AP07"),"NÃO (modelo B)","SIM")))</f>
        <v>SIM</v>
      </c>
      <c r="K146" s="13" t="s">
        <v>325</v>
      </c>
      <c r="L146" s="13"/>
    </row>
    <row r="147" customFormat="false" ht="15" hidden="false" customHeight="false" outlineLevel="0" collapsed="false">
      <c r="A147" s="15" t="s">
        <v>85</v>
      </c>
      <c r="B147" s="11" t="str">
        <f aca="false">INDEX(PRODUTOS!$E$4:$E$63,MATCH($A147,PRODUTOS!$B$4:$B$63,0))</f>
        <v>New Dots Ração Seca Premium para Cães Filhotes - 5 kg</v>
      </c>
      <c r="C147" s="11" t="str">
        <f aca="false">INDEX(PRODUTOS!$H$4:$H$63,MATCH($A147,PRODUTOS!$B$4:$B$63,0))</f>
        <v>5 kg</v>
      </c>
      <c r="D147" s="11" t="s">
        <v>332</v>
      </c>
      <c r="E147" s="16" t="str">
        <f aca="false">$A147&amp;"."&amp;$D147&amp;".jpg"</f>
        <v>7898968541559.PT07.jpg</v>
      </c>
      <c r="F147" s="11" t="str">
        <f aca="false">IF(INDEX(PRODUTOS!$I$4:$I$63,MATCH($A147,PRODUTOS!$B$4:$B$63,0))="B",INDEX(MODELOS!$F$3:$F$19,MATCH($D147,MODELOS!$A$3:$A$19,0)),INDEX(MODELOS!$B$3:$B$19,MATCH($D147,MODELOS!$A$3:$A$19,0)))</f>
        <v>Galeria · posição 8</v>
      </c>
      <c r="G147" s="11" t="str">
        <f aca="false">IF(INDEX(PRODUTOS!$F$4:$F$63,MATCH($A147,PRODUTOS!$B$4:$B$63,0))="Ração",IF(INDEX(PRODUTOS!$I$4:$I$63,MATCH($A147,PRODUTOS!$B$4:$B$63,0))="B",INDEX(MODELOS!$G$3:$G$19,MATCH($D147,MODELOS!$A$3:$A$19,0)),INDEX(MODELOS!$C$3:$C$19,MATCH($D147,MODELOS!$A$3:$A$19,0))),IF(INDEX(PRODUTOS!$I$4:$I$63,MATCH($A147,PRODUTOS!$B$4:$B$63,0))="B",INDEX(MODELOS!$H$3:$H$19,MATCH($D147,MODELOS!$A$3:$A$19,0)),INDEX(MODELOS!$D$3:$D$19,MATCH($D147,MODELOS!$A$3:$A$19,0))))</f>
        <v>Emocional / momento de uso (pet do porte certo, pote cheio)</v>
      </c>
      <c r="H147" s="11" t="str">
        <f aca="false">IF(INDEX(PRODUTOS!$I$4:$I$63,MATCH($A147,PRODUTOS!$B$4:$B$63,0))="B",INDEX(MODELOS!$I$3:$I$19,MATCH($D147,MODELOS!$A$3:$A$19,0)),INDEX(MODELOS!$E$3:$E$19,MATCH($D147,MODELOS!$A$3:$A$19,0)))</f>
        <v>2000 × 2000</v>
      </c>
      <c r="I147" s="11" t="str">
        <f aca="false">INDEX(MODELOS!$J$3:$J$19,MATCH($D147,MODELOS!$A$3:$A$19,0))</f>
        <v>Recomendada</v>
      </c>
      <c r="J147" s="11" t="str">
        <f aca="false">IF(LEFT($D147,2)&lt;&gt;"AP",IF($I147="SIM","SIM","RECOMENDADA"),IF(INDEX(PRODUTOS!$J$4:$J$63,MATCH($A147,PRODUTOS!$B$4:$B$63,0))&lt;&gt;"","NÃO (usa o A+ do EAN "&amp;INDEX(PRODUTOS!$J$4:$J$63,MATCH($A147,PRODUTOS!$B$4:$B$63,0))&amp;")",IF(AND(INDEX(PRODUTOS!$I$4:$I$63,MATCH($A147,PRODUTOS!$B$4:$B$63,0))="B",$D147="AP07"),"NÃO (modelo B)","SIM")))</f>
        <v>RECOMENDADA</v>
      </c>
      <c r="K147" s="13" t="s">
        <v>325</v>
      </c>
      <c r="L147" s="13"/>
    </row>
    <row r="148" customFormat="false" ht="15" hidden="false" customHeight="false" outlineLevel="0" collapsed="false">
      <c r="A148" s="15" t="s">
        <v>85</v>
      </c>
      <c r="B148" s="11" t="str">
        <f aca="false">INDEX(PRODUTOS!$E$4:$E$63,MATCH($A148,PRODUTOS!$B$4:$B$63,0))</f>
        <v>New Dots Ração Seca Premium para Cães Filhotes - 5 kg</v>
      </c>
      <c r="C148" s="11" t="str">
        <f aca="false">INDEX(PRODUTOS!$H$4:$H$63,MATCH($A148,PRODUTOS!$B$4:$B$63,0))</f>
        <v>5 kg</v>
      </c>
      <c r="D148" s="11" t="s">
        <v>333</v>
      </c>
      <c r="E148" s="16" t="str">
        <f aca="false">$A148&amp;"."&amp;$D148&amp;".jpg"</f>
        <v>7898968541559.PT08.jpg</v>
      </c>
      <c r="F148" s="11" t="str">
        <f aca="false">IF(INDEX(PRODUTOS!$I$4:$I$63,MATCH($A148,PRODUTOS!$B$4:$B$63,0))="B",INDEX(MODELOS!$F$3:$F$19,MATCH($D148,MODELOS!$A$3:$A$19,0)),INDEX(MODELOS!$B$3:$B$19,MATCH($D148,MODELOS!$A$3:$A$19,0)))</f>
        <v>Galeria · posição 9</v>
      </c>
      <c r="G148" s="11" t="str">
        <f aca="false">IF(INDEX(PRODUTOS!$F$4:$F$63,MATCH($A148,PRODUTOS!$B$4:$B$63,0))="Ração",IF(INDEX(PRODUTOS!$I$4:$I$63,MATCH($A148,PRODUTOS!$B$4:$B$63,0))="B",INDEX(MODELOS!$G$3:$G$19,MATCH($D148,MODELOS!$A$3:$A$19,0)),INDEX(MODELOS!$C$3:$C$19,MATCH($D148,MODELOS!$A$3:$A$19,0))),IF(INDEX(PRODUTOS!$I$4:$I$63,MATCH($A148,PRODUTOS!$B$4:$B$63,0))="B",INDEX(MODELOS!$H$3:$H$19,MATCH($D148,MODELOS!$A$3:$A$19,0)),INDEX(MODELOS!$D$3:$D$19,MATCH($D148,MODELOS!$A$3:$A$19,0))))</f>
        <v>Linha da marca ou embalagem anterior × nova</v>
      </c>
      <c r="H148" s="11" t="str">
        <f aca="false">IF(INDEX(PRODUTOS!$I$4:$I$63,MATCH($A148,PRODUTOS!$B$4:$B$63,0))="B",INDEX(MODELOS!$I$3:$I$19,MATCH($D148,MODELOS!$A$3:$A$19,0)),INDEX(MODELOS!$E$3:$E$19,MATCH($D148,MODELOS!$A$3:$A$19,0)))</f>
        <v>2000 × 2000</v>
      </c>
      <c r="I148" s="11" t="str">
        <f aca="false">INDEX(MODELOS!$J$3:$J$19,MATCH($D148,MODELOS!$A$3:$A$19,0))</f>
        <v>Recomendada</v>
      </c>
      <c r="J148" s="11" t="str">
        <f aca="false">IF(LEFT($D148,2)&lt;&gt;"AP",IF($I148="SIM","SIM","RECOMENDADA"),IF(INDEX(PRODUTOS!$J$4:$J$63,MATCH($A148,PRODUTOS!$B$4:$B$63,0))&lt;&gt;"","NÃO (usa o A+ do EAN "&amp;INDEX(PRODUTOS!$J$4:$J$63,MATCH($A148,PRODUTOS!$B$4:$B$63,0))&amp;")",IF(AND(INDEX(PRODUTOS!$I$4:$I$63,MATCH($A148,PRODUTOS!$B$4:$B$63,0))="B",$D148="AP07"),"NÃO (modelo B)","SIM")))</f>
        <v>RECOMENDADA</v>
      </c>
      <c r="K148" s="13" t="s">
        <v>325</v>
      </c>
      <c r="L148" s="13"/>
    </row>
    <row r="149" customFormat="false" ht="15" hidden="false" customHeight="false" outlineLevel="0" collapsed="false">
      <c r="A149" s="15" t="s">
        <v>85</v>
      </c>
      <c r="B149" s="11" t="str">
        <f aca="false">INDEX(PRODUTOS!$E$4:$E$63,MATCH($A149,PRODUTOS!$B$4:$B$63,0))</f>
        <v>New Dots Ração Seca Premium para Cães Filhotes - 5 kg</v>
      </c>
      <c r="C149" s="11" t="str">
        <f aca="false">INDEX(PRODUTOS!$H$4:$H$63,MATCH($A149,PRODUTOS!$B$4:$B$63,0))</f>
        <v>5 kg</v>
      </c>
      <c r="D149" s="11" t="s">
        <v>334</v>
      </c>
      <c r="E149" s="16" t="str">
        <f aca="false">$A149&amp;"."&amp;$D149&amp;".jpg"</f>
        <v>7898968541559.AP01.jpg</v>
      </c>
      <c r="F149" s="11" t="str">
        <f aca="false">IF(INDEX(PRODUTOS!$I$4:$I$63,MATCH($A149,PRODUTOS!$B$4:$B$63,0))="B",INDEX(MODELOS!$F$3:$F$19,MATCH($D149,MODELOS!$A$3:$A$19,0)),INDEX(MODELOS!$B$3:$B$19,MATCH($D149,MODELOS!$A$3:$A$19,0)))</f>
        <v>A+ · Módulo 1 · Banner</v>
      </c>
      <c r="G149" s="11" t="str">
        <f aca="false">IF(INDEX(PRODUTOS!$F$4:$F$63,MATCH($A149,PRODUTOS!$B$4:$B$63,0))="Ração",IF(INDEX(PRODUTOS!$I$4:$I$63,MATCH($A149,PRODUTOS!$B$4:$B$63,0))="B",INDEX(MODELOS!$G$3:$G$19,MATCH($D149,MODELOS!$A$3:$A$19,0)),INDEX(MODELOS!$C$3:$C$19,MATCH($D149,MODELOS!$A$3:$A$19,0))),IF(INDEX(PRODUTOS!$I$4:$I$63,MATCH($A149,PRODUTOS!$B$4:$B$63,0))="B",INDEX(MODELOS!$H$3:$H$19,MATCH($D149,MODELOS!$A$3:$A$19,0)),INDEX(MODELOS!$D$3:$D$19,MATCH($D149,MODELOS!$A$3:$A$19,0))))</f>
        <v>Embalagem + pet + ingredientes, com o nome da linha</v>
      </c>
      <c r="H149" s="11" t="str">
        <f aca="false">IF(INDEX(PRODUTOS!$I$4:$I$63,MATCH($A149,PRODUTOS!$B$4:$B$63,0))="B",INDEX(MODELOS!$I$3:$I$19,MATCH($D149,MODELOS!$A$3:$A$19,0)),INDEX(MODELOS!$E$3:$E$19,MATCH($D149,MODELOS!$A$3:$A$19,0)))</f>
        <v>970 × 600</v>
      </c>
      <c r="I149" s="11" t="str">
        <f aca="false">INDEX(MODELOS!$J$3:$J$19,MATCH($D149,MODELOS!$A$3:$A$19,0))</f>
        <v>Conforme modelo</v>
      </c>
      <c r="J149" s="11" t="str">
        <f aca="false">IF(LEFT($D149,2)&lt;&gt;"AP",IF($I149="SIM","SIM","RECOMENDADA"),IF(INDEX(PRODUTOS!$J$4:$J$63,MATCH($A149,PRODUTOS!$B$4:$B$63,0))&lt;&gt;"","NÃO (usa o A+ do EAN "&amp;INDEX(PRODUTOS!$J$4:$J$63,MATCH($A149,PRODUTOS!$B$4:$B$63,0))&amp;")",IF(AND(INDEX(PRODUTOS!$I$4:$I$63,MATCH($A149,PRODUTOS!$B$4:$B$63,0))="B",$D149="AP07"),"NÃO (modelo B)","SIM")))</f>
        <v>NÃO (usa o A+ do EAN 7898968541566)</v>
      </c>
      <c r="K149" s="13" t="s">
        <v>325</v>
      </c>
      <c r="L149" s="13"/>
    </row>
    <row r="150" customFormat="false" ht="15" hidden="false" customHeight="false" outlineLevel="0" collapsed="false">
      <c r="A150" s="15" t="s">
        <v>85</v>
      </c>
      <c r="B150" s="11" t="str">
        <f aca="false">INDEX(PRODUTOS!$E$4:$E$63,MATCH($A150,PRODUTOS!$B$4:$B$63,0))</f>
        <v>New Dots Ração Seca Premium para Cães Filhotes - 5 kg</v>
      </c>
      <c r="C150" s="11" t="str">
        <f aca="false">INDEX(PRODUTOS!$H$4:$H$63,MATCH($A150,PRODUTOS!$B$4:$B$63,0))</f>
        <v>5 kg</v>
      </c>
      <c r="D150" s="11" t="s">
        <v>335</v>
      </c>
      <c r="E150" s="16" t="str">
        <f aca="false">$A150&amp;"."&amp;$D150&amp;".jpg"</f>
        <v>7898968541559.AP02.jpg</v>
      </c>
      <c r="F150" s="11" t="str">
        <f aca="false">IF(INDEX(PRODUTOS!$I$4:$I$63,MATCH($A150,PRODUTOS!$B$4:$B$63,0))="B",INDEX(MODELOS!$F$3:$F$19,MATCH($D150,MODELOS!$A$3:$A$19,0)),INDEX(MODELOS!$B$3:$B$19,MATCH($D150,MODELOS!$A$3:$A$19,0)))</f>
        <v>A+ · Módulo 2 · Texto sobreposto</v>
      </c>
      <c r="G150" s="11" t="str">
        <f aca="false">IF(INDEX(PRODUTOS!$F$4:$F$63,MATCH($A150,PRODUTOS!$B$4:$B$63,0))="Ração",IF(INDEX(PRODUTOS!$I$4:$I$63,MATCH($A150,PRODUTOS!$B$4:$B$63,0))="B",INDEX(MODELOS!$G$3:$G$19,MATCH($D150,MODELOS!$A$3:$A$19,0)),INDEX(MODELOS!$C$3:$C$19,MATCH($D150,MODELOS!$A$3:$A$19,0))),IF(INDEX(PRODUTOS!$I$4:$I$63,MATCH($A150,PRODUTOS!$B$4:$B$63,0))="B",INDEX(MODELOS!$H$3:$H$19,MATCH($D150,MODELOS!$A$3:$A$19,0)),INDEX(MODELOS!$D$3:$D$19,MATCH($D150,MODELOS!$A$3:$A$19,0))))</f>
        <v>Principal diferencial; deixar o lado direito limpo</v>
      </c>
      <c r="H150" s="11" t="str">
        <f aca="false">IF(INDEX(PRODUTOS!$I$4:$I$63,MATCH($A150,PRODUTOS!$B$4:$B$63,0))="B",INDEX(MODELOS!$I$3:$I$19,MATCH($D150,MODELOS!$A$3:$A$19,0)),INDEX(MODELOS!$E$3:$E$19,MATCH($D150,MODELOS!$A$3:$A$19,0)))</f>
        <v>970 × 300</v>
      </c>
      <c r="I150" s="11" t="str">
        <f aca="false">INDEX(MODELOS!$J$3:$J$19,MATCH($D150,MODELOS!$A$3:$A$19,0))</f>
        <v>Conforme modelo</v>
      </c>
      <c r="J150" s="11" t="str">
        <f aca="false">IF(LEFT($D150,2)&lt;&gt;"AP",IF($I150="SIM","SIM","RECOMENDADA"),IF(INDEX(PRODUTOS!$J$4:$J$63,MATCH($A150,PRODUTOS!$B$4:$B$63,0))&lt;&gt;"","NÃO (usa o A+ do EAN "&amp;INDEX(PRODUTOS!$J$4:$J$63,MATCH($A150,PRODUTOS!$B$4:$B$63,0))&amp;")",IF(AND(INDEX(PRODUTOS!$I$4:$I$63,MATCH($A150,PRODUTOS!$B$4:$B$63,0))="B",$D150="AP07"),"NÃO (modelo B)","SIM")))</f>
        <v>NÃO (usa o A+ do EAN 7898968541566)</v>
      </c>
      <c r="K150" s="13" t="s">
        <v>325</v>
      </c>
      <c r="L150" s="13"/>
    </row>
    <row r="151" customFormat="false" ht="15" hidden="false" customHeight="false" outlineLevel="0" collapsed="false">
      <c r="A151" s="15" t="s">
        <v>85</v>
      </c>
      <c r="B151" s="11" t="str">
        <f aca="false">INDEX(PRODUTOS!$E$4:$E$63,MATCH($A151,PRODUTOS!$B$4:$B$63,0))</f>
        <v>New Dots Ração Seca Premium para Cães Filhotes - 5 kg</v>
      </c>
      <c r="C151" s="11" t="str">
        <f aca="false">INDEX(PRODUTOS!$H$4:$H$63,MATCH($A151,PRODUTOS!$B$4:$B$63,0))</f>
        <v>5 kg</v>
      </c>
      <c r="D151" s="11" t="s">
        <v>336</v>
      </c>
      <c r="E151" s="16" t="str">
        <f aca="false">$A151&amp;"."&amp;$D151&amp;".jpg"</f>
        <v>7898968541559.AP03.jpg</v>
      </c>
      <c r="F151" s="11" t="str">
        <f aca="false">IF(INDEX(PRODUTOS!$I$4:$I$63,MATCH($A151,PRODUTOS!$B$4:$B$63,0))="B",INDEX(MODELOS!$F$3:$F$19,MATCH($D151,MODELOS!$A$3:$A$19,0)),INDEX(MODELOS!$B$3:$B$19,MATCH($D151,MODELOS!$A$3:$A$19,0)))</f>
        <v>A+ · Módulo 3 · Benefício 1 de 4</v>
      </c>
      <c r="G151" s="11" t="str">
        <f aca="false">IF(INDEX(PRODUTOS!$F$4:$F$63,MATCH($A151,PRODUTOS!$B$4:$B$63,0))="Ração",IF(INDEX(PRODUTOS!$I$4:$I$63,MATCH($A151,PRODUTOS!$B$4:$B$63,0))="B",INDEX(MODELOS!$G$3:$G$19,MATCH($D151,MODELOS!$A$3:$A$19,0)),INDEX(MODELOS!$C$3:$C$19,MATCH($D151,MODELOS!$A$3:$A$19,0))),IF(INDEX(PRODUTOS!$I$4:$I$63,MATCH($A151,PRODUTOS!$B$4:$B$63,0))="B",INDEX(MODELOS!$H$3:$H$19,MATCH($D151,MODELOS!$A$3:$A$19,0)),INDEX(MODELOS!$D$3:$D$19,MATCH($D151,MODELOS!$A$3:$A$19,0))))</f>
        <v>Foto/ilustração do benefício 1</v>
      </c>
      <c r="H151" s="11" t="str">
        <f aca="false">IF(INDEX(PRODUTOS!$I$4:$I$63,MATCH($A151,PRODUTOS!$B$4:$B$63,0))="B",INDEX(MODELOS!$I$3:$I$19,MATCH($D151,MODELOS!$A$3:$A$19,0)),INDEX(MODELOS!$E$3:$E$19,MATCH($D151,MODELOS!$A$3:$A$19,0)))</f>
        <v>220 × 200</v>
      </c>
      <c r="I151" s="11" t="str">
        <f aca="false">INDEX(MODELOS!$J$3:$J$19,MATCH($D151,MODELOS!$A$3:$A$19,0))</f>
        <v>Conforme modelo</v>
      </c>
      <c r="J151" s="11" t="str">
        <f aca="false">IF(LEFT($D151,2)&lt;&gt;"AP",IF($I151="SIM","SIM","RECOMENDADA"),IF(INDEX(PRODUTOS!$J$4:$J$63,MATCH($A151,PRODUTOS!$B$4:$B$63,0))&lt;&gt;"","NÃO (usa o A+ do EAN "&amp;INDEX(PRODUTOS!$J$4:$J$63,MATCH($A151,PRODUTOS!$B$4:$B$63,0))&amp;")",IF(AND(INDEX(PRODUTOS!$I$4:$I$63,MATCH($A151,PRODUTOS!$B$4:$B$63,0))="B",$D151="AP07"),"NÃO (modelo B)","SIM")))</f>
        <v>NÃO (usa o A+ do EAN 7898968541566)</v>
      </c>
      <c r="K151" s="13" t="s">
        <v>325</v>
      </c>
      <c r="L151" s="13"/>
    </row>
    <row r="152" customFormat="false" ht="15" hidden="false" customHeight="false" outlineLevel="0" collapsed="false">
      <c r="A152" s="15" t="s">
        <v>85</v>
      </c>
      <c r="B152" s="11" t="str">
        <f aca="false">INDEX(PRODUTOS!$E$4:$E$63,MATCH($A152,PRODUTOS!$B$4:$B$63,0))</f>
        <v>New Dots Ração Seca Premium para Cães Filhotes - 5 kg</v>
      </c>
      <c r="C152" s="11" t="str">
        <f aca="false">INDEX(PRODUTOS!$H$4:$H$63,MATCH($A152,PRODUTOS!$B$4:$B$63,0))</f>
        <v>5 kg</v>
      </c>
      <c r="D152" s="11" t="s">
        <v>337</v>
      </c>
      <c r="E152" s="16" t="str">
        <f aca="false">$A152&amp;"."&amp;$D152&amp;".jpg"</f>
        <v>7898968541559.AP04.jpg</v>
      </c>
      <c r="F152" s="11" t="str">
        <f aca="false">IF(INDEX(PRODUTOS!$I$4:$I$63,MATCH($A152,PRODUTOS!$B$4:$B$63,0))="B",INDEX(MODELOS!$F$3:$F$19,MATCH($D152,MODELOS!$A$3:$A$19,0)),INDEX(MODELOS!$B$3:$B$19,MATCH($D152,MODELOS!$A$3:$A$19,0)))</f>
        <v>A+ · Módulo 3 · Benefício 2 de 4</v>
      </c>
      <c r="G152" s="11" t="str">
        <f aca="false">IF(INDEX(PRODUTOS!$F$4:$F$63,MATCH($A152,PRODUTOS!$B$4:$B$63,0))="Ração",IF(INDEX(PRODUTOS!$I$4:$I$63,MATCH($A152,PRODUTOS!$B$4:$B$63,0))="B",INDEX(MODELOS!$G$3:$G$19,MATCH($D152,MODELOS!$A$3:$A$19,0)),INDEX(MODELOS!$C$3:$C$19,MATCH($D152,MODELOS!$A$3:$A$19,0))),IF(INDEX(PRODUTOS!$I$4:$I$63,MATCH($A152,PRODUTOS!$B$4:$B$63,0))="B",INDEX(MODELOS!$H$3:$H$19,MATCH($D152,MODELOS!$A$3:$A$19,0)),INDEX(MODELOS!$D$3:$D$19,MATCH($D152,MODELOS!$A$3:$A$19,0))))</f>
        <v>Foto/ilustração do benefício 2</v>
      </c>
      <c r="H152" s="11" t="str">
        <f aca="false">IF(INDEX(PRODUTOS!$I$4:$I$63,MATCH($A152,PRODUTOS!$B$4:$B$63,0))="B",INDEX(MODELOS!$I$3:$I$19,MATCH($D152,MODELOS!$A$3:$A$19,0)),INDEX(MODELOS!$E$3:$E$19,MATCH($D152,MODELOS!$A$3:$A$19,0)))</f>
        <v>220 × 200</v>
      </c>
      <c r="I152" s="11" t="str">
        <f aca="false">INDEX(MODELOS!$J$3:$J$19,MATCH($D152,MODELOS!$A$3:$A$19,0))</f>
        <v>Conforme modelo</v>
      </c>
      <c r="J152" s="11" t="str">
        <f aca="false">IF(LEFT($D152,2)&lt;&gt;"AP",IF($I152="SIM","SIM","RECOMENDADA"),IF(INDEX(PRODUTOS!$J$4:$J$63,MATCH($A152,PRODUTOS!$B$4:$B$63,0))&lt;&gt;"","NÃO (usa o A+ do EAN "&amp;INDEX(PRODUTOS!$J$4:$J$63,MATCH($A152,PRODUTOS!$B$4:$B$63,0))&amp;")",IF(AND(INDEX(PRODUTOS!$I$4:$I$63,MATCH($A152,PRODUTOS!$B$4:$B$63,0))="B",$D152="AP07"),"NÃO (modelo B)","SIM")))</f>
        <v>NÃO (usa o A+ do EAN 7898968541566)</v>
      </c>
      <c r="K152" s="13" t="s">
        <v>325</v>
      </c>
      <c r="L152" s="13"/>
    </row>
    <row r="153" customFormat="false" ht="15" hidden="false" customHeight="false" outlineLevel="0" collapsed="false">
      <c r="A153" s="15" t="s">
        <v>85</v>
      </c>
      <c r="B153" s="11" t="str">
        <f aca="false">INDEX(PRODUTOS!$E$4:$E$63,MATCH($A153,PRODUTOS!$B$4:$B$63,0))</f>
        <v>New Dots Ração Seca Premium para Cães Filhotes - 5 kg</v>
      </c>
      <c r="C153" s="11" t="str">
        <f aca="false">INDEX(PRODUTOS!$H$4:$H$63,MATCH($A153,PRODUTOS!$B$4:$B$63,0))</f>
        <v>5 kg</v>
      </c>
      <c r="D153" s="11" t="s">
        <v>338</v>
      </c>
      <c r="E153" s="16" t="str">
        <f aca="false">$A153&amp;"."&amp;$D153&amp;".jpg"</f>
        <v>7898968541559.AP05.jpg</v>
      </c>
      <c r="F153" s="11" t="str">
        <f aca="false">IF(INDEX(PRODUTOS!$I$4:$I$63,MATCH($A153,PRODUTOS!$B$4:$B$63,0))="B",INDEX(MODELOS!$F$3:$F$19,MATCH($D153,MODELOS!$A$3:$A$19,0)),INDEX(MODELOS!$B$3:$B$19,MATCH($D153,MODELOS!$A$3:$A$19,0)))</f>
        <v>A+ · Módulo 3 · Benefício 3 de 4</v>
      </c>
      <c r="G153" s="11" t="str">
        <f aca="false">IF(INDEX(PRODUTOS!$F$4:$F$63,MATCH($A153,PRODUTOS!$B$4:$B$63,0))="Ração",IF(INDEX(PRODUTOS!$I$4:$I$63,MATCH($A153,PRODUTOS!$B$4:$B$63,0))="B",INDEX(MODELOS!$G$3:$G$19,MATCH($D153,MODELOS!$A$3:$A$19,0)),INDEX(MODELOS!$C$3:$C$19,MATCH($D153,MODELOS!$A$3:$A$19,0))),IF(INDEX(PRODUTOS!$I$4:$I$63,MATCH($A153,PRODUTOS!$B$4:$B$63,0))="B",INDEX(MODELOS!$H$3:$H$19,MATCH($D153,MODELOS!$A$3:$A$19,0)),INDEX(MODELOS!$D$3:$D$19,MATCH($D153,MODELOS!$A$3:$A$19,0))))</f>
        <v>Foto/ilustração do benefício 3</v>
      </c>
      <c r="H153" s="11" t="str">
        <f aca="false">IF(INDEX(PRODUTOS!$I$4:$I$63,MATCH($A153,PRODUTOS!$B$4:$B$63,0))="B",INDEX(MODELOS!$I$3:$I$19,MATCH($D153,MODELOS!$A$3:$A$19,0)),INDEX(MODELOS!$E$3:$E$19,MATCH($D153,MODELOS!$A$3:$A$19,0)))</f>
        <v>220 × 200</v>
      </c>
      <c r="I153" s="11" t="str">
        <f aca="false">INDEX(MODELOS!$J$3:$J$19,MATCH($D153,MODELOS!$A$3:$A$19,0))</f>
        <v>Conforme modelo</v>
      </c>
      <c r="J153" s="11" t="str">
        <f aca="false">IF(LEFT($D153,2)&lt;&gt;"AP",IF($I153="SIM","SIM","RECOMENDADA"),IF(INDEX(PRODUTOS!$J$4:$J$63,MATCH($A153,PRODUTOS!$B$4:$B$63,0))&lt;&gt;"","NÃO (usa o A+ do EAN "&amp;INDEX(PRODUTOS!$J$4:$J$63,MATCH($A153,PRODUTOS!$B$4:$B$63,0))&amp;")",IF(AND(INDEX(PRODUTOS!$I$4:$I$63,MATCH($A153,PRODUTOS!$B$4:$B$63,0))="B",$D153="AP07"),"NÃO (modelo B)","SIM")))</f>
        <v>NÃO (usa o A+ do EAN 7898968541566)</v>
      </c>
      <c r="K153" s="13" t="s">
        <v>325</v>
      </c>
      <c r="L153" s="13"/>
    </row>
    <row r="154" customFormat="false" ht="15" hidden="false" customHeight="false" outlineLevel="0" collapsed="false">
      <c r="A154" s="15" t="s">
        <v>85</v>
      </c>
      <c r="B154" s="11" t="str">
        <f aca="false">INDEX(PRODUTOS!$E$4:$E$63,MATCH($A154,PRODUTOS!$B$4:$B$63,0))</f>
        <v>New Dots Ração Seca Premium para Cães Filhotes - 5 kg</v>
      </c>
      <c r="C154" s="11" t="str">
        <f aca="false">INDEX(PRODUTOS!$H$4:$H$63,MATCH($A154,PRODUTOS!$B$4:$B$63,0))</f>
        <v>5 kg</v>
      </c>
      <c r="D154" s="11" t="s">
        <v>339</v>
      </c>
      <c r="E154" s="16" t="str">
        <f aca="false">$A154&amp;"."&amp;$D154&amp;".jpg"</f>
        <v>7898968541559.AP06.jpg</v>
      </c>
      <c r="F154" s="11" t="str">
        <f aca="false">IF(INDEX(PRODUTOS!$I$4:$I$63,MATCH($A154,PRODUTOS!$B$4:$B$63,0))="B",INDEX(MODELOS!$F$3:$F$19,MATCH($D154,MODELOS!$A$3:$A$19,0)),INDEX(MODELOS!$B$3:$B$19,MATCH($D154,MODELOS!$A$3:$A$19,0)))</f>
        <v>A+ · Módulo 3 · Benefício 4 de 4</v>
      </c>
      <c r="G154" s="11" t="str">
        <f aca="false">IF(INDEX(PRODUTOS!$F$4:$F$63,MATCH($A154,PRODUTOS!$B$4:$B$63,0))="Ração",IF(INDEX(PRODUTOS!$I$4:$I$63,MATCH($A154,PRODUTOS!$B$4:$B$63,0))="B",INDEX(MODELOS!$G$3:$G$19,MATCH($D154,MODELOS!$A$3:$A$19,0)),INDEX(MODELOS!$C$3:$C$19,MATCH($D154,MODELOS!$A$3:$A$19,0))),IF(INDEX(PRODUTOS!$I$4:$I$63,MATCH($A154,PRODUTOS!$B$4:$B$63,0))="B",INDEX(MODELOS!$H$3:$H$19,MATCH($D154,MODELOS!$A$3:$A$19,0)),INDEX(MODELOS!$D$3:$D$19,MATCH($D154,MODELOS!$A$3:$A$19,0))))</f>
        <v>Foto/ilustração do benefício 4</v>
      </c>
      <c r="H154" s="11" t="str">
        <f aca="false">IF(INDEX(PRODUTOS!$I$4:$I$63,MATCH($A154,PRODUTOS!$B$4:$B$63,0))="B",INDEX(MODELOS!$I$3:$I$19,MATCH($D154,MODELOS!$A$3:$A$19,0)),INDEX(MODELOS!$E$3:$E$19,MATCH($D154,MODELOS!$A$3:$A$19,0)))</f>
        <v>220 × 200</v>
      </c>
      <c r="I154" s="11" t="str">
        <f aca="false">INDEX(MODELOS!$J$3:$J$19,MATCH($D154,MODELOS!$A$3:$A$19,0))</f>
        <v>Conforme modelo</v>
      </c>
      <c r="J154" s="11" t="str">
        <f aca="false">IF(LEFT($D154,2)&lt;&gt;"AP",IF($I154="SIM","SIM","RECOMENDADA"),IF(INDEX(PRODUTOS!$J$4:$J$63,MATCH($A154,PRODUTOS!$B$4:$B$63,0))&lt;&gt;"","NÃO (usa o A+ do EAN "&amp;INDEX(PRODUTOS!$J$4:$J$63,MATCH($A154,PRODUTOS!$B$4:$B$63,0))&amp;")",IF(AND(INDEX(PRODUTOS!$I$4:$I$63,MATCH($A154,PRODUTOS!$B$4:$B$63,0))="B",$D154="AP07"),"NÃO (modelo B)","SIM")))</f>
        <v>NÃO (usa o A+ do EAN 7898968541566)</v>
      </c>
      <c r="K154" s="13" t="s">
        <v>325</v>
      </c>
      <c r="L154" s="13"/>
    </row>
    <row r="155" customFormat="false" ht="15" hidden="false" customHeight="false" outlineLevel="0" collapsed="false">
      <c r="A155" s="15" t="s">
        <v>85</v>
      </c>
      <c r="B155" s="11" t="str">
        <f aca="false">INDEX(PRODUTOS!$E$4:$E$63,MATCH($A155,PRODUTOS!$B$4:$B$63,0))</f>
        <v>New Dots Ração Seca Premium para Cães Filhotes - 5 kg</v>
      </c>
      <c r="C155" s="11" t="str">
        <f aca="false">INDEX(PRODUTOS!$H$4:$H$63,MATCH($A155,PRODUTOS!$B$4:$B$63,0))</f>
        <v>5 kg</v>
      </c>
      <c r="D155" s="11" t="s">
        <v>340</v>
      </c>
      <c r="E155" s="16" t="str">
        <f aca="false">$A155&amp;"."&amp;$D155&amp;".jpg"</f>
        <v>7898968541559.AP07.jpg</v>
      </c>
      <c r="F155" s="11" t="str">
        <f aca="false">IF(INDEX(PRODUTOS!$I$4:$I$63,MATCH($A155,PRODUTOS!$B$4:$B$63,0))="B",INDEX(MODELOS!$F$3:$F$19,MATCH($D155,MODELOS!$A$3:$A$19,0)),INDEX(MODELOS!$B$3:$B$19,MATCH($D155,MODELOS!$A$3:$A$19,0)))</f>
        <v>A+ · Módulo 4 · Especificações</v>
      </c>
      <c r="G155" s="11" t="str">
        <f aca="false">IF(INDEX(PRODUTOS!$F$4:$F$63,MATCH($A155,PRODUTOS!$B$4:$B$63,0))="Ração",IF(INDEX(PRODUTOS!$I$4:$I$63,MATCH($A155,PRODUTOS!$B$4:$B$63,0))="B",INDEX(MODELOS!$G$3:$G$19,MATCH($D155,MODELOS!$A$3:$A$19,0)),INDEX(MODELOS!$C$3:$C$19,MATCH($D155,MODELOS!$A$3:$A$19,0))),IF(INDEX(PRODUTOS!$I$4:$I$63,MATCH($A155,PRODUTOS!$B$4:$B$63,0))="B",INDEX(MODELOS!$H$3:$H$19,MATCH($D155,MODELOS!$A$3:$A$19,0)),INDEX(MODELOS!$D$3:$D$19,MATCH($D155,MODELOS!$A$3:$A$19,0))))</f>
        <v>Grão ou pacote em destaque</v>
      </c>
      <c r="H155" s="11" t="str">
        <f aca="false">IF(INDEX(PRODUTOS!$I$4:$I$63,MATCH($A155,PRODUTOS!$B$4:$B$63,0))="B",INDEX(MODELOS!$I$3:$I$19,MATCH($D155,MODELOS!$A$3:$A$19,0)),INDEX(MODELOS!$E$3:$E$19,MATCH($D155,MODELOS!$A$3:$A$19,0)))</f>
        <v>300 × 300</v>
      </c>
      <c r="I155" s="11" t="str">
        <f aca="false">INDEX(MODELOS!$J$3:$J$19,MATCH($D155,MODELOS!$A$3:$A$19,0))</f>
        <v>Conforme modelo</v>
      </c>
      <c r="J155" s="11" t="str">
        <f aca="false">IF(LEFT($D155,2)&lt;&gt;"AP",IF($I155="SIM","SIM","RECOMENDADA"),IF(INDEX(PRODUTOS!$J$4:$J$63,MATCH($A155,PRODUTOS!$B$4:$B$63,0))&lt;&gt;"","NÃO (usa o A+ do EAN "&amp;INDEX(PRODUTOS!$J$4:$J$63,MATCH($A155,PRODUTOS!$B$4:$B$63,0))&amp;")",IF(AND(INDEX(PRODUTOS!$I$4:$I$63,MATCH($A155,PRODUTOS!$B$4:$B$63,0))="B",$D155="AP07"),"NÃO (modelo B)","SIM")))</f>
        <v>NÃO (usa o A+ do EAN 7898968541566)</v>
      </c>
      <c r="K155" s="13" t="s">
        <v>325</v>
      </c>
      <c r="L155" s="13"/>
    </row>
    <row r="156" customFormat="false" ht="15" hidden="false" customHeight="false" outlineLevel="0" collapsed="false">
      <c r="A156" s="15" t="s">
        <v>85</v>
      </c>
      <c r="B156" s="11" t="str">
        <f aca="false">INDEX(PRODUTOS!$E$4:$E$63,MATCH($A156,PRODUTOS!$B$4:$B$63,0))</f>
        <v>New Dots Ração Seca Premium para Cães Filhotes - 5 kg</v>
      </c>
      <c r="C156" s="11" t="str">
        <f aca="false">INDEX(PRODUTOS!$H$4:$H$63,MATCH($A156,PRODUTOS!$B$4:$B$63,0))</f>
        <v>5 kg</v>
      </c>
      <c r="D156" s="11" t="s">
        <v>341</v>
      </c>
      <c r="E156" s="16" t="str">
        <f aca="false">$A156&amp;"."&amp;$D156&amp;".jpg"</f>
        <v>7898968541559.COMP.jpg</v>
      </c>
      <c r="F156" s="11" t="str">
        <f aca="false">IF(INDEX(PRODUTOS!$I$4:$I$63,MATCH($A156,PRODUTOS!$B$4:$B$63,0))="B",INDEX(MODELOS!$F$3:$F$19,MATCH($D156,MODELOS!$A$3:$A$19,0)),INDEX(MODELOS!$B$3:$B$19,MATCH($D156,MODELOS!$A$3:$A$19,0)))</f>
        <v>A+ · Tabela comparativa</v>
      </c>
      <c r="G156" s="11" t="str">
        <f aca="false">IF(INDEX(PRODUTOS!$F$4:$F$63,MATCH($A156,PRODUTOS!$B$4:$B$63,0))="Ração",IF(INDEX(PRODUTOS!$I$4:$I$63,MATCH($A156,PRODUTOS!$B$4:$B$63,0))="B",INDEX(MODELOS!$G$3:$G$19,MATCH($D156,MODELOS!$A$3:$A$19,0)),INDEX(MODELOS!$C$3:$C$19,MATCH($D156,MODELOS!$A$3:$A$19,0))),IF(INDEX(PRODUTOS!$I$4:$I$63,MATCH($A156,PRODUTOS!$B$4:$B$63,0))="B",INDEX(MODELOS!$H$3:$H$19,MATCH($D156,MODELOS!$A$3:$A$19,0)),INDEX(MODELOS!$D$3:$D$19,MATCH($D156,MODELOS!$A$3:$A$19,0))))</f>
        <v>Pacote na vertical, sem fundo colorido</v>
      </c>
      <c r="H156" s="11" t="str">
        <f aca="false">IF(INDEX(PRODUTOS!$I$4:$I$63,MATCH($A156,PRODUTOS!$B$4:$B$63,0))="B",INDEX(MODELOS!$I$3:$I$19,MATCH($D156,MODELOS!$A$3:$A$19,0)),INDEX(MODELOS!$E$3:$E$19,MATCH($D156,MODELOS!$A$3:$A$19,0)))</f>
        <v>150 × 300</v>
      </c>
      <c r="I156" s="11" t="str">
        <f aca="false">INDEX(MODELOS!$J$3:$J$19,MATCH($D156,MODELOS!$A$3:$A$19,0))</f>
        <v>SIM</v>
      </c>
      <c r="J156" s="11" t="str">
        <f aca="false">IF(LEFT($D156,2)&lt;&gt;"AP",IF($I156="SIM","SIM","RECOMENDADA"),IF(INDEX(PRODUTOS!$J$4:$J$63,MATCH($A156,PRODUTOS!$B$4:$B$63,0))&lt;&gt;"","NÃO (usa o A+ do EAN "&amp;INDEX(PRODUTOS!$J$4:$J$63,MATCH($A156,PRODUTOS!$B$4:$B$63,0))&amp;")",IF(AND(INDEX(PRODUTOS!$I$4:$I$63,MATCH($A156,PRODUTOS!$B$4:$B$63,0))="B",$D156="AP07"),"NÃO (modelo B)","SIM")))</f>
        <v>SIM</v>
      </c>
      <c r="K156" s="13" t="s">
        <v>325</v>
      </c>
      <c r="L156" s="13"/>
    </row>
    <row r="157" customFormat="false" ht="15" hidden="false" customHeight="false" outlineLevel="0" collapsed="false">
      <c r="A157" s="15" t="s">
        <v>88</v>
      </c>
      <c r="B157" s="11" t="str">
        <f aca="false">INDEX(PRODUTOS!$E$4:$E$63,MATCH($A157,PRODUTOS!$B$4:$B$63,0))</f>
        <v>New Dots Ração Seca Premium para Cães Filhotes - 1 kg</v>
      </c>
      <c r="C157" s="11" t="str">
        <f aca="false">INDEX(PRODUTOS!$H$4:$H$63,MATCH($A157,PRODUTOS!$B$4:$B$63,0))</f>
        <v>1 kg</v>
      </c>
      <c r="D157" s="11" t="s">
        <v>324</v>
      </c>
      <c r="E157" s="16" t="str">
        <f aca="false">$A157&amp;"."&amp;$D157&amp;".jpg"</f>
        <v>7898968541542.MAIN.jpg</v>
      </c>
      <c r="F157" s="11" t="str">
        <f aca="false">IF(INDEX(PRODUTOS!$I$4:$I$63,MATCH($A157,PRODUTOS!$B$4:$B$63,0))="B",INDEX(MODELOS!$F$3:$F$19,MATCH($D157,MODELOS!$A$3:$A$19,0)),INDEX(MODELOS!$B$3:$B$19,MATCH($D157,MODELOS!$A$3:$A$19,0)))</f>
        <v>Capa (posição 1)</v>
      </c>
      <c r="G157" s="11" t="str">
        <f aca="false">IF(INDEX(PRODUTOS!$F$4:$F$63,MATCH($A157,PRODUTOS!$B$4:$B$63,0))="Ração",IF(INDEX(PRODUTOS!$I$4:$I$63,MATCH($A157,PRODUTOS!$B$4:$B$63,0))="B",INDEX(MODELOS!$G$3:$G$19,MATCH($D157,MODELOS!$A$3:$A$19,0)),INDEX(MODELOS!$C$3:$C$19,MATCH($D157,MODELOS!$A$3:$A$19,0))),IF(INDEX(PRODUTOS!$I$4:$I$63,MATCH($A157,PRODUTOS!$B$4:$B$63,0))="B",INDEX(MODELOS!$H$3:$H$19,MATCH($D157,MODELOS!$A$3:$A$19,0)),INDEX(MODELOS!$D$3:$D$19,MATCH($D157,MODELOS!$A$3:$A$19,0))))</f>
        <v>Embalagem de frente, fundo branco puro, 85% da área, nada adicionado</v>
      </c>
      <c r="H157" s="11" t="str">
        <f aca="false">IF(INDEX(PRODUTOS!$I$4:$I$63,MATCH($A157,PRODUTOS!$B$4:$B$63,0))="B",INDEX(MODELOS!$I$3:$I$19,MATCH($D157,MODELOS!$A$3:$A$19,0)),INDEX(MODELOS!$E$3:$E$19,MATCH($D157,MODELOS!$A$3:$A$19,0)))</f>
        <v>2000 × 2000</v>
      </c>
      <c r="I157" s="11" t="str">
        <f aca="false">INDEX(MODELOS!$J$3:$J$19,MATCH($D157,MODELOS!$A$3:$A$19,0))</f>
        <v>SIM</v>
      </c>
      <c r="J157" s="11" t="str">
        <f aca="false">IF(LEFT($D157,2)&lt;&gt;"AP",IF($I157="SIM","SIM","RECOMENDADA"),IF(INDEX(PRODUTOS!$J$4:$J$63,MATCH($A157,PRODUTOS!$B$4:$B$63,0))&lt;&gt;"","NÃO (usa o A+ do EAN "&amp;INDEX(PRODUTOS!$J$4:$J$63,MATCH($A157,PRODUTOS!$B$4:$B$63,0))&amp;")",IF(AND(INDEX(PRODUTOS!$I$4:$I$63,MATCH($A157,PRODUTOS!$B$4:$B$63,0))="B",$D157="AP07"),"NÃO (modelo B)","SIM")))</f>
        <v>SIM</v>
      </c>
      <c r="K157" s="13" t="s">
        <v>325</v>
      </c>
      <c r="L157" s="13"/>
    </row>
    <row r="158" customFormat="false" ht="15" hidden="false" customHeight="false" outlineLevel="0" collapsed="false">
      <c r="A158" s="15" t="s">
        <v>88</v>
      </c>
      <c r="B158" s="11" t="str">
        <f aca="false">INDEX(PRODUTOS!$E$4:$E$63,MATCH($A158,PRODUTOS!$B$4:$B$63,0))</f>
        <v>New Dots Ração Seca Premium para Cães Filhotes - 1 kg</v>
      </c>
      <c r="C158" s="11" t="str">
        <f aca="false">INDEX(PRODUTOS!$H$4:$H$63,MATCH($A158,PRODUTOS!$B$4:$B$63,0))</f>
        <v>1 kg</v>
      </c>
      <c r="D158" s="11" t="s">
        <v>326</v>
      </c>
      <c r="E158" s="16" t="str">
        <f aca="false">$A158&amp;"."&amp;$D158&amp;".jpg"</f>
        <v>7898968541542.PT01.jpg</v>
      </c>
      <c r="F158" s="11" t="str">
        <f aca="false">IF(INDEX(PRODUTOS!$I$4:$I$63,MATCH($A158,PRODUTOS!$B$4:$B$63,0))="B",INDEX(MODELOS!$F$3:$F$19,MATCH($D158,MODELOS!$A$3:$A$19,0)),INDEX(MODELOS!$B$3:$B$19,MATCH($D158,MODELOS!$A$3:$A$19,0)))</f>
        <v>Galeria · posição 2</v>
      </c>
      <c r="G158" s="11" t="str">
        <f aca="false">IF(INDEX(PRODUTOS!$F$4:$F$63,MATCH($A158,PRODUTOS!$B$4:$B$63,0))="Ração",IF(INDEX(PRODUTOS!$I$4:$I$63,MATCH($A158,PRODUTOS!$B$4:$B$63,0))="B",INDEX(MODELOS!$G$3:$G$19,MATCH($D158,MODELOS!$A$3:$A$19,0)),INDEX(MODELOS!$C$3:$C$19,MATCH($D158,MODELOS!$A$3:$A$19,0))),IF(INDEX(PRODUTOS!$I$4:$I$63,MATCH($A158,PRODUTOS!$B$4:$B$63,0))="B",INDEX(MODELOS!$H$3:$H$19,MATCH($D158,MODELOS!$A$3:$A$19,0)),INDEX(MODELOS!$D$3:$D$19,MATCH($D158,MODELOS!$A$3:$A$19,0))))</f>
        <v>Grande diferencial da linha (número ou promessa forte + grão e ingrediente)</v>
      </c>
      <c r="H158" s="11" t="str">
        <f aca="false">IF(INDEX(PRODUTOS!$I$4:$I$63,MATCH($A158,PRODUTOS!$B$4:$B$63,0))="B",INDEX(MODELOS!$I$3:$I$19,MATCH($D158,MODELOS!$A$3:$A$19,0)),INDEX(MODELOS!$E$3:$E$19,MATCH($D158,MODELOS!$A$3:$A$19,0)))</f>
        <v>2000 × 2000</v>
      </c>
      <c r="I158" s="11" t="str">
        <f aca="false">INDEX(MODELOS!$J$3:$J$19,MATCH($D158,MODELOS!$A$3:$A$19,0))</f>
        <v>SIM</v>
      </c>
      <c r="J158" s="11" t="str">
        <f aca="false">IF(LEFT($D158,2)&lt;&gt;"AP",IF($I158="SIM","SIM","RECOMENDADA"),IF(INDEX(PRODUTOS!$J$4:$J$63,MATCH($A158,PRODUTOS!$B$4:$B$63,0))&lt;&gt;"","NÃO (usa o A+ do EAN "&amp;INDEX(PRODUTOS!$J$4:$J$63,MATCH($A158,PRODUTOS!$B$4:$B$63,0))&amp;")",IF(AND(INDEX(PRODUTOS!$I$4:$I$63,MATCH($A158,PRODUTOS!$B$4:$B$63,0))="B",$D158="AP07"),"NÃO (modelo B)","SIM")))</f>
        <v>SIM</v>
      </c>
      <c r="K158" s="13" t="s">
        <v>325</v>
      </c>
      <c r="L158" s="13"/>
    </row>
    <row r="159" customFormat="false" ht="15" hidden="false" customHeight="false" outlineLevel="0" collapsed="false">
      <c r="A159" s="15" t="s">
        <v>88</v>
      </c>
      <c r="B159" s="11" t="str">
        <f aca="false">INDEX(PRODUTOS!$E$4:$E$63,MATCH($A159,PRODUTOS!$B$4:$B$63,0))</f>
        <v>New Dots Ração Seca Premium para Cães Filhotes - 1 kg</v>
      </c>
      <c r="C159" s="11" t="str">
        <f aca="false">INDEX(PRODUTOS!$H$4:$H$63,MATCH($A159,PRODUTOS!$B$4:$B$63,0))</f>
        <v>1 kg</v>
      </c>
      <c r="D159" s="11" t="s">
        <v>327</v>
      </c>
      <c r="E159" s="16" t="str">
        <f aca="false">$A159&amp;"."&amp;$D159&amp;".jpg"</f>
        <v>7898968541542.PT02.jpg</v>
      </c>
      <c r="F159" s="11" t="str">
        <f aca="false">IF(INDEX(PRODUTOS!$I$4:$I$63,MATCH($A159,PRODUTOS!$B$4:$B$63,0))="B",INDEX(MODELOS!$F$3:$F$19,MATCH($D159,MODELOS!$A$3:$A$19,0)),INDEX(MODELOS!$B$3:$B$19,MATCH($D159,MODELOS!$A$3:$A$19,0)))</f>
        <v>Galeria · posição 3</v>
      </c>
      <c r="G159" s="11" t="str">
        <f aca="false">IF(INDEX(PRODUTOS!$F$4:$F$63,MATCH($A159,PRODUTOS!$B$4:$B$63,0))="Ração",IF(INDEX(PRODUTOS!$I$4:$I$63,MATCH($A159,PRODUTOS!$B$4:$B$63,0))="B",INDEX(MODELOS!$G$3:$G$19,MATCH($D159,MODELOS!$A$3:$A$19,0)),INDEX(MODELOS!$C$3:$C$19,MATCH($D159,MODELOS!$A$3:$A$19,0))),IF(INDEX(PRODUTOS!$I$4:$I$63,MATCH($A159,PRODUTOS!$B$4:$B$63,0))="B",INDEX(MODELOS!$H$3:$H$19,MATCH($D159,MODELOS!$A$3:$A$19,0)),INDEX(MODELOS!$D$3:$D$19,MATCH($D159,MODELOS!$A$3:$A$19,0))))</f>
        <v>Benefícios com ícones (4 a 6, impressos na embalagem) + ingrediente</v>
      </c>
      <c r="H159" s="11" t="str">
        <f aca="false">IF(INDEX(PRODUTOS!$I$4:$I$63,MATCH($A159,PRODUTOS!$B$4:$B$63,0))="B",INDEX(MODELOS!$I$3:$I$19,MATCH($D159,MODELOS!$A$3:$A$19,0)),INDEX(MODELOS!$E$3:$E$19,MATCH($D159,MODELOS!$A$3:$A$19,0)))</f>
        <v>2000 × 2000</v>
      </c>
      <c r="I159" s="11" t="str">
        <f aca="false">INDEX(MODELOS!$J$3:$J$19,MATCH($D159,MODELOS!$A$3:$A$19,0))</f>
        <v>SIM</v>
      </c>
      <c r="J159" s="11" t="str">
        <f aca="false">IF(LEFT($D159,2)&lt;&gt;"AP",IF($I159="SIM","SIM","RECOMENDADA"),IF(INDEX(PRODUTOS!$J$4:$J$63,MATCH($A159,PRODUTOS!$B$4:$B$63,0))&lt;&gt;"","NÃO (usa o A+ do EAN "&amp;INDEX(PRODUTOS!$J$4:$J$63,MATCH($A159,PRODUTOS!$B$4:$B$63,0))&amp;")",IF(AND(INDEX(PRODUTOS!$I$4:$I$63,MATCH($A159,PRODUTOS!$B$4:$B$63,0))="B",$D159="AP07"),"NÃO (modelo B)","SIM")))</f>
        <v>SIM</v>
      </c>
      <c r="K159" s="13" t="s">
        <v>325</v>
      </c>
      <c r="L159" s="13"/>
    </row>
    <row r="160" customFormat="false" ht="15" hidden="false" customHeight="false" outlineLevel="0" collapsed="false">
      <c r="A160" s="15" t="s">
        <v>88</v>
      </c>
      <c r="B160" s="11" t="str">
        <f aca="false">INDEX(PRODUTOS!$E$4:$E$63,MATCH($A160,PRODUTOS!$B$4:$B$63,0))</f>
        <v>New Dots Ração Seca Premium para Cães Filhotes - 1 kg</v>
      </c>
      <c r="C160" s="11" t="str">
        <f aca="false">INDEX(PRODUTOS!$H$4:$H$63,MATCH($A160,PRODUTOS!$B$4:$B$63,0))</f>
        <v>1 kg</v>
      </c>
      <c r="D160" s="11" t="s">
        <v>328</v>
      </c>
      <c r="E160" s="16" t="str">
        <f aca="false">$A160&amp;"."&amp;$D160&amp;".jpg"</f>
        <v>7898968541542.PT03.jpg</v>
      </c>
      <c r="F160" s="11" t="str">
        <f aca="false">IF(INDEX(PRODUTOS!$I$4:$I$63,MATCH($A160,PRODUTOS!$B$4:$B$63,0))="B",INDEX(MODELOS!$F$3:$F$19,MATCH($D160,MODELOS!$A$3:$A$19,0)),INDEX(MODELOS!$B$3:$B$19,MATCH($D160,MODELOS!$A$3:$A$19,0)))</f>
        <v>Galeria · posição 4</v>
      </c>
      <c r="G160" s="11" t="str">
        <f aca="false">IF(INDEX(PRODUTOS!$F$4:$F$63,MATCH($A160,PRODUTOS!$B$4:$B$63,0))="Ração",IF(INDEX(PRODUTOS!$I$4:$I$63,MATCH($A160,PRODUTOS!$B$4:$B$63,0))="B",INDEX(MODELOS!$G$3:$G$19,MATCH($D160,MODELOS!$A$3:$A$19,0)),INDEX(MODELOS!$C$3:$C$19,MATCH($D160,MODELOS!$A$3:$A$19,0))),IF(INDEX(PRODUTOS!$I$4:$I$63,MATCH($A160,PRODUTOS!$B$4:$B$63,0))="B",INDEX(MODELOS!$H$3:$H$19,MATCH($D160,MODELOS!$A$3:$A$19,0)),INDEX(MODELOS!$D$3:$D$19,MATCH($D160,MODELOS!$A$3:$A$19,0))))</f>
        <v>Formato e tamanho do grão, com medida em mm e referência de tamanho</v>
      </c>
      <c r="H160" s="11" t="str">
        <f aca="false">IF(INDEX(PRODUTOS!$I$4:$I$63,MATCH($A160,PRODUTOS!$B$4:$B$63,0))="B",INDEX(MODELOS!$I$3:$I$19,MATCH($D160,MODELOS!$A$3:$A$19,0)),INDEX(MODELOS!$E$3:$E$19,MATCH($D160,MODELOS!$A$3:$A$19,0)))</f>
        <v>2000 × 2000</v>
      </c>
      <c r="I160" s="11" t="str">
        <f aca="false">INDEX(MODELOS!$J$3:$J$19,MATCH($D160,MODELOS!$A$3:$A$19,0))</f>
        <v>SIM</v>
      </c>
      <c r="J160" s="11" t="str">
        <f aca="false">IF(LEFT($D160,2)&lt;&gt;"AP",IF($I160="SIM","SIM","RECOMENDADA"),IF(INDEX(PRODUTOS!$J$4:$J$63,MATCH($A160,PRODUTOS!$B$4:$B$63,0))&lt;&gt;"","NÃO (usa o A+ do EAN "&amp;INDEX(PRODUTOS!$J$4:$J$63,MATCH($A160,PRODUTOS!$B$4:$B$63,0))&amp;")",IF(AND(INDEX(PRODUTOS!$I$4:$I$63,MATCH($A160,PRODUTOS!$B$4:$B$63,0))="B",$D160="AP07"),"NÃO (modelo B)","SIM")))</f>
        <v>SIM</v>
      </c>
      <c r="K160" s="13" t="s">
        <v>325</v>
      </c>
      <c r="L160" s="13"/>
    </row>
    <row r="161" customFormat="false" ht="15" hidden="false" customHeight="false" outlineLevel="0" collapsed="false">
      <c r="A161" s="15" t="s">
        <v>88</v>
      </c>
      <c r="B161" s="11" t="str">
        <f aca="false">INDEX(PRODUTOS!$E$4:$E$63,MATCH($A161,PRODUTOS!$B$4:$B$63,0))</f>
        <v>New Dots Ração Seca Premium para Cães Filhotes - 1 kg</v>
      </c>
      <c r="C161" s="11" t="str">
        <f aca="false">INDEX(PRODUTOS!$H$4:$H$63,MATCH($A161,PRODUTOS!$B$4:$B$63,0))</f>
        <v>1 kg</v>
      </c>
      <c r="D161" s="11" t="s">
        <v>329</v>
      </c>
      <c r="E161" s="16" t="str">
        <f aca="false">$A161&amp;"."&amp;$D161&amp;".jpg"</f>
        <v>7898968541542.PT04.jpg</v>
      </c>
      <c r="F161" s="11" t="str">
        <f aca="false">IF(INDEX(PRODUTOS!$I$4:$I$63,MATCH($A161,PRODUTOS!$B$4:$B$63,0))="B",INDEX(MODELOS!$F$3:$F$19,MATCH($D161,MODELOS!$A$3:$A$19,0)),INDEX(MODELOS!$B$3:$B$19,MATCH($D161,MODELOS!$A$3:$A$19,0)))</f>
        <v>Galeria · posição 5</v>
      </c>
      <c r="G161" s="11" t="str">
        <f aca="false">IF(INDEX(PRODUTOS!$F$4:$F$63,MATCH($A161,PRODUTOS!$B$4:$B$63,0))="Ração",IF(INDEX(PRODUTOS!$I$4:$I$63,MATCH($A161,PRODUTOS!$B$4:$B$63,0))="B",INDEX(MODELOS!$G$3:$G$19,MATCH($D161,MODELOS!$A$3:$A$19,0)),INDEX(MODELOS!$C$3:$C$19,MATCH($D161,MODELOS!$A$3:$A$19,0))),IF(INDEX(PRODUTOS!$I$4:$I$63,MATCH($A161,PRODUTOS!$B$4:$B$63,0))="B",INDEX(MODELOS!$H$3:$H$19,MATCH($D161,MODELOS!$A$3:$A$19,0)),INDEX(MODELOS!$D$3:$D$19,MATCH($D161,MODELOS!$A$3:$A$19,0))))</f>
        <v>Quantidade diária por peso do cão/gato (números idênticos à embalagem)</v>
      </c>
      <c r="H161" s="11" t="str">
        <f aca="false">IF(INDEX(PRODUTOS!$I$4:$I$63,MATCH($A161,PRODUTOS!$B$4:$B$63,0))="B",INDEX(MODELOS!$I$3:$I$19,MATCH($D161,MODELOS!$A$3:$A$19,0)),INDEX(MODELOS!$E$3:$E$19,MATCH($D161,MODELOS!$A$3:$A$19,0)))</f>
        <v>2000 × 2000</v>
      </c>
      <c r="I161" s="11" t="str">
        <f aca="false">INDEX(MODELOS!$J$3:$J$19,MATCH($D161,MODELOS!$A$3:$A$19,0))</f>
        <v>SIM</v>
      </c>
      <c r="J161" s="11" t="str">
        <f aca="false">IF(LEFT($D161,2)&lt;&gt;"AP",IF($I161="SIM","SIM","RECOMENDADA"),IF(INDEX(PRODUTOS!$J$4:$J$63,MATCH($A161,PRODUTOS!$B$4:$B$63,0))&lt;&gt;"","NÃO (usa o A+ do EAN "&amp;INDEX(PRODUTOS!$J$4:$J$63,MATCH($A161,PRODUTOS!$B$4:$B$63,0))&amp;")",IF(AND(INDEX(PRODUTOS!$I$4:$I$63,MATCH($A161,PRODUTOS!$B$4:$B$63,0))="B",$D161="AP07"),"NÃO (modelo B)","SIM")))</f>
        <v>SIM</v>
      </c>
      <c r="K161" s="13" t="s">
        <v>325</v>
      </c>
      <c r="L161" s="13"/>
    </row>
    <row r="162" customFormat="false" ht="15" hidden="false" customHeight="false" outlineLevel="0" collapsed="false">
      <c r="A162" s="15" t="s">
        <v>88</v>
      </c>
      <c r="B162" s="11" t="str">
        <f aca="false">INDEX(PRODUTOS!$E$4:$E$63,MATCH($A162,PRODUTOS!$B$4:$B$63,0))</f>
        <v>New Dots Ração Seca Premium para Cães Filhotes - 1 kg</v>
      </c>
      <c r="C162" s="11" t="str">
        <f aca="false">INDEX(PRODUTOS!$H$4:$H$63,MATCH($A162,PRODUTOS!$B$4:$B$63,0))</f>
        <v>1 kg</v>
      </c>
      <c r="D162" s="11" t="s">
        <v>330</v>
      </c>
      <c r="E162" s="16" t="str">
        <f aca="false">$A162&amp;"."&amp;$D162&amp;".jpg"</f>
        <v>7898968541542.PT05.jpg</v>
      </c>
      <c r="F162" s="11" t="str">
        <f aca="false">IF(INDEX(PRODUTOS!$I$4:$I$63,MATCH($A162,PRODUTOS!$B$4:$B$63,0))="B",INDEX(MODELOS!$F$3:$F$19,MATCH($D162,MODELOS!$A$3:$A$19,0)),INDEX(MODELOS!$B$3:$B$19,MATCH($D162,MODELOS!$A$3:$A$19,0)))</f>
        <v>Galeria · posição 6</v>
      </c>
      <c r="G162" s="11" t="str">
        <f aca="false">IF(INDEX(PRODUTOS!$F$4:$F$63,MATCH($A162,PRODUTOS!$B$4:$B$63,0))="Ração",IF(INDEX(PRODUTOS!$I$4:$I$63,MATCH($A162,PRODUTOS!$B$4:$B$63,0))="B",INDEX(MODELOS!$G$3:$G$19,MATCH($D162,MODELOS!$A$3:$A$19,0)),INDEX(MODELOS!$C$3:$C$19,MATCH($D162,MODELOS!$A$3:$A$19,0))),IF(INDEX(PRODUTOS!$I$4:$I$63,MATCH($A162,PRODUTOS!$B$4:$B$63,0))="B",INDEX(MODELOS!$H$3:$H$19,MATCH($D162,MODELOS!$A$3:$A$19,0)),INDEX(MODELOS!$D$3:$D$19,MATCH($D162,MODELOS!$A$3:$A$19,0))))</f>
        <v>Transição alimentar dia a dia (igual ao verso da embalagem)</v>
      </c>
      <c r="H162" s="11" t="str">
        <f aca="false">IF(INDEX(PRODUTOS!$I$4:$I$63,MATCH($A162,PRODUTOS!$B$4:$B$63,0))="B",INDEX(MODELOS!$I$3:$I$19,MATCH($D162,MODELOS!$A$3:$A$19,0)),INDEX(MODELOS!$E$3:$E$19,MATCH($D162,MODELOS!$A$3:$A$19,0)))</f>
        <v>2000 × 2000</v>
      </c>
      <c r="I162" s="11" t="str">
        <f aca="false">INDEX(MODELOS!$J$3:$J$19,MATCH($D162,MODELOS!$A$3:$A$19,0))</f>
        <v>Recomendada</v>
      </c>
      <c r="J162" s="11" t="str">
        <f aca="false">IF(LEFT($D162,2)&lt;&gt;"AP",IF($I162="SIM","SIM","RECOMENDADA"),IF(INDEX(PRODUTOS!$J$4:$J$63,MATCH($A162,PRODUTOS!$B$4:$B$63,0))&lt;&gt;"","NÃO (usa o A+ do EAN "&amp;INDEX(PRODUTOS!$J$4:$J$63,MATCH($A162,PRODUTOS!$B$4:$B$63,0))&amp;")",IF(AND(INDEX(PRODUTOS!$I$4:$I$63,MATCH($A162,PRODUTOS!$B$4:$B$63,0))="B",$D162="AP07"),"NÃO (modelo B)","SIM")))</f>
        <v>RECOMENDADA</v>
      </c>
      <c r="K162" s="13" t="s">
        <v>325</v>
      </c>
      <c r="L162" s="13"/>
    </row>
    <row r="163" customFormat="false" ht="15" hidden="false" customHeight="false" outlineLevel="0" collapsed="false">
      <c r="A163" s="15" t="s">
        <v>88</v>
      </c>
      <c r="B163" s="11" t="str">
        <f aca="false">INDEX(PRODUTOS!$E$4:$E$63,MATCH($A163,PRODUTOS!$B$4:$B$63,0))</f>
        <v>New Dots Ração Seca Premium para Cães Filhotes - 1 kg</v>
      </c>
      <c r="C163" s="11" t="str">
        <f aca="false">INDEX(PRODUTOS!$H$4:$H$63,MATCH($A163,PRODUTOS!$B$4:$B$63,0))</f>
        <v>1 kg</v>
      </c>
      <c r="D163" s="11" t="s">
        <v>331</v>
      </c>
      <c r="E163" s="16" t="str">
        <f aca="false">$A163&amp;"."&amp;$D163&amp;".jpg"</f>
        <v>7898968541542.PT06.jpg</v>
      </c>
      <c r="F163" s="11" t="str">
        <f aca="false">IF(INDEX(PRODUTOS!$I$4:$I$63,MATCH($A163,PRODUTOS!$B$4:$B$63,0))="B",INDEX(MODELOS!$F$3:$F$19,MATCH($D163,MODELOS!$A$3:$A$19,0)),INDEX(MODELOS!$B$3:$B$19,MATCH($D163,MODELOS!$A$3:$A$19,0)))</f>
        <v>Galeria · posição 7</v>
      </c>
      <c r="G163" s="11" t="str">
        <f aca="false">IF(INDEX(PRODUTOS!$F$4:$F$63,MATCH($A163,PRODUTOS!$B$4:$B$63,0))="Ração",IF(INDEX(PRODUTOS!$I$4:$I$63,MATCH($A163,PRODUTOS!$B$4:$B$63,0))="B",INDEX(MODELOS!$G$3:$G$19,MATCH($D163,MODELOS!$A$3:$A$19,0)),INDEX(MODELOS!$C$3:$C$19,MATCH($D163,MODELOS!$A$3:$A$19,0))),IF(INDEX(PRODUTOS!$I$4:$I$63,MATCH($A163,PRODUTOS!$B$4:$B$63,0))="B",INDEX(MODELOS!$H$3:$H$19,MATCH($D163,MODELOS!$A$3:$A$19,0)),INDEX(MODELOS!$D$3:$D$19,MATCH($D163,MODELOS!$A$3:$A$19,0))))</f>
        <v>Composição e níveis de garantia em letra grande</v>
      </c>
      <c r="H163" s="11" t="str">
        <f aca="false">IF(INDEX(PRODUTOS!$I$4:$I$63,MATCH($A163,PRODUTOS!$B$4:$B$63,0))="B",INDEX(MODELOS!$I$3:$I$19,MATCH($D163,MODELOS!$A$3:$A$19,0)),INDEX(MODELOS!$E$3:$E$19,MATCH($D163,MODELOS!$A$3:$A$19,0)))</f>
        <v>2000 × 2000</v>
      </c>
      <c r="I163" s="11" t="str">
        <f aca="false">INDEX(MODELOS!$J$3:$J$19,MATCH($D163,MODELOS!$A$3:$A$19,0))</f>
        <v>SIM</v>
      </c>
      <c r="J163" s="11" t="str">
        <f aca="false">IF(LEFT($D163,2)&lt;&gt;"AP",IF($I163="SIM","SIM","RECOMENDADA"),IF(INDEX(PRODUTOS!$J$4:$J$63,MATCH($A163,PRODUTOS!$B$4:$B$63,0))&lt;&gt;"","NÃO (usa o A+ do EAN "&amp;INDEX(PRODUTOS!$J$4:$J$63,MATCH($A163,PRODUTOS!$B$4:$B$63,0))&amp;")",IF(AND(INDEX(PRODUTOS!$I$4:$I$63,MATCH($A163,PRODUTOS!$B$4:$B$63,0))="B",$D163="AP07"),"NÃO (modelo B)","SIM")))</f>
        <v>SIM</v>
      </c>
      <c r="K163" s="13" t="s">
        <v>325</v>
      </c>
      <c r="L163" s="13"/>
    </row>
    <row r="164" customFormat="false" ht="15" hidden="false" customHeight="false" outlineLevel="0" collapsed="false">
      <c r="A164" s="15" t="s">
        <v>88</v>
      </c>
      <c r="B164" s="11" t="str">
        <f aca="false">INDEX(PRODUTOS!$E$4:$E$63,MATCH($A164,PRODUTOS!$B$4:$B$63,0))</f>
        <v>New Dots Ração Seca Premium para Cães Filhotes - 1 kg</v>
      </c>
      <c r="C164" s="11" t="str">
        <f aca="false">INDEX(PRODUTOS!$H$4:$H$63,MATCH($A164,PRODUTOS!$B$4:$B$63,0))</f>
        <v>1 kg</v>
      </c>
      <c r="D164" s="11" t="s">
        <v>332</v>
      </c>
      <c r="E164" s="16" t="str">
        <f aca="false">$A164&amp;"."&amp;$D164&amp;".jpg"</f>
        <v>7898968541542.PT07.jpg</v>
      </c>
      <c r="F164" s="11" t="str">
        <f aca="false">IF(INDEX(PRODUTOS!$I$4:$I$63,MATCH($A164,PRODUTOS!$B$4:$B$63,0))="B",INDEX(MODELOS!$F$3:$F$19,MATCH($D164,MODELOS!$A$3:$A$19,0)),INDEX(MODELOS!$B$3:$B$19,MATCH($D164,MODELOS!$A$3:$A$19,0)))</f>
        <v>Galeria · posição 8</v>
      </c>
      <c r="G164" s="11" t="str">
        <f aca="false">IF(INDEX(PRODUTOS!$F$4:$F$63,MATCH($A164,PRODUTOS!$B$4:$B$63,0))="Ração",IF(INDEX(PRODUTOS!$I$4:$I$63,MATCH($A164,PRODUTOS!$B$4:$B$63,0))="B",INDEX(MODELOS!$G$3:$G$19,MATCH($D164,MODELOS!$A$3:$A$19,0)),INDEX(MODELOS!$C$3:$C$19,MATCH($D164,MODELOS!$A$3:$A$19,0))),IF(INDEX(PRODUTOS!$I$4:$I$63,MATCH($A164,PRODUTOS!$B$4:$B$63,0))="B",INDEX(MODELOS!$H$3:$H$19,MATCH($D164,MODELOS!$A$3:$A$19,0)),INDEX(MODELOS!$D$3:$D$19,MATCH($D164,MODELOS!$A$3:$A$19,0))))</f>
        <v>Emocional / momento de uso (pet do porte certo, pote cheio)</v>
      </c>
      <c r="H164" s="11" t="str">
        <f aca="false">IF(INDEX(PRODUTOS!$I$4:$I$63,MATCH($A164,PRODUTOS!$B$4:$B$63,0))="B",INDEX(MODELOS!$I$3:$I$19,MATCH($D164,MODELOS!$A$3:$A$19,0)),INDEX(MODELOS!$E$3:$E$19,MATCH($D164,MODELOS!$A$3:$A$19,0)))</f>
        <v>2000 × 2000</v>
      </c>
      <c r="I164" s="11" t="str">
        <f aca="false">INDEX(MODELOS!$J$3:$J$19,MATCH($D164,MODELOS!$A$3:$A$19,0))</f>
        <v>Recomendada</v>
      </c>
      <c r="J164" s="11" t="str">
        <f aca="false">IF(LEFT($D164,2)&lt;&gt;"AP",IF($I164="SIM","SIM","RECOMENDADA"),IF(INDEX(PRODUTOS!$J$4:$J$63,MATCH($A164,PRODUTOS!$B$4:$B$63,0))&lt;&gt;"","NÃO (usa o A+ do EAN "&amp;INDEX(PRODUTOS!$J$4:$J$63,MATCH($A164,PRODUTOS!$B$4:$B$63,0))&amp;")",IF(AND(INDEX(PRODUTOS!$I$4:$I$63,MATCH($A164,PRODUTOS!$B$4:$B$63,0))="B",$D164="AP07"),"NÃO (modelo B)","SIM")))</f>
        <v>RECOMENDADA</v>
      </c>
      <c r="K164" s="13" t="s">
        <v>325</v>
      </c>
      <c r="L164" s="13"/>
    </row>
    <row r="165" customFormat="false" ht="15" hidden="false" customHeight="false" outlineLevel="0" collapsed="false">
      <c r="A165" s="15" t="s">
        <v>88</v>
      </c>
      <c r="B165" s="11" t="str">
        <f aca="false">INDEX(PRODUTOS!$E$4:$E$63,MATCH($A165,PRODUTOS!$B$4:$B$63,0))</f>
        <v>New Dots Ração Seca Premium para Cães Filhotes - 1 kg</v>
      </c>
      <c r="C165" s="11" t="str">
        <f aca="false">INDEX(PRODUTOS!$H$4:$H$63,MATCH($A165,PRODUTOS!$B$4:$B$63,0))</f>
        <v>1 kg</v>
      </c>
      <c r="D165" s="11" t="s">
        <v>333</v>
      </c>
      <c r="E165" s="16" t="str">
        <f aca="false">$A165&amp;"."&amp;$D165&amp;".jpg"</f>
        <v>7898968541542.PT08.jpg</v>
      </c>
      <c r="F165" s="11" t="str">
        <f aca="false">IF(INDEX(PRODUTOS!$I$4:$I$63,MATCH($A165,PRODUTOS!$B$4:$B$63,0))="B",INDEX(MODELOS!$F$3:$F$19,MATCH($D165,MODELOS!$A$3:$A$19,0)),INDEX(MODELOS!$B$3:$B$19,MATCH($D165,MODELOS!$A$3:$A$19,0)))</f>
        <v>Galeria · posição 9</v>
      </c>
      <c r="G165" s="11" t="str">
        <f aca="false">IF(INDEX(PRODUTOS!$F$4:$F$63,MATCH($A165,PRODUTOS!$B$4:$B$63,0))="Ração",IF(INDEX(PRODUTOS!$I$4:$I$63,MATCH($A165,PRODUTOS!$B$4:$B$63,0))="B",INDEX(MODELOS!$G$3:$G$19,MATCH($D165,MODELOS!$A$3:$A$19,0)),INDEX(MODELOS!$C$3:$C$19,MATCH($D165,MODELOS!$A$3:$A$19,0))),IF(INDEX(PRODUTOS!$I$4:$I$63,MATCH($A165,PRODUTOS!$B$4:$B$63,0))="B",INDEX(MODELOS!$H$3:$H$19,MATCH($D165,MODELOS!$A$3:$A$19,0)),INDEX(MODELOS!$D$3:$D$19,MATCH($D165,MODELOS!$A$3:$A$19,0))))</f>
        <v>Linha da marca ou embalagem anterior × nova</v>
      </c>
      <c r="H165" s="11" t="str">
        <f aca="false">IF(INDEX(PRODUTOS!$I$4:$I$63,MATCH($A165,PRODUTOS!$B$4:$B$63,0))="B",INDEX(MODELOS!$I$3:$I$19,MATCH($D165,MODELOS!$A$3:$A$19,0)),INDEX(MODELOS!$E$3:$E$19,MATCH($D165,MODELOS!$A$3:$A$19,0)))</f>
        <v>2000 × 2000</v>
      </c>
      <c r="I165" s="11" t="str">
        <f aca="false">INDEX(MODELOS!$J$3:$J$19,MATCH($D165,MODELOS!$A$3:$A$19,0))</f>
        <v>Recomendada</v>
      </c>
      <c r="J165" s="11" t="str">
        <f aca="false">IF(LEFT($D165,2)&lt;&gt;"AP",IF($I165="SIM","SIM","RECOMENDADA"),IF(INDEX(PRODUTOS!$J$4:$J$63,MATCH($A165,PRODUTOS!$B$4:$B$63,0))&lt;&gt;"","NÃO (usa o A+ do EAN "&amp;INDEX(PRODUTOS!$J$4:$J$63,MATCH($A165,PRODUTOS!$B$4:$B$63,0))&amp;")",IF(AND(INDEX(PRODUTOS!$I$4:$I$63,MATCH($A165,PRODUTOS!$B$4:$B$63,0))="B",$D165="AP07"),"NÃO (modelo B)","SIM")))</f>
        <v>RECOMENDADA</v>
      </c>
      <c r="K165" s="13" t="s">
        <v>325</v>
      </c>
      <c r="L165" s="13"/>
    </row>
    <row r="166" customFormat="false" ht="15" hidden="false" customHeight="false" outlineLevel="0" collapsed="false">
      <c r="A166" s="15" t="s">
        <v>88</v>
      </c>
      <c r="B166" s="11" t="str">
        <f aca="false">INDEX(PRODUTOS!$E$4:$E$63,MATCH($A166,PRODUTOS!$B$4:$B$63,0))</f>
        <v>New Dots Ração Seca Premium para Cães Filhotes - 1 kg</v>
      </c>
      <c r="C166" s="11" t="str">
        <f aca="false">INDEX(PRODUTOS!$H$4:$H$63,MATCH($A166,PRODUTOS!$B$4:$B$63,0))</f>
        <v>1 kg</v>
      </c>
      <c r="D166" s="11" t="s">
        <v>334</v>
      </c>
      <c r="E166" s="16" t="str">
        <f aca="false">$A166&amp;"."&amp;$D166&amp;".jpg"</f>
        <v>7898968541542.AP01.jpg</v>
      </c>
      <c r="F166" s="11" t="str">
        <f aca="false">IF(INDEX(PRODUTOS!$I$4:$I$63,MATCH($A166,PRODUTOS!$B$4:$B$63,0))="B",INDEX(MODELOS!$F$3:$F$19,MATCH($D166,MODELOS!$A$3:$A$19,0)),INDEX(MODELOS!$B$3:$B$19,MATCH($D166,MODELOS!$A$3:$A$19,0)))</f>
        <v>A+ · Módulo 1 · Banner</v>
      </c>
      <c r="G166" s="11" t="str">
        <f aca="false">IF(INDEX(PRODUTOS!$F$4:$F$63,MATCH($A166,PRODUTOS!$B$4:$B$63,0))="Ração",IF(INDEX(PRODUTOS!$I$4:$I$63,MATCH($A166,PRODUTOS!$B$4:$B$63,0))="B",INDEX(MODELOS!$G$3:$G$19,MATCH($D166,MODELOS!$A$3:$A$19,0)),INDEX(MODELOS!$C$3:$C$19,MATCH($D166,MODELOS!$A$3:$A$19,0))),IF(INDEX(PRODUTOS!$I$4:$I$63,MATCH($A166,PRODUTOS!$B$4:$B$63,0))="B",INDEX(MODELOS!$H$3:$H$19,MATCH($D166,MODELOS!$A$3:$A$19,0)),INDEX(MODELOS!$D$3:$D$19,MATCH($D166,MODELOS!$A$3:$A$19,0))))</f>
        <v>Embalagem + pet + ingredientes, com o nome da linha</v>
      </c>
      <c r="H166" s="11" t="str">
        <f aca="false">IF(INDEX(PRODUTOS!$I$4:$I$63,MATCH($A166,PRODUTOS!$B$4:$B$63,0))="B",INDEX(MODELOS!$I$3:$I$19,MATCH($D166,MODELOS!$A$3:$A$19,0)),INDEX(MODELOS!$E$3:$E$19,MATCH($D166,MODELOS!$A$3:$A$19,0)))</f>
        <v>970 × 600</v>
      </c>
      <c r="I166" s="11" t="str">
        <f aca="false">INDEX(MODELOS!$J$3:$J$19,MATCH($D166,MODELOS!$A$3:$A$19,0))</f>
        <v>Conforme modelo</v>
      </c>
      <c r="J166" s="11" t="str">
        <f aca="false">IF(LEFT($D166,2)&lt;&gt;"AP",IF($I166="SIM","SIM","RECOMENDADA"),IF(INDEX(PRODUTOS!$J$4:$J$63,MATCH($A166,PRODUTOS!$B$4:$B$63,0))&lt;&gt;"","NÃO (usa o A+ do EAN "&amp;INDEX(PRODUTOS!$J$4:$J$63,MATCH($A166,PRODUTOS!$B$4:$B$63,0))&amp;")",IF(AND(INDEX(PRODUTOS!$I$4:$I$63,MATCH($A166,PRODUTOS!$B$4:$B$63,0))="B",$D166="AP07"),"NÃO (modelo B)","SIM")))</f>
        <v>NÃO (usa o A+ do EAN 7898968541566)</v>
      </c>
      <c r="K166" s="13" t="s">
        <v>325</v>
      </c>
      <c r="L166" s="13"/>
    </row>
    <row r="167" customFormat="false" ht="15" hidden="false" customHeight="false" outlineLevel="0" collapsed="false">
      <c r="A167" s="15" t="s">
        <v>88</v>
      </c>
      <c r="B167" s="11" t="str">
        <f aca="false">INDEX(PRODUTOS!$E$4:$E$63,MATCH($A167,PRODUTOS!$B$4:$B$63,0))</f>
        <v>New Dots Ração Seca Premium para Cães Filhotes - 1 kg</v>
      </c>
      <c r="C167" s="11" t="str">
        <f aca="false">INDEX(PRODUTOS!$H$4:$H$63,MATCH($A167,PRODUTOS!$B$4:$B$63,0))</f>
        <v>1 kg</v>
      </c>
      <c r="D167" s="11" t="s">
        <v>335</v>
      </c>
      <c r="E167" s="16" t="str">
        <f aca="false">$A167&amp;"."&amp;$D167&amp;".jpg"</f>
        <v>7898968541542.AP02.jpg</v>
      </c>
      <c r="F167" s="11" t="str">
        <f aca="false">IF(INDEX(PRODUTOS!$I$4:$I$63,MATCH($A167,PRODUTOS!$B$4:$B$63,0))="B",INDEX(MODELOS!$F$3:$F$19,MATCH($D167,MODELOS!$A$3:$A$19,0)),INDEX(MODELOS!$B$3:$B$19,MATCH($D167,MODELOS!$A$3:$A$19,0)))</f>
        <v>A+ · Módulo 2 · Texto sobreposto</v>
      </c>
      <c r="G167" s="11" t="str">
        <f aca="false">IF(INDEX(PRODUTOS!$F$4:$F$63,MATCH($A167,PRODUTOS!$B$4:$B$63,0))="Ração",IF(INDEX(PRODUTOS!$I$4:$I$63,MATCH($A167,PRODUTOS!$B$4:$B$63,0))="B",INDEX(MODELOS!$G$3:$G$19,MATCH($D167,MODELOS!$A$3:$A$19,0)),INDEX(MODELOS!$C$3:$C$19,MATCH($D167,MODELOS!$A$3:$A$19,0))),IF(INDEX(PRODUTOS!$I$4:$I$63,MATCH($A167,PRODUTOS!$B$4:$B$63,0))="B",INDEX(MODELOS!$H$3:$H$19,MATCH($D167,MODELOS!$A$3:$A$19,0)),INDEX(MODELOS!$D$3:$D$19,MATCH($D167,MODELOS!$A$3:$A$19,0))))</f>
        <v>Principal diferencial; deixar o lado direito limpo</v>
      </c>
      <c r="H167" s="11" t="str">
        <f aca="false">IF(INDEX(PRODUTOS!$I$4:$I$63,MATCH($A167,PRODUTOS!$B$4:$B$63,0))="B",INDEX(MODELOS!$I$3:$I$19,MATCH($D167,MODELOS!$A$3:$A$19,0)),INDEX(MODELOS!$E$3:$E$19,MATCH($D167,MODELOS!$A$3:$A$19,0)))</f>
        <v>970 × 300</v>
      </c>
      <c r="I167" s="11" t="str">
        <f aca="false">INDEX(MODELOS!$J$3:$J$19,MATCH($D167,MODELOS!$A$3:$A$19,0))</f>
        <v>Conforme modelo</v>
      </c>
      <c r="J167" s="11" t="str">
        <f aca="false">IF(LEFT($D167,2)&lt;&gt;"AP",IF($I167="SIM","SIM","RECOMENDADA"),IF(INDEX(PRODUTOS!$J$4:$J$63,MATCH($A167,PRODUTOS!$B$4:$B$63,0))&lt;&gt;"","NÃO (usa o A+ do EAN "&amp;INDEX(PRODUTOS!$J$4:$J$63,MATCH($A167,PRODUTOS!$B$4:$B$63,0))&amp;")",IF(AND(INDEX(PRODUTOS!$I$4:$I$63,MATCH($A167,PRODUTOS!$B$4:$B$63,0))="B",$D167="AP07"),"NÃO (modelo B)","SIM")))</f>
        <v>NÃO (usa o A+ do EAN 7898968541566)</v>
      </c>
      <c r="K167" s="13" t="s">
        <v>325</v>
      </c>
      <c r="L167" s="13"/>
    </row>
    <row r="168" customFormat="false" ht="15" hidden="false" customHeight="false" outlineLevel="0" collapsed="false">
      <c r="A168" s="15" t="s">
        <v>88</v>
      </c>
      <c r="B168" s="11" t="str">
        <f aca="false">INDEX(PRODUTOS!$E$4:$E$63,MATCH($A168,PRODUTOS!$B$4:$B$63,0))</f>
        <v>New Dots Ração Seca Premium para Cães Filhotes - 1 kg</v>
      </c>
      <c r="C168" s="11" t="str">
        <f aca="false">INDEX(PRODUTOS!$H$4:$H$63,MATCH($A168,PRODUTOS!$B$4:$B$63,0))</f>
        <v>1 kg</v>
      </c>
      <c r="D168" s="11" t="s">
        <v>336</v>
      </c>
      <c r="E168" s="16" t="str">
        <f aca="false">$A168&amp;"."&amp;$D168&amp;".jpg"</f>
        <v>7898968541542.AP03.jpg</v>
      </c>
      <c r="F168" s="11" t="str">
        <f aca="false">IF(INDEX(PRODUTOS!$I$4:$I$63,MATCH($A168,PRODUTOS!$B$4:$B$63,0))="B",INDEX(MODELOS!$F$3:$F$19,MATCH($D168,MODELOS!$A$3:$A$19,0)),INDEX(MODELOS!$B$3:$B$19,MATCH($D168,MODELOS!$A$3:$A$19,0)))</f>
        <v>A+ · Módulo 3 · Benefício 1 de 4</v>
      </c>
      <c r="G168" s="11" t="str">
        <f aca="false">IF(INDEX(PRODUTOS!$F$4:$F$63,MATCH($A168,PRODUTOS!$B$4:$B$63,0))="Ração",IF(INDEX(PRODUTOS!$I$4:$I$63,MATCH($A168,PRODUTOS!$B$4:$B$63,0))="B",INDEX(MODELOS!$G$3:$G$19,MATCH($D168,MODELOS!$A$3:$A$19,0)),INDEX(MODELOS!$C$3:$C$19,MATCH($D168,MODELOS!$A$3:$A$19,0))),IF(INDEX(PRODUTOS!$I$4:$I$63,MATCH($A168,PRODUTOS!$B$4:$B$63,0))="B",INDEX(MODELOS!$H$3:$H$19,MATCH($D168,MODELOS!$A$3:$A$19,0)),INDEX(MODELOS!$D$3:$D$19,MATCH($D168,MODELOS!$A$3:$A$19,0))))</f>
        <v>Foto/ilustração do benefício 1</v>
      </c>
      <c r="H168" s="11" t="str">
        <f aca="false">IF(INDEX(PRODUTOS!$I$4:$I$63,MATCH($A168,PRODUTOS!$B$4:$B$63,0))="B",INDEX(MODELOS!$I$3:$I$19,MATCH($D168,MODELOS!$A$3:$A$19,0)),INDEX(MODELOS!$E$3:$E$19,MATCH($D168,MODELOS!$A$3:$A$19,0)))</f>
        <v>220 × 200</v>
      </c>
      <c r="I168" s="11" t="str">
        <f aca="false">INDEX(MODELOS!$J$3:$J$19,MATCH($D168,MODELOS!$A$3:$A$19,0))</f>
        <v>Conforme modelo</v>
      </c>
      <c r="J168" s="11" t="str">
        <f aca="false">IF(LEFT($D168,2)&lt;&gt;"AP",IF($I168="SIM","SIM","RECOMENDADA"),IF(INDEX(PRODUTOS!$J$4:$J$63,MATCH($A168,PRODUTOS!$B$4:$B$63,0))&lt;&gt;"","NÃO (usa o A+ do EAN "&amp;INDEX(PRODUTOS!$J$4:$J$63,MATCH($A168,PRODUTOS!$B$4:$B$63,0))&amp;")",IF(AND(INDEX(PRODUTOS!$I$4:$I$63,MATCH($A168,PRODUTOS!$B$4:$B$63,0))="B",$D168="AP07"),"NÃO (modelo B)","SIM")))</f>
        <v>NÃO (usa o A+ do EAN 7898968541566)</v>
      </c>
      <c r="K168" s="13" t="s">
        <v>325</v>
      </c>
      <c r="L168" s="13"/>
    </row>
    <row r="169" customFormat="false" ht="15" hidden="false" customHeight="false" outlineLevel="0" collapsed="false">
      <c r="A169" s="15" t="s">
        <v>88</v>
      </c>
      <c r="B169" s="11" t="str">
        <f aca="false">INDEX(PRODUTOS!$E$4:$E$63,MATCH($A169,PRODUTOS!$B$4:$B$63,0))</f>
        <v>New Dots Ração Seca Premium para Cães Filhotes - 1 kg</v>
      </c>
      <c r="C169" s="11" t="str">
        <f aca="false">INDEX(PRODUTOS!$H$4:$H$63,MATCH($A169,PRODUTOS!$B$4:$B$63,0))</f>
        <v>1 kg</v>
      </c>
      <c r="D169" s="11" t="s">
        <v>337</v>
      </c>
      <c r="E169" s="16" t="str">
        <f aca="false">$A169&amp;"."&amp;$D169&amp;".jpg"</f>
        <v>7898968541542.AP04.jpg</v>
      </c>
      <c r="F169" s="11" t="str">
        <f aca="false">IF(INDEX(PRODUTOS!$I$4:$I$63,MATCH($A169,PRODUTOS!$B$4:$B$63,0))="B",INDEX(MODELOS!$F$3:$F$19,MATCH($D169,MODELOS!$A$3:$A$19,0)),INDEX(MODELOS!$B$3:$B$19,MATCH($D169,MODELOS!$A$3:$A$19,0)))</f>
        <v>A+ · Módulo 3 · Benefício 2 de 4</v>
      </c>
      <c r="G169" s="11" t="str">
        <f aca="false">IF(INDEX(PRODUTOS!$F$4:$F$63,MATCH($A169,PRODUTOS!$B$4:$B$63,0))="Ração",IF(INDEX(PRODUTOS!$I$4:$I$63,MATCH($A169,PRODUTOS!$B$4:$B$63,0))="B",INDEX(MODELOS!$G$3:$G$19,MATCH($D169,MODELOS!$A$3:$A$19,0)),INDEX(MODELOS!$C$3:$C$19,MATCH($D169,MODELOS!$A$3:$A$19,0))),IF(INDEX(PRODUTOS!$I$4:$I$63,MATCH($A169,PRODUTOS!$B$4:$B$63,0))="B",INDEX(MODELOS!$H$3:$H$19,MATCH($D169,MODELOS!$A$3:$A$19,0)),INDEX(MODELOS!$D$3:$D$19,MATCH($D169,MODELOS!$A$3:$A$19,0))))</f>
        <v>Foto/ilustração do benefício 2</v>
      </c>
      <c r="H169" s="11" t="str">
        <f aca="false">IF(INDEX(PRODUTOS!$I$4:$I$63,MATCH($A169,PRODUTOS!$B$4:$B$63,0))="B",INDEX(MODELOS!$I$3:$I$19,MATCH($D169,MODELOS!$A$3:$A$19,0)),INDEX(MODELOS!$E$3:$E$19,MATCH($D169,MODELOS!$A$3:$A$19,0)))</f>
        <v>220 × 200</v>
      </c>
      <c r="I169" s="11" t="str">
        <f aca="false">INDEX(MODELOS!$J$3:$J$19,MATCH($D169,MODELOS!$A$3:$A$19,0))</f>
        <v>Conforme modelo</v>
      </c>
      <c r="J169" s="11" t="str">
        <f aca="false">IF(LEFT($D169,2)&lt;&gt;"AP",IF($I169="SIM","SIM","RECOMENDADA"),IF(INDEX(PRODUTOS!$J$4:$J$63,MATCH($A169,PRODUTOS!$B$4:$B$63,0))&lt;&gt;"","NÃO (usa o A+ do EAN "&amp;INDEX(PRODUTOS!$J$4:$J$63,MATCH($A169,PRODUTOS!$B$4:$B$63,0))&amp;")",IF(AND(INDEX(PRODUTOS!$I$4:$I$63,MATCH($A169,PRODUTOS!$B$4:$B$63,0))="B",$D169="AP07"),"NÃO (modelo B)","SIM")))</f>
        <v>NÃO (usa o A+ do EAN 7898968541566)</v>
      </c>
      <c r="K169" s="13" t="s">
        <v>325</v>
      </c>
      <c r="L169" s="13"/>
    </row>
    <row r="170" customFormat="false" ht="15" hidden="false" customHeight="false" outlineLevel="0" collapsed="false">
      <c r="A170" s="15" t="s">
        <v>88</v>
      </c>
      <c r="B170" s="11" t="str">
        <f aca="false">INDEX(PRODUTOS!$E$4:$E$63,MATCH($A170,PRODUTOS!$B$4:$B$63,0))</f>
        <v>New Dots Ração Seca Premium para Cães Filhotes - 1 kg</v>
      </c>
      <c r="C170" s="11" t="str">
        <f aca="false">INDEX(PRODUTOS!$H$4:$H$63,MATCH($A170,PRODUTOS!$B$4:$B$63,0))</f>
        <v>1 kg</v>
      </c>
      <c r="D170" s="11" t="s">
        <v>338</v>
      </c>
      <c r="E170" s="16" t="str">
        <f aca="false">$A170&amp;"."&amp;$D170&amp;".jpg"</f>
        <v>7898968541542.AP05.jpg</v>
      </c>
      <c r="F170" s="11" t="str">
        <f aca="false">IF(INDEX(PRODUTOS!$I$4:$I$63,MATCH($A170,PRODUTOS!$B$4:$B$63,0))="B",INDEX(MODELOS!$F$3:$F$19,MATCH($D170,MODELOS!$A$3:$A$19,0)),INDEX(MODELOS!$B$3:$B$19,MATCH($D170,MODELOS!$A$3:$A$19,0)))</f>
        <v>A+ · Módulo 3 · Benefício 3 de 4</v>
      </c>
      <c r="G170" s="11" t="str">
        <f aca="false">IF(INDEX(PRODUTOS!$F$4:$F$63,MATCH($A170,PRODUTOS!$B$4:$B$63,0))="Ração",IF(INDEX(PRODUTOS!$I$4:$I$63,MATCH($A170,PRODUTOS!$B$4:$B$63,0))="B",INDEX(MODELOS!$G$3:$G$19,MATCH($D170,MODELOS!$A$3:$A$19,0)),INDEX(MODELOS!$C$3:$C$19,MATCH($D170,MODELOS!$A$3:$A$19,0))),IF(INDEX(PRODUTOS!$I$4:$I$63,MATCH($A170,PRODUTOS!$B$4:$B$63,0))="B",INDEX(MODELOS!$H$3:$H$19,MATCH($D170,MODELOS!$A$3:$A$19,0)),INDEX(MODELOS!$D$3:$D$19,MATCH($D170,MODELOS!$A$3:$A$19,0))))</f>
        <v>Foto/ilustração do benefício 3</v>
      </c>
      <c r="H170" s="11" t="str">
        <f aca="false">IF(INDEX(PRODUTOS!$I$4:$I$63,MATCH($A170,PRODUTOS!$B$4:$B$63,0))="B",INDEX(MODELOS!$I$3:$I$19,MATCH($D170,MODELOS!$A$3:$A$19,0)),INDEX(MODELOS!$E$3:$E$19,MATCH($D170,MODELOS!$A$3:$A$19,0)))</f>
        <v>220 × 200</v>
      </c>
      <c r="I170" s="11" t="str">
        <f aca="false">INDEX(MODELOS!$J$3:$J$19,MATCH($D170,MODELOS!$A$3:$A$19,0))</f>
        <v>Conforme modelo</v>
      </c>
      <c r="J170" s="11" t="str">
        <f aca="false">IF(LEFT($D170,2)&lt;&gt;"AP",IF($I170="SIM","SIM","RECOMENDADA"),IF(INDEX(PRODUTOS!$J$4:$J$63,MATCH($A170,PRODUTOS!$B$4:$B$63,0))&lt;&gt;"","NÃO (usa o A+ do EAN "&amp;INDEX(PRODUTOS!$J$4:$J$63,MATCH($A170,PRODUTOS!$B$4:$B$63,0))&amp;")",IF(AND(INDEX(PRODUTOS!$I$4:$I$63,MATCH($A170,PRODUTOS!$B$4:$B$63,0))="B",$D170="AP07"),"NÃO (modelo B)","SIM")))</f>
        <v>NÃO (usa o A+ do EAN 7898968541566)</v>
      </c>
      <c r="K170" s="13" t="s">
        <v>325</v>
      </c>
      <c r="L170" s="13"/>
    </row>
    <row r="171" customFormat="false" ht="15" hidden="false" customHeight="false" outlineLevel="0" collapsed="false">
      <c r="A171" s="15" t="s">
        <v>88</v>
      </c>
      <c r="B171" s="11" t="str">
        <f aca="false">INDEX(PRODUTOS!$E$4:$E$63,MATCH($A171,PRODUTOS!$B$4:$B$63,0))</f>
        <v>New Dots Ração Seca Premium para Cães Filhotes - 1 kg</v>
      </c>
      <c r="C171" s="11" t="str">
        <f aca="false">INDEX(PRODUTOS!$H$4:$H$63,MATCH($A171,PRODUTOS!$B$4:$B$63,0))</f>
        <v>1 kg</v>
      </c>
      <c r="D171" s="11" t="s">
        <v>339</v>
      </c>
      <c r="E171" s="16" t="str">
        <f aca="false">$A171&amp;"."&amp;$D171&amp;".jpg"</f>
        <v>7898968541542.AP06.jpg</v>
      </c>
      <c r="F171" s="11" t="str">
        <f aca="false">IF(INDEX(PRODUTOS!$I$4:$I$63,MATCH($A171,PRODUTOS!$B$4:$B$63,0))="B",INDEX(MODELOS!$F$3:$F$19,MATCH($D171,MODELOS!$A$3:$A$19,0)),INDEX(MODELOS!$B$3:$B$19,MATCH($D171,MODELOS!$A$3:$A$19,0)))</f>
        <v>A+ · Módulo 3 · Benefício 4 de 4</v>
      </c>
      <c r="G171" s="11" t="str">
        <f aca="false">IF(INDEX(PRODUTOS!$F$4:$F$63,MATCH($A171,PRODUTOS!$B$4:$B$63,0))="Ração",IF(INDEX(PRODUTOS!$I$4:$I$63,MATCH($A171,PRODUTOS!$B$4:$B$63,0))="B",INDEX(MODELOS!$G$3:$G$19,MATCH($D171,MODELOS!$A$3:$A$19,0)),INDEX(MODELOS!$C$3:$C$19,MATCH($D171,MODELOS!$A$3:$A$19,0))),IF(INDEX(PRODUTOS!$I$4:$I$63,MATCH($A171,PRODUTOS!$B$4:$B$63,0))="B",INDEX(MODELOS!$H$3:$H$19,MATCH($D171,MODELOS!$A$3:$A$19,0)),INDEX(MODELOS!$D$3:$D$19,MATCH($D171,MODELOS!$A$3:$A$19,0))))</f>
        <v>Foto/ilustração do benefício 4</v>
      </c>
      <c r="H171" s="11" t="str">
        <f aca="false">IF(INDEX(PRODUTOS!$I$4:$I$63,MATCH($A171,PRODUTOS!$B$4:$B$63,0))="B",INDEX(MODELOS!$I$3:$I$19,MATCH($D171,MODELOS!$A$3:$A$19,0)),INDEX(MODELOS!$E$3:$E$19,MATCH($D171,MODELOS!$A$3:$A$19,0)))</f>
        <v>220 × 200</v>
      </c>
      <c r="I171" s="11" t="str">
        <f aca="false">INDEX(MODELOS!$J$3:$J$19,MATCH($D171,MODELOS!$A$3:$A$19,0))</f>
        <v>Conforme modelo</v>
      </c>
      <c r="J171" s="11" t="str">
        <f aca="false">IF(LEFT($D171,2)&lt;&gt;"AP",IF($I171="SIM","SIM","RECOMENDADA"),IF(INDEX(PRODUTOS!$J$4:$J$63,MATCH($A171,PRODUTOS!$B$4:$B$63,0))&lt;&gt;"","NÃO (usa o A+ do EAN "&amp;INDEX(PRODUTOS!$J$4:$J$63,MATCH($A171,PRODUTOS!$B$4:$B$63,0))&amp;")",IF(AND(INDEX(PRODUTOS!$I$4:$I$63,MATCH($A171,PRODUTOS!$B$4:$B$63,0))="B",$D171="AP07"),"NÃO (modelo B)","SIM")))</f>
        <v>NÃO (usa o A+ do EAN 7898968541566)</v>
      </c>
      <c r="K171" s="13" t="s">
        <v>325</v>
      </c>
      <c r="L171" s="13"/>
    </row>
    <row r="172" customFormat="false" ht="15" hidden="false" customHeight="false" outlineLevel="0" collapsed="false">
      <c r="A172" s="15" t="s">
        <v>88</v>
      </c>
      <c r="B172" s="11" t="str">
        <f aca="false">INDEX(PRODUTOS!$E$4:$E$63,MATCH($A172,PRODUTOS!$B$4:$B$63,0))</f>
        <v>New Dots Ração Seca Premium para Cães Filhotes - 1 kg</v>
      </c>
      <c r="C172" s="11" t="str">
        <f aca="false">INDEX(PRODUTOS!$H$4:$H$63,MATCH($A172,PRODUTOS!$B$4:$B$63,0))</f>
        <v>1 kg</v>
      </c>
      <c r="D172" s="11" t="s">
        <v>340</v>
      </c>
      <c r="E172" s="16" t="str">
        <f aca="false">$A172&amp;"."&amp;$D172&amp;".jpg"</f>
        <v>7898968541542.AP07.jpg</v>
      </c>
      <c r="F172" s="11" t="str">
        <f aca="false">IF(INDEX(PRODUTOS!$I$4:$I$63,MATCH($A172,PRODUTOS!$B$4:$B$63,0))="B",INDEX(MODELOS!$F$3:$F$19,MATCH($D172,MODELOS!$A$3:$A$19,0)),INDEX(MODELOS!$B$3:$B$19,MATCH($D172,MODELOS!$A$3:$A$19,0)))</f>
        <v>A+ · Módulo 4 · Especificações</v>
      </c>
      <c r="G172" s="11" t="str">
        <f aca="false">IF(INDEX(PRODUTOS!$F$4:$F$63,MATCH($A172,PRODUTOS!$B$4:$B$63,0))="Ração",IF(INDEX(PRODUTOS!$I$4:$I$63,MATCH($A172,PRODUTOS!$B$4:$B$63,0))="B",INDEX(MODELOS!$G$3:$G$19,MATCH($D172,MODELOS!$A$3:$A$19,0)),INDEX(MODELOS!$C$3:$C$19,MATCH($D172,MODELOS!$A$3:$A$19,0))),IF(INDEX(PRODUTOS!$I$4:$I$63,MATCH($A172,PRODUTOS!$B$4:$B$63,0))="B",INDEX(MODELOS!$H$3:$H$19,MATCH($D172,MODELOS!$A$3:$A$19,0)),INDEX(MODELOS!$D$3:$D$19,MATCH($D172,MODELOS!$A$3:$A$19,0))))</f>
        <v>Grão ou pacote em destaque</v>
      </c>
      <c r="H172" s="11" t="str">
        <f aca="false">IF(INDEX(PRODUTOS!$I$4:$I$63,MATCH($A172,PRODUTOS!$B$4:$B$63,0))="B",INDEX(MODELOS!$I$3:$I$19,MATCH($D172,MODELOS!$A$3:$A$19,0)),INDEX(MODELOS!$E$3:$E$19,MATCH($D172,MODELOS!$A$3:$A$19,0)))</f>
        <v>300 × 300</v>
      </c>
      <c r="I172" s="11" t="str">
        <f aca="false">INDEX(MODELOS!$J$3:$J$19,MATCH($D172,MODELOS!$A$3:$A$19,0))</f>
        <v>Conforme modelo</v>
      </c>
      <c r="J172" s="11" t="str">
        <f aca="false">IF(LEFT($D172,2)&lt;&gt;"AP",IF($I172="SIM","SIM","RECOMENDADA"),IF(INDEX(PRODUTOS!$J$4:$J$63,MATCH($A172,PRODUTOS!$B$4:$B$63,0))&lt;&gt;"","NÃO (usa o A+ do EAN "&amp;INDEX(PRODUTOS!$J$4:$J$63,MATCH($A172,PRODUTOS!$B$4:$B$63,0))&amp;")",IF(AND(INDEX(PRODUTOS!$I$4:$I$63,MATCH($A172,PRODUTOS!$B$4:$B$63,0))="B",$D172="AP07"),"NÃO (modelo B)","SIM")))</f>
        <v>NÃO (usa o A+ do EAN 7898968541566)</v>
      </c>
      <c r="K172" s="13" t="s">
        <v>325</v>
      </c>
      <c r="L172" s="13"/>
    </row>
    <row r="173" customFormat="false" ht="15" hidden="false" customHeight="false" outlineLevel="0" collapsed="false">
      <c r="A173" s="15" t="s">
        <v>88</v>
      </c>
      <c r="B173" s="11" t="str">
        <f aca="false">INDEX(PRODUTOS!$E$4:$E$63,MATCH($A173,PRODUTOS!$B$4:$B$63,0))</f>
        <v>New Dots Ração Seca Premium para Cães Filhotes - 1 kg</v>
      </c>
      <c r="C173" s="11" t="str">
        <f aca="false">INDEX(PRODUTOS!$H$4:$H$63,MATCH($A173,PRODUTOS!$B$4:$B$63,0))</f>
        <v>1 kg</v>
      </c>
      <c r="D173" s="11" t="s">
        <v>341</v>
      </c>
      <c r="E173" s="16" t="str">
        <f aca="false">$A173&amp;"."&amp;$D173&amp;".jpg"</f>
        <v>7898968541542.COMP.jpg</v>
      </c>
      <c r="F173" s="11" t="str">
        <f aca="false">IF(INDEX(PRODUTOS!$I$4:$I$63,MATCH($A173,PRODUTOS!$B$4:$B$63,0))="B",INDEX(MODELOS!$F$3:$F$19,MATCH($D173,MODELOS!$A$3:$A$19,0)),INDEX(MODELOS!$B$3:$B$19,MATCH($D173,MODELOS!$A$3:$A$19,0)))</f>
        <v>A+ · Tabela comparativa</v>
      </c>
      <c r="G173" s="11" t="str">
        <f aca="false">IF(INDEX(PRODUTOS!$F$4:$F$63,MATCH($A173,PRODUTOS!$B$4:$B$63,0))="Ração",IF(INDEX(PRODUTOS!$I$4:$I$63,MATCH($A173,PRODUTOS!$B$4:$B$63,0))="B",INDEX(MODELOS!$G$3:$G$19,MATCH($D173,MODELOS!$A$3:$A$19,0)),INDEX(MODELOS!$C$3:$C$19,MATCH($D173,MODELOS!$A$3:$A$19,0))),IF(INDEX(PRODUTOS!$I$4:$I$63,MATCH($A173,PRODUTOS!$B$4:$B$63,0))="B",INDEX(MODELOS!$H$3:$H$19,MATCH($D173,MODELOS!$A$3:$A$19,0)),INDEX(MODELOS!$D$3:$D$19,MATCH($D173,MODELOS!$A$3:$A$19,0))))</f>
        <v>Pacote na vertical, sem fundo colorido</v>
      </c>
      <c r="H173" s="11" t="str">
        <f aca="false">IF(INDEX(PRODUTOS!$I$4:$I$63,MATCH($A173,PRODUTOS!$B$4:$B$63,0))="B",INDEX(MODELOS!$I$3:$I$19,MATCH($D173,MODELOS!$A$3:$A$19,0)),INDEX(MODELOS!$E$3:$E$19,MATCH($D173,MODELOS!$A$3:$A$19,0)))</f>
        <v>150 × 300</v>
      </c>
      <c r="I173" s="11" t="str">
        <f aca="false">INDEX(MODELOS!$J$3:$J$19,MATCH($D173,MODELOS!$A$3:$A$19,0))</f>
        <v>SIM</v>
      </c>
      <c r="J173" s="11" t="str">
        <f aca="false">IF(LEFT($D173,2)&lt;&gt;"AP",IF($I173="SIM","SIM","RECOMENDADA"),IF(INDEX(PRODUTOS!$J$4:$J$63,MATCH($A173,PRODUTOS!$B$4:$B$63,0))&lt;&gt;"","NÃO (usa o A+ do EAN "&amp;INDEX(PRODUTOS!$J$4:$J$63,MATCH($A173,PRODUTOS!$B$4:$B$63,0))&amp;")",IF(AND(INDEX(PRODUTOS!$I$4:$I$63,MATCH($A173,PRODUTOS!$B$4:$B$63,0))="B",$D173="AP07"),"NÃO (modelo B)","SIM")))</f>
        <v>SIM</v>
      </c>
      <c r="K173" s="13" t="s">
        <v>325</v>
      </c>
      <c r="L173" s="13"/>
    </row>
    <row r="174" customFormat="false" ht="15" hidden="false" customHeight="false" outlineLevel="0" collapsed="false">
      <c r="A174" s="15" t="s">
        <v>91</v>
      </c>
      <c r="B174" s="11" t="str">
        <f aca="false">INDEX(PRODUTOS!$E$4:$E$63,MATCH($A174,PRODUTOS!$B$4:$B$63,0))</f>
        <v>New Dots Ração Seca Premium para Gatos Adultos - 20 kg</v>
      </c>
      <c r="C174" s="11" t="str">
        <f aca="false">INDEX(PRODUTOS!$H$4:$H$63,MATCH($A174,PRODUTOS!$B$4:$B$63,0))</f>
        <v>20 kg</v>
      </c>
      <c r="D174" s="11" t="s">
        <v>324</v>
      </c>
      <c r="E174" s="16" t="str">
        <f aca="false">$A174&amp;"."&amp;$D174&amp;".jpg"</f>
        <v>7898968541597.MAIN.jpg</v>
      </c>
      <c r="F174" s="11" t="str">
        <f aca="false">IF(INDEX(PRODUTOS!$I$4:$I$63,MATCH($A174,PRODUTOS!$B$4:$B$63,0))="B",INDEX(MODELOS!$F$3:$F$19,MATCH($D174,MODELOS!$A$3:$A$19,0)),INDEX(MODELOS!$B$3:$B$19,MATCH($D174,MODELOS!$A$3:$A$19,0)))</f>
        <v>Capa (posição 1)</v>
      </c>
      <c r="G174" s="11" t="str">
        <f aca="false">IF(INDEX(PRODUTOS!$F$4:$F$63,MATCH($A174,PRODUTOS!$B$4:$B$63,0))="Ração",IF(INDEX(PRODUTOS!$I$4:$I$63,MATCH($A174,PRODUTOS!$B$4:$B$63,0))="B",INDEX(MODELOS!$G$3:$G$19,MATCH($D174,MODELOS!$A$3:$A$19,0)),INDEX(MODELOS!$C$3:$C$19,MATCH($D174,MODELOS!$A$3:$A$19,0))),IF(INDEX(PRODUTOS!$I$4:$I$63,MATCH($A174,PRODUTOS!$B$4:$B$63,0))="B",INDEX(MODELOS!$H$3:$H$19,MATCH($D174,MODELOS!$A$3:$A$19,0)),INDEX(MODELOS!$D$3:$D$19,MATCH($D174,MODELOS!$A$3:$A$19,0))))</f>
        <v>Embalagem de frente, fundo branco puro, 85% da área, nada adicionado</v>
      </c>
      <c r="H174" s="11" t="str">
        <f aca="false">IF(INDEX(PRODUTOS!$I$4:$I$63,MATCH($A174,PRODUTOS!$B$4:$B$63,0))="B",INDEX(MODELOS!$I$3:$I$19,MATCH($D174,MODELOS!$A$3:$A$19,0)),INDEX(MODELOS!$E$3:$E$19,MATCH($D174,MODELOS!$A$3:$A$19,0)))</f>
        <v>2000 × 2000</v>
      </c>
      <c r="I174" s="11" t="str">
        <f aca="false">INDEX(MODELOS!$J$3:$J$19,MATCH($D174,MODELOS!$A$3:$A$19,0))</f>
        <v>SIM</v>
      </c>
      <c r="J174" s="11" t="str">
        <f aca="false">IF(LEFT($D174,2)&lt;&gt;"AP",IF($I174="SIM","SIM","RECOMENDADA"),IF(INDEX(PRODUTOS!$J$4:$J$63,MATCH($A174,PRODUTOS!$B$4:$B$63,0))&lt;&gt;"","NÃO (usa o A+ do EAN "&amp;INDEX(PRODUTOS!$J$4:$J$63,MATCH($A174,PRODUTOS!$B$4:$B$63,0))&amp;")",IF(AND(INDEX(PRODUTOS!$I$4:$I$63,MATCH($A174,PRODUTOS!$B$4:$B$63,0))="B",$D174="AP07"),"NÃO (modelo B)","SIM")))</f>
        <v>SIM</v>
      </c>
      <c r="K174" s="13" t="s">
        <v>325</v>
      </c>
      <c r="L174" s="13"/>
    </row>
    <row r="175" customFormat="false" ht="15" hidden="false" customHeight="false" outlineLevel="0" collapsed="false">
      <c r="A175" s="15" t="s">
        <v>91</v>
      </c>
      <c r="B175" s="11" t="str">
        <f aca="false">INDEX(PRODUTOS!$E$4:$E$63,MATCH($A175,PRODUTOS!$B$4:$B$63,0))</f>
        <v>New Dots Ração Seca Premium para Gatos Adultos - 20 kg</v>
      </c>
      <c r="C175" s="11" t="str">
        <f aca="false">INDEX(PRODUTOS!$H$4:$H$63,MATCH($A175,PRODUTOS!$B$4:$B$63,0))</f>
        <v>20 kg</v>
      </c>
      <c r="D175" s="11" t="s">
        <v>326</v>
      </c>
      <c r="E175" s="16" t="str">
        <f aca="false">$A175&amp;"."&amp;$D175&amp;".jpg"</f>
        <v>7898968541597.PT01.jpg</v>
      </c>
      <c r="F175" s="11" t="str">
        <f aca="false">IF(INDEX(PRODUTOS!$I$4:$I$63,MATCH($A175,PRODUTOS!$B$4:$B$63,0))="B",INDEX(MODELOS!$F$3:$F$19,MATCH($D175,MODELOS!$A$3:$A$19,0)),INDEX(MODELOS!$B$3:$B$19,MATCH($D175,MODELOS!$A$3:$A$19,0)))</f>
        <v>Galeria · posição 2</v>
      </c>
      <c r="G175" s="11" t="str">
        <f aca="false">IF(INDEX(PRODUTOS!$F$4:$F$63,MATCH($A175,PRODUTOS!$B$4:$B$63,0))="Ração",IF(INDEX(PRODUTOS!$I$4:$I$63,MATCH($A175,PRODUTOS!$B$4:$B$63,0))="B",INDEX(MODELOS!$G$3:$G$19,MATCH($D175,MODELOS!$A$3:$A$19,0)),INDEX(MODELOS!$C$3:$C$19,MATCH($D175,MODELOS!$A$3:$A$19,0))),IF(INDEX(PRODUTOS!$I$4:$I$63,MATCH($A175,PRODUTOS!$B$4:$B$63,0))="B",INDEX(MODELOS!$H$3:$H$19,MATCH($D175,MODELOS!$A$3:$A$19,0)),INDEX(MODELOS!$D$3:$D$19,MATCH($D175,MODELOS!$A$3:$A$19,0))))</f>
        <v>Grande diferencial da linha (número ou promessa forte + grão e ingrediente)</v>
      </c>
      <c r="H175" s="11" t="str">
        <f aca="false">IF(INDEX(PRODUTOS!$I$4:$I$63,MATCH($A175,PRODUTOS!$B$4:$B$63,0))="B",INDEX(MODELOS!$I$3:$I$19,MATCH($D175,MODELOS!$A$3:$A$19,0)),INDEX(MODELOS!$E$3:$E$19,MATCH($D175,MODELOS!$A$3:$A$19,0)))</f>
        <v>2000 × 2000</v>
      </c>
      <c r="I175" s="11" t="str">
        <f aca="false">INDEX(MODELOS!$J$3:$J$19,MATCH($D175,MODELOS!$A$3:$A$19,0))</f>
        <v>SIM</v>
      </c>
      <c r="J175" s="11" t="str">
        <f aca="false">IF(LEFT($D175,2)&lt;&gt;"AP",IF($I175="SIM","SIM","RECOMENDADA"),IF(INDEX(PRODUTOS!$J$4:$J$63,MATCH($A175,PRODUTOS!$B$4:$B$63,0))&lt;&gt;"","NÃO (usa o A+ do EAN "&amp;INDEX(PRODUTOS!$J$4:$J$63,MATCH($A175,PRODUTOS!$B$4:$B$63,0))&amp;")",IF(AND(INDEX(PRODUTOS!$I$4:$I$63,MATCH($A175,PRODUTOS!$B$4:$B$63,0))="B",$D175="AP07"),"NÃO (modelo B)","SIM")))</f>
        <v>SIM</v>
      </c>
      <c r="K175" s="13" t="s">
        <v>325</v>
      </c>
      <c r="L175" s="13"/>
    </row>
    <row r="176" customFormat="false" ht="15" hidden="false" customHeight="false" outlineLevel="0" collapsed="false">
      <c r="A176" s="15" t="s">
        <v>91</v>
      </c>
      <c r="B176" s="11" t="str">
        <f aca="false">INDEX(PRODUTOS!$E$4:$E$63,MATCH($A176,PRODUTOS!$B$4:$B$63,0))</f>
        <v>New Dots Ração Seca Premium para Gatos Adultos - 20 kg</v>
      </c>
      <c r="C176" s="11" t="str">
        <f aca="false">INDEX(PRODUTOS!$H$4:$H$63,MATCH($A176,PRODUTOS!$B$4:$B$63,0))</f>
        <v>20 kg</v>
      </c>
      <c r="D176" s="11" t="s">
        <v>327</v>
      </c>
      <c r="E176" s="16" t="str">
        <f aca="false">$A176&amp;"."&amp;$D176&amp;".jpg"</f>
        <v>7898968541597.PT02.jpg</v>
      </c>
      <c r="F176" s="11" t="str">
        <f aca="false">IF(INDEX(PRODUTOS!$I$4:$I$63,MATCH($A176,PRODUTOS!$B$4:$B$63,0))="B",INDEX(MODELOS!$F$3:$F$19,MATCH($D176,MODELOS!$A$3:$A$19,0)),INDEX(MODELOS!$B$3:$B$19,MATCH($D176,MODELOS!$A$3:$A$19,0)))</f>
        <v>Galeria · posição 3</v>
      </c>
      <c r="G176" s="11" t="str">
        <f aca="false">IF(INDEX(PRODUTOS!$F$4:$F$63,MATCH($A176,PRODUTOS!$B$4:$B$63,0))="Ração",IF(INDEX(PRODUTOS!$I$4:$I$63,MATCH($A176,PRODUTOS!$B$4:$B$63,0))="B",INDEX(MODELOS!$G$3:$G$19,MATCH($D176,MODELOS!$A$3:$A$19,0)),INDEX(MODELOS!$C$3:$C$19,MATCH($D176,MODELOS!$A$3:$A$19,0))),IF(INDEX(PRODUTOS!$I$4:$I$63,MATCH($A176,PRODUTOS!$B$4:$B$63,0))="B",INDEX(MODELOS!$H$3:$H$19,MATCH($D176,MODELOS!$A$3:$A$19,0)),INDEX(MODELOS!$D$3:$D$19,MATCH($D176,MODELOS!$A$3:$A$19,0))))</f>
        <v>Benefícios com ícones (4 a 6, impressos na embalagem) + ingrediente</v>
      </c>
      <c r="H176" s="11" t="str">
        <f aca="false">IF(INDEX(PRODUTOS!$I$4:$I$63,MATCH($A176,PRODUTOS!$B$4:$B$63,0))="B",INDEX(MODELOS!$I$3:$I$19,MATCH($D176,MODELOS!$A$3:$A$19,0)),INDEX(MODELOS!$E$3:$E$19,MATCH($D176,MODELOS!$A$3:$A$19,0)))</f>
        <v>2000 × 2000</v>
      </c>
      <c r="I176" s="11" t="str">
        <f aca="false">INDEX(MODELOS!$J$3:$J$19,MATCH($D176,MODELOS!$A$3:$A$19,0))</f>
        <v>SIM</v>
      </c>
      <c r="J176" s="11" t="str">
        <f aca="false">IF(LEFT($D176,2)&lt;&gt;"AP",IF($I176="SIM","SIM","RECOMENDADA"),IF(INDEX(PRODUTOS!$J$4:$J$63,MATCH($A176,PRODUTOS!$B$4:$B$63,0))&lt;&gt;"","NÃO (usa o A+ do EAN "&amp;INDEX(PRODUTOS!$J$4:$J$63,MATCH($A176,PRODUTOS!$B$4:$B$63,0))&amp;")",IF(AND(INDEX(PRODUTOS!$I$4:$I$63,MATCH($A176,PRODUTOS!$B$4:$B$63,0))="B",$D176="AP07"),"NÃO (modelo B)","SIM")))</f>
        <v>SIM</v>
      </c>
      <c r="K176" s="13" t="s">
        <v>325</v>
      </c>
      <c r="L176" s="13"/>
    </row>
    <row r="177" customFormat="false" ht="15" hidden="false" customHeight="false" outlineLevel="0" collapsed="false">
      <c r="A177" s="15" t="s">
        <v>91</v>
      </c>
      <c r="B177" s="11" t="str">
        <f aca="false">INDEX(PRODUTOS!$E$4:$E$63,MATCH($A177,PRODUTOS!$B$4:$B$63,0))</f>
        <v>New Dots Ração Seca Premium para Gatos Adultos - 20 kg</v>
      </c>
      <c r="C177" s="11" t="str">
        <f aca="false">INDEX(PRODUTOS!$H$4:$H$63,MATCH($A177,PRODUTOS!$B$4:$B$63,0))</f>
        <v>20 kg</v>
      </c>
      <c r="D177" s="11" t="s">
        <v>328</v>
      </c>
      <c r="E177" s="16" t="str">
        <f aca="false">$A177&amp;"."&amp;$D177&amp;".jpg"</f>
        <v>7898968541597.PT03.jpg</v>
      </c>
      <c r="F177" s="11" t="str">
        <f aca="false">IF(INDEX(PRODUTOS!$I$4:$I$63,MATCH($A177,PRODUTOS!$B$4:$B$63,0))="B",INDEX(MODELOS!$F$3:$F$19,MATCH($D177,MODELOS!$A$3:$A$19,0)),INDEX(MODELOS!$B$3:$B$19,MATCH($D177,MODELOS!$A$3:$A$19,0)))</f>
        <v>Galeria · posição 4</v>
      </c>
      <c r="G177" s="11" t="str">
        <f aca="false">IF(INDEX(PRODUTOS!$F$4:$F$63,MATCH($A177,PRODUTOS!$B$4:$B$63,0))="Ração",IF(INDEX(PRODUTOS!$I$4:$I$63,MATCH($A177,PRODUTOS!$B$4:$B$63,0))="B",INDEX(MODELOS!$G$3:$G$19,MATCH($D177,MODELOS!$A$3:$A$19,0)),INDEX(MODELOS!$C$3:$C$19,MATCH($D177,MODELOS!$A$3:$A$19,0))),IF(INDEX(PRODUTOS!$I$4:$I$63,MATCH($A177,PRODUTOS!$B$4:$B$63,0))="B",INDEX(MODELOS!$H$3:$H$19,MATCH($D177,MODELOS!$A$3:$A$19,0)),INDEX(MODELOS!$D$3:$D$19,MATCH($D177,MODELOS!$A$3:$A$19,0))))</f>
        <v>Formato e tamanho do grão, com medida em mm e referência de tamanho</v>
      </c>
      <c r="H177" s="11" t="str">
        <f aca="false">IF(INDEX(PRODUTOS!$I$4:$I$63,MATCH($A177,PRODUTOS!$B$4:$B$63,0))="B",INDEX(MODELOS!$I$3:$I$19,MATCH($D177,MODELOS!$A$3:$A$19,0)),INDEX(MODELOS!$E$3:$E$19,MATCH($D177,MODELOS!$A$3:$A$19,0)))</f>
        <v>2000 × 2000</v>
      </c>
      <c r="I177" s="11" t="str">
        <f aca="false">INDEX(MODELOS!$J$3:$J$19,MATCH($D177,MODELOS!$A$3:$A$19,0))</f>
        <v>SIM</v>
      </c>
      <c r="J177" s="11" t="str">
        <f aca="false">IF(LEFT($D177,2)&lt;&gt;"AP",IF($I177="SIM","SIM","RECOMENDADA"),IF(INDEX(PRODUTOS!$J$4:$J$63,MATCH($A177,PRODUTOS!$B$4:$B$63,0))&lt;&gt;"","NÃO (usa o A+ do EAN "&amp;INDEX(PRODUTOS!$J$4:$J$63,MATCH($A177,PRODUTOS!$B$4:$B$63,0))&amp;")",IF(AND(INDEX(PRODUTOS!$I$4:$I$63,MATCH($A177,PRODUTOS!$B$4:$B$63,0))="B",$D177="AP07"),"NÃO (modelo B)","SIM")))</f>
        <v>SIM</v>
      </c>
      <c r="K177" s="13" t="s">
        <v>325</v>
      </c>
      <c r="L177" s="13"/>
    </row>
    <row r="178" customFormat="false" ht="15" hidden="false" customHeight="false" outlineLevel="0" collapsed="false">
      <c r="A178" s="15" t="s">
        <v>91</v>
      </c>
      <c r="B178" s="11" t="str">
        <f aca="false">INDEX(PRODUTOS!$E$4:$E$63,MATCH($A178,PRODUTOS!$B$4:$B$63,0))</f>
        <v>New Dots Ração Seca Premium para Gatos Adultos - 20 kg</v>
      </c>
      <c r="C178" s="11" t="str">
        <f aca="false">INDEX(PRODUTOS!$H$4:$H$63,MATCH($A178,PRODUTOS!$B$4:$B$63,0))</f>
        <v>20 kg</v>
      </c>
      <c r="D178" s="11" t="s">
        <v>329</v>
      </c>
      <c r="E178" s="16" t="str">
        <f aca="false">$A178&amp;"."&amp;$D178&amp;".jpg"</f>
        <v>7898968541597.PT04.jpg</v>
      </c>
      <c r="F178" s="11" t="str">
        <f aca="false">IF(INDEX(PRODUTOS!$I$4:$I$63,MATCH($A178,PRODUTOS!$B$4:$B$63,0))="B",INDEX(MODELOS!$F$3:$F$19,MATCH($D178,MODELOS!$A$3:$A$19,0)),INDEX(MODELOS!$B$3:$B$19,MATCH($D178,MODELOS!$A$3:$A$19,0)))</f>
        <v>Galeria · posição 5</v>
      </c>
      <c r="G178" s="11" t="str">
        <f aca="false">IF(INDEX(PRODUTOS!$F$4:$F$63,MATCH($A178,PRODUTOS!$B$4:$B$63,0))="Ração",IF(INDEX(PRODUTOS!$I$4:$I$63,MATCH($A178,PRODUTOS!$B$4:$B$63,0))="B",INDEX(MODELOS!$G$3:$G$19,MATCH($D178,MODELOS!$A$3:$A$19,0)),INDEX(MODELOS!$C$3:$C$19,MATCH($D178,MODELOS!$A$3:$A$19,0))),IF(INDEX(PRODUTOS!$I$4:$I$63,MATCH($A178,PRODUTOS!$B$4:$B$63,0))="B",INDEX(MODELOS!$H$3:$H$19,MATCH($D178,MODELOS!$A$3:$A$19,0)),INDEX(MODELOS!$D$3:$D$19,MATCH($D178,MODELOS!$A$3:$A$19,0))))</f>
        <v>Quantidade diária por peso do cão/gato (números idênticos à embalagem)</v>
      </c>
      <c r="H178" s="11" t="str">
        <f aca="false">IF(INDEX(PRODUTOS!$I$4:$I$63,MATCH($A178,PRODUTOS!$B$4:$B$63,0))="B",INDEX(MODELOS!$I$3:$I$19,MATCH($D178,MODELOS!$A$3:$A$19,0)),INDEX(MODELOS!$E$3:$E$19,MATCH($D178,MODELOS!$A$3:$A$19,0)))</f>
        <v>2000 × 2000</v>
      </c>
      <c r="I178" s="11" t="str">
        <f aca="false">INDEX(MODELOS!$J$3:$J$19,MATCH($D178,MODELOS!$A$3:$A$19,0))</f>
        <v>SIM</v>
      </c>
      <c r="J178" s="11" t="str">
        <f aca="false">IF(LEFT($D178,2)&lt;&gt;"AP",IF($I178="SIM","SIM","RECOMENDADA"),IF(INDEX(PRODUTOS!$J$4:$J$63,MATCH($A178,PRODUTOS!$B$4:$B$63,0))&lt;&gt;"","NÃO (usa o A+ do EAN "&amp;INDEX(PRODUTOS!$J$4:$J$63,MATCH($A178,PRODUTOS!$B$4:$B$63,0))&amp;")",IF(AND(INDEX(PRODUTOS!$I$4:$I$63,MATCH($A178,PRODUTOS!$B$4:$B$63,0))="B",$D178="AP07"),"NÃO (modelo B)","SIM")))</f>
        <v>SIM</v>
      </c>
      <c r="K178" s="13" t="s">
        <v>325</v>
      </c>
      <c r="L178" s="13"/>
    </row>
    <row r="179" customFormat="false" ht="15" hidden="false" customHeight="false" outlineLevel="0" collapsed="false">
      <c r="A179" s="15" t="s">
        <v>91</v>
      </c>
      <c r="B179" s="11" t="str">
        <f aca="false">INDEX(PRODUTOS!$E$4:$E$63,MATCH($A179,PRODUTOS!$B$4:$B$63,0))</f>
        <v>New Dots Ração Seca Premium para Gatos Adultos - 20 kg</v>
      </c>
      <c r="C179" s="11" t="str">
        <f aca="false">INDEX(PRODUTOS!$H$4:$H$63,MATCH($A179,PRODUTOS!$B$4:$B$63,0))</f>
        <v>20 kg</v>
      </c>
      <c r="D179" s="11" t="s">
        <v>330</v>
      </c>
      <c r="E179" s="16" t="str">
        <f aca="false">$A179&amp;"."&amp;$D179&amp;".jpg"</f>
        <v>7898968541597.PT05.jpg</v>
      </c>
      <c r="F179" s="11" t="str">
        <f aca="false">IF(INDEX(PRODUTOS!$I$4:$I$63,MATCH($A179,PRODUTOS!$B$4:$B$63,0))="B",INDEX(MODELOS!$F$3:$F$19,MATCH($D179,MODELOS!$A$3:$A$19,0)),INDEX(MODELOS!$B$3:$B$19,MATCH($D179,MODELOS!$A$3:$A$19,0)))</f>
        <v>Galeria · posição 6</v>
      </c>
      <c r="G179" s="11" t="str">
        <f aca="false">IF(INDEX(PRODUTOS!$F$4:$F$63,MATCH($A179,PRODUTOS!$B$4:$B$63,0))="Ração",IF(INDEX(PRODUTOS!$I$4:$I$63,MATCH($A179,PRODUTOS!$B$4:$B$63,0))="B",INDEX(MODELOS!$G$3:$G$19,MATCH($D179,MODELOS!$A$3:$A$19,0)),INDEX(MODELOS!$C$3:$C$19,MATCH($D179,MODELOS!$A$3:$A$19,0))),IF(INDEX(PRODUTOS!$I$4:$I$63,MATCH($A179,PRODUTOS!$B$4:$B$63,0))="B",INDEX(MODELOS!$H$3:$H$19,MATCH($D179,MODELOS!$A$3:$A$19,0)),INDEX(MODELOS!$D$3:$D$19,MATCH($D179,MODELOS!$A$3:$A$19,0))))</f>
        <v>Transição alimentar dia a dia (igual ao verso da embalagem)</v>
      </c>
      <c r="H179" s="11" t="str">
        <f aca="false">IF(INDEX(PRODUTOS!$I$4:$I$63,MATCH($A179,PRODUTOS!$B$4:$B$63,0))="B",INDEX(MODELOS!$I$3:$I$19,MATCH($D179,MODELOS!$A$3:$A$19,0)),INDEX(MODELOS!$E$3:$E$19,MATCH($D179,MODELOS!$A$3:$A$19,0)))</f>
        <v>2000 × 2000</v>
      </c>
      <c r="I179" s="11" t="str">
        <f aca="false">INDEX(MODELOS!$J$3:$J$19,MATCH($D179,MODELOS!$A$3:$A$19,0))</f>
        <v>Recomendada</v>
      </c>
      <c r="J179" s="11" t="str">
        <f aca="false">IF(LEFT($D179,2)&lt;&gt;"AP",IF($I179="SIM","SIM","RECOMENDADA"),IF(INDEX(PRODUTOS!$J$4:$J$63,MATCH($A179,PRODUTOS!$B$4:$B$63,0))&lt;&gt;"","NÃO (usa o A+ do EAN "&amp;INDEX(PRODUTOS!$J$4:$J$63,MATCH($A179,PRODUTOS!$B$4:$B$63,0))&amp;")",IF(AND(INDEX(PRODUTOS!$I$4:$I$63,MATCH($A179,PRODUTOS!$B$4:$B$63,0))="B",$D179="AP07"),"NÃO (modelo B)","SIM")))</f>
        <v>RECOMENDADA</v>
      </c>
      <c r="K179" s="13" t="s">
        <v>325</v>
      </c>
      <c r="L179" s="13"/>
    </row>
    <row r="180" customFormat="false" ht="15" hidden="false" customHeight="false" outlineLevel="0" collapsed="false">
      <c r="A180" s="15" t="s">
        <v>91</v>
      </c>
      <c r="B180" s="11" t="str">
        <f aca="false">INDEX(PRODUTOS!$E$4:$E$63,MATCH($A180,PRODUTOS!$B$4:$B$63,0))</f>
        <v>New Dots Ração Seca Premium para Gatos Adultos - 20 kg</v>
      </c>
      <c r="C180" s="11" t="str">
        <f aca="false">INDEX(PRODUTOS!$H$4:$H$63,MATCH($A180,PRODUTOS!$B$4:$B$63,0))</f>
        <v>20 kg</v>
      </c>
      <c r="D180" s="11" t="s">
        <v>331</v>
      </c>
      <c r="E180" s="16" t="str">
        <f aca="false">$A180&amp;"."&amp;$D180&amp;".jpg"</f>
        <v>7898968541597.PT06.jpg</v>
      </c>
      <c r="F180" s="11" t="str">
        <f aca="false">IF(INDEX(PRODUTOS!$I$4:$I$63,MATCH($A180,PRODUTOS!$B$4:$B$63,0))="B",INDEX(MODELOS!$F$3:$F$19,MATCH($D180,MODELOS!$A$3:$A$19,0)),INDEX(MODELOS!$B$3:$B$19,MATCH($D180,MODELOS!$A$3:$A$19,0)))</f>
        <v>Galeria · posição 7</v>
      </c>
      <c r="G180" s="11" t="str">
        <f aca="false">IF(INDEX(PRODUTOS!$F$4:$F$63,MATCH($A180,PRODUTOS!$B$4:$B$63,0))="Ração",IF(INDEX(PRODUTOS!$I$4:$I$63,MATCH($A180,PRODUTOS!$B$4:$B$63,0))="B",INDEX(MODELOS!$G$3:$G$19,MATCH($D180,MODELOS!$A$3:$A$19,0)),INDEX(MODELOS!$C$3:$C$19,MATCH($D180,MODELOS!$A$3:$A$19,0))),IF(INDEX(PRODUTOS!$I$4:$I$63,MATCH($A180,PRODUTOS!$B$4:$B$63,0))="B",INDEX(MODELOS!$H$3:$H$19,MATCH($D180,MODELOS!$A$3:$A$19,0)),INDEX(MODELOS!$D$3:$D$19,MATCH($D180,MODELOS!$A$3:$A$19,0))))</f>
        <v>Composição e níveis de garantia em letra grande</v>
      </c>
      <c r="H180" s="11" t="str">
        <f aca="false">IF(INDEX(PRODUTOS!$I$4:$I$63,MATCH($A180,PRODUTOS!$B$4:$B$63,0))="B",INDEX(MODELOS!$I$3:$I$19,MATCH($D180,MODELOS!$A$3:$A$19,0)),INDEX(MODELOS!$E$3:$E$19,MATCH($D180,MODELOS!$A$3:$A$19,0)))</f>
        <v>2000 × 2000</v>
      </c>
      <c r="I180" s="11" t="str">
        <f aca="false">INDEX(MODELOS!$J$3:$J$19,MATCH($D180,MODELOS!$A$3:$A$19,0))</f>
        <v>SIM</v>
      </c>
      <c r="J180" s="11" t="str">
        <f aca="false">IF(LEFT($D180,2)&lt;&gt;"AP",IF($I180="SIM","SIM","RECOMENDADA"),IF(INDEX(PRODUTOS!$J$4:$J$63,MATCH($A180,PRODUTOS!$B$4:$B$63,0))&lt;&gt;"","NÃO (usa o A+ do EAN "&amp;INDEX(PRODUTOS!$J$4:$J$63,MATCH($A180,PRODUTOS!$B$4:$B$63,0))&amp;")",IF(AND(INDEX(PRODUTOS!$I$4:$I$63,MATCH($A180,PRODUTOS!$B$4:$B$63,0))="B",$D180="AP07"),"NÃO (modelo B)","SIM")))</f>
        <v>SIM</v>
      </c>
      <c r="K180" s="13" t="s">
        <v>325</v>
      </c>
      <c r="L180" s="13"/>
    </row>
    <row r="181" customFormat="false" ht="15" hidden="false" customHeight="false" outlineLevel="0" collapsed="false">
      <c r="A181" s="15" t="s">
        <v>91</v>
      </c>
      <c r="B181" s="11" t="str">
        <f aca="false">INDEX(PRODUTOS!$E$4:$E$63,MATCH($A181,PRODUTOS!$B$4:$B$63,0))</f>
        <v>New Dots Ração Seca Premium para Gatos Adultos - 20 kg</v>
      </c>
      <c r="C181" s="11" t="str">
        <f aca="false">INDEX(PRODUTOS!$H$4:$H$63,MATCH($A181,PRODUTOS!$B$4:$B$63,0))</f>
        <v>20 kg</v>
      </c>
      <c r="D181" s="11" t="s">
        <v>332</v>
      </c>
      <c r="E181" s="16" t="str">
        <f aca="false">$A181&amp;"."&amp;$D181&amp;".jpg"</f>
        <v>7898968541597.PT07.jpg</v>
      </c>
      <c r="F181" s="11" t="str">
        <f aca="false">IF(INDEX(PRODUTOS!$I$4:$I$63,MATCH($A181,PRODUTOS!$B$4:$B$63,0))="B",INDEX(MODELOS!$F$3:$F$19,MATCH($D181,MODELOS!$A$3:$A$19,0)),INDEX(MODELOS!$B$3:$B$19,MATCH($D181,MODELOS!$A$3:$A$19,0)))</f>
        <v>Galeria · posição 8</v>
      </c>
      <c r="G181" s="11" t="str">
        <f aca="false">IF(INDEX(PRODUTOS!$F$4:$F$63,MATCH($A181,PRODUTOS!$B$4:$B$63,0))="Ração",IF(INDEX(PRODUTOS!$I$4:$I$63,MATCH($A181,PRODUTOS!$B$4:$B$63,0))="B",INDEX(MODELOS!$G$3:$G$19,MATCH($D181,MODELOS!$A$3:$A$19,0)),INDEX(MODELOS!$C$3:$C$19,MATCH($D181,MODELOS!$A$3:$A$19,0))),IF(INDEX(PRODUTOS!$I$4:$I$63,MATCH($A181,PRODUTOS!$B$4:$B$63,0))="B",INDEX(MODELOS!$H$3:$H$19,MATCH($D181,MODELOS!$A$3:$A$19,0)),INDEX(MODELOS!$D$3:$D$19,MATCH($D181,MODELOS!$A$3:$A$19,0))))</f>
        <v>Emocional / momento de uso (pet do porte certo, pote cheio)</v>
      </c>
      <c r="H181" s="11" t="str">
        <f aca="false">IF(INDEX(PRODUTOS!$I$4:$I$63,MATCH($A181,PRODUTOS!$B$4:$B$63,0))="B",INDEX(MODELOS!$I$3:$I$19,MATCH($D181,MODELOS!$A$3:$A$19,0)),INDEX(MODELOS!$E$3:$E$19,MATCH($D181,MODELOS!$A$3:$A$19,0)))</f>
        <v>2000 × 2000</v>
      </c>
      <c r="I181" s="11" t="str">
        <f aca="false">INDEX(MODELOS!$J$3:$J$19,MATCH($D181,MODELOS!$A$3:$A$19,0))</f>
        <v>Recomendada</v>
      </c>
      <c r="J181" s="11" t="str">
        <f aca="false">IF(LEFT($D181,2)&lt;&gt;"AP",IF($I181="SIM","SIM","RECOMENDADA"),IF(INDEX(PRODUTOS!$J$4:$J$63,MATCH($A181,PRODUTOS!$B$4:$B$63,0))&lt;&gt;"","NÃO (usa o A+ do EAN "&amp;INDEX(PRODUTOS!$J$4:$J$63,MATCH($A181,PRODUTOS!$B$4:$B$63,0))&amp;")",IF(AND(INDEX(PRODUTOS!$I$4:$I$63,MATCH($A181,PRODUTOS!$B$4:$B$63,0))="B",$D181="AP07"),"NÃO (modelo B)","SIM")))</f>
        <v>RECOMENDADA</v>
      </c>
      <c r="K181" s="13" t="s">
        <v>325</v>
      </c>
      <c r="L181" s="13"/>
    </row>
    <row r="182" customFormat="false" ht="15" hidden="false" customHeight="false" outlineLevel="0" collapsed="false">
      <c r="A182" s="15" t="s">
        <v>91</v>
      </c>
      <c r="B182" s="11" t="str">
        <f aca="false">INDEX(PRODUTOS!$E$4:$E$63,MATCH($A182,PRODUTOS!$B$4:$B$63,0))</f>
        <v>New Dots Ração Seca Premium para Gatos Adultos - 20 kg</v>
      </c>
      <c r="C182" s="11" t="str">
        <f aca="false">INDEX(PRODUTOS!$H$4:$H$63,MATCH($A182,PRODUTOS!$B$4:$B$63,0))</f>
        <v>20 kg</v>
      </c>
      <c r="D182" s="11" t="s">
        <v>333</v>
      </c>
      <c r="E182" s="16" t="str">
        <f aca="false">$A182&amp;"."&amp;$D182&amp;".jpg"</f>
        <v>7898968541597.PT08.jpg</v>
      </c>
      <c r="F182" s="11" t="str">
        <f aca="false">IF(INDEX(PRODUTOS!$I$4:$I$63,MATCH($A182,PRODUTOS!$B$4:$B$63,0))="B",INDEX(MODELOS!$F$3:$F$19,MATCH($D182,MODELOS!$A$3:$A$19,0)),INDEX(MODELOS!$B$3:$B$19,MATCH($D182,MODELOS!$A$3:$A$19,0)))</f>
        <v>Galeria · posição 9</v>
      </c>
      <c r="G182" s="11" t="str">
        <f aca="false">IF(INDEX(PRODUTOS!$F$4:$F$63,MATCH($A182,PRODUTOS!$B$4:$B$63,0))="Ração",IF(INDEX(PRODUTOS!$I$4:$I$63,MATCH($A182,PRODUTOS!$B$4:$B$63,0))="B",INDEX(MODELOS!$G$3:$G$19,MATCH($D182,MODELOS!$A$3:$A$19,0)),INDEX(MODELOS!$C$3:$C$19,MATCH($D182,MODELOS!$A$3:$A$19,0))),IF(INDEX(PRODUTOS!$I$4:$I$63,MATCH($A182,PRODUTOS!$B$4:$B$63,0))="B",INDEX(MODELOS!$H$3:$H$19,MATCH($D182,MODELOS!$A$3:$A$19,0)),INDEX(MODELOS!$D$3:$D$19,MATCH($D182,MODELOS!$A$3:$A$19,0))))</f>
        <v>Linha da marca ou embalagem anterior × nova</v>
      </c>
      <c r="H182" s="11" t="str">
        <f aca="false">IF(INDEX(PRODUTOS!$I$4:$I$63,MATCH($A182,PRODUTOS!$B$4:$B$63,0))="B",INDEX(MODELOS!$I$3:$I$19,MATCH($D182,MODELOS!$A$3:$A$19,0)),INDEX(MODELOS!$E$3:$E$19,MATCH($D182,MODELOS!$A$3:$A$19,0)))</f>
        <v>2000 × 2000</v>
      </c>
      <c r="I182" s="11" t="str">
        <f aca="false">INDEX(MODELOS!$J$3:$J$19,MATCH($D182,MODELOS!$A$3:$A$19,0))</f>
        <v>Recomendada</v>
      </c>
      <c r="J182" s="11" t="str">
        <f aca="false">IF(LEFT($D182,2)&lt;&gt;"AP",IF($I182="SIM","SIM","RECOMENDADA"),IF(INDEX(PRODUTOS!$J$4:$J$63,MATCH($A182,PRODUTOS!$B$4:$B$63,0))&lt;&gt;"","NÃO (usa o A+ do EAN "&amp;INDEX(PRODUTOS!$J$4:$J$63,MATCH($A182,PRODUTOS!$B$4:$B$63,0))&amp;")",IF(AND(INDEX(PRODUTOS!$I$4:$I$63,MATCH($A182,PRODUTOS!$B$4:$B$63,0))="B",$D182="AP07"),"NÃO (modelo B)","SIM")))</f>
        <v>RECOMENDADA</v>
      </c>
      <c r="K182" s="13" t="s">
        <v>325</v>
      </c>
      <c r="L182" s="13"/>
    </row>
    <row r="183" customFormat="false" ht="15" hidden="false" customHeight="false" outlineLevel="0" collapsed="false">
      <c r="A183" s="15" t="s">
        <v>91</v>
      </c>
      <c r="B183" s="11" t="str">
        <f aca="false">INDEX(PRODUTOS!$E$4:$E$63,MATCH($A183,PRODUTOS!$B$4:$B$63,0))</f>
        <v>New Dots Ração Seca Premium para Gatos Adultos - 20 kg</v>
      </c>
      <c r="C183" s="11" t="str">
        <f aca="false">INDEX(PRODUTOS!$H$4:$H$63,MATCH($A183,PRODUTOS!$B$4:$B$63,0))</f>
        <v>20 kg</v>
      </c>
      <c r="D183" s="11" t="s">
        <v>334</v>
      </c>
      <c r="E183" s="16" t="str">
        <f aca="false">$A183&amp;"."&amp;$D183&amp;".jpg"</f>
        <v>7898968541597.AP01.jpg</v>
      </c>
      <c r="F183" s="11" t="str">
        <f aca="false">IF(INDEX(PRODUTOS!$I$4:$I$63,MATCH($A183,PRODUTOS!$B$4:$B$63,0))="B",INDEX(MODELOS!$F$3:$F$19,MATCH($D183,MODELOS!$A$3:$A$19,0)),INDEX(MODELOS!$B$3:$B$19,MATCH($D183,MODELOS!$A$3:$A$19,0)))</f>
        <v>A+ · Módulo 1 · Banner</v>
      </c>
      <c r="G183" s="11" t="str">
        <f aca="false">IF(INDEX(PRODUTOS!$F$4:$F$63,MATCH($A183,PRODUTOS!$B$4:$B$63,0))="Ração",IF(INDEX(PRODUTOS!$I$4:$I$63,MATCH($A183,PRODUTOS!$B$4:$B$63,0))="B",INDEX(MODELOS!$G$3:$G$19,MATCH($D183,MODELOS!$A$3:$A$19,0)),INDEX(MODELOS!$C$3:$C$19,MATCH($D183,MODELOS!$A$3:$A$19,0))),IF(INDEX(PRODUTOS!$I$4:$I$63,MATCH($A183,PRODUTOS!$B$4:$B$63,0))="B",INDEX(MODELOS!$H$3:$H$19,MATCH($D183,MODELOS!$A$3:$A$19,0)),INDEX(MODELOS!$D$3:$D$19,MATCH($D183,MODELOS!$A$3:$A$19,0))))</f>
        <v>Embalagem + pet + ingredientes, com o nome da linha</v>
      </c>
      <c r="H183" s="11" t="str">
        <f aca="false">IF(INDEX(PRODUTOS!$I$4:$I$63,MATCH($A183,PRODUTOS!$B$4:$B$63,0))="B",INDEX(MODELOS!$I$3:$I$19,MATCH($D183,MODELOS!$A$3:$A$19,0)),INDEX(MODELOS!$E$3:$E$19,MATCH($D183,MODELOS!$A$3:$A$19,0)))</f>
        <v>970 × 600</v>
      </c>
      <c r="I183" s="11" t="str">
        <f aca="false">INDEX(MODELOS!$J$3:$J$19,MATCH($D183,MODELOS!$A$3:$A$19,0))</f>
        <v>Conforme modelo</v>
      </c>
      <c r="J183" s="11" t="str">
        <f aca="false">IF(LEFT($D183,2)&lt;&gt;"AP",IF($I183="SIM","SIM","RECOMENDADA"),IF(INDEX(PRODUTOS!$J$4:$J$63,MATCH($A183,PRODUTOS!$B$4:$B$63,0))&lt;&gt;"","NÃO (usa o A+ do EAN "&amp;INDEX(PRODUTOS!$J$4:$J$63,MATCH($A183,PRODUTOS!$B$4:$B$63,0))&amp;")",IF(AND(INDEX(PRODUTOS!$I$4:$I$63,MATCH($A183,PRODUTOS!$B$4:$B$63,0))="B",$D183="AP07"),"NÃO (modelo B)","SIM")))</f>
        <v>SIM</v>
      </c>
      <c r="K183" s="13" t="s">
        <v>325</v>
      </c>
      <c r="L183" s="13"/>
    </row>
    <row r="184" customFormat="false" ht="15" hidden="false" customHeight="false" outlineLevel="0" collapsed="false">
      <c r="A184" s="15" t="s">
        <v>91</v>
      </c>
      <c r="B184" s="11" t="str">
        <f aca="false">INDEX(PRODUTOS!$E$4:$E$63,MATCH($A184,PRODUTOS!$B$4:$B$63,0))</f>
        <v>New Dots Ração Seca Premium para Gatos Adultos - 20 kg</v>
      </c>
      <c r="C184" s="11" t="str">
        <f aca="false">INDEX(PRODUTOS!$H$4:$H$63,MATCH($A184,PRODUTOS!$B$4:$B$63,0))</f>
        <v>20 kg</v>
      </c>
      <c r="D184" s="11" t="s">
        <v>335</v>
      </c>
      <c r="E184" s="16" t="str">
        <f aca="false">$A184&amp;"."&amp;$D184&amp;".jpg"</f>
        <v>7898968541597.AP02.jpg</v>
      </c>
      <c r="F184" s="11" t="str">
        <f aca="false">IF(INDEX(PRODUTOS!$I$4:$I$63,MATCH($A184,PRODUTOS!$B$4:$B$63,0))="B",INDEX(MODELOS!$F$3:$F$19,MATCH($D184,MODELOS!$A$3:$A$19,0)),INDEX(MODELOS!$B$3:$B$19,MATCH($D184,MODELOS!$A$3:$A$19,0)))</f>
        <v>A+ · Módulo 2 · Texto sobreposto</v>
      </c>
      <c r="G184" s="11" t="str">
        <f aca="false">IF(INDEX(PRODUTOS!$F$4:$F$63,MATCH($A184,PRODUTOS!$B$4:$B$63,0))="Ração",IF(INDEX(PRODUTOS!$I$4:$I$63,MATCH($A184,PRODUTOS!$B$4:$B$63,0))="B",INDEX(MODELOS!$G$3:$G$19,MATCH($D184,MODELOS!$A$3:$A$19,0)),INDEX(MODELOS!$C$3:$C$19,MATCH($D184,MODELOS!$A$3:$A$19,0))),IF(INDEX(PRODUTOS!$I$4:$I$63,MATCH($A184,PRODUTOS!$B$4:$B$63,0))="B",INDEX(MODELOS!$H$3:$H$19,MATCH($D184,MODELOS!$A$3:$A$19,0)),INDEX(MODELOS!$D$3:$D$19,MATCH($D184,MODELOS!$A$3:$A$19,0))))</f>
        <v>Principal diferencial; deixar o lado direito limpo</v>
      </c>
      <c r="H184" s="11" t="str">
        <f aca="false">IF(INDEX(PRODUTOS!$I$4:$I$63,MATCH($A184,PRODUTOS!$B$4:$B$63,0))="B",INDEX(MODELOS!$I$3:$I$19,MATCH($D184,MODELOS!$A$3:$A$19,0)),INDEX(MODELOS!$E$3:$E$19,MATCH($D184,MODELOS!$A$3:$A$19,0)))</f>
        <v>970 × 300</v>
      </c>
      <c r="I184" s="11" t="str">
        <f aca="false">INDEX(MODELOS!$J$3:$J$19,MATCH($D184,MODELOS!$A$3:$A$19,0))</f>
        <v>Conforme modelo</v>
      </c>
      <c r="J184" s="11" t="str">
        <f aca="false">IF(LEFT($D184,2)&lt;&gt;"AP",IF($I184="SIM","SIM","RECOMENDADA"),IF(INDEX(PRODUTOS!$J$4:$J$63,MATCH($A184,PRODUTOS!$B$4:$B$63,0))&lt;&gt;"","NÃO (usa o A+ do EAN "&amp;INDEX(PRODUTOS!$J$4:$J$63,MATCH($A184,PRODUTOS!$B$4:$B$63,0))&amp;")",IF(AND(INDEX(PRODUTOS!$I$4:$I$63,MATCH($A184,PRODUTOS!$B$4:$B$63,0))="B",$D184="AP07"),"NÃO (modelo B)","SIM")))</f>
        <v>SIM</v>
      </c>
      <c r="K184" s="13" t="s">
        <v>325</v>
      </c>
      <c r="L184" s="13"/>
    </row>
    <row r="185" customFormat="false" ht="15" hidden="false" customHeight="false" outlineLevel="0" collapsed="false">
      <c r="A185" s="15" t="s">
        <v>91</v>
      </c>
      <c r="B185" s="11" t="str">
        <f aca="false">INDEX(PRODUTOS!$E$4:$E$63,MATCH($A185,PRODUTOS!$B$4:$B$63,0))</f>
        <v>New Dots Ração Seca Premium para Gatos Adultos - 20 kg</v>
      </c>
      <c r="C185" s="11" t="str">
        <f aca="false">INDEX(PRODUTOS!$H$4:$H$63,MATCH($A185,PRODUTOS!$B$4:$B$63,0))</f>
        <v>20 kg</v>
      </c>
      <c r="D185" s="11" t="s">
        <v>336</v>
      </c>
      <c r="E185" s="16" t="str">
        <f aca="false">$A185&amp;"."&amp;$D185&amp;".jpg"</f>
        <v>7898968541597.AP03.jpg</v>
      </c>
      <c r="F185" s="11" t="str">
        <f aca="false">IF(INDEX(PRODUTOS!$I$4:$I$63,MATCH($A185,PRODUTOS!$B$4:$B$63,0))="B",INDEX(MODELOS!$F$3:$F$19,MATCH($D185,MODELOS!$A$3:$A$19,0)),INDEX(MODELOS!$B$3:$B$19,MATCH($D185,MODELOS!$A$3:$A$19,0)))</f>
        <v>A+ · Módulo 3 · Benefício 1 de 4</v>
      </c>
      <c r="G185" s="11" t="str">
        <f aca="false">IF(INDEX(PRODUTOS!$F$4:$F$63,MATCH($A185,PRODUTOS!$B$4:$B$63,0))="Ração",IF(INDEX(PRODUTOS!$I$4:$I$63,MATCH($A185,PRODUTOS!$B$4:$B$63,0))="B",INDEX(MODELOS!$G$3:$G$19,MATCH($D185,MODELOS!$A$3:$A$19,0)),INDEX(MODELOS!$C$3:$C$19,MATCH($D185,MODELOS!$A$3:$A$19,0))),IF(INDEX(PRODUTOS!$I$4:$I$63,MATCH($A185,PRODUTOS!$B$4:$B$63,0))="B",INDEX(MODELOS!$H$3:$H$19,MATCH($D185,MODELOS!$A$3:$A$19,0)),INDEX(MODELOS!$D$3:$D$19,MATCH($D185,MODELOS!$A$3:$A$19,0))))</f>
        <v>Foto/ilustração do benefício 1</v>
      </c>
      <c r="H185" s="11" t="str">
        <f aca="false">IF(INDEX(PRODUTOS!$I$4:$I$63,MATCH($A185,PRODUTOS!$B$4:$B$63,0))="B",INDEX(MODELOS!$I$3:$I$19,MATCH($D185,MODELOS!$A$3:$A$19,0)),INDEX(MODELOS!$E$3:$E$19,MATCH($D185,MODELOS!$A$3:$A$19,0)))</f>
        <v>220 × 200</v>
      </c>
      <c r="I185" s="11" t="str">
        <f aca="false">INDEX(MODELOS!$J$3:$J$19,MATCH($D185,MODELOS!$A$3:$A$19,0))</f>
        <v>Conforme modelo</v>
      </c>
      <c r="J185" s="11" t="str">
        <f aca="false">IF(LEFT($D185,2)&lt;&gt;"AP",IF($I185="SIM","SIM","RECOMENDADA"),IF(INDEX(PRODUTOS!$J$4:$J$63,MATCH($A185,PRODUTOS!$B$4:$B$63,0))&lt;&gt;"","NÃO (usa o A+ do EAN "&amp;INDEX(PRODUTOS!$J$4:$J$63,MATCH($A185,PRODUTOS!$B$4:$B$63,0))&amp;")",IF(AND(INDEX(PRODUTOS!$I$4:$I$63,MATCH($A185,PRODUTOS!$B$4:$B$63,0))="B",$D185="AP07"),"NÃO (modelo B)","SIM")))</f>
        <v>SIM</v>
      </c>
      <c r="K185" s="13" t="s">
        <v>325</v>
      </c>
      <c r="L185" s="13"/>
    </row>
    <row r="186" customFormat="false" ht="15" hidden="false" customHeight="false" outlineLevel="0" collapsed="false">
      <c r="A186" s="15" t="s">
        <v>91</v>
      </c>
      <c r="B186" s="11" t="str">
        <f aca="false">INDEX(PRODUTOS!$E$4:$E$63,MATCH($A186,PRODUTOS!$B$4:$B$63,0))</f>
        <v>New Dots Ração Seca Premium para Gatos Adultos - 20 kg</v>
      </c>
      <c r="C186" s="11" t="str">
        <f aca="false">INDEX(PRODUTOS!$H$4:$H$63,MATCH($A186,PRODUTOS!$B$4:$B$63,0))</f>
        <v>20 kg</v>
      </c>
      <c r="D186" s="11" t="s">
        <v>337</v>
      </c>
      <c r="E186" s="16" t="str">
        <f aca="false">$A186&amp;"."&amp;$D186&amp;".jpg"</f>
        <v>7898968541597.AP04.jpg</v>
      </c>
      <c r="F186" s="11" t="str">
        <f aca="false">IF(INDEX(PRODUTOS!$I$4:$I$63,MATCH($A186,PRODUTOS!$B$4:$B$63,0))="B",INDEX(MODELOS!$F$3:$F$19,MATCH($D186,MODELOS!$A$3:$A$19,0)),INDEX(MODELOS!$B$3:$B$19,MATCH($D186,MODELOS!$A$3:$A$19,0)))</f>
        <v>A+ · Módulo 3 · Benefício 2 de 4</v>
      </c>
      <c r="G186" s="11" t="str">
        <f aca="false">IF(INDEX(PRODUTOS!$F$4:$F$63,MATCH($A186,PRODUTOS!$B$4:$B$63,0))="Ração",IF(INDEX(PRODUTOS!$I$4:$I$63,MATCH($A186,PRODUTOS!$B$4:$B$63,0))="B",INDEX(MODELOS!$G$3:$G$19,MATCH($D186,MODELOS!$A$3:$A$19,0)),INDEX(MODELOS!$C$3:$C$19,MATCH($D186,MODELOS!$A$3:$A$19,0))),IF(INDEX(PRODUTOS!$I$4:$I$63,MATCH($A186,PRODUTOS!$B$4:$B$63,0))="B",INDEX(MODELOS!$H$3:$H$19,MATCH($D186,MODELOS!$A$3:$A$19,0)),INDEX(MODELOS!$D$3:$D$19,MATCH($D186,MODELOS!$A$3:$A$19,0))))</f>
        <v>Foto/ilustração do benefício 2</v>
      </c>
      <c r="H186" s="11" t="str">
        <f aca="false">IF(INDEX(PRODUTOS!$I$4:$I$63,MATCH($A186,PRODUTOS!$B$4:$B$63,0))="B",INDEX(MODELOS!$I$3:$I$19,MATCH($D186,MODELOS!$A$3:$A$19,0)),INDEX(MODELOS!$E$3:$E$19,MATCH($D186,MODELOS!$A$3:$A$19,0)))</f>
        <v>220 × 200</v>
      </c>
      <c r="I186" s="11" t="str">
        <f aca="false">INDEX(MODELOS!$J$3:$J$19,MATCH($D186,MODELOS!$A$3:$A$19,0))</f>
        <v>Conforme modelo</v>
      </c>
      <c r="J186" s="11" t="str">
        <f aca="false">IF(LEFT($D186,2)&lt;&gt;"AP",IF($I186="SIM","SIM","RECOMENDADA"),IF(INDEX(PRODUTOS!$J$4:$J$63,MATCH($A186,PRODUTOS!$B$4:$B$63,0))&lt;&gt;"","NÃO (usa o A+ do EAN "&amp;INDEX(PRODUTOS!$J$4:$J$63,MATCH($A186,PRODUTOS!$B$4:$B$63,0))&amp;")",IF(AND(INDEX(PRODUTOS!$I$4:$I$63,MATCH($A186,PRODUTOS!$B$4:$B$63,0))="B",$D186="AP07"),"NÃO (modelo B)","SIM")))</f>
        <v>SIM</v>
      </c>
      <c r="K186" s="13" t="s">
        <v>325</v>
      </c>
      <c r="L186" s="13"/>
    </row>
    <row r="187" customFormat="false" ht="15" hidden="false" customHeight="false" outlineLevel="0" collapsed="false">
      <c r="A187" s="15" t="s">
        <v>91</v>
      </c>
      <c r="B187" s="11" t="str">
        <f aca="false">INDEX(PRODUTOS!$E$4:$E$63,MATCH($A187,PRODUTOS!$B$4:$B$63,0))</f>
        <v>New Dots Ração Seca Premium para Gatos Adultos - 20 kg</v>
      </c>
      <c r="C187" s="11" t="str">
        <f aca="false">INDEX(PRODUTOS!$H$4:$H$63,MATCH($A187,PRODUTOS!$B$4:$B$63,0))</f>
        <v>20 kg</v>
      </c>
      <c r="D187" s="11" t="s">
        <v>338</v>
      </c>
      <c r="E187" s="16" t="str">
        <f aca="false">$A187&amp;"."&amp;$D187&amp;".jpg"</f>
        <v>7898968541597.AP05.jpg</v>
      </c>
      <c r="F187" s="11" t="str">
        <f aca="false">IF(INDEX(PRODUTOS!$I$4:$I$63,MATCH($A187,PRODUTOS!$B$4:$B$63,0))="B",INDEX(MODELOS!$F$3:$F$19,MATCH($D187,MODELOS!$A$3:$A$19,0)),INDEX(MODELOS!$B$3:$B$19,MATCH($D187,MODELOS!$A$3:$A$19,0)))</f>
        <v>A+ · Módulo 3 · Benefício 3 de 4</v>
      </c>
      <c r="G187" s="11" t="str">
        <f aca="false">IF(INDEX(PRODUTOS!$F$4:$F$63,MATCH($A187,PRODUTOS!$B$4:$B$63,0))="Ração",IF(INDEX(PRODUTOS!$I$4:$I$63,MATCH($A187,PRODUTOS!$B$4:$B$63,0))="B",INDEX(MODELOS!$G$3:$G$19,MATCH($D187,MODELOS!$A$3:$A$19,0)),INDEX(MODELOS!$C$3:$C$19,MATCH($D187,MODELOS!$A$3:$A$19,0))),IF(INDEX(PRODUTOS!$I$4:$I$63,MATCH($A187,PRODUTOS!$B$4:$B$63,0))="B",INDEX(MODELOS!$H$3:$H$19,MATCH($D187,MODELOS!$A$3:$A$19,0)),INDEX(MODELOS!$D$3:$D$19,MATCH($D187,MODELOS!$A$3:$A$19,0))))</f>
        <v>Foto/ilustração do benefício 3</v>
      </c>
      <c r="H187" s="11" t="str">
        <f aca="false">IF(INDEX(PRODUTOS!$I$4:$I$63,MATCH($A187,PRODUTOS!$B$4:$B$63,0))="B",INDEX(MODELOS!$I$3:$I$19,MATCH($D187,MODELOS!$A$3:$A$19,0)),INDEX(MODELOS!$E$3:$E$19,MATCH($D187,MODELOS!$A$3:$A$19,0)))</f>
        <v>220 × 200</v>
      </c>
      <c r="I187" s="11" t="str">
        <f aca="false">INDEX(MODELOS!$J$3:$J$19,MATCH($D187,MODELOS!$A$3:$A$19,0))</f>
        <v>Conforme modelo</v>
      </c>
      <c r="J187" s="11" t="str">
        <f aca="false">IF(LEFT($D187,2)&lt;&gt;"AP",IF($I187="SIM","SIM","RECOMENDADA"),IF(INDEX(PRODUTOS!$J$4:$J$63,MATCH($A187,PRODUTOS!$B$4:$B$63,0))&lt;&gt;"","NÃO (usa o A+ do EAN "&amp;INDEX(PRODUTOS!$J$4:$J$63,MATCH($A187,PRODUTOS!$B$4:$B$63,0))&amp;")",IF(AND(INDEX(PRODUTOS!$I$4:$I$63,MATCH($A187,PRODUTOS!$B$4:$B$63,0))="B",$D187="AP07"),"NÃO (modelo B)","SIM")))</f>
        <v>SIM</v>
      </c>
      <c r="K187" s="13" t="s">
        <v>325</v>
      </c>
      <c r="L187" s="13"/>
    </row>
    <row r="188" customFormat="false" ht="15" hidden="false" customHeight="false" outlineLevel="0" collapsed="false">
      <c r="A188" s="15" t="s">
        <v>91</v>
      </c>
      <c r="B188" s="11" t="str">
        <f aca="false">INDEX(PRODUTOS!$E$4:$E$63,MATCH($A188,PRODUTOS!$B$4:$B$63,0))</f>
        <v>New Dots Ração Seca Premium para Gatos Adultos - 20 kg</v>
      </c>
      <c r="C188" s="11" t="str">
        <f aca="false">INDEX(PRODUTOS!$H$4:$H$63,MATCH($A188,PRODUTOS!$B$4:$B$63,0))</f>
        <v>20 kg</v>
      </c>
      <c r="D188" s="11" t="s">
        <v>339</v>
      </c>
      <c r="E188" s="16" t="str">
        <f aca="false">$A188&amp;"."&amp;$D188&amp;".jpg"</f>
        <v>7898968541597.AP06.jpg</v>
      </c>
      <c r="F188" s="11" t="str">
        <f aca="false">IF(INDEX(PRODUTOS!$I$4:$I$63,MATCH($A188,PRODUTOS!$B$4:$B$63,0))="B",INDEX(MODELOS!$F$3:$F$19,MATCH($D188,MODELOS!$A$3:$A$19,0)),INDEX(MODELOS!$B$3:$B$19,MATCH($D188,MODELOS!$A$3:$A$19,0)))</f>
        <v>A+ · Módulo 3 · Benefício 4 de 4</v>
      </c>
      <c r="G188" s="11" t="str">
        <f aca="false">IF(INDEX(PRODUTOS!$F$4:$F$63,MATCH($A188,PRODUTOS!$B$4:$B$63,0))="Ração",IF(INDEX(PRODUTOS!$I$4:$I$63,MATCH($A188,PRODUTOS!$B$4:$B$63,0))="B",INDEX(MODELOS!$G$3:$G$19,MATCH($D188,MODELOS!$A$3:$A$19,0)),INDEX(MODELOS!$C$3:$C$19,MATCH($D188,MODELOS!$A$3:$A$19,0))),IF(INDEX(PRODUTOS!$I$4:$I$63,MATCH($A188,PRODUTOS!$B$4:$B$63,0))="B",INDEX(MODELOS!$H$3:$H$19,MATCH($D188,MODELOS!$A$3:$A$19,0)),INDEX(MODELOS!$D$3:$D$19,MATCH($D188,MODELOS!$A$3:$A$19,0))))</f>
        <v>Foto/ilustração do benefício 4</v>
      </c>
      <c r="H188" s="11" t="str">
        <f aca="false">IF(INDEX(PRODUTOS!$I$4:$I$63,MATCH($A188,PRODUTOS!$B$4:$B$63,0))="B",INDEX(MODELOS!$I$3:$I$19,MATCH($D188,MODELOS!$A$3:$A$19,0)),INDEX(MODELOS!$E$3:$E$19,MATCH($D188,MODELOS!$A$3:$A$19,0)))</f>
        <v>220 × 200</v>
      </c>
      <c r="I188" s="11" t="str">
        <f aca="false">INDEX(MODELOS!$J$3:$J$19,MATCH($D188,MODELOS!$A$3:$A$19,0))</f>
        <v>Conforme modelo</v>
      </c>
      <c r="J188" s="11" t="str">
        <f aca="false">IF(LEFT($D188,2)&lt;&gt;"AP",IF($I188="SIM","SIM","RECOMENDADA"),IF(INDEX(PRODUTOS!$J$4:$J$63,MATCH($A188,PRODUTOS!$B$4:$B$63,0))&lt;&gt;"","NÃO (usa o A+ do EAN "&amp;INDEX(PRODUTOS!$J$4:$J$63,MATCH($A188,PRODUTOS!$B$4:$B$63,0))&amp;")",IF(AND(INDEX(PRODUTOS!$I$4:$I$63,MATCH($A188,PRODUTOS!$B$4:$B$63,0))="B",$D188="AP07"),"NÃO (modelo B)","SIM")))</f>
        <v>SIM</v>
      </c>
      <c r="K188" s="13" t="s">
        <v>325</v>
      </c>
      <c r="L188" s="13"/>
    </row>
    <row r="189" customFormat="false" ht="15" hidden="false" customHeight="false" outlineLevel="0" collapsed="false">
      <c r="A189" s="15" t="s">
        <v>91</v>
      </c>
      <c r="B189" s="11" t="str">
        <f aca="false">INDEX(PRODUTOS!$E$4:$E$63,MATCH($A189,PRODUTOS!$B$4:$B$63,0))</f>
        <v>New Dots Ração Seca Premium para Gatos Adultos - 20 kg</v>
      </c>
      <c r="C189" s="11" t="str">
        <f aca="false">INDEX(PRODUTOS!$H$4:$H$63,MATCH($A189,PRODUTOS!$B$4:$B$63,0))</f>
        <v>20 kg</v>
      </c>
      <c r="D189" s="11" t="s">
        <v>340</v>
      </c>
      <c r="E189" s="16" t="str">
        <f aca="false">$A189&amp;"."&amp;$D189&amp;".jpg"</f>
        <v>7898968541597.AP07.jpg</v>
      </c>
      <c r="F189" s="11" t="str">
        <f aca="false">IF(INDEX(PRODUTOS!$I$4:$I$63,MATCH($A189,PRODUTOS!$B$4:$B$63,0))="B",INDEX(MODELOS!$F$3:$F$19,MATCH($D189,MODELOS!$A$3:$A$19,0)),INDEX(MODELOS!$B$3:$B$19,MATCH($D189,MODELOS!$A$3:$A$19,0)))</f>
        <v>A+ · Módulo 4 · Especificações</v>
      </c>
      <c r="G189" s="11" t="str">
        <f aca="false">IF(INDEX(PRODUTOS!$F$4:$F$63,MATCH($A189,PRODUTOS!$B$4:$B$63,0))="Ração",IF(INDEX(PRODUTOS!$I$4:$I$63,MATCH($A189,PRODUTOS!$B$4:$B$63,0))="B",INDEX(MODELOS!$G$3:$G$19,MATCH($D189,MODELOS!$A$3:$A$19,0)),INDEX(MODELOS!$C$3:$C$19,MATCH($D189,MODELOS!$A$3:$A$19,0))),IF(INDEX(PRODUTOS!$I$4:$I$63,MATCH($A189,PRODUTOS!$B$4:$B$63,0))="B",INDEX(MODELOS!$H$3:$H$19,MATCH($D189,MODELOS!$A$3:$A$19,0)),INDEX(MODELOS!$D$3:$D$19,MATCH($D189,MODELOS!$A$3:$A$19,0))))</f>
        <v>Grão ou pacote em destaque</v>
      </c>
      <c r="H189" s="11" t="str">
        <f aca="false">IF(INDEX(PRODUTOS!$I$4:$I$63,MATCH($A189,PRODUTOS!$B$4:$B$63,0))="B",INDEX(MODELOS!$I$3:$I$19,MATCH($D189,MODELOS!$A$3:$A$19,0)),INDEX(MODELOS!$E$3:$E$19,MATCH($D189,MODELOS!$A$3:$A$19,0)))</f>
        <v>300 × 300</v>
      </c>
      <c r="I189" s="11" t="str">
        <f aca="false">INDEX(MODELOS!$J$3:$J$19,MATCH($D189,MODELOS!$A$3:$A$19,0))</f>
        <v>Conforme modelo</v>
      </c>
      <c r="J189" s="11" t="str">
        <f aca="false">IF(LEFT($D189,2)&lt;&gt;"AP",IF($I189="SIM","SIM","RECOMENDADA"),IF(INDEX(PRODUTOS!$J$4:$J$63,MATCH($A189,PRODUTOS!$B$4:$B$63,0))&lt;&gt;"","NÃO (usa o A+ do EAN "&amp;INDEX(PRODUTOS!$J$4:$J$63,MATCH($A189,PRODUTOS!$B$4:$B$63,0))&amp;")",IF(AND(INDEX(PRODUTOS!$I$4:$I$63,MATCH($A189,PRODUTOS!$B$4:$B$63,0))="B",$D189="AP07"),"NÃO (modelo B)","SIM")))</f>
        <v>SIM</v>
      </c>
      <c r="K189" s="13" t="s">
        <v>325</v>
      </c>
      <c r="L189" s="13"/>
    </row>
    <row r="190" customFormat="false" ht="15" hidden="false" customHeight="false" outlineLevel="0" collapsed="false">
      <c r="A190" s="15" t="s">
        <v>91</v>
      </c>
      <c r="B190" s="11" t="str">
        <f aca="false">INDEX(PRODUTOS!$E$4:$E$63,MATCH($A190,PRODUTOS!$B$4:$B$63,0))</f>
        <v>New Dots Ração Seca Premium para Gatos Adultos - 20 kg</v>
      </c>
      <c r="C190" s="11" t="str">
        <f aca="false">INDEX(PRODUTOS!$H$4:$H$63,MATCH($A190,PRODUTOS!$B$4:$B$63,0))</f>
        <v>20 kg</v>
      </c>
      <c r="D190" s="11" t="s">
        <v>341</v>
      </c>
      <c r="E190" s="16" t="str">
        <f aca="false">$A190&amp;"."&amp;$D190&amp;".jpg"</f>
        <v>7898968541597.COMP.jpg</v>
      </c>
      <c r="F190" s="11" t="str">
        <f aca="false">IF(INDEX(PRODUTOS!$I$4:$I$63,MATCH($A190,PRODUTOS!$B$4:$B$63,0))="B",INDEX(MODELOS!$F$3:$F$19,MATCH($D190,MODELOS!$A$3:$A$19,0)),INDEX(MODELOS!$B$3:$B$19,MATCH($D190,MODELOS!$A$3:$A$19,0)))</f>
        <v>A+ · Tabela comparativa</v>
      </c>
      <c r="G190" s="11" t="str">
        <f aca="false">IF(INDEX(PRODUTOS!$F$4:$F$63,MATCH($A190,PRODUTOS!$B$4:$B$63,0))="Ração",IF(INDEX(PRODUTOS!$I$4:$I$63,MATCH($A190,PRODUTOS!$B$4:$B$63,0))="B",INDEX(MODELOS!$G$3:$G$19,MATCH($D190,MODELOS!$A$3:$A$19,0)),INDEX(MODELOS!$C$3:$C$19,MATCH($D190,MODELOS!$A$3:$A$19,0))),IF(INDEX(PRODUTOS!$I$4:$I$63,MATCH($A190,PRODUTOS!$B$4:$B$63,0))="B",INDEX(MODELOS!$H$3:$H$19,MATCH($D190,MODELOS!$A$3:$A$19,0)),INDEX(MODELOS!$D$3:$D$19,MATCH($D190,MODELOS!$A$3:$A$19,0))))</f>
        <v>Pacote na vertical, sem fundo colorido</v>
      </c>
      <c r="H190" s="11" t="str">
        <f aca="false">IF(INDEX(PRODUTOS!$I$4:$I$63,MATCH($A190,PRODUTOS!$B$4:$B$63,0))="B",INDEX(MODELOS!$I$3:$I$19,MATCH($D190,MODELOS!$A$3:$A$19,0)),INDEX(MODELOS!$E$3:$E$19,MATCH($D190,MODELOS!$A$3:$A$19,0)))</f>
        <v>150 × 300</v>
      </c>
      <c r="I190" s="11" t="str">
        <f aca="false">INDEX(MODELOS!$J$3:$J$19,MATCH($D190,MODELOS!$A$3:$A$19,0))</f>
        <v>SIM</v>
      </c>
      <c r="J190" s="11" t="str">
        <f aca="false">IF(LEFT($D190,2)&lt;&gt;"AP",IF($I190="SIM","SIM","RECOMENDADA"),IF(INDEX(PRODUTOS!$J$4:$J$63,MATCH($A190,PRODUTOS!$B$4:$B$63,0))&lt;&gt;"","NÃO (usa o A+ do EAN "&amp;INDEX(PRODUTOS!$J$4:$J$63,MATCH($A190,PRODUTOS!$B$4:$B$63,0))&amp;")",IF(AND(INDEX(PRODUTOS!$I$4:$I$63,MATCH($A190,PRODUTOS!$B$4:$B$63,0))="B",$D190="AP07"),"NÃO (modelo B)","SIM")))</f>
        <v>SIM</v>
      </c>
      <c r="K190" s="13" t="s">
        <v>325</v>
      </c>
      <c r="L190" s="13"/>
    </row>
    <row r="191" customFormat="false" ht="15" hidden="false" customHeight="false" outlineLevel="0" collapsed="false">
      <c r="A191" s="15" t="s">
        <v>95</v>
      </c>
      <c r="B191" s="11" t="str">
        <f aca="false">INDEX(PRODUTOS!$E$4:$E$63,MATCH($A191,PRODUTOS!$B$4:$B$63,0))</f>
        <v>New Dots Ração Seca Premium para Gatos Adultos - 1 kg</v>
      </c>
      <c r="C191" s="11" t="str">
        <f aca="false">INDEX(PRODUTOS!$H$4:$H$63,MATCH($A191,PRODUTOS!$B$4:$B$63,0))</f>
        <v>1 kg</v>
      </c>
      <c r="D191" s="11" t="s">
        <v>324</v>
      </c>
      <c r="E191" s="16" t="str">
        <f aca="false">$A191&amp;"."&amp;$D191&amp;".jpg"</f>
        <v>7898968541573.MAIN.jpg</v>
      </c>
      <c r="F191" s="11" t="str">
        <f aca="false">IF(INDEX(PRODUTOS!$I$4:$I$63,MATCH($A191,PRODUTOS!$B$4:$B$63,0))="B",INDEX(MODELOS!$F$3:$F$19,MATCH($D191,MODELOS!$A$3:$A$19,0)),INDEX(MODELOS!$B$3:$B$19,MATCH($D191,MODELOS!$A$3:$A$19,0)))</f>
        <v>Capa (posição 1)</v>
      </c>
      <c r="G191" s="11" t="str">
        <f aca="false">IF(INDEX(PRODUTOS!$F$4:$F$63,MATCH($A191,PRODUTOS!$B$4:$B$63,0))="Ração",IF(INDEX(PRODUTOS!$I$4:$I$63,MATCH($A191,PRODUTOS!$B$4:$B$63,0))="B",INDEX(MODELOS!$G$3:$G$19,MATCH($D191,MODELOS!$A$3:$A$19,0)),INDEX(MODELOS!$C$3:$C$19,MATCH($D191,MODELOS!$A$3:$A$19,0))),IF(INDEX(PRODUTOS!$I$4:$I$63,MATCH($A191,PRODUTOS!$B$4:$B$63,0))="B",INDEX(MODELOS!$H$3:$H$19,MATCH($D191,MODELOS!$A$3:$A$19,0)),INDEX(MODELOS!$D$3:$D$19,MATCH($D191,MODELOS!$A$3:$A$19,0))))</f>
        <v>Embalagem de frente, fundo branco puro, 85% da área, nada adicionado</v>
      </c>
      <c r="H191" s="11" t="str">
        <f aca="false">IF(INDEX(PRODUTOS!$I$4:$I$63,MATCH($A191,PRODUTOS!$B$4:$B$63,0))="B",INDEX(MODELOS!$I$3:$I$19,MATCH($D191,MODELOS!$A$3:$A$19,0)),INDEX(MODELOS!$E$3:$E$19,MATCH($D191,MODELOS!$A$3:$A$19,0)))</f>
        <v>2000 × 2000</v>
      </c>
      <c r="I191" s="11" t="str">
        <f aca="false">INDEX(MODELOS!$J$3:$J$19,MATCH($D191,MODELOS!$A$3:$A$19,0))</f>
        <v>SIM</v>
      </c>
      <c r="J191" s="11" t="str">
        <f aca="false">IF(LEFT($D191,2)&lt;&gt;"AP",IF($I191="SIM","SIM","RECOMENDADA"),IF(INDEX(PRODUTOS!$J$4:$J$63,MATCH($A191,PRODUTOS!$B$4:$B$63,0))&lt;&gt;"","NÃO (usa o A+ do EAN "&amp;INDEX(PRODUTOS!$J$4:$J$63,MATCH($A191,PRODUTOS!$B$4:$B$63,0))&amp;")",IF(AND(INDEX(PRODUTOS!$I$4:$I$63,MATCH($A191,PRODUTOS!$B$4:$B$63,0))="B",$D191="AP07"),"NÃO (modelo B)","SIM")))</f>
        <v>SIM</v>
      </c>
      <c r="K191" s="13" t="s">
        <v>325</v>
      </c>
      <c r="L191" s="13"/>
    </row>
    <row r="192" customFormat="false" ht="15" hidden="false" customHeight="false" outlineLevel="0" collapsed="false">
      <c r="A192" s="15" t="s">
        <v>95</v>
      </c>
      <c r="B192" s="11" t="str">
        <f aca="false">INDEX(PRODUTOS!$E$4:$E$63,MATCH($A192,PRODUTOS!$B$4:$B$63,0))</f>
        <v>New Dots Ração Seca Premium para Gatos Adultos - 1 kg</v>
      </c>
      <c r="C192" s="11" t="str">
        <f aca="false">INDEX(PRODUTOS!$H$4:$H$63,MATCH($A192,PRODUTOS!$B$4:$B$63,0))</f>
        <v>1 kg</v>
      </c>
      <c r="D192" s="11" t="s">
        <v>326</v>
      </c>
      <c r="E192" s="16" t="str">
        <f aca="false">$A192&amp;"."&amp;$D192&amp;".jpg"</f>
        <v>7898968541573.PT01.jpg</v>
      </c>
      <c r="F192" s="11" t="str">
        <f aca="false">IF(INDEX(PRODUTOS!$I$4:$I$63,MATCH($A192,PRODUTOS!$B$4:$B$63,0))="B",INDEX(MODELOS!$F$3:$F$19,MATCH($D192,MODELOS!$A$3:$A$19,0)),INDEX(MODELOS!$B$3:$B$19,MATCH($D192,MODELOS!$A$3:$A$19,0)))</f>
        <v>Galeria · posição 2</v>
      </c>
      <c r="G192" s="11" t="str">
        <f aca="false">IF(INDEX(PRODUTOS!$F$4:$F$63,MATCH($A192,PRODUTOS!$B$4:$B$63,0))="Ração",IF(INDEX(PRODUTOS!$I$4:$I$63,MATCH($A192,PRODUTOS!$B$4:$B$63,0))="B",INDEX(MODELOS!$G$3:$G$19,MATCH($D192,MODELOS!$A$3:$A$19,0)),INDEX(MODELOS!$C$3:$C$19,MATCH($D192,MODELOS!$A$3:$A$19,0))),IF(INDEX(PRODUTOS!$I$4:$I$63,MATCH($A192,PRODUTOS!$B$4:$B$63,0))="B",INDEX(MODELOS!$H$3:$H$19,MATCH($D192,MODELOS!$A$3:$A$19,0)),INDEX(MODELOS!$D$3:$D$19,MATCH($D192,MODELOS!$A$3:$A$19,0))))</f>
        <v>Grande diferencial da linha (número ou promessa forte + grão e ingrediente)</v>
      </c>
      <c r="H192" s="11" t="str">
        <f aca="false">IF(INDEX(PRODUTOS!$I$4:$I$63,MATCH($A192,PRODUTOS!$B$4:$B$63,0))="B",INDEX(MODELOS!$I$3:$I$19,MATCH($D192,MODELOS!$A$3:$A$19,0)),INDEX(MODELOS!$E$3:$E$19,MATCH($D192,MODELOS!$A$3:$A$19,0)))</f>
        <v>2000 × 2000</v>
      </c>
      <c r="I192" s="11" t="str">
        <f aca="false">INDEX(MODELOS!$J$3:$J$19,MATCH($D192,MODELOS!$A$3:$A$19,0))</f>
        <v>SIM</v>
      </c>
      <c r="J192" s="11" t="str">
        <f aca="false">IF(LEFT($D192,2)&lt;&gt;"AP",IF($I192="SIM","SIM","RECOMENDADA"),IF(INDEX(PRODUTOS!$J$4:$J$63,MATCH($A192,PRODUTOS!$B$4:$B$63,0))&lt;&gt;"","NÃO (usa o A+ do EAN "&amp;INDEX(PRODUTOS!$J$4:$J$63,MATCH($A192,PRODUTOS!$B$4:$B$63,0))&amp;")",IF(AND(INDEX(PRODUTOS!$I$4:$I$63,MATCH($A192,PRODUTOS!$B$4:$B$63,0))="B",$D192="AP07"),"NÃO (modelo B)","SIM")))</f>
        <v>SIM</v>
      </c>
      <c r="K192" s="13" t="s">
        <v>325</v>
      </c>
      <c r="L192" s="13"/>
    </row>
    <row r="193" customFormat="false" ht="15" hidden="false" customHeight="false" outlineLevel="0" collapsed="false">
      <c r="A193" s="15" t="s">
        <v>95</v>
      </c>
      <c r="B193" s="11" t="str">
        <f aca="false">INDEX(PRODUTOS!$E$4:$E$63,MATCH($A193,PRODUTOS!$B$4:$B$63,0))</f>
        <v>New Dots Ração Seca Premium para Gatos Adultos - 1 kg</v>
      </c>
      <c r="C193" s="11" t="str">
        <f aca="false">INDEX(PRODUTOS!$H$4:$H$63,MATCH($A193,PRODUTOS!$B$4:$B$63,0))</f>
        <v>1 kg</v>
      </c>
      <c r="D193" s="11" t="s">
        <v>327</v>
      </c>
      <c r="E193" s="16" t="str">
        <f aca="false">$A193&amp;"."&amp;$D193&amp;".jpg"</f>
        <v>7898968541573.PT02.jpg</v>
      </c>
      <c r="F193" s="11" t="str">
        <f aca="false">IF(INDEX(PRODUTOS!$I$4:$I$63,MATCH($A193,PRODUTOS!$B$4:$B$63,0))="B",INDEX(MODELOS!$F$3:$F$19,MATCH($D193,MODELOS!$A$3:$A$19,0)),INDEX(MODELOS!$B$3:$B$19,MATCH($D193,MODELOS!$A$3:$A$19,0)))</f>
        <v>Galeria · posição 3</v>
      </c>
      <c r="G193" s="11" t="str">
        <f aca="false">IF(INDEX(PRODUTOS!$F$4:$F$63,MATCH($A193,PRODUTOS!$B$4:$B$63,0))="Ração",IF(INDEX(PRODUTOS!$I$4:$I$63,MATCH($A193,PRODUTOS!$B$4:$B$63,0))="B",INDEX(MODELOS!$G$3:$G$19,MATCH($D193,MODELOS!$A$3:$A$19,0)),INDEX(MODELOS!$C$3:$C$19,MATCH($D193,MODELOS!$A$3:$A$19,0))),IF(INDEX(PRODUTOS!$I$4:$I$63,MATCH($A193,PRODUTOS!$B$4:$B$63,0))="B",INDEX(MODELOS!$H$3:$H$19,MATCH($D193,MODELOS!$A$3:$A$19,0)),INDEX(MODELOS!$D$3:$D$19,MATCH($D193,MODELOS!$A$3:$A$19,0))))</f>
        <v>Benefícios com ícones (4 a 6, impressos na embalagem) + ingrediente</v>
      </c>
      <c r="H193" s="11" t="str">
        <f aca="false">IF(INDEX(PRODUTOS!$I$4:$I$63,MATCH($A193,PRODUTOS!$B$4:$B$63,0))="B",INDEX(MODELOS!$I$3:$I$19,MATCH($D193,MODELOS!$A$3:$A$19,0)),INDEX(MODELOS!$E$3:$E$19,MATCH($D193,MODELOS!$A$3:$A$19,0)))</f>
        <v>2000 × 2000</v>
      </c>
      <c r="I193" s="11" t="str">
        <f aca="false">INDEX(MODELOS!$J$3:$J$19,MATCH($D193,MODELOS!$A$3:$A$19,0))</f>
        <v>SIM</v>
      </c>
      <c r="J193" s="11" t="str">
        <f aca="false">IF(LEFT($D193,2)&lt;&gt;"AP",IF($I193="SIM","SIM","RECOMENDADA"),IF(INDEX(PRODUTOS!$J$4:$J$63,MATCH($A193,PRODUTOS!$B$4:$B$63,0))&lt;&gt;"","NÃO (usa o A+ do EAN "&amp;INDEX(PRODUTOS!$J$4:$J$63,MATCH($A193,PRODUTOS!$B$4:$B$63,0))&amp;")",IF(AND(INDEX(PRODUTOS!$I$4:$I$63,MATCH($A193,PRODUTOS!$B$4:$B$63,0))="B",$D193="AP07"),"NÃO (modelo B)","SIM")))</f>
        <v>SIM</v>
      </c>
      <c r="K193" s="13" t="s">
        <v>325</v>
      </c>
      <c r="L193" s="13"/>
    </row>
    <row r="194" customFormat="false" ht="15" hidden="false" customHeight="false" outlineLevel="0" collapsed="false">
      <c r="A194" s="15" t="s">
        <v>95</v>
      </c>
      <c r="B194" s="11" t="str">
        <f aca="false">INDEX(PRODUTOS!$E$4:$E$63,MATCH($A194,PRODUTOS!$B$4:$B$63,0))</f>
        <v>New Dots Ração Seca Premium para Gatos Adultos - 1 kg</v>
      </c>
      <c r="C194" s="11" t="str">
        <f aca="false">INDEX(PRODUTOS!$H$4:$H$63,MATCH($A194,PRODUTOS!$B$4:$B$63,0))</f>
        <v>1 kg</v>
      </c>
      <c r="D194" s="11" t="s">
        <v>328</v>
      </c>
      <c r="E194" s="16" t="str">
        <f aca="false">$A194&amp;"."&amp;$D194&amp;".jpg"</f>
        <v>7898968541573.PT03.jpg</v>
      </c>
      <c r="F194" s="11" t="str">
        <f aca="false">IF(INDEX(PRODUTOS!$I$4:$I$63,MATCH($A194,PRODUTOS!$B$4:$B$63,0))="B",INDEX(MODELOS!$F$3:$F$19,MATCH($D194,MODELOS!$A$3:$A$19,0)),INDEX(MODELOS!$B$3:$B$19,MATCH($D194,MODELOS!$A$3:$A$19,0)))</f>
        <v>Galeria · posição 4</v>
      </c>
      <c r="G194" s="11" t="str">
        <f aca="false">IF(INDEX(PRODUTOS!$F$4:$F$63,MATCH($A194,PRODUTOS!$B$4:$B$63,0))="Ração",IF(INDEX(PRODUTOS!$I$4:$I$63,MATCH($A194,PRODUTOS!$B$4:$B$63,0))="B",INDEX(MODELOS!$G$3:$G$19,MATCH($D194,MODELOS!$A$3:$A$19,0)),INDEX(MODELOS!$C$3:$C$19,MATCH($D194,MODELOS!$A$3:$A$19,0))),IF(INDEX(PRODUTOS!$I$4:$I$63,MATCH($A194,PRODUTOS!$B$4:$B$63,0))="B",INDEX(MODELOS!$H$3:$H$19,MATCH($D194,MODELOS!$A$3:$A$19,0)),INDEX(MODELOS!$D$3:$D$19,MATCH($D194,MODELOS!$A$3:$A$19,0))))</f>
        <v>Formato e tamanho do grão, com medida em mm e referência de tamanho</v>
      </c>
      <c r="H194" s="11" t="str">
        <f aca="false">IF(INDEX(PRODUTOS!$I$4:$I$63,MATCH($A194,PRODUTOS!$B$4:$B$63,0))="B",INDEX(MODELOS!$I$3:$I$19,MATCH($D194,MODELOS!$A$3:$A$19,0)),INDEX(MODELOS!$E$3:$E$19,MATCH($D194,MODELOS!$A$3:$A$19,0)))</f>
        <v>2000 × 2000</v>
      </c>
      <c r="I194" s="11" t="str">
        <f aca="false">INDEX(MODELOS!$J$3:$J$19,MATCH($D194,MODELOS!$A$3:$A$19,0))</f>
        <v>SIM</v>
      </c>
      <c r="J194" s="11" t="str">
        <f aca="false">IF(LEFT($D194,2)&lt;&gt;"AP",IF($I194="SIM","SIM","RECOMENDADA"),IF(INDEX(PRODUTOS!$J$4:$J$63,MATCH($A194,PRODUTOS!$B$4:$B$63,0))&lt;&gt;"","NÃO (usa o A+ do EAN "&amp;INDEX(PRODUTOS!$J$4:$J$63,MATCH($A194,PRODUTOS!$B$4:$B$63,0))&amp;")",IF(AND(INDEX(PRODUTOS!$I$4:$I$63,MATCH($A194,PRODUTOS!$B$4:$B$63,0))="B",$D194="AP07"),"NÃO (modelo B)","SIM")))</f>
        <v>SIM</v>
      </c>
      <c r="K194" s="13" t="s">
        <v>325</v>
      </c>
      <c r="L194" s="13"/>
    </row>
    <row r="195" customFormat="false" ht="15" hidden="false" customHeight="false" outlineLevel="0" collapsed="false">
      <c r="A195" s="15" t="s">
        <v>95</v>
      </c>
      <c r="B195" s="11" t="str">
        <f aca="false">INDEX(PRODUTOS!$E$4:$E$63,MATCH($A195,PRODUTOS!$B$4:$B$63,0))</f>
        <v>New Dots Ração Seca Premium para Gatos Adultos - 1 kg</v>
      </c>
      <c r="C195" s="11" t="str">
        <f aca="false">INDEX(PRODUTOS!$H$4:$H$63,MATCH($A195,PRODUTOS!$B$4:$B$63,0))</f>
        <v>1 kg</v>
      </c>
      <c r="D195" s="11" t="s">
        <v>329</v>
      </c>
      <c r="E195" s="16" t="str">
        <f aca="false">$A195&amp;"."&amp;$D195&amp;".jpg"</f>
        <v>7898968541573.PT04.jpg</v>
      </c>
      <c r="F195" s="11" t="str">
        <f aca="false">IF(INDEX(PRODUTOS!$I$4:$I$63,MATCH($A195,PRODUTOS!$B$4:$B$63,0))="B",INDEX(MODELOS!$F$3:$F$19,MATCH($D195,MODELOS!$A$3:$A$19,0)),INDEX(MODELOS!$B$3:$B$19,MATCH($D195,MODELOS!$A$3:$A$19,0)))</f>
        <v>Galeria · posição 5</v>
      </c>
      <c r="G195" s="11" t="str">
        <f aca="false">IF(INDEX(PRODUTOS!$F$4:$F$63,MATCH($A195,PRODUTOS!$B$4:$B$63,0))="Ração",IF(INDEX(PRODUTOS!$I$4:$I$63,MATCH($A195,PRODUTOS!$B$4:$B$63,0))="B",INDEX(MODELOS!$G$3:$G$19,MATCH($D195,MODELOS!$A$3:$A$19,0)),INDEX(MODELOS!$C$3:$C$19,MATCH($D195,MODELOS!$A$3:$A$19,0))),IF(INDEX(PRODUTOS!$I$4:$I$63,MATCH($A195,PRODUTOS!$B$4:$B$63,0))="B",INDEX(MODELOS!$H$3:$H$19,MATCH($D195,MODELOS!$A$3:$A$19,0)),INDEX(MODELOS!$D$3:$D$19,MATCH($D195,MODELOS!$A$3:$A$19,0))))</f>
        <v>Quantidade diária por peso do cão/gato (números idênticos à embalagem)</v>
      </c>
      <c r="H195" s="11" t="str">
        <f aca="false">IF(INDEX(PRODUTOS!$I$4:$I$63,MATCH($A195,PRODUTOS!$B$4:$B$63,0))="B",INDEX(MODELOS!$I$3:$I$19,MATCH($D195,MODELOS!$A$3:$A$19,0)),INDEX(MODELOS!$E$3:$E$19,MATCH($D195,MODELOS!$A$3:$A$19,0)))</f>
        <v>2000 × 2000</v>
      </c>
      <c r="I195" s="11" t="str">
        <f aca="false">INDEX(MODELOS!$J$3:$J$19,MATCH($D195,MODELOS!$A$3:$A$19,0))</f>
        <v>SIM</v>
      </c>
      <c r="J195" s="11" t="str">
        <f aca="false">IF(LEFT($D195,2)&lt;&gt;"AP",IF($I195="SIM","SIM","RECOMENDADA"),IF(INDEX(PRODUTOS!$J$4:$J$63,MATCH($A195,PRODUTOS!$B$4:$B$63,0))&lt;&gt;"","NÃO (usa o A+ do EAN "&amp;INDEX(PRODUTOS!$J$4:$J$63,MATCH($A195,PRODUTOS!$B$4:$B$63,0))&amp;")",IF(AND(INDEX(PRODUTOS!$I$4:$I$63,MATCH($A195,PRODUTOS!$B$4:$B$63,0))="B",$D195="AP07"),"NÃO (modelo B)","SIM")))</f>
        <v>SIM</v>
      </c>
      <c r="K195" s="13" t="s">
        <v>325</v>
      </c>
      <c r="L195" s="13"/>
    </row>
    <row r="196" customFormat="false" ht="15" hidden="false" customHeight="false" outlineLevel="0" collapsed="false">
      <c r="A196" s="15" t="s">
        <v>95</v>
      </c>
      <c r="B196" s="11" t="str">
        <f aca="false">INDEX(PRODUTOS!$E$4:$E$63,MATCH($A196,PRODUTOS!$B$4:$B$63,0))</f>
        <v>New Dots Ração Seca Premium para Gatos Adultos - 1 kg</v>
      </c>
      <c r="C196" s="11" t="str">
        <f aca="false">INDEX(PRODUTOS!$H$4:$H$63,MATCH($A196,PRODUTOS!$B$4:$B$63,0))</f>
        <v>1 kg</v>
      </c>
      <c r="D196" s="11" t="s">
        <v>330</v>
      </c>
      <c r="E196" s="16" t="str">
        <f aca="false">$A196&amp;"."&amp;$D196&amp;".jpg"</f>
        <v>7898968541573.PT05.jpg</v>
      </c>
      <c r="F196" s="11" t="str">
        <f aca="false">IF(INDEX(PRODUTOS!$I$4:$I$63,MATCH($A196,PRODUTOS!$B$4:$B$63,0))="B",INDEX(MODELOS!$F$3:$F$19,MATCH($D196,MODELOS!$A$3:$A$19,0)),INDEX(MODELOS!$B$3:$B$19,MATCH($D196,MODELOS!$A$3:$A$19,0)))</f>
        <v>Galeria · posição 6</v>
      </c>
      <c r="G196" s="11" t="str">
        <f aca="false">IF(INDEX(PRODUTOS!$F$4:$F$63,MATCH($A196,PRODUTOS!$B$4:$B$63,0))="Ração",IF(INDEX(PRODUTOS!$I$4:$I$63,MATCH($A196,PRODUTOS!$B$4:$B$63,0))="B",INDEX(MODELOS!$G$3:$G$19,MATCH($D196,MODELOS!$A$3:$A$19,0)),INDEX(MODELOS!$C$3:$C$19,MATCH($D196,MODELOS!$A$3:$A$19,0))),IF(INDEX(PRODUTOS!$I$4:$I$63,MATCH($A196,PRODUTOS!$B$4:$B$63,0))="B",INDEX(MODELOS!$H$3:$H$19,MATCH($D196,MODELOS!$A$3:$A$19,0)),INDEX(MODELOS!$D$3:$D$19,MATCH($D196,MODELOS!$A$3:$A$19,0))))</f>
        <v>Transição alimentar dia a dia (igual ao verso da embalagem)</v>
      </c>
      <c r="H196" s="11" t="str">
        <f aca="false">IF(INDEX(PRODUTOS!$I$4:$I$63,MATCH($A196,PRODUTOS!$B$4:$B$63,0))="B",INDEX(MODELOS!$I$3:$I$19,MATCH($D196,MODELOS!$A$3:$A$19,0)),INDEX(MODELOS!$E$3:$E$19,MATCH($D196,MODELOS!$A$3:$A$19,0)))</f>
        <v>2000 × 2000</v>
      </c>
      <c r="I196" s="11" t="str">
        <f aca="false">INDEX(MODELOS!$J$3:$J$19,MATCH($D196,MODELOS!$A$3:$A$19,0))</f>
        <v>Recomendada</v>
      </c>
      <c r="J196" s="11" t="str">
        <f aca="false">IF(LEFT($D196,2)&lt;&gt;"AP",IF($I196="SIM","SIM","RECOMENDADA"),IF(INDEX(PRODUTOS!$J$4:$J$63,MATCH($A196,PRODUTOS!$B$4:$B$63,0))&lt;&gt;"","NÃO (usa o A+ do EAN "&amp;INDEX(PRODUTOS!$J$4:$J$63,MATCH($A196,PRODUTOS!$B$4:$B$63,0))&amp;")",IF(AND(INDEX(PRODUTOS!$I$4:$I$63,MATCH($A196,PRODUTOS!$B$4:$B$63,0))="B",$D196="AP07"),"NÃO (modelo B)","SIM")))</f>
        <v>RECOMENDADA</v>
      </c>
      <c r="K196" s="13" t="s">
        <v>325</v>
      </c>
      <c r="L196" s="13"/>
    </row>
    <row r="197" customFormat="false" ht="15" hidden="false" customHeight="false" outlineLevel="0" collapsed="false">
      <c r="A197" s="15" t="s">
        <v>95</v>
      </c>
      <c r="B197" s="11" t="str">
        <f aca="false">INDEX(PRODUTOS!$E$4:$E$63,MATCH($A197,PRODUTOS!$B$4:$B$63,0))</f>
        <v>New Dots Ração Seca Premium para Gatos Adultos - 1 kg</v>
      </c>
      <c r="C197" s="11" t="str">
        <f aca="false">INDEX(PRODUTOS!$H$4:$H$63,MATCH($A197,PRODUTOS!$B$4:$B$63,0))</f>
        <v>1 kg</v>
      </c>
      <c r="D197" s="11" t="s">
        <v>331</v>
      </c>
      <c r="E197" s="16" t="str">
        <f aca="false">$A197&amp;"."&amp;$D197&amp;".jpg"</f>
        <v>7898968541573.PT06.jpg</v>
      </c>
      <c r="F197" s="11" t="str">
        <f aca="false">IF(INDEX(PRODUTOS!$I$4:$I$63,MATCH($A197,PRODUTOS!$B$4:$B$63,0))="B",INDEX(MODELOS!$F$3:$F$19,MATCH($D197,MODELOS!$A$3:$A$19,0)),INDEX(MODELOS!$B$3:$B$19,MATCH($D197,MODELOS!$A$3:$A$19,0)))</f>
        <v>Galeria · posição 7</v>
      </c>
      <c r="G197" s="11" t="str">
        <f aca="false">IF(INDEX(PRODUTOS!$F$4:$F$63,MATCH($A197,PRODUTOS!$B$4:$B$63,0))="Ração",IF(INDEX(PRODUTOS!$I$4:$I$63,MATCH($A197,PRODUTOS!$B$4:$B$63,0))="B",INDEX(MODELOS!$G$3:$G$19,MATCH($D197,MODELOS!$A$3:$A$19,0)),INDEX(MODELOS!$C$3:$C$19,MATCH($D197,MODELOS!$A$3:$A$19,0))),IF(INDEX(PRODUTOS!$I$4:$I$63,MATCH($A197,PRODUTOS!$B$4:$B$63,0))="B",INDEX(MODELOS!$H$3:$H$19,MATCH($D197,MODELOS!$A$3:$A$19,0)),INDEX(MODELOS!$D$3:$D$19,MATCH($D197,MODELOS!$A$3:$A$19,0))))</f>
        <v>Composição e níveis de garantia em letra grande</v>
      </c>
      <c r="H197" s="11" t="str">
        <f aca="false">IF(INDEX(PRODUTOS!$I$4:$I$63,MATCH($A197,PRODUTOS!$B$4:$B$63,0))="B",INDEX(MODELOS!$I$3:$I$19,MATCH($D197,MODELOS!$A$3:$A$19,0)),INDEX(MODELOS!$E$3:$E$19,MATCH($D197,MODELOS!$A$3:$A$19,0)))</f>
        <v>2000 × 2000</v>
      </c>
      <c r="I197" s="11" t="str">
        <f aca="false">INDEX(MODELOS!$J$3:$J$19,MATCH($D197,MODELOS!$A$3:$A$19,0))</f>
        <v>SIM</v>
      </c>
      <c r="J197" s="11" t="str">
        <f aca="false">IF(LEFT($D197,2)&lt;&gt;"AP",IF($I197="SIM","SIM","RECOMENDADA"),IF(INDEX(PRODUTOS!$J$4:$J$63,MATCH($A197,PRODUTOS!$B$4:$B$63,0))&lt;&gt;"","NÃO (usa o A+ do EAN "&amp;INDEX(PRODUTOS!$J$4:$J$63,MATCH($A197,PRODUTOS!$B$4:$B$63,0))&amp;")",IF(AND(INDEX(PRODUTOS!$I$4:$I$63,MATCH($A197,PRODUTOS!$B$4:$B$63,0))="B",$D197="AP07"),"NÃO (modelo B)","SIM")))</f>
        <v>SIM</v>
      </c>
      <c r="K197" s="13" t="s">
        <v>325</v>
      </c>
      <c r="L197" s="13"/>
    </row>
    <row r="198" customFormat="false" ht="15" hidden="false" customHeight="false" outlineLevel="0" collapsed="false">
      <c r="A198" s="15" t="s">
        <v>95</v>
      </c>
      <c r="B198" s="11" t="str">
        <f aca="false">INDEX(PRODUTOS!$E$4:$E$63,MATCH($A198,PRODUTOS!$B$4:$B$63,0))</f>
        <v>New Dots Ração Seca Premium para Gatos Adultos - 1 kg</v>
      </c>
      <c r="C198" s="11" t="str">
        <f aca="false">INDEX(PRODUTOS!$H$4:$H$63,MATCH($A198,PRODUTOS!$B$4:$B$63,0))</f>
        <v>1 kg</v>
      </c>
      <c r="D198" s="11" t="s">
        <v>332</v>
      </c>
      <c r="E198" s="16" t="str">
        <f aca="false">$A198&amp;"."&amp;$D198&amp;".jpg"</f>
        <v>7898968541573.PT07.jpg</v>
      </c>
      <c r="F198" s="11" t="str">
        <f aca="false">IF(INDEX(PRODUTOS!$I$4:$I$63,MATCH($A198,PRODUTOS!$B$4:$B$63,0))="B",INDEX(MODELOS!$F$3:$F$19,MATCH($D198,MODELOS!$A$3:$A$19,0)),INDEX(MODELOS!$B$3:$B$19,MATCH($D198,MODELOS!$A$3:$A$19,0)))</f>
        <v>Galeria · posição 8</v>
      </c>
      <c r="G198" s="11" t="str">
        <f aca="false">IF(INDEX(PRODUTOS!$F$4:$F$63,MATCH($A198,PRODUTOS!$B$4:$B$63,0))="Ração",IF(INDEX(PRODUTOS!$I$4:$I$63,MATCH($A198,PRODUTOS!$B$4:$B$63,0))="B",INDEX(MODELOS!$G$3:$G$19,MATCH($D198,MODELOS!$A$3:$A$19,0)),INDEX(MODELOS!$C$3:$C$19,MATCH($D198,MODELOS!$A$3:$A$19,0))),IF(INDEX(PRODUTOS!$I$4:$I$63,MATCH($A198,PRODUTOS!$B$4:$B$63,0))="B",INDEX(MODELOS!$H$3:$H$19,MATCH($D198,MODELOS!$A$3:$A$19,0)),INDEX(MODELOS!$D$3:$D$19,MATCH($D198,MODELOS!$A$3:$A$19,0))))</f>
        <v>Emocional / momento de uso (pet do porte certo, pote cheio)</v>
      </c>
      <c r="H198" s="11" t="str">
        <f aca="false">IF(INDEX(PRODUTOS!$I$4:$I$63,MATCH($A198,PRODUTOS!$B$4:$B$63,0))="B",INDEX(MODELOS!$I$3:$I$19,MATCH($D198,MODELOS!$A$3:$A$19,0)),INDEX(MODELOS!$E$3:$E$19,MATCH($D198,MODELOS!$A$3:$A$19,0)))</f>
        <v>2000 × 2000</v>
      </c>
      <c r="I198" s="11" t="str">
        <f aca="false">INDEX(MODELOS!$J$3:$J$19,MATCH($D198,MODELOS!$A$3:$A$19,0))</f>
        <v>Recomendada</v>
      </c>
      <c r="J198" s="11" t="str">
        <f aca="false">IF(LEFT($D198,2)&lt;&gt;"AP",IF($I198="SIM","SIM","RECOMENDADA"),IF(INDEX(PRODUTOS!$J$4:$J$63,MATCH($A198,PRODUTOS!$B$4:$B$63,0))&lt;&gt;"","NÃO (usa o A+ do EAN "&amp;INDEX(PRODUTOS!$J$4:$J$63,MATCH($A198,PRODUTOS!$B$4:$B$63,0))&amp;")",IF(AND(INDEX(PRODUTOS!$I$4:$I$63,MATCH($A198,PRODUTOS!$B$4:$B$63,0))="B",$D198="AP07"),"NÃO (modelo B)","SIM")))</f>
        <v>RECOMENDADA</v>
      </c>
      <c r="K198" s="13" t="s">
        <v>325</v>
      </c>
      <c r="L198" s="13"/>
    </row>
    <row r="199" customFormat="false" ht="15" hidden="false" customHeight="false" outlineLevel="0" collapsed="false">
      <c r="A199" s="15" t="s">
        <v>95</v>
      </c>
      <c r="B199" s="11" t="str">
        <f aca="false">INDEX(PRODUTOS!$E$4:$E$63,MATCH($A199,PRODUTOS!$B$4:$B$63,0))</f>
        <v>New Dots Ração Seca Premium para Gatos Adultos - 1 kg</v>
      </c>
      <c r="C199" s="11" t="str">
        <f aca="false">INDEX(PRODUTOS!$H$4:$H$63,MATCH($A199,PRODUTOS!$B$4:$B$63,0))</f>
        <v>1 kg</v>
      </c>
      <c r="D199" s="11" t="s">
        <v>333</v>
      </c>
      <c r="E199" s="16" t="str">
        <f aca="false">$A199&amp;"."&amp;$D199&amp;".jpg"</f>
        <v>7898968541573.PT08.jpg</v>
      </c>
      <c r="F199" s="11" t="str">
        <f aca="false">IF(INDEX(PRODUTOS!$I$4:$I$63,MATCH($A199,PRODUTOS!$B$4:$B$63,0))="B",INDEX(MODELOS!$F$3:$F$19,MATCH($D199,MODELOS!$A$3:$A$19,0)),INDEX(MODELOS!$B$3:$B$19,MATCH($D199,MODELOS!$A$3:$A$19,0)))</f>
        <v>Galeria · posição 9</v>
      </c>
      <c r="G199" s="11" t="str">
        <f aca="false">IF(INDEX(PRODUTOS!$F$4:$F$63,MATCH($A199,PRODUTOS!$B$4:$B$63,0))="Ração",IF(INDEX(PRODUTOS!$I$4:$I$63,MATCH($A199,PRODUTOS!$B$4:$B$63,0))="B",INDEX(MODELOS!$G$3:$G$19,MATCH($D199,MODELOS!$A$3:$A$19,0)),INDEX(MODELOS!$C$3:$C$19,MATCH($D199,MODELOS!$A$3:$A$19,0))),IF(INDEX(PRODUTOS!$I$4:$I$63,MATCH($A199,PRODUTOS!$B$4:$B$63,0))="B",INDEX(MODELOS!$H$3:$H$19,MATCH($D199,MODELOS!$A$3:$A$19,0)),INDEX(MODELOS!$D$3:$D$19,MATCH($D199,MODELOS!$A$3:$A$19,0))))</f>
        <v>Linha da marca ou embalagem anterior × nova</v>
      </c>
      <c r="H199" s="11" t="str">
        <f aca="false">IF(INDEX(PRODUTOS!$I$4:$I$63,MATCH($A199,PRODUTOS!$B$4:$B$63,0))="B",INDEX(MODELOS!$I$3:$I$19,MATCH($D199,MODELOS!$A$3:$A$19,0)),INDEX(MODELOS!$E$3:$E$19,MATCH($D199,MODELOS!$A$3:$A$19,0)))</f>
        <v>2000 × 2000</v>
      </c>
      <c r="I199" s="11" t="str">
        <f aca="false">INDEX(MODELOS!$J$3:$J$19,MATCH($D199,MODELOS!$A$3:$A$19,0))</f>
        <v>Recomendada</v>
      </c>
      <c r="J199" s="11" t="str">
        <f aca="false">IF(LEFT($D199,2)&lt;&gt;"AP",IF($I199="SIM","SIM","RECOMENDADA"),IF(INDEX(PRODUTOS!$J$4:$J$63,MATCH($A199,PRODUTOS!$B$4:$B$63,0))&lt;&gt;"","NÃO (usa o A+ do EAN "&amp;INDEX(PRODUTOS!$J$4:$J$63,MATCH($A199,PRODUTOS!$B$4:$B$63,0))&amp;")",IF(AND(INDEX(PRODUTOS!$I$4:$I$63,MATCH($A199,PRODUTOS!$B$4:$B$63,0))="B",$D199="AP07"),"NÃO (modelo B)","SIM")))</f>
        <v>RECOMENDADA</v>
      </c>
      <c r="K199" s="13" t="s">
        <v>325</v>
      </c>
      <c r="L199" s="13"/>
    </row>
    <row r="200" customFormat="false" ht="15" hidden="false" customHeight="false" outlineLevel="0" collapsed="false">
      <c r="A200" s="15" t="s">
        <v>95</v>
      </c>
      <c r="B200" s="11" t="str">
        <f aca="false">INDEX(PRODUTOS!$E$4:$E$63,MATCH($A200,PRODUTOS!$B$4:$B$63,0))</f>
        <v>New Dots Ração Seca Premium para Gatos Adultos - 1 kg</v>
      </c>
      <c r="C200" s="11" t="str">
        <f aca="false">INDEX(PRODUTOS!$H$4:$H$63,MATCH($A200,PRODUTOS!$B$4:$B$63,0))</f>
        <v>1 kg</v>
      </c>
      <c r="D200" s="11" t="s">
        <v>334</v>
      </c>
      <c r="E200" s="16" t="str">
        <f aca="false">$A200&amp;"."&amp;$D200&amp;".jpg"</f>
        <v>7898968541573.AP01.jpg</v>
      </c>
      <c r="F200" s="11" t="str">
        <f aca="false">IF(INDEX(PRODUTOS!$I$4:$I$63,MATCH($A200,PRODUTOS!$B$4:$B$63,0))="B",INDEX(MODELOS!$F$3:$F$19,MATCH($D200,MODELOS!$A$3:$A$19,0)),INDEX(MODELOS!$B$3:$B$19,MATCH($D200,MODELOS!$A$3:$A$19,0)))</f>
        <v>A+ · Módulo 1 · Banner</v>
      </c>
      <c r="G200" s="11" t="str">
        <f aca="false">IF(INDEX(PRODUTOS!$F$4:$F$63,MATCH($A200,PRODUTOS!$B$4:$B$63,0))="Ração",IF(INDEX(PRODUTOS!$I$4:$I$63,MATCH($A200,PRODUTOS!$B$4:$B$63,0))="B",INDEX(MODELOS!$G$3:$G$19,MATCH($D200,MODELOS!$A$3:$A$19,0)),INDEX(MODELOS!$C$3:$C$19,MATCH($D200,MODELOS!$A$3:$A$19,0))),IF(INDEX(PRODUTOS!$I$4:$I$63,MATCH($A200,PRODUTOS!$B$4:$B$63,0))="B",INDEX(MODELOS!$H$3:$H$19,MATCH($D200,MODELOS!$A$3:$A$19,0)),INDEX(MODELOS!$D$3:$D$19,MATCH($D200,MODELOS!$A$3:$A$19,0))))</f>
        <v>Embalagem + pet + ingredientes, com o nome da linha</v>
      </c>
      <c r="H200" s="11" t="str">
        <f aca="false">IF(INDEX(PRODUTOS!$I$4:$I$63,MATCH($A200,PRODUTOS!$B$4:$B$63,0))="B",INDEX(MODELOS!$I$3:$I$19,MATCH($D200,MODELOS!$A$3:$A$19,0)),INDEX(MODELOS!$E$3:$E$19,MATCH($D200,MODELOS!$A$3:$A$19,0)))</f>
        <v>970 × 600</v>
      </c>
      <c r="I200" s="11" t="str">
        <f aca="false">INDEX(MODELOS!$J$3:$J$19,MATCH($D200,MODELOS!$A$3:$A$19,0))</f>
        <v>Conforme modelo</v>
      </c>
      <c r="J200" s="11" t="str">
        <f aca="false">IF(LEFT($D200,2)&lt;&gt;"AP",IF($I200="SIM","SIM","RECOMENDADA"),IF(INDEX(PRODUTOS!$J$4:$J$63,MATCH($A200,PRODUTOS!$B$4:$B$63,0))&lt;&gt;"","NÃO (usa o A+ do EAN "&amp;INDEX(PRODUTOS!$J$4:$J$63,MATCH($A200,PRODUTOS!$B$4:$B$63,0))&amp;")",IF(AND(INDEX(PRODUTOS!$I$4:$I$63,MATCH($A200,PRODUTOS!$B$4:$B$63,0))="B",$D200="AP07"),"NÃO (modelo B)","SIM")))</f>
        <v>NÃO (usa o A+ do EAN 7898968541597)</v>
      </c>
      <c r="K200" s="13" t="s">
        <v>325</v>
      </c>
      <c r="L200" s="13"/>
    </row>
    <row r="201" customFormat="false" ht="15" hidden="false" customHeight="false" outlineLevel="0" collapsed="false">
      <c r="A201" s="15" t="s">
        <v>95</v>
      </c>
      <c r="B201" s="11" t="str">
        <f aca="false">INDEX(PRODUTOS!$E$4:$E$63,MATCH($A201,PRODUTOS!$B$4:$B$63,0))</f>
        <v>New Dots Ração Seca Premium para Gatos Adultos - 1 kg</v>
      </c>
      <c r="C201" s="11" t="str">
        <f aca="false">INDEX(PRODUTOS!$H$4:$H$63,MATCH($A201,PRODUTOS!$B$4:$B$63,0))</f>
        <v>1 kg</v>
      </c>
      <c r="D201" s="11" t="s">
        <v>335</v>
      </c>
      <c r="E201" s="16" t="str">
        <f aca="false">$A201&amp;"."&amp;$D201&amp;".jpg"</f>
        <v>7898968541573.AP02.jpg</v>
      </c>
      <c r="F201" s="11" t="str">
        <f aca="false">IF(INDEX(PRODUTOS!$I$4:$I$63,MATCH($A201,PRODUTOS!$B$4:$B$63,0))="B",INDEX(MODELOS!$F$3:$F$19,MATCH($D201,MODELOS!$A$3:$A$19,0)),INDEX(MODELOS!$B$3:$B$19,MATCH($D201,MODELOS!$A$3:$A$19,0)))</f>
        <v>A+ · Módulo 2 · Texto sobreposto</v>
      </c>
      <c r="G201" s="11" t="str">
        <f aca="false">IF(INDEX(PRODUTOS!$F$4:$F$63,MATCH($A201,PRODUTOS!$B$4:$B$63,0))="Ração",IF(INDEX(PRODUTOS!$I$4:$I$63,MATCH($A201,PRODUTOS!$B$4:$B$63,0))="B",INDEX(MODELOS!$G$3:$G$19,MATCH($D201,MODELOS!$A$3:$A$19,0)),INDEX(MODELOS!$C$3:$C$19,MATCH($D201,MODELOS!$A$3:$A$19,0))),IF(INDEX(PRODUTOS!$I$4:$I$63,MATCH($A201,PRODUTOS!$B$4:$B$63,0))="B",INDEX(MODELOS!$H$3:$H$19,MATCH($D201,MODELOS!$A$3:$A$19,0)),INDEX(MODELOS!$D$3:$D$19,MATCH($D201,MODELOS!$A$3:$A$19,0))))</f>
        <v>Principal diferencial; deixar o lado direito limpo</v>
      </c>
      <c r="H201" s="11" t="str">
        <f aca="false">IF(INDEX(PRODUTOS!$I$4:$I$63,MATCH($A201,PRODUTOS!$B$4:$B$63,0))="B",INDEX(MODELOS!$I$3:$I$19,MATCH($D201,MODELOS!$A$3:$A$19,0)),INDEX(MODELOS!$E$3:$E$19,MATCH($D201,MODELOS!$A$3:$A$19,0)))</f>
        <v>970 × 300</v>
      </c>
      <c r="I201" s="11" t="str">
        <f aca="false">INDEX(MODELOS!$J$3:$J$19,MATCH($D201,MODELOS!$A$3:$A$19,0))</f>
        <v>Conforme modelo</v>
      </c>
      <c r="J201" s="11" t="str">
        <f aca="false">IF(LEFT($D201,2)&lt;&gt;"AP",IF($I201="SIM","SIM","RECOMENDADA"),IF(INDEX(PRODUTOS!$J$4:$J$63,MATCH($A201,PRODUTOS!$B$4:$B$63,0))&lt;&gt;"","NÃO (usa o A+ do EAN "&amp;INDEX(PRODUTOS!$J$4:$J$63,MATCH($A201,PRODUTOS!$B$4:$B$63,0))&amp;")",IF(AND(INDEX(PRODUTOS!$I$4:$I$63,MATCH($A201,PRODUTOS!$B$4:$B$63,0))="B",$D201="AP07"),"NÃO (modelo B)","SIM")))</f>
        <v>NÃO (usa o A+ do EAN 7898968541597)</v>
      </c>
      <c r="K201" s="13" t="s">
        <v>325</v>
      </c>
      <c r="L201" s="13"/>
    </row>
    <row r="202" customFormat="false" ht="15" hidden="false" customHeight="false" outlineLevel="0" collapsed="false">
      <c r="A202" s="15" t="s">
        <v>95</v>
      </c>
      <c r="B202" s="11" t="str">
        <f aca="false">INDEX(PRODUTOS!$E$4:$E$63,MATCH($A202,PRODUTOS!$B$4:$B$63,0))</f>
        <v>New Dots Ração Seca Premium para Gatos Adultos - 1 kg</v>
      </c>
      <c r="C202" s="11" t="str">
        <f aca="false">INDEX(PRODUTOS!$H$4:$H$63,MATCH($A202,PRODUTOS!$B$4:$B$63,0))</f>
        <v>1 kg</v>
      </c>
      <c r="D202" s="11" t="s">
        <v>336</v>
      </c>
      <c r="E202" s="16" t="str">
        <f aca="false">$A202&amp;"."&amp;$D202&amp;".jpg"</f>
        <v>7898968541573.AP03.jpg</v>
      </c>
      <c r="F202" s="11" t="str">
        <f aca="false">IF(INDEX(PRODUTOS!$I$4:$I$63,MATCH($A202,PRODUTOS!$B$4:$B$63,0))="B",INDEX(MODELOS!$F$3:$F$19,MATCH($D202,MODELOS!$A$3:$A$19,0)),INDEX(MODELOS!$B$3:$B$19,MATCH($D202,MODELOS!$A$3:$A$19,0)))</f>
        <v>A+ · Módulo 3 · Benefício 1 de 4</v>
      </c>
      <c r="G202" s="11" t="str">
        <f aca="false">IF(INDEX(PRODUTOS!$F$4:$F$63,MATCH($A202,PRODUTOS!$B$4:$B$63,0))="Ração",IF(INDEX(PRODUTOS!$I$4:$I$63,MATCH($A202,PRODUTOS!$B$4:$B$63,0))="B",INDEX(MODELOS!$G$3:$G$19,MATCH($D202,MODELOS!$A$3:$A$19,0)),INDEX(MODELOS!$C$3:$C$19,MATCH($D202,MODELOS!$A$3:$A$19,0))),IF(INDEX(PRODUTOS!$I$4:$I$63,MATCH($A202,PRODUTOS!$B$4:$B$63,0))="B",INDEX(MODELOS!$H$3:$H$19,MATCH($D202,MODELOS!$A$3:$A$19,0)),INDEX(MODELOS!$D$3:$D$19,MATCH($D202,MODELOS!$A$3:$A$19,0))))</f>
        <v>Foto/ilustração do benefício 1</v>
      </c>
      <c r="H202" s="11" t="str">
        <f aca="false">IF(INDEX(PRODUTOS!$I$4:$I$63,MATCH($A202,PRODUTOS!$B$4:$B$63,0))="B",INDEX(MODELOS!$I$3:$I$19,MATCH($D202,MODELOS!$A$3:$A$19,0)),INDEX(MODELOS!$E$3:$E$19,MATCH($D202,MODELOS!$A$3:$A$19,0)))</f>
        <v>220 × 200</v>
      </c>
      <c r="I202" s="11" t="str">
        <f aca="false">INDEX(MODELOS!$J$3:$J$19,MATCH($D202,MODELOS!$A$3:$A$19,0))</f>
        <v>Conforme modelo</v>
      </c>
      <c r="J202" s="11" t="str">
        <f aca="false">IF(LEFT($D202,2)&lt;&gt;"AP",IF($I202="SIM","SIM","RECOMENDADA"),IF(INDEX(PRODUTOS!$J$4:$J$63,MATCH($A202,PRODUTOS!$B$4:$B$63,0))&lt;&gt;"","NÃO (usa o A+ do EAN "&amp;INDEX(PRODUTOS!$J$4:$J$63,MATCH($A202,PRODUTOS!$B$4:$B$63,0))&amp;")",IF(AND(INDEX(PRODUTOS!$I$4:$I$63,MATCH($A202,PRODUTOS!$B$4:$B$63,0))="B",$D202="AP07"),"NÃO (modelo B)","SIM")))</f>
        <v>NÃO (usa o A+ do EAN 7898968541597)</v>
      </c>
      <c r="K202" s="13" t="s">
        <v>325</v>
      </c>
      <c r="L202" s="13"/>
    </row>
    <row r="203" customFormat="false" ht="15" hidden="false" customHeight="false" outlineLevel="0" collapsed="false">
      <c r="A203" s="15" t="s">
        <v>95</v>
      </c>
      <c r="B203" s="11" t="str">
        <f aca="false">INDEX(PRODUTOS!$E$4:$E$63,MATCH($A203,PRODUTOS!$B$4:$B$63,0))</f>
        <v>New Dots Ração Seca Premium para Gatos Adultos - 1 kg</v>
      </c>
      <c r="C203" s="11" t="str">
        <f aca="false">INDEX(PRODUTOS!$H$4:$H$63,MATCH($A203,PRODUTOS!$B$4:$B$63,0))</f>
        <v>1 kg</v>
      </c>
      <c r="D203" s="11" t="s">
        <v>337</v>
      </c>
      <c r="E203" s="16" t="str">
        <f aca="false">$A203&amp;"."&amp;$D203&amp;".jpg"</f>
        <v>7898968541573.AP04.jpg</v>
      </c>
      <c r="F203" s="11" t="str">
        <f aca="false">IF(INDEX(PRODUTOS!$I$4:$I$63,MATCH($A203,PRODUTOS!$B$4:$B$63,0))="B",INDEX(MODELOS!$F$3:$F$19,MATCH($D203,MODELOS!$A$3:$A$19,0)),INDEX(MODELOS!$B$3:$B$19,MATCH($D203,MODELOS!$A$3:$A$19,0)))</f>
        <v>A+ · Módulo 3 · Benefício 2 de 4</v>
      </c>
      <c r="G203" s="11" t="str">
        <f aca="false">IF(INDEX(PRODUTOS!$F$4:$F$63,MATCH($A203,PRODUTOS!$B$4:$B$63,0))="Ração",IF(INDEX(PRODUTOS!$I$4:$I$63,MATCH($A203,PRODUTOS!$B$4:$B$63,0))="B",INDEX(MODELOS!$G$3:$G$19,MATCH($D203,MODELOS!$A$3:$A$19,0)),INDEX(MODELOS!$C$3:$C$19,MATCH($D203,MODELOS!$A$3:$A$19,0))),IF(INDEX(PRODUTOS!$I$4:$I$63,MATCH($A203,PRODUTOS!$B$4:$B$63,0))="B",INDEX(MODELOS!$H$3:$H$19,MATCH($D203,MODELOS!$A$3:$A$19,0)),INDEX(MODELOS!$D$3:$D$19,MATCH($D203,MODELOS!$A$3:$A$19,0))))</f>
        <v>Foto/ilustração do benefício 2</v>
      </c>
      <c r="H203" s="11" t="str">
        <f aca="false">IF(INDEX(PRODUTOS!$I$4:$I$63,MATCH($A203,PRODUTOS!$B$4:$B$63,0))="B",INDEX(MODELOS!$I$3:$I$19,MATCH($D203,MODELOS!$A$3:$A$19,0)),INDEX(MODELOS!$E$3:$E$19,MATCH($D203,MODELOS!$A$3:$A$19,0)))</f>
        <v>220 × 200</v>
      </c>
      <c r="I203" s="11" t="str">
        <f aca="false">INDEX(MODELOS!$J$3:$J$19,MATCH($D203,MODELOS!$A$3:$A$19,0))</f>
        <v>Conforme modelo</v>
      </c>
      <c r="J203" s="11" t="str">
        <f aca="false">IF(LEFT($D203,2)&lt;&gt;"AP",IF($I203="SIM","SIM","RECOMENDADA"),IF(INDEX(PRODUTOS!$J$4:$J$63,MATCH($A203,PRODUTOS!$B$4:$B$63,0))&lt;&gt;"","NÃO (usa o A+ do EAN "&amp;INDEX(PRODUTOS!$J$4:$J$63,MATCH($A203,PRODUTOS!$B$4:$B$63,0))&amp;")",IF(AND(INDEX(PRODUTOS!$I$4:$I$63,MATCH($A203,PRODUTOS!$B$4:$B$63,0))="B",$D203="AP07"),"NÃO (modelo B)","SIM")))</f>
        <v>NÃO (usa o A+ do EAN 7898968541597)</v>
      </c>
      <c r="K203" s="13" t="s">
        <v>325</v>
      </c>
      <c r="L203" s="13"/>
    </row>
    <row r="204" customFormat="false" ht="15" hidden="false" customHeight="false" outlineLevel="0" collapsed="false">
      <c r="A204" s="15" t="s">
        <v>95</v>
      </c>
      <c r="B204" s="11" t="str">
        <f aca="false">INDEX(PRODUTOS!$E$4:$E$63,MATCH($A204,PRODUTOS!$B$4:$B$63,0))</f>
        <v>New Dots Ração Seca Premium para Gatos Adultos - 1 kg</v>
      </c>
      <c r="C204" s="11" t="str">
        <f aca="false">INDEX(PRODUTOS!$H$4:$H$63,MATCH($A204,PRODUTOS!$B$4:$B$63,0))</f>
        <v>1 kg</v>
      </c>
      <c r="D204" s="11" t="s">
        <v>338</v>
      </c>
      <c r="E204" s="16" t="str">
        <f aca="false">$A204&amp;"."&amp;$D204&amp;".jpg"</f>
        <v>7898968541573.AP05.jpg</v>
      </c>
      <c r="F204" s="11" t="str">
        <f aca="false">IF(INDEX(PRODUTOS!$I$4:$I$63,MATCH($A204,PRODUTOS!$B$4:$B$63,0))="B",INDEX(MODELOS!$F$3:$F$19,MATCH($D204,MODELOS!$A$3:$A$19,0)),INDEX(MODELOS!$B$3:$B$19,MATCH($D204,MODELOS!$A$3:$A$19,0)))</f>
        <v>A+ · Módulo 3 · Benefício 3 de 4</v>
      </c>
      <c r="G204" s="11" t="str">
        <f aca="false">IF(INDEX(PRODUTOS!$F$4:$F$63,MATCH($A204,PRODUTOS!$B$4:$B$63,0))="Ração",IF(INDEX(PRODUTOS!$I$4:$I$63,MATCH($A204,PRODUTOS!$B$4:$B$63,0))="B",INDEX(MODELOS!$G$3:$G$19,MATCH($D204,MODELOS!$A$3:$A$19,0)),INDEX(MODELOS!$C$3:$C$19,MATCH($D204,MODELOS!$A$3:$A$19,0))),IF(INDEX(PRODUTOS!$I$4:$I$63,MATCH($A204,PRODUTOS!$B$4:$B$63,0))="B",INDEX(MODELOS!$H$3:$H$19,MATCH($D204,MODELOS!$A$3:$A$19,0)),INDEX(MODELOS!$D$3:$D$19,MATCH($D204,MODELOS!$A$3:$A$19,0))))</f>
        <v>Foto/ilustração do benefício 3</v>
      </c>
      <c r="H204" s="11" t="str">
        <f aca="false">IF(INDEX(PRODUTOS!$I$4:$I$63,MATCH($A204,PRODUTOS!$B$4:$B$63,0))="B",INDEX(MODELOS!$I$3:$I$19,MATCH($D204,MODELOS!$A$3:$A$19,0)),INDEX(MODELOS!$E$3:$E$19,MATCH($D204,MODELOS!$A$3:$A$19,0)))</f>
        <v>220 × 200</v>
      </c>
      <c r="I204" s="11" t="str">
        <f aca="false">INDEX(MODELOS!$J$3:$J$19,MATCH($D204,MODELOS!$A$3:$A$19,0))</f>
        <v>Conforme modelo</v>
      </c>
      <c r="J204" s="11" t="str">
        <f aca="false">IF(LEFT($D204,2)&lt;&gt;"AP",IF($I204="SIM","SIM","RECOMENDADA"),IF(INDEX(PRODUTOS!$J$4:$J$63,MATCH($A204,PRODUTOS!$B$4:$B$63,0))&lt;&gt;"","NÃO (usa o A+ do EAN "&amp;INDEX(PRODUTOS!$J$4:$J$63,MATCH($A204,PRODUTOS!$B$4:$B$63,0))&amp;")",IF(AND(INDEX(PRODUTOS!$I$4:$I$63,MATCH($A204,PRODUTOS!$B$4:$B$63,0))="B",$D204="AP07"),"NÃO (modelo B)","SIM")))</f>
        <v>NÃO (usa o A+ do EAN 7898968541597)</v>
      </c>
      <c r="K204" s="13" t="s">
        <v>325</v>
      </c>
      <c r="L204" s="13"/>
    </row>
    <row r="205" customFormat="false" ht="15" hidden="false" customHeight="false" outlineLevel="0" collapsed="false">
      <c r="A205" s="15" t="s">
        <v>95</v>
      </c>
      <c r="B205" s="11" t="str">
        <f aca="false">INDEX(PRODUTOS!$E$4:$E$63,MATCH($A205,PRODUTOS!$B$4:$B$63,0))</f>
        <v>New Dots Ração Seca Premium para Gatos Adultos - 1 kg</v>
      </c>
      <c r="C205" s="11" t="str">
        <f aca="false">INDEX(PRODUTOS!$H$4:$H$63,MATCH($A205,PRODUTOS!$B$4:$B$63,0))</f>
        <v>1 kg</v>
      </c>
      <c r="D205" s="11" t="s">
        <v>339</v>
      </c>
      <c r="E205" s="16" t="str">
        <f aca="false">$A205&amp;"."&amp;$D205&amp;".jpg"</f>
        <v>7898968541573.AP06.jpg</v>
      </c>
      <c r="F205" s="11" t="str">
        <f aca="false">IF(INDEX(PRODUTOS!$I$4:$I$63,MATCH($A205,PRODUTOS!$B$4:$B$63,0))="B",INDEX(MODELOS!$F$3:$F$19,MATCH($D205,MODELOS!$A$3:$A$19,0)),INDEX(MODELOS!$B$3:$B$19,MATCH($D205,MODELOS!$A$3:$A$19,0)))</f>
        <v>A+ · Módulo 3 · Benefício 4 de 4</v>
      </c>
      <c r="G205" s="11" t="str">
        <f aca="false">IF(INDEX(PRODUTOS!$F$4:$F$63,MATCH($A205,PRODUTOS!$B$4:$B$63,0))="Ração",IF(INDEX(PRODUTOS!$I$4:$I$63,MATCH($A205,PRODUTOS!$B$4:$B$63,0))="B",INDEX(MODELOS!$G$3:$G$19,MATCH($D205,MODELOS!$A$3:$A$19,0)),INDEX(MODELOS!$C$3:$C$19,MATCH($D205,MODELOS!$A$3:$A$19,0))),IF(INDEX(PRODUTOS!$I$4:$I$63,MATCH($A205,PRODUTOS!$B$4:$B$63,0))="B",INDEX(MODELOS!$H$3:$H$19,MATCH($D205,MODELOS!$A$3:$A$19,0)),INDEX(MODELOS!$D$3:$D$19,MATCH($D205,MODELOS!$A$3:$A$19,0))))</f>
        <v>Foto/ilustração do benefício 4</v>
      </c>
      <c r="H205" s="11" t="str">
        <f aca="false">IF(INDEX(PRODUTOS!$I$4:$I$63,MATCH($A205,PRODUTOS!$B$4:$B$63,0))="B",INDEX(MODELOS!$I$3:$I$19,MATCH($D205,MODELOS!$A$3:$A$19,0)),INDEX(MODELOS!$E$3:$E$19,MATCH($D205,MODELOS!$A$3:$A$19,0)))</f>
        <v>220 × 200</v>
      </c>
      <c r="I205" s="11" t="str">
        <f aca="false">INDEX(MODELOS!$J$3:$J$19,MATCH($D205,MODELOS!$A$3:$A$19,0))</f>
        <v>Conforme modelo</v>
      </c>
      <c r="J205" s="11" t="str">
        <f aca="false">IF(LEFT($D205,2)&lt;&gt;"AP",IF($I205="SIM","SIM","RECOMENDADA"),IF(INDEX(PRODUTOS!$J$4:$J$63,MATCH($A205,PRODUTOS!$B$4:$B$63,0))&lt;&gt;"","NÃO (usa o A+ do EAN "&amp;INDEX(PRODUTOS!$J$4:$J$63,MATCH($A205,PRODUTOS!$B$4:$B$63,0))&amp;")",IF(AND(INDEX(PRODUTOS!$I$4:$I$63,MATCH($A205,PRODUTOS!$B$4:$B$63,0))="B",$D205="AP07"),"NÃO (modelo B)","SIM")))</f>
        <v>NÃO (usa o A+ do EAN 7898968541597)</v>
      </c>
      <c r="K205" s="13" t="s">
        <v>325</v>
      </c>
      <c r="L205" s="13"/>
    </row>
    <row r="206" customFormat="false" ht="15" hidden="false" customHeight="false" outlineLevel="0" collapsed="false">
      <c r="A206" s="15" t="s">
        <v>95</v>
      </c>
      <c r="B206" s="11" t="str">
        <f aca="false">INDEX(PRODUTOS!$E$4:$E$63,MATCH($A206,PRODUTOS!$B$4:$B$63,0))</f>
        <v>New Dots Ração Seca Premium para Gatos Adultos - 1 kg</v>
      </c>
      <c r="C206" s="11" t="str">
        <f aca="false">INDEX(PRODUTOS!$H$4:$H$63,MATCH($A206,PRODUTOS!$B$4:$B$63,0))</f>
        <v>1 kg</v>
      </c>
      <c r="D206" s="11" t="s">
        <v>340</v>
      </c>
      <c r="E206" s="16" t="str">
        <f aca="false">$A206&amp;"."&amp;$D206&amp;".jpg"</f>
        <v>7898968541573.AP07.jpg</v>
      </c>
      <c r="F206" s="11" t="str">
        <f aca="false">IF(INDEX(PRODUTOS!$I$4:$I$63,MATCH($A206,PRODUTOS!$B$4:$B$63,0))="B",INDEX(MODELOS!$F$3:$F$19,MATCH($D206,MODELOS!$A$3:$A$19,0)),INDEX(MODELOS!$B$3:$B$19,MATCH($D206,MODELOS!$A$3:$A$19,0)))</f>
        <v>A+ · Módulo 4 · Especificações</v>
      </c>
      <c r="G206" s="11" t="str">
        <f aca="false">IF(INDEX(PRODUTOS!$F$4:$F$63,MATCH($A206,PRODUTOS!$B$4:$B$63,0))="Ração",IF(INDEX(PRODUTOS!$I$4:$I$63,MATCH($A206,PRODUTOS!$B$4:$B$63,0))="B",INDEX(MODELOS!$G$3:$G$19,MATCH($D206,MODELOS!$A$3:$A$19,0)),INDEX(MODELOS!$C$3:$C$19,MATCH($D206,MODELOS!$A$3:$A$19,0))),IF(INDEX(PRODUTOS!$I$4:$I$63,MATCH($A206,PRODUTOS!$B$4:$B$63,0))="B",INDEX(MODELOS!$H$3:$H$19,MATCH($D206,MODELOS!$A$3:$A$19,0)),INDEX(MODELOS!$D$3:$D$19,MATCH($D206,MODELOS!$A$3:$A$19,0))))</f>
        <v>Grão ou pacote em destaque</v>
      </c>
      <c r="H206" s="11" t="str">
        <f aca="false">IF(INDEX(PRODUTOS!$I$4:$I$63,MATCH($A206,PRODUTOS!$B$4:$B$63,0))="B",INDEX(MODELOS!$I$3:$I$19,MATCH($D206,MODELOS!$A$3:$A$19,0)),INDEX(MODELOS!$E$3:$E$19,MATCH($D206,MODELOS!$A$3:$A$19,0)))</f>
        <v>300 × 300</v>
      </c>
      <c r="I206" s="11" t="str">
        <f aca="false">INDEX(MODELOS!$J$3:$J$19,MATCH($D206,MODELOS!$A$3:$A$19,0))</f>
        <v>Conforme modelo</v>
      </c>
      <c r="J206" s="11" t="str">
        <f aca="false">IF(LEFT($D206,2)&lt;&gt;"AP",IF($I206="SIM","SIM","RECOMENDADA"),IF(INDEX(PRODUTOS!$J$4:$J$63,MATCH($A206,PRODUTOS!$B$4:$B$63,0))&lt;&gt;"","NÃO (usa o A+ do EAN "&amp;INDEX(PRODUTOS!$J$4:$J$63,MATCH($A206,PRODUTOS!$B$4:$B$63,0))&amp;")",IF(AND(INDEX(PRODUTOS!$I$4:$I$63,MATCH($A206,PRODUTOS!$B$4:$B$63,0))="B",$D206="AP07"),"NÃO (modelo B)","SIM")))</f>
        <v>NÃO (usa o A+ do EAN 7898968541597)</v>
      </c>
      <c r="K206" s="13" t="s">
        <v>325</v>
      </c>
      <c r="L206" s="13"/>
    </row>
    <row r="207" customFormat="false" ht="15" hidden="false" customHeight="false" outlineLevel="0" collapsed="false">
      <c r="A207" s="15" t="s">
        <v>95</v>
      </c>
      <c r="B207" s="11" t="str">
        <f aca="false">INDEX(PRODUTOS!$E$4:$E$63,MATCH($A207,PRODUTOS!$B$4:$B$63,0))</f>
        <v>New Dots Ração Seca Premium para Gatos Adultos - 1 kg</v>
      </c>
      <c r="C207" s="11" t="str">
        <f aca="false">INDEX(PRODUTOS!$H$4:$H$63,MATCH($A207,PRODUTOS!$B$4:$B$63,0))</f>
        <v>1 kg</v>
      </c>
      <c r="D207" s="11" t="s">
        <v>341</v>
      </c>
      <c r="E207" s="16" t="str">
        <f aca="false">$A207&amp;"."&amp;$D207&amp;".jpg"</f>
        <v>7898968541573.COMP.jpg</v>
      </c>
      <c r="F207" s="11" t="str">
        <f aca="false">IF(INDEX(PRODUTOS!$I$4:$I$63,MATCH($A207,PRODUTOS!$B$4:$B$63,0))="B",INDEX(MODELOS!$F$3:$F$19,MATCH($D207,MODELOS!$A$3:$A$19,0)),INDEX(MODELOS!$B$3:$B$19,MATCH($D207,MODELOS!$A$3:$A$19,0)))</f>
        <v>A+ · Tabela comparativa</v>
      </c>
      <c r="G207" s="11" t="str">
        <f aca="false">IF(INDEX(PRODUTOS!$F$4:$F$63,MATCH($A207,PRODUTOS!$B$4:$B$63,0))="Ração",IF(INDEX(PRODUTOS!$I$4:$I$63,MATCH($A207,PRODUTOS!$B$4:$B$63,0))="B",INDEX(MODELOS!$G$3:$G$19,MATCH($D207,MODELOS!$A$3:$A$19,0)),INDEX(MODELOS!$C$3:$C$19,MATCH($D207,MODELOS!$A$3:$A$19,0))),IF(INDEX(PRODUTOS!$I$4:$I$63,MATCH($A207,PRODUTOS!$B$4:$B$63,0))="B",INDEX(MODELOS!$H$3:$H$19,MATCH($D207,MODELOS!$A$3:$A$19,0)),INDEX(MODELOS!$D$3:$D$19,MATCH($D207,MODELOS!$A$3:$A$19,0))))</f>
        <v>Pacote na vertical, sem fundo colorido</v>
      </c>
      <c r="H207" s="11" t="str">
        <f aca="false">IF(INDEX(PRODUTOS!$I$4:$I$63,MATCH($A207,PRODUTOS!$B$4:$B$63,0))="B",INDEX(MODELOS!$I$3:$I$19,MATCH($D207,MODELOS!$A$3:$A$19,0)),INDEX(MODELOS!$E$3:$E$19,MATCH($D207,MODELOS!$A$3:$A$19,0)))</f>
        <v>150 × 300</v>
      </c>
      <c r="I207" s="11" t="str">
        <f aca="false">INDEX(MODELOS!$J$3:$J$19,MATCH($D207,MODELOS!$A$3:$A$19,0))</f>
        <v>SIM</v>
      </c>
      <c r="J207" s="11" t="str">
        <f aca="false">IF(LEFT($D207,2)&lt;&gt;"AP",IF($I207="SIM","SIM","RECOMENDADA"),IF(INDEX(PRODUTOS!$J$4:$J$63,MATCH($A207,PRODUTOS!$B$4:$B$63,0))&lt;&gt;"","NÃO (usa o A+ do EAN "&amp;INDEX(PRODUTOS!$J$4:$J$63,MATCH($A207,PRODUTOS!$B$4:$B$63,0))&amp;")",IF(AND(INDEX(PRODUTOS!$I$4:$I$63,MATCH($A207,PRODUTOS!$B$4:$B$63,0))="B",$D207="AP07"),"NÃO (modelo B)","SIM")))</f>
        <v>SIM</v>
      </c>
      <c r="K207" s="13" t="s">
        <v>325</v>
      </c>
      <c r="L207" s="13"/>
    </row>
    <row r="208" customFormat="false" ht="15" hidden="false" customHeight="false" outlineLevel="0" collapsed="false">
      <c r="A208" s="15" t="s">
        <v>98</v>
      </c>
      <c r="B208" s="11" t="str">
        <f aca="false">INDEX(PRODUTOS!$E$4:$E$63,MATCH($A208,PRODUTOS!$B$4:$B$63,0))</f>
        <v>New Dots Ração Seca Premium para Gatos Adultos Castrados - 20 kg</v>
      </c>
      <c r="C208" s="11" t="str">
        <f aca="false">INDEX(PRODUTOS!$H$4:$H$63,MATCH($A208,PRODUTOS!$B$4:$B$63,0))</f>
        <v>20 kg</v>
      </c>
      <c r="D208" s="11" t="s">
        <v>324</v>
      </c>
      <c r="E208" s="16" t="str">
        <f aca="false">$A208&amp;"."&amp;$D208&amp;".jpg"</f>
        <v>7908591300666.MAIN.jpg</v>
      </c>
      <c r="F208" s="11" t="str">
        <f aca="false">IF(INDEX(PRODUTOS!$I$4:$I$63,MATCH($A208,PRODUTOS!$B$4:$B$63,0))="B",INDEX(MODELOS!$F$3:$F$19,MATCH($D208,MODELOS!$A$3:$A$19,0)),INDEX(MODELOS!$B$3:$B$19,MATCH($D208,MODELOS!$A$3:$A$19,0)))</f>
        <v>Capa (posição 1)</v>
      </c>
      <c r="G208" s="11" t="str">
        <f aca="false">IF(INDEX(PRODUTOS!$F$4:$F$63,MATCH($A208,PRODUTOS!$B$4:$B$63,0))="Ração",IF(INDEX(PRODUTOS!$I$4:$I$63,MATCH($A208,PRODUTOS!$B$4:$B$63,0))="B",INDEX(MODELOS!$G$3:$G$19,MATCH($D208,MODELOS!$A$3:$A$19,0)),INDEX(MODELOS!$C$3:$C$19,MATCH($D208,MODELOS!$A$3:$A$19,0))),IF(INDEX(PRODUTOS!$I$4:$I$63,MATCH($A208,PRODUTOS!$B$4:$B$63,0))="B",INDEX(MODELOS!$H$3:$H$19,MATCH($D208,MODELOS!$A$3:$A$19,0)),INDEX(MODELOS!$D$3:$D$19,MATCH($D208,MODELOS!$A$3:$A$19,0))))</f>
        <v>Embalagem de frente, fundo branco puro, 85% da área, nada adicionado</v>
      </c>
      <c r="H208" s="11" t="str">
        <f aca="false">IF(INDEX(PRODUTOS!$I$4:$I$63,MATCH($A208,PRODUTOS!$B$4:$B$63,0))="B",INDEX(MODELOS!$I$3:$I$19,MATCH($D208,MODELOS!$A$3:$A$19,0)),INDEX(MODELOS!$E$3:$E$19,MATCH($D208,MODELOS!$A$3:$A$19,0)))</f>
        <v>2000 × 2000</v>
      </c>
      <c r="I208" s="11" t="str">
        <f aca="false">INDEX(MODELOS!$J$3:$J$19,MATCH($D208,MODELOS!$A$3:$A$19,0))</f>
        <v>SIM</v>
      </c>
      <c r="J208" s="11" t="str">
        <f aca="false">IF(LEFT($D208,2)&lt;&gt;"AP",IF($I208="SIM","SIM","RECOMENDADA"),IF(INDEX(PRODUTOS!$J$4:$J$63,MATCH($A208,PRODUTOS!$B$4:$B$63,0))&lt;&gt;"","NÃO (usa o A+ do EAN "&amp;INDEX(PRODUTOS!$J$4:$J$63,MATCH($A208,PRODUTOS!$B$4:$B$63,0))&amp;")",IF(AND(INDEX(PRODUTOS!$I$4:$I$63,MATCH($A208,PRODUTOS!$B$4:$B$63,0))="B",$D208="AP07"),"NÃO (modelo B)","SIM")))</f>
        <v>SIM</v>
      </c>
      <c r="K208" s="13" t="s">
        <v>325</v>
      </c>
      <c r="L208" s="13"/>
    </row>
    <row r="209" customFormat="false" ht="15" hidden="false" customHeight="false" outlineLevel="0" collapsed="false">
      <c r="A209" s="15" t="s">
        <v>98</v>
      </c>
      <c r="B209" s="11" t="str">
        <f aca="false">INDEX(PRODUTOS!$E$4:$E$63,MATCH($A209,PRODUTOS!$B$4:$B$63,0))</f>
        <v>New Dots Ração Seca Premium para Gatos Adultos Castrados - 20 kg</v>
      </c>
      <c r="C209" s="11" t="str">
        <f aca="false">INDEX(PRODUTOS!$H$4:$H$63,MATCH($A209,PRODUTOS!$B$4:$B$63,0))</f>
        <v>20 kg</v>
      </c>
      <c r="D209" s="11" t="s">
        <v>326</v>
      </c>
      <c r="E209" s="16" t="str">
        <f aca="false">$A209&amp;"."&amp;$D209&amp;".jpg"</f>
        <v>7908591300666.PT01.jpg</v>
      </c>
      <c r="F209" s="11" t="str">
        <f aca="false">IF(INDEX(PRODUTOS!$I$4:$I$63,MATCH($A209,PRODUTOS!$B$4:$B$63,0))="B",INDEX(MODELOS!$F$3:$F$19,MATCH($D209,MODELOS!$A$3:$A$19,0)),INDEX(MODELOS!$B$3:$B$19,MATCH($D209,MODELOS!$A$3:$A$19,0)))</f>
        <v>Galeria · posição 2</v>
      </c>
      <c r="G209" s="11" t="str">
        <f aca="false">IF(INDEX(PRODUTOS!$F$4:$F$63,MATCH($A209,PRODUTOS!$B$4:$B$63,0))="Ração",IF(INDEX(PRODUTOS!$I$4:$I$63,MATCH($A209,PRODUTOS!$B$4:$B$63,0))="B",INDEX(MODELOS!$G$3:$G$19,MATCH($D209,MODELOS!$A$3:$A$19,0)),INDEX(MODELOS!$C$3:$C$19,MATCH($D209,MODELOS!$A$3:$A$19,0))),IF(INDEX(PRODUTOS!$I$4:$I$63,MATCH($A209,PRODUTOS!$B$4:$B$63,0))="B",INDEX(MODELOS!$H$3:$H$19,MATCH($D209,MODELOS!$A$3:$A$19,0)),INDEX(MODELOS!$D$3:$D$19,MATCH($D209,MODELOS!$A$3:$A$19,0))))</f>
        <v>Grande diferencial da linha (número ou promessa forte + grão e ingrediente)</v>
      </c>
      <c r="H209" s="11" t="str">
        <f aca="false">IF(INDEX(PRODUTOS!$I$4:$I$63,MATCH($A209,PRODUTOS!$B$4:$B$63,0))="B",INDEX(MODELOS!$I$3:$I$19,MATCH($D209,MODELOS!$A$3:$A$19,0)),INDEX(MODELOS!$E$3:$E$19,MATCH($D209,MODELOS!$A$3:$A$19,0)))</f>
        <v>2000 × 2000</v>
      </c>
      <c r="I209" s="11" t="str">
        <f aca="false">INDEX(MODELOS!$J$3:$J$19,MATCH($D209,MODELOS!$A$3:$A$19,0))</f>
        <v>SIM</v>
      </c>
      <c r="J209" s="11" t="str">
        <f aca="false">IF(LEFT($D209,2)&lt;&gt;"AP",IF($I209="SIM","SIM","RECOMENDADA"),IF(INDEX(PRODUTOS!$J$4:$J$63,MATCH($A209,PRODUTOS!$B$4:$B$63,0))&lt;&gt;"","NÃO (usa o A+ do EAN "&amp;INDEX(PRODUTOS!$J$4:$J$63,MATCH($A209,PRODUTOS!$B$4:$B$63,0))&amp;")",IF(AND(INDEX(PRODUTOS!$I$4:$I$63,MATCH($A209,PRODUTOS!$B$4:$B$63,0))="B",$D209="AP07"),"NÃO (modelo B)","SIM")))</f>
        <v>SIM</v>
      </c>
      <c r="K209" s="13" t="s">
        <v>325</v>
      </c>
      <c r="L209" s="13"/>
    </row>
    <row r="210" customFormat="false" ht="15" hidden="false" customHeight="false" outlineLevel="0" collapsed="false">
      <c r="A210" s="15" t="s">
        <v>98</v>
      </c>
      <c r="B210" s="11" t="str">
        <f aca="false">INDEX(PRODUTOS!$E$4:$E$63,MATCH($A210,PRODUTOS!$B$4:$B$63,0))</f>
        <v>New Dots Ração Seca Premium para Gatos Adultos Castrados - 20 kg</v>
      </c>
      <c r="C210" s="11" t="str">
        <f aca="false">INDEX(PRODUTOS!$H$4:$H$63,MATCH($A210,PRODUTOS!$B$4:$B$63,0))</f>
        <v>20 kg</v>
      </c>
      <c r="D210" s="11" t="s">
        <v>327</v>
      </c>
      <c r="E210" s="16" t="str">
        <f aca="false">$A210&amp;"."&amp;$D210&amp;".jpg"</f>
        <v>7908591300666.PT02.jpg</v>
      </c>
      <c r="F210" s="11" t="str">
        <f aca="false">IF(INDEX(PRODUTOS!$I$4:$I$63,MATCH($A210,PRODUTOS!$B$4:$B$63,0))="B",INDEX(MODELOS!$F$3:$F$19,MATCH($D210,MODELOS!$A$3:$A$19,0)),INDEX(MODELOS!$B$3:$B$19,MATCH($D210,MODELOS!$A$3:$A$19,0)))</f>
        <v>Galeria · posição 3</v>
      </c>
      <c r="G210" s="11" t="str">
        <f aca="false">IF(INDEX(PRODUTOS!$F$4:$F$63,MATCH($A210,PRODUTOS!$B$4:$B$63,0))="Ração",IF(INDEX(PRODUTOS!$I$4:$I$63,MATCH($A210,PRODUTOS!$B$4:$B$63,0))="B",INDEX(MODELOS!$G$3:$G$19,MATCH($D210,MODELOS!$A$3:$A$19,0)),INDEX(MODELOS!$C$3:$C$19,MATCH($D210,MODELOS!$A$3:$A$19,0))),IF(INDEX(PRODUTOS!$I$4:$I$63,MATCH($A210,PRODUTOS!$B$4:$B$63,0))="B",INDEX(MODELOS!$H$3:$H$19,MATCH($D210,MODELOS!$A$3:$A$19,0)),INDEX(MODELOS!$D$3:$D$19,MATCH($D210,MODELOS!$A$3:$A$19,0))))</f>
        <v>Benefícios com ícones (4 a 6, impressos na embalagem) + ingrediente</v>
      </c>
      <c r="H210" s="11" t="str">
        <f aca="false">IF(INDEX(PRODUTOS!$I$4:$I$63,MATCH($A210,PRODUTOS!$B$4:$B$63,0))="B",INDEX(MODELOS!$I$3:$I$19,MATCH($D210,MODELOS!$A$3:$A$19,0)),INDEX(MODELOS!$E$3:$E$19,MATCH($D210,MODELOS!$A$3:$A$19,0)))</f>
        <v>2000 × 2000</v>
      </c>
      <c r="I210" s="11" t="str">
        <f aca="false">INDEX(MODELOS!$J$3:$J$19,MATCH($D210,MODELOS!$A$3:$A$19,0))</f>
        <v>SIM</v>
      </c>
      <c r="J210" s="11" t="str">
        <f aca="false">IF(LEFT($D210,2)&lt;&gt;"AP",IF($I210="SIM","SIM","RECOMENDADA"),IF(INDEX(PRODUTOS!$J$4:$J$63,MATCH($A210,PRODUTOS!$B$4:$B$63,0))&lt;&gt;"","NÃO (usa o A+ do EAN "&amp;INDEX(PRODUTOS!$J$4:$J$63,MATCH($A210,PRODUTOS!$B$4:$B$63,0))&amp;")",IF(AND(INDEX(PRODUTOS!$I$4:$I$63,MATCH($A210,PRODUTOS!$B$4:$B$63,0))="B",$D210="AP07"),"NÃO (modelo B)","SIM")))</f>
        <v>SIM</v>
      </c>
      <c r="K210" s="13" t="s">
        <v>325</v>
      </c>
      <c r="L210" s="13"/>
    </row>
    <row r="211" customFormat="false" ht="15" hidden="false" customHeight="false" outlineLevel="0" collapsed="false">
      <c r="A211" s="15" t="s">
        <v>98</v>
      </c>
      <c r="B211" s="11" t="str">
        <f aca="false">INDEX(PRODUTOS!$E$4:$E$63,MATCH($A211,PRODUTOS!$B$4:$B$63,0))</f>
        <v>New Dots Ração Seca Premium para Gatos Adultos Castrados - 20 kg</v>
      </c>
      <c r="C211" s="11" t="str">
        <f aca="false">INDEX(PRODUTOS!$H$4:$H$63,MATCH($A211,PRODUTOS!$B$4:$B$63,0))</f>
        <v>20 kg</v>
      </c>
      <c r="D211" s="11" t="s">
        <v>328</v>
      </c>
      <c r="E211" s="16" t="str">
        <f aca="false">$A211&amp;"."&amp;$D211&amp;".jpg"</f>
        <v>7908591300666.PT03.jpg</v>
      </c>
      <c r="F211" s="11" t="str">
        <f aca="false">IF(INDEX(PRODUTOS!$I$4:$I$63,MATCH($A211,PRODUTOS!$B$4:$B$63,0))="B",INDEX(MODELOS!$F$3:$F$19,MATCH($D211,MODELOS!$A$3:$A$19,0)),INDEX(MODELOS!$B$3:$B$19,MATCH($D211,MODELOS!$A$3:$A$19,0)))</f>
        <v>Galeria · posição 4</v>
      </c>
      <c r="G211" s="11" t="str">
        <f aca="false">IF(INDEX(PRODUTOS!$F$4:$F$63,MATCH($A211,PRODUTOS!$B$4:$B$63,0))="Ração",IF(INDEX(PRODUTOS!$I$4:$I$63,MATCH($A211,PRODUTOS!$B$4:$B$63,0))="B",INDEX(MODELOS!$G$3:$G$19,MATCH($D211,MODELOS!$A$3:$A$19,0)),INDEX(MODELOS!$C$3:$C$19,MATCH($D211,MODELOS!$A$3:$A$19,0))),IF(INDEX(PRODUTOS!$I$4:$I$63,MATCH($A211,PRODUTOS!$B$4:$B$63,0))="B",INDEX(MODELOS!$H$3:$H$19,MATCH($D211,MODELOS!$A$3:$A$19,0)),INDEX(MODELOS!$D$3:$D$19,MATCH($D211,MODELOS!$A$3:$A$19,0))))</f>
        <v>Formato e tamanho do grão, com medida em mm e referência de tamanho</v>
      </c>
      <c r="H211" s="11" t="str">
        <f aca="false">IF(INDEX(PRODUTOS!$I$4:$I$63,MATCH($A211,PRODUTOS!$B$4:$B$63,0))="B",INDEX(MODELOS!$I$3:$I$19,MATCH($D211,MODELOS!$A$3:$A$19,0)),INDEX(MODELOS!$E$3:$E$19,MATCH($D211,MODELOS!$A$3:$A$19,0)))</f>
        <v>2000 × 2000</v>
      </c>
      <c r="I211" s="11" t="str">
        <f aca="false">INDEX(MODELOS!$J$3:$J$19,MATCH($D211,MODELOS!$A$3:$A$19,0))</f>
        <v>SIM</v>
      </c>
      <c r="J211" s="11" t="str">
        <f aca="false">IF(LEFT($D211,2)&lt;&gt;"AP",IF($I211="SIM","SIM","RECOMENDADA"),IF(INDEX(PRODUTOS!$J$4:$J$63,MATCH($A211,PRODUTOS!$B$4:$B$63,0))&lt;&gt;"","NÃO (usa o A+ do EAN "&amp;INDEX(PRODUTOS!$J$4:$J$63,MATCH($A211,PRODUTOS!$B$4:$B$63,0))&amp;")",IF(AND(INDEX(PRODUTOS!$I$4:$I$63,MATCH($A211,PRODUTOS!$B$4:$B$63,0))="B",$D211="AP07"),"NÃO (modelo B)","SIM")))</f>
        <v>SIM</v>
      </c>
      <c r="K211" s="13" t="s">
        <v>325</v>
      </c>
      <c r="L211" s="13"/>
    </row>
    <row r="212" customFormat="false" ht="15" hidden="false" customHeight="false" outlineLevel="0" collapsed="false">
      <c r="A212" s="15" t="s">
        <v>98</v>
      </c>
      <c r="B212" s="11" t="str">
        <f aca="false">INDEX(PRODUTOS!$E$4:$E$63,MATCH($A212,PRODUTOS!$B$4:$B$63,0))</f>
        <v>New Dots Ração Seca Premium para Gatos Adultos Castrados - 20 kg</v>
      </c>
      <c r="C212" s="11" t="str">
        <f aca="false">INDEX(PRODUTOS!$H$4:$H$63,MATCH($A212,PRODUTOS!$B$4:$B$63,0))</f>
        <v>20 kg</v>
      </c>
      <c r="D212" s="11" t="s">
        <v>329</v>
      </c>
      <c r="E212" s="16" t="str">
        <f aca="false">$A212&amp;"."&amp;$D212&amp;".jpg"</f>
        <v>7908591300666.PT04.jpg</v>
      </c>
      <c r="F212" s="11" t="str">
        <f aca="false">IF(INDEX(PRODUTOS!$I$4:$I$63,MATCH($A212,PRODUTOS!$B$4:$B$63,0))="B",INDEX(MODELOS!$F$3:$F$19,MATCH($D212,MODELOS!$A$3:$A$19,0)),INDEX(MODELOS!$B$3:$B$19,MATCH($D212,MODELOS!$A$3:$A$19,0)))</f>
        <v>Galeria · posição 5</v>
      </c>
      <c r="G212" s="11" t="str">
        <f aca="false">IF(INDEX(PRODUTOS!$F$4:$F$63,MATCH($A212,PRODUTOS!$B$4:$B$63,0))="Ração",IF(INDEX(PRODUTOS!$I$4:$I$63,MATCH($A212,PRODUTOS!$B$4:$B$63,0))="B",INDEX(MODELOS!$G$3:$G$19,MATCH($D212,MODELOS!$A$3:$A$19,0)),INDEX(MODELOS!$C$3:$C$19,MATCH($D212,MODELOS!$A$3:$A$19,0))),IF(INDEX(PRODUTOS!$I$4:$I$63,MATCH($A212,PRODUTOS!$B$4:$B$63,0))="B",INDEX(MODELOS!$H$3:$H$19,MATCH($D212,MODELOS!$A$3:$A$19,0)),INDEX(MODELOS!$D$3:$D$19,MATCH($D212,MODELOS!$A$3:$A$19,0))))</f>
        <v>Quantidade diária por peso do cão/gato (números idênticos à embalagem)</v>
      </c>
      <c r="H212" s="11" t="str">
        <f aca="false">IF(INDEX(PRODUTOS!$I$4:$I$63,MATCH($A212,PRODUTOS!$B$4:$B$63,0))="B",INDEX(MODELOS!$I$3:$I$19,MATCH($D212,MODELOS!$A$3:$A$19,0)),INDEX(MODELOS!$E$3:$E$19,MATCH($D212,MODELOS!$A$3:$A$19,0)))</f>
        <v>2000 × 2000</v>
      </c>
      <c r="I212" s="11" t="str">
        <f aca="false">INDEX(MODELOS!$J$3:$J$19,MATCH($D212,MODELOS!$A$3:$A$19,0))</f>
        <v>SIM</v>
      </c>
      <c r="J212" s="11" t="str">
        <f aca="false">IF(LEFT($D212,2)&lt;&gt;"AP",IF($I212="SIM","SIM","RECOMENDADA"),IF(INDEX(PRODUTOS!$J$4:$J$63,MATCH($A212,PRODUTOS!$B$4:$B$63,0))&lt;&gt;"","NÃO (usa o A+ do EAN "&amp;INDEX(PRODUTOS!$J$4:$J$63,MATCH($A212,PRODUTOS!$B$4:$B$63,0))&amp;")",IF(AND(INDEX(PRODUTOS!$I$4:$I$63,MATCH($A212,PRODUTOS!$B$4:$B$63,0))="B",$D212="AP07"),"NÃO (modelo B)","SIM")))</f>
        <v>SIM</v>
      </c>
      <c r="K212" s="13" t="s">
        <v>325</v>
      </c>
      <c r="L212" s="13"/>
    </row>
    <row r="213" customFormat="false" ht="15" hidden="false" customHeight="false" outlineLevel="0" collapsed="false">
      <c r="A213" s="15" t="s">
        <v>98</v>
      </c>
      <c r="B213" s="11" t="str">
        <f aca="false">INDEX(PRODUTOS!$E$4:$E$63,MATCH($A213,PRODUTOS!$B$4:$B$63,0))</f>
        <v>New Dots Ração Seca Premium para Gatos Adultos Castrados - 20 kg</v>
      </c>
      <c r="C213" s="11" t="str">
        <f aca="false">INDEX(PRODUTOS!$H$4:$H$63,MATCH($A213,PRODUTOS!$B$4:$B$63,0))</f>
        <v>20 kg</v>
      </c>
      <c r="D213" s="11" t="s">
        <v>330</v>
      </c>
      <c r="E213" s="16" t="str">
        <f aca="false">$A213&amp;"."&amp;$D213&amp;".jpg"</f>
        <v>7908591300666.PT05.jpg</v>
      </c>
      <c r="F213" s="11" t="str">
        <f aca="false">IF(INDEX(PRODUTOS!$I$4:$I$63,MATCH($A213,PRODUTOS!$B$4:$B$63,0))="B",INDEX(MODELOS!$F$3:$F$19,MATCH($D213,MODELOS!$A$3:$A$19,0)),INDEX(MODELOS!$B$3:$B$19,MATCH($D213,MODELOS!$A$3:$A$19,0)))</f>
        <v>Galeria · posição 6</v>
      </c>
      <c r="G213" s="11" t="str">
        <f aca="false">IF(INDEX(PRODUTOS!$F$4:$F$63,MATCH($A213,PRODUTOS!$B$4:$B$63,0))="Ração",IF(INDEX(PRODUTOS!$I$4:$I$63,MATCH($A213,PRODUTOS!$B$4:$B$63,0))="B",INDEX(MODELOS!$G$3:$G$19,MATCH($D213,MODELOS!$A$3:$A$19,0)),INDEX(MODELOS!$C$3:$C$19,MATCH($D213,MODELOS!$A$3:$A$19,0))),IF(INDEX(PRODUTOS!$I$4:$I$63,MATCH($A213,PRODUTOS!$B$4:$B$63,0))="B",INDEX(MODELOS!$H$3:$H$19,MATCH($D213,MODELOS!$A$3:$A$19,0)),INDEX(MODELOS!$D$3:$D$19,MATCH($D213,MODELOS!$A$3:$A$19,0))))</f>
        <v>Transição alimentar dia a dia (igual ao verso da embalagem)</v>
      </c>
      <c r="H213" s="11" t="str">
        <f aca="false">IF(INDEX(PRODUTOS!$I$4:$I$63,MATCH($A213,PRODUTOS!$B$4:$B$63,0))="B",INDEX(MODELOS!$I$3:$I$19,MATCH($D213,MODELOS!$A$3:$A$19,0)),INDEX(MODELOS!$E$3:$E$19,MATCH($D213,MODELOS!$A$3:$A$19,0)))</f>
        <v>2000 × 2000</v>
      </c>
      <c r="I213" s="11" t="str">
        <f aca="false">INDEX(MODELOS!$J$3:$J$19,MATCH($D213,MODELOS!$A$3:$A$19,0))</f>
        <v>Recomendada</v>
      </c>
      <c r="J213" s="11" t="str">
        <f aca="false">IF(LEFT($D213,2)&lt;&gt;"AP",IF($I213="SIM","SIM","RECOMENDADA"),IF(INDEX(PRODUTOS!$J$4:$J$63,MATCH($A213,PRODUTOS!$B$4:$B$63,0))&lt;&gt;"","NÃO (usa o A+ do EAN "&amp;INDEX(PRODUTOS!$J$4:$J$63,MATCH($A213,PRODUTOS!$B$4:$B$63,0))&amp;")",IF(AND(INDEX(PRODUTOS!$I$4:$I$63,MATCH($A213,PRODUTOS!$B$4:$B$63,0))="B",$D213="AP07"),"NÃO (modelo B)","SIM")))</f>
        <v>RECOMENDADA</v>
      </c>
      <c r="K213" s="13" t="s">
        <v>325</v>
      </c>
      <c r="L213" s="13"/>
    </row>
    <row r="214" customFormat="false" ht="15" hidden="false" customHeight="false" outlineLevel="0" collapsed="false">
      <c r="A214" s="15" t="s">
        <v>98</v>
      </c>
      <c r="B214" s="11" t="str">
        <f aca="false">INDEX(PRODUTOS!$E$4:$E$63,MATCH($A214,PRODUTOS!$B$4:$B$63,0))</f>
        <v>New Dots Ração Seca Premium para Gatos Adultos Castrados - 20 kg</v>
      </c>
      <c r="C214" s="11" t="str">
        <f aca="false">INDEX(PRODUTOS!$H$4:$H$63,MATCH($A214,PRODUTOS!$B$4:$B$63,0))</f>
        <v>20 kg</v>
      </c>
      <c r="D214" s="11" t="s">
        <v>331</v>
      </c>
      <c r="E214" s="16" t="str">
        <f aca="false">$A214&amp;"."&amp;$D214&amp;".jpg"</f>
        <v>7908591300666.PT06.jpg</v>
      </c>
      <c r="F214" s="11" t="str">
        <f aca="false">IF(INDEX(PRODUTOS!$I$4:$I$63,MATCH($A214,PRODUTOS!$B$4:$B$63,0))="B",INDEX(MODELOS!$F$3:$F$19,MATCH($D214,MODELOS!$A$3:$A$19,0)),INDEX(MODELOS!$B$3:$B$19,MATCH($D214,MODELOS!$A$3:$A$19,0)))</f>
        <v>Galeria · posição 7</v>
      </c>
      <c r="G214" s="11" t="str">
        <f aca="false">IF(INDEX(PRODUTOS!$F$4:$F$63,MATCH($A214,PRODUTOS!$B$4:$B$63,0))="Ração",IF(INDEX(PRODUTOS!$I$4:$I$63,MATCH($A214,PRODUTOS!$B$4:$B$63,0))="B",INDEX(MODELOS!$G$3:$G$19,MATCH($D214,MODELOS!$A$3:$A$19,0)),INDEX(MODELOS!$C$3:$C$19,MATCH($D214,MODELOS!$A$3:$A$19,0))),IF(INDEX(PRODUTOS!$I$4:$I$63,MATCH($A214,PRODUTOS!$B$4:$B$63,0))="B",INDEX(MODELOS!$H$3:$H$19,MATCH($D214,MODELOS!$A$3:$A$19,0)),INDEX(MODELOS!$D$3:$D$19,MATCH($D214,MODELOS!$A$3:$A$19,0))))</f>
        <v>Composição e níveis de garantia em letra grande</v>
      </c>
      <c r="H214" s="11" t="str">
        <f aca="false">IF(INDEX(PRODUTOS!$I$4:$I$63,MATCH($A214,PRODUTOS!$B$4:$B$63,0))="B",INDEX(MODELOS!$I$3:$I$19,MATCH($D214,MODELOS!$A$3:$A$19,0)),INDEX(MODELOS!$E$3:$E$19,MATCH($D214,MODELOS!$A$3:$A$19,0)))</f>
        <v>2000 × 2000</v>
      </c>
      <c r="I214" s="11" t="str">
        <f aca="false">INDEX(MODELOS!$J$3:$J$19,MATCH($D214,MODELOS!$A$3:$A$19,0))</f>
        <v>SIM</v>
      </c>
      <c r="J214" s="11" t="str">
        <f aca="false">IF(LEFT($D214,2)&lt;&gt;"AP",IF($I214="SIM","SIM","RECOMENDADA"),IF(INDEX(PRODUTOS!$J$4:$J$63,MATCH($A214,PRODUTOS!$B$4:$B$63,0))&lt;&gt;"","NÃO (usa o A+ do EAN "&amp;INDEX(PRODUTOS!$J$4:$J$63,MATCH($A214,PRODUTOS!$B$4:$B$63,0))&amp;")",IF(AND(INDEX(PRODUTOS!$I$4:$I$63,MATCH($A214,PRODUTOS!$B$4:$B$63,0))="B",$D214="AP07"),"NÃO (modelo B)","SIM")))</f>
        <v>SIM</v>
      </c>
      <c r="K214" s="13" t="s">
        <v>325</v>
      </c>
      <c r="L214" s="13"/>
    </row>
    <row r="215" customFormat="false" ht="15" hidden="false" customHeight="false" outlineLevel="0" collapsed="false">
      <c r="A215" s="15" t="s">
        <v>98</v>
      </c>
      <c r="B215" s="11" t="str">
        <f aca="false">INDEX(PRODUTOS!$E$4:$E$63,MATCH($A215,PRODUTOS!$B$4:$B$63,0))</f>
        <v>New Dots Ração Seca Premium para Gatos Adultos Castrados - 20 kg</v>
      </c>
      <c r="C215" s="11" t="str">
        <f aca="false">INDEX(PRODUTOS!$H$4:$H$63,MATCH($A215,PRODUTOS!$B$4:$B$63,0))</f>
        <v>20 kg</v>
      </c>
      <c r="D215" s="11" t="s">
        <v>332</v>
      </c>
      <c r="E215" s="16" t="str">
        <f aca="false">$A215&amp;"."&amp;$D215&amp;".jpg"</f>
        <v>7908591300666.PT07.jpg</v>
      </c>
      <c r="F215" s="11" t="str">
        <f aca="false">IF(INDEX(PRODUTOS!$I$4:$I$63,MATCH($A215,PRODUTOS!$B$4:$B$63,0))="B",INDEX(MODELOS!$F$3:$F$19,MATCH($D215,MODELOS!$A$3:$A$19,0)),INDEX(MODELOS!$B$3:$B$19,MATCH($D215,MODELOS!$A$3:$A$19,0)))</f>
        <v>Galeria · posição 8</v>
      </c>
      <c r="G215" s="11" t="str">
        <f aca="false">IF(INDEX(PRODUTOS!$F$4:$F$63,MATCH($A215,PRODUTOS!$B$4:$B$63,0))="Ração",IF(INDEX(PRODUTOS!$I$4:$I$63,MATCH($A215,PRODUTOS!$B$4:$B$63,0))="B",INDEX(MODELOS!$G$3:$G$19,MATCH($D215,MODELOS!$A$3:$A$19,0)),INDEX(MODELOS!$C$3:$C$19,MATCH($D215,MODELOS!$A$3:$A$19,0))),IF(INDEX(PRODUTOS!$I$4:$I$63,MATCH($A215,PRODUTOS!$B$4:$B$63,0))="B",INDEX(MODELOS!$H$3:$H$19,MATCH($D215,MODELOS!$A$3:$A$19,0)),INDEX(MODELOS!$D$3:$D$19,MATCH($D215,MODELOS!$A$3:$A$19,0))))</f>
        <v>Emocional / momento de uso (pet do porte certo, pote cheio)</v>
      </c>
      <c r="H215" s="11" t="str">
        <f aca="false">IF(INDEX(PRODUTOS!$I$4:$I$63,MATCH($A215,PRODUTOS!$B$4:$B$63,0))="B",INDEX(MODELOS!$I$3:$I$19,MATCH($D215,MODELOS!$A$3:$A$19,0)),INDEX(MODELOS!$E$3:$E$19,MATCH($D215,MODELOS!$A$3:$A$19,0)))</f>
        <v>2000 × 2000</v>
      </c>
      <c r="I215" s="11" t="str">
        <f aca="false">INDEX(MODELOS!$J$3:$J$19,MATCH($D215,MODELOS!$A$3:$A$19,0))</f>
        <v>Recomendada</v>
      </c>
      <c r="J215" s="11" t="str">
        <f aca="false">IF(LEFT($D215,2)&lt;&gt;"AP",IF($I215="SIM","SIM","RECOMENDADA"),IF(INDEX(PRODUTOS!$J$4:$J$63,MATCH($A215,PRODUTOS!$B$4:$B$63,0))&lt;&gt;"","NÃO (usa o A+ do EAN "&amp;INDEX(PRODUTOS!$J$4:$J$63,MATCH($A215,PRODUTOS!$B$4:$B$63,0))&amp;")",IF(AND(INDEX(PRODUTOS!$I$4:$I$63,MATCH($A215,PRODUTOS!$B$4:$B$63,0))="B",$D215="AP07"),"NÃO (modelo B)","SIM")))</f>
        <v>RECOMENDADA</v>
      </c>
      <c r="K215" s="13" t="s">
        <v>325</v>
      </c>
      <c r="L215" s="13"/>
    </row>
    <row r="216" customFormat="false" ht="15" hidden="false" customHeight="false" outlineLevel="0" collapsed="false">
      <c r="A216" s="15" t="s">
        <v>98</v>
      </c>
      <c r="B216" s="11" t="str">
        <f aca="false">INDEX(PRODUTOS!$E$4:$E$63,MATCH($A216,PRODUTOS!$B$4:$B$63,0))</f>
        <v>New Dots Ração Seca Premium para Gatos Adultos Castrados - 20 kg</v>
      </c>
      <c r="C216" s="11" t="str">
        <f aca="false">INDEX(PRODUTOS!$H$4:$H$63,MATCH($A216,PRODUTOS!$B$4:$B$63,0))</f>
        <v>20 kg</v>
      </c>
      <c r="D216" s="11" t="s">
        <v>333</v>
      </c>
      <c r="E216" s="16" t="str">
        <f aca="false">$A216&amp;"."&amp;$D216&amp;".jpg"</f>
        <v>7908591300666.PT08.jpg</v>
      </c>
      <c r="F216" s="11" t="str">
        <f aca="false">IF(INDEX(PRODUTOS!$I$4:$I$63,MATCH($A216,PRODUTOS!$B$4:$B$63,0))="B",INDEX(MODELOS!$F$3:$F$19,MATCH($D216,MODELOS!$A$3:$A$19,0)),INDEX(MODELOS!$B$3:$B$19,MATCH($D216,MODELOS!$A$3:$A$19,0)))</f>
        <v>Galeria · posição 9</v>
      </c>
      <c r="G216" s="11" t="str">
        <f aca="false">IF(INDEX(PRODUTOS!$F$4:$F$63,MATCH($A216,PRODUTOS!$B$4:$B$63,0))="Ração",IF(INDEX(PRODUTOS!$I$4:$I$63,MATCH($A216,PRODUTOS!$B$4:$B$63,0))="B",INDEX(MODELOS!$G$3:$G$19,MATCH($D216,MODELOS!$A$3:$A$19,0)),INDEX(MODELOS!$C$3:$C$19,MATCH($D216,MODELOS!$A$3:$A$19,0))),IF(INDEX(PRODUTOS!$I$4:$I$63,MATCH($A216,PRODUTOS!$B$4:$B$63,0))="B",INDEX(MODELOS!$H$3:$H$19,MATCH($D216,MODELOS!$A$3:$A$19,0)),INDEX(MODELOS!$D$3:$D$19,MATCH($D216,MODELOS!$A$3:$A$19,0))))</f>
        <v>Linha da marca ou embalagem anterior × nova</v>
      </c>
      <c r="H216" s="11" t="str">
        <f aca="false">IF(INDEX(PRODUTOS!$I$4:$I$63,MATCH($A216,PRODUTOS!$B$4:$B$63,0))="B",INDEX(MODELOS!$I$3:$I$19,MATCH($D216,MODELOS!$A$3:$A$19,0)),INDEX(MODELOS!$E$3:$E$19,MATCH($D216,MODELOS!$A$3:$A$19,0)))</f>
        <v>2000 × 2000</v>
      </c>
      <c r="I216" s="11" t="str">
        <f aca="false">INDEX(MODELOS!$J$3:$J$19,MATCH($D216,MODELOS!$A$3:$A$19,0))</f>
        <v>Recomendada</v>
      </c>
      <c r="J216" s="11" t="str">
        <f aca="false">IF(LEFT($D216,2)&lt;&gt;"AP",IF($I216="SIM","SIM","RECOMENDADA"),IF(INDEX(PRODUTOS!$J$4:$J$63,MATCH($A216,PRODUTOS!$B$4:$B$63,0))&lt;&gt;"","NÃO (usa o A+ do EAN "&amp;INDEX(PRODUTOS!$J$4:$J$63,MATCH($A216,PRODUTOS!$B$4:$B$63,0))&amp;")",IF(AND(INDEX(PRODUTOS!$I$4:$I$63,MATCH($A216,PRODUTOS!$B$4:$B$63,0))="B",$D216="AP07"),"NÃO (modelo B)","SIM")))</f>
        <v>RECOMENDADA</v>
      </c>
      <c r="K216" s="13" t="s">
        <v>325</v>
      </c>
      <c r="L216" s="13"/>
    </row>
    <row r="217" customFormat="false" ht="15" hidden="false" customHeight="false" outlineLevel="0" collapsed="false">
      <c r="A217" s="15" t="s">
        <v>98</v>
      </c>
      <c r="B217" s="11" t="str">
        <f aca="false">INDEX(PRODUTOS!$E$4:$E$63,MATCH($A217,PRODUTOS!$B$4:$B$63,0))</f>
        <v>New Dots Ração Seca Premium para Gatos Adultos Castrados - 20 kg</v>
      </c>
      <c r="C217" s="11" t="str">
        <f aca="false">INDEX(PRODUTOS!$H$4:$H$63,MATCH($A217,PRODUTOS!$B$4:$B$63,0))</f>
        <v>20 kg</v>
      </c>
      <c r="D217" s="11" t="s">
        <v>334</v>
      </c>
      <c r="E217" s="16" t="str">
        <f aca="false">$A217&amp;"."&amp;$D217&amp;".jpg"</f>
        <v>7908591300666.AP01.jpg</v>
      </c>
      <c r="F217" s="11" t="str">
        <f aca="false">IF(INDEX(PRODUTOS!$I$4:$I$63,MATCH($A217,PRODUTOS!$B$4:$B$63,0))="B",INDEX(MODELOS!$F$3:$F$19,MATCH($D217,MODELOS!$A$3:$A$19,0)),INDEX(MODELOS!$B$3:$B$19,MATCH($D217,MODELOS!$A$3:$A$19,0)))</f>
        <v>A+ · Módulo 1 · Banner</v>
      </c>
      <c r="G217" s="11" t="str">
        <f aca="false">IF(INDEX(PRODUTOS!$F$4:$F$63,MATCH($A217,PRODUTOS!$B$4:$B$63,0))="Ração",IF(INDEX(PRODUTOS!$I$4:$I$63,MATCH($A217,PRODUTOS!$B$4:$B$63,0))="B",INDEX(MODELOS!$G$3:$G$19,MATCH($D217,MODELOS!$A$3:$A$19,0)),INDEX(MODELOS!$C$3:$C$19,MATCH($D217,MODELOS!$A$3:$A$19,0))),IF(INDEX(PRODUTOS!$I$4:$I$63,MATCH($A217,PRODUTOS!$B$4:$B$63,0))="B",INDEX(MODELOS!$H$3:$H$19,MATCH($D217,MODELOS!$A$3:$A$19,0)),INDEX(MODELOS!$D$3:$D$19,MATCH($D217,MODELOS!$A$3:$A$19,0))))</f>
        <v>Embalagem + pet + ingredientes, com o nome da linha</v>
      </c>
      <c r="H217" s="11" t="str">
        <f aca="false">IF(INDEX(PRODUTOS!$I$4:$I$63,MATCH($A217,PRODUTOS!$B$4:$B$63,0))="B",INDEX(MODELOS!$I$3:$I$19,MATCH($D217,MODELOS!$A$3:$A$19,0)),INDEX(MODELOS!$E$3:$E$19,MATCH($D217,MODELOS!$A$3:$A$19,0)))</f>
        <v>970 × 600</v>
      </c>
      <c r="I217" s="11" t="str">
        <f aca="false">INDEX(MODELOS!$J$3:$J$19,MATCH($D217,MODELOS!$A$3:$A$19,0))</f>
        <v>Conforme modelo</v>
      </c>
      <c r="J217" s="11" t="str">
        <f aca="false">IF(LEFT($D217,2)&lt;&gt;"AP",IF($I217="SIM","SIM","RECOMENDADA"),IF(INDEX(PRODUTOS!$J$4:$J$63,MATCH($A217,PRODUTOS!$B$4:$B$63,0))&lt;&gt;"","NÃO (usa o A+ do EAN "&amp;INDEX(PRODUTOS!$J$4:$J$63,MATCH($A217,PRODUTOS!$B$4:$B$63,0))&amp;")",IF(AND(INDEX(PRODUTOS!$I$4:$I$63,MATCH($A217,PRODUTOS!$B$4:$B$63,0))="B",$D217="AP07"),"NÃO (modelo B)","SIM")))</f>
        <v>SIM</v>
      </c>
      <c r="K217" s="13" t="s">
        <v>325</v>
      </c>
      <c r="L217" s="13"/>
    </row>
    <row r="218" customFormat="false" ht="15" hidden="false" customHeight="false" outlineLevel="0" collapsed="false">
      <c r="A218" s="15" t="s">
        <v>98</v>
      </c>
      <c r="B218" s="11" t="str">
        <f aca="false">INDEX(PRODUTOS!$E$4:$E$63,MATCH($A218,PRODUTOS!$B$4:$B$63,0))</f>
        <v>New Dots Ração Seca Premium para Gatos Adultos Castrados - 20 kg</v>
      </c>
      <c r="C218" s="11" t="str">
        <f aca="false">INDEX(PRODUTOS!$H$4:$H$63,MATCH($A218,PRODUTOS!$B$4:$B$63,0))</f>
        <v>20 kg</v>
      </c>
      <c r="D218" s="11" t="s">
        <v>335</v>
      </c>
      <c r="E218" s="16" t="str">
        <f aca="false">$A218&amp;"."&amp;$D218&amp;".jpg"</f>
        <v>7908591300666.AP02.jpg</v>
      </c>
      <c r="F218" s="11" t="str">
        <f aca="false">IF(INDEX(PRODUTOS!$I$4:$I$63,MATCH($A218,PRODUTOS!$B$4:$B$63,0))="B",INDEX(MODELOS!$F$3:$F$19,MATCH($D218,MODELOS!$A$3:$A$19,0)),INDEX(MODELOS!$B$3:$B$19,MATCH($D218,MODELOS!$A$3:$A$19,0)))</f>
        <v>A+ · Módulo 2 · Texto sobreposto</v>
      </c>
      <c r="G218" s="11" t="str">
        <f aca="false">IF(INDEX(PRODUTOS!$F$4:$F$63,MATCH($A218,PRODUTOS!$B$4:$B$63,0))="Ração",IF(INDEX(PRODUTOS!$I$4:$I$63,MATCH($A218,PRODUTOS!$B$4:$B$63,0))="B",INDEX(MODELOS!$G$3:$G$19,MATCH($D218,MODELOS!$A$3:$A$19,0)),INDEX(MODELOS!$C$3:$C$19,MATCH($D218,MODELOS!$A$3:$A$19,0))),IF(INDEX(PRODUTOS!$I$4:$I$63,MATCH($A218,PRODUTOS!$B$4:$B$63,0))="B",INDEX(MODELOS!$H$3:$H$19,MATCH($D218,MODELOS!$A$3:$A$19,0)),INDEX(MODELOS!$D$3:$D$19,MATCH($D218,MODELOS!$A$3:$A$19,0))))</f>
        <v>Principal diferencial; deixar o lado direito limpo</v>
      </c>
      <c r="H218" s="11" t="str">
        <f aca="false">IF(INDEX(PRODUTOS!$I$4:$I$63,MATCH($A218,PRODUTOS!$B$4:$B$63,0))="B",INDEX(MODELOS!$I$3:$I$19,MATCH($D218,MODELOS!$A$3:$A$19,0)),INDEX(MODELOS!$E$3:$E$19,MATCH($D218,MODELOS!$A$3:$A$19,0)))</f>
        <v>970 × 300</v>
      </c>
      <c r="I218" s="11" t="str">
        <f aca="false">INDEX(MODELOS!$J$3:$J$19,MATCH($D218,MODELOS!$A$3:$A$19,0))</f>
        <v>Conforme modelo</v>
      </c>
      <c r="J218" s="11" t="str">
        <f aca="false">IF(LEFT($D218,2)&lt;&gt;"AP",IF($I218="SIM","SIM","RECOMENDADA"),IF(INDEX(PRODUTOS!$J$4:$J$63,MATCH($A218,PRODUTOS!$B$4:$B$63,0))&lt;&gt;"","NÃO (usa o A+ do EAN "&amp;INDEX(PRODUTOS!$J$4:$J$63,MATCH($A218,PRODUTOS!$B$4:$B$63,0))&amp;")",IF(AND(INDEX(PRODUTOS!$I$4:$I$63,MATCH($A218,PRODUTOS!$B$4:$B$63,0))="B",$D218="AP07"),"NÃO (modelo B)","SIM")))</f>
        <v>SIM</v>
      </c>
      <c r="K218" s="13" t="s">
        <v>325</v>
      </c>
      <c r="L218" s="13"/>
    </row>
    <row r="219" customFormat="false" ht="15" hidden="false" customHeight="false" outlineLevel="0" collapsed="false">
      <c r="A219" s="15" t="s">
        <v>98</v>
      </c>
      <c r="B219" s="11" t="str">
        <f aca="false">INDEX(PRODUTOS!$E$4:$E$63,MATCH($A219,PRODUTOS!$B$4:$B$63,0))</f>
        <v>New Dots Ração Seca Premium para Gatos Adultos Castrados - 20 kg</v>
      </c>
      <c r="C219" s="11" t="str">
        <f aca="false">INDEX(PRODUTOS!$H$4:$H$63,MATCH($A219,PRODUTOS!$B$4:$B$63,0))</f>
        <v>20 kg</v>
      </c>
      <c r="D219" s="11" t="s">
        <v>336</v>
      </c>
      <c r="E219" s="16" t="str">
        <f aca="false">$A219&amp;"."&amp;$D219&amp;".jpg"</f>
        <v>7908591300666.AP03.jpg</v>
      </c>
      <c r="F219" s="11" t="str">
        <f aca="false">IF(INDEX(PRODUTOS!$I$4:$I$63,MATCH($A219,PRODUTOS!$B$4:$B$63,0))="B",INDEX(MODELOS!$F$3:$F$19,MATCH($D219,MODELOS!$A$3:$A$19,0)),INDEX(MODELOS!$B$3:$B$19,MATCH($D219,MODELOS!$A$3:$A$19,0)))</f>
        <v>A+ · Módulo 3 · Benefício 1 de 4</v>
      </c>
      <c r="G219" s="11" t="str">
        <f aca="false">IF(INDEX(PRODUTOS!$F$4:$F$63,MATCH($A219,PRODUTOS!$B$4:$B$63,0))="Ração",IF(INDEX(PRODUTOS!$I$4:$I$63,MATCH($A219,PRODUTOS!$B$4:$B$63,0))="B",INDEX(MODELOS!$G$3:$G$19,MATCH($D219,MODELOS!$A$3:$A$19,0)),INDEX(MODELOS!$C$3:$C$19,MATCH($D219,MODELOS!$A$3:$A$19,0))),IF(INDEX(PRODUTOS!$I$4:$I$63,MATCH($A219,PRODUTOS!$B$4:$B$63,0))="B",INDEX(MODELOS!$H$3:$H$19,MATCH($D219,MODELOS!$A$3:$A$19,0)),INDEX(MODELOS!$D$3:$D$19,MATCH($D219,MODELOS!$A$3:$A$19,0))))</f>
        <v>Foto/ilustração do benefício 1</v>
      </c>
      <c r="H219" s="11" t="str">
        <f aca="false">IF(INDEX(PRODUTOS!$I$4:$I$63,MATCH($A219,PRODUTOS!$B$4:$B$63,0))="B",INDEX(MODELOS!$I$3:$I$19,MATCH($D219,MODELOS!$A$3:$A$19,0)),INDEX(MODELOS!$E$3:$E$19,MATCH($D219,MODELOS!$A$3:$A$19,0)))</f>
        <v>220 × 200</v>
      </c>
      <c r="I219" s="11" t="str">
        <f aca="false">INDEX(MODELOS!$J$3:$J$19,MATCH($D219,MODELOS!$A$3:$A$19,0))</f>
        <v>Conforme modelo</v>
      </c>
      <c r="J219" s="11" t="str">
        <f aca="false">IF(LEFT($D219,2)&lt;&gt;"AP",IF($I219="SIM","SIM","RECOMENDADA"),IF(INDEX(PRODUTOS!$J$4:$J$63,MATCH($A219,PRODUTOS!$B$4:$B$63,0))&lt;&gt;"","NÃO (usa o A+ do EAN "&amp;INDEX(PRODUTOS!$J$4:$J$63,MATCH($A219,PRODUTOS!$B$4:$B$63,0))&amp;")",IF(AND(INDEX(PRODUTOS!$I$4:$I$63,MATCH($A219,PRODUTOS!$B$4:$B$63,0))="B",$D219="AP07"),"NÃO (modelo B)","SIM")))</f>
        <v>SIM</v>
      </c>
      <c r="K219" s="13" t="s">
        <v>325</v>
      </c>
      <c r="L219" s="13"/>
    </row>
    <row r="220" customFormat="false" ht="15" hidden="false" customHeight="false" outlineLevel="0" collapsed="false">
      <c r="A220" s="15" t="s">
        <v>98</v>
      </c>
      <c r="B220" s="11" t="str">
        <f aca="false">INDEX(PRODUTOS!$E$4:$E$63,MATCH($A220,PRODUTOS!$B$4:$B$63,0))</f>
        <v>New Dots Ração Seca Premium para Gatos Adultos Castrados - 20 kg</v>
      </c>
      <c r="C220" s="11" t="str">
        <f aca="false">INDEX(PRODUTOS!$H$4:$H$63,MATCH($A220,PRODUTOS!$B$4:$B$63,0))</f>
        <v>20 kg</v>
      </c>
      <c r="D220" s="11" t="s">
        <v>337</v>
      </c>
      <c r="E220" s="16" t="str">
        <f aca="false">$A220&amp;"."&amp;$D220&amp;".jpg"</f>
        <v>7908591300666.AP04.jpg</v>
      </c>
      <c r="F220" s="11" t="str">
        <f aca="false">IF(INDEX(PRODUTOS!$I$4:$I$63,MATCH($A220,PRODUTOS!$B$4:$B$63,0))="B",INDEX(MODELOS!$F$3:$F$19,MATCH($D220,MODELOS!$A$3:$A$19,0)),INDEX(MODELOS!$B$3:$B$19,MATCH($D220,MODELOS!$A$3:$A$19,0)))</f>
        <v>A+ · Módulo 3 · Benefício 2 de 4</v>
      </c>
      <c r="G220" s="11" t="str">
        <f aca="false">IF(INDEX(PRODUTOS!$F$4:$F$63,MATCH($A220,PRODUTOS!$B$4:$B$63,0))="Ração",IF(INDEX(PRODUTOS!$I$4:$I$63,MATCH($A220,PRODUTOS!$B$4:$B$63,0))="B",INDEX(MODELOS!$G$3:$G$19,MATCH($D220,MODELOS!$A$3:$A$19,0)),INDEX(MODELOS!$C$3:$C$19,MATCH($D220,MODELOS!$A$3:$A$19,0))),IF(INDEX(PRODUTOS!$I$4:$I$63,MATCH($A220,PRODUTOS!$B$4:$B$63,0))="B",INDEX(MODELOS!$H$3:$H$19,MATCH($D220,MODELOS!$A$3:$A$19,0)),INDEX(MODELOS!$D$3:$D$19,MATCH($D220,MODELOS!$A$3:$A$19,0))))</f>
        <v>Foto/ilustração do benefício 2</v>
      </c>
      <c r="H220" s="11" t="str">
        <f aca="false">IF(INDEX(PRODUTOS!$I$4:$I$63,MATCH($A220,PRODUTOS!$B$4:$B$63,0))="B",INDEX(MODELOS!$I$3:$I$19,MATCH($D220,MODELOS!$A$3:$A$19,0)),INDEX(MODELOS!$E$3:$E$19,MATCH($D220,MODELOS!$A$3:$A$19,0)))</f>
        <v>220 × 200</v>
      </c>
      <c r="I220" s="11" t="str">
        <f aca="false">INDEX(MODELOS!$J$3:$J$19,MATCH($D220,MODELOS!$A$3:$A$19,0))</f>
        <v>Conforme modelo</v>
      </c>
      <c r="J220" s="11" t="str">
        <f aca="false">IF(LEFT($D220,2)&lt;&gt;"AP",IF($I220="SIM","SIM","RECOMENDADA"),IF(INDEX(PRODUTOS!$J$4:$J$63,MATCH($A220,PRODUTOS!$B$4:$B$63,0))&lt;&gt;"","NÃO (usa o A+ do EAN "&amp;INDEX(PRODUTOS!$J$4:$J$63,MATCH($A220,PRODUTOS!$B$4:$B$63,0))&amp;")",IF(AND(INDEX(PRODUTOS!$I$4:$I$63,MATCH($A220,PRODUTOS!$B$4:$B$63,0))="B",$D220="AP07"),"NÃO (modelo B)","SIM")))</f>
        <v>SIM</v>
      </c>
      <c r="K220" s="13" t="s">
        <v>325</v>
      </c>
      <c r="L220" s="13"/>
    </row>
    <row r="221" customFormat="false" ht="15" hidden="false" customHeight="false" outlineLevel="0" collapsed="false">
      <c r="A221" s="15" t="s">
        <v>98</v>
      </c>
      <c r="B221" s="11" t="str">
        <f aca="false">INDEX(PRODUTOS!$E$4:$E$63,MATCH($A221,PRODUTOS!$B$4:$B$63,0))</f>
        <v>New Dots Ração Seca Premium para Gatos Adultos Castrados - 20 kg</v>
      </c>
      <c r="C221" s="11" t="str">
        <f aca="false">INDEX(PRODUTOS!$H$4:$H$63,MATCH($A221,PRODUTOS!$B$4:$B$63,0))</f>
        <v>20 kg</v>
      </c>
      <c r="D221" s="11" t="s">
        <v>338</v>
      </c>
      <c r="E221" s="16" t="str">
        <f aca="false">$A221&amp;"."&amp;$D221&amp;".jpg"</f>
        <v>7908591300666.AP05.jpg</v>
      </c>
      <c r="F221" s="11" t="str">
        <f aca="false">IF(INDEX(PRODUTOS!$I$4:$I$63,MATCH($A221,PRODUTOS!$B$4:$B$63,0))="B",INDEX(MODELOS!$F$3:$F$19,MATCH($D221,MODELOS!$A$3:$A$19,0)),INDEX(MODELOS!$B$3:$B$19,MATCH($D221,MODELOS!$A$3:$A$19,0)))</f>
        <v>A+ · Módulo 3 · Benefício 3 de 4</v>
      </c>
      <c r="G221" s="11" t="str">
        <f aca="false">IF(INDEX(PRODUTOS!$F$4:$F$63,MATCH($A221,PRODUTOS!$B$4:$B$63,0))="Ração",IF(INDEX(PRODUTOS!$I$4:$I$63,MATCH($A221,PRODUTOS!$B$4:$B$63,0))="B",INDEX(MODELOS!$G$3:$G$19,MATCH($D221,MODELOS!$A$3:$A$19,0)),INDEX(MODELOS!$C$3:$C$19,MATCH($D221,MODELOS!$A$3:$A$19,0))),IF(INDEX(PRODUTOS!$I$4:$I$63,MATCH($A221,PRODUTOS!$B$4:$B$63,0))="B",INDEX(MODELOS!$H$3:$H$19,MATCH($D221,MODELOS!$A$3:$A$19,0)),INDEX(MODELOS!$D$3:$D$19,MATCH($D221,MODELOS!$A$3:$A$19,0))))</f>
        <v>Foto/ilustração do benefício 3</v>
      </c>
      <c r="H221" s="11" t="str">
        <f aca="false">IF(INDEX(PRODUTOS!$I$4:$I$63,MATCH($A221,PRODUTOS!$B$4:$B$63,0))="B",INDEX(MODELOS!$I$3:$I$19,MATCH($D221,MODELOS!$A$3:$A$19,0)),INDEX(MODELOS!$E$3:$E$19,MATCH($D221,MODELOS!$A$3:$A$19,0)))</f>
        <v>220 × 200</v>
      </c>
      <c r="I221" s="11" t="str">
        <f aca="false">INDEX(MODELOS!$J$3:$J$19,MATCH($D221,MODELOS!$A$3:$A$19,0))</f>
        <v>Conforme modelo</v>
      </c>
      <c r="J221" s="11" t="str">
        <f aca="false">IF(LEFT($D221,2)&lt;&gt;"AP",IF($I221="SIM","SIM","RECOMENDADA"),IF(INDEX(PRODUTOS!$J$4:$J$63,MATCH($A221,PRODUTOS!$B$4:$B$63,0))&lt;&gt;"","NÃO (usa o A+ do EAN "&amp;INDEX(PRODUTOS!$J$4:$J$63,MATCH($A221,PRODUTOS!$B$4:$B$63,0))&amp;")",IF(AND(INDEX(PRODUTOS!$I$4:$I$63,MATCH($A221,PRODUTOS!$B$4:$B$63,0))="B",$D221="AP07"),"NÃO (modelo B)","SIM")))</f>
        <v>SIM</v>
      </c>
      <c r="K221" s="13" t="s">
        <v>325</v>
      </c>
      <c r="L221" s="13"/>
    </row>
    <row r="222" customFormat="false" ht="15" hidden="false" customHeight="false" outlineLevel="0" collapsed="false">
      <c r="A222" s="15" t="s">
        <v>98</v>
      </c>
      <c r="B222" s="11" t="str">
        <f aca="false">INDEX(PRODUTOS!$E$4:$E$63,MATCH($A222,PRODUTOS!$B$4:$B$63,0))</f>
        <v>New Dots Ração Seca Premium para Gatos Adultos Castrados - 20 kg</v>
      </c>
      <c r="C222" s="11" t="str">
        <f aca="false">INDEX(PRODUTOS!$H$4:$H$63,MATCH($A222,PRODUTOS!$B$4:$B$63,0))</f>
        <v>20 kg</v>
      </c>
      <c r="D222" s="11" t="s">
        <v>339</v>
      </c>
      <c r="E222" s="16" t="str">
        <f aca="false">$A222&amp;"."&amp;$D222&amp;".jpg"</f>
        <v>7908591300666.AP06.jpg</v>
      </c>
      <c r="F222" s="11" t="str">
        <f aca="false">IF(INDEX(PRODUTOS!$I$4:$I$63,MATCH($A222,PRODUTOS!$B$4:$B$63,0))="B",INDEX(MODELOS!$F$3:$F$19,MATCH($D222,MODELOS!$A$3:$A$19,0)),INDEX(MODELOS!$B$3:$B$19,MATCH($D222,MODELOS!$A$3:$A$19,0)))</f>
        <v>A+ · Módulo 3 · Benefício 4 de 4</v>
      </c>
      <c r="G222" s="11" t="str">
        <f aca="false">IF(INDEX(PRODUTOS!$F$4:$F$63,MATCH($A222,PRODUTOS!$B$4:$B$63,0))="Ração",IF(INDEX(PRODUTOS!$I$4:$I$63,MATCH($A222,PRODUTOS!$B$4:$B$63,0))="B",INDEX(MODELOS!$G$3:$G$19,MATCH($D222,MODELOS!$A$3:$A$19,0)),INDEX(MODELOS!$C$3:$C$19,MATCH($D222,MODELOS!$A$3:$A$19,0))),IF(INDEX(PRODUTOS!$I$4:$I$63,MATCH($A222,PRODUTOS!$B$4:$B$63,0))="B",INDEX(MODELOS!$H$3:$H$19,MATCH($D222,MODELOS!$A$3:$A$19,0)),INDEX(MODELOS!$D$3:$D$19,MATCH($D222,MODELOS!$A$3:$A$19,0))))</f>
        <v>Foto/ilustração do benefício 4</v>
      </c>
      <c r="H222" s="11" t="str">
        <f aca="false">IF(INDEX(PRODUTOS!$I$4:$I$63,MATCH($A222,PRODUTOS!$B$4:$B$63,0))="B",INDEX(MODELOS!$I$3:$I$19,MATCH($D222,MODELOS!$A$3:$A$19,0)),INDEX(MODELOS!$E$3:$E$19,MATCH($D222,MODELOS!$A$3:$A$19,0)))</f>
        <v>220 × 200</v>
      </c>
      <c r="I222" s="11" t="str">
        <f aca="false">INDEX(MODELOS!$J$3:$J$19,MATCH($D222,MODELOS!$A$3:$A$19,0))</f>
        <v>Conforme modelo</v>
      </c>
      <c r="J222" s="11" t="str">
        <f aca="false">IF(LEFT($D222,2)&lt;&gt;"AP",IF($I222="SIM","SIM","RECOMENDADA"),IF(INDEX(PRODUTOS!$J$4:$J$63,MATCH($A222,PRODUTOS!$B$4:$B$63,0))&lt;&gt;"","NÃO (usa o A+ do EAN "&amp;INDEX(PRODUTOS!$J$4:$J$63,MATCH($A222,PRODUTOS!$B$4:$B$63,0))&amp;")",IF(AND(INDEX(PRODUTOS!$I$4:$I$63,MATCH($A222,PRODUTOS!$B$4:$B$63,0))="B",$D222="AP07"),"NÃO (modelo B)","SIM")))</f>
        <v>SIM</v>
      </c>
      <c r="K222" s="13" t="s">
        <v>325</v>
      </c>
      <c r="L222" s="13"/>
    </row>
    <row r="223" customFormat="false" ht="15" hidden="false" customHeight="false" outlineLevel="0" collapsed="false">
      <c r="A223" s="15" t="s">
        <v>98</v>
      </c>
      <c r="B223" s="11" t="str">
        <f aca="false">INDEX(PRODUTOS!$E$4:$E$63,MATCH($A223,PRODUTOS!$B$4:$B$63,0))</f>
        <v>New Dots Ração Seca Premium para Gatos Adultos Castrados - 20 kg</v>
      </c>
      <c r="C223" s="11" t="str">
        <f aca="false">INDEX(PRODUTOS!$H$4:$H$63,MATCH($A223,PRODUTOS!$B$4:$B$63,0))</f>
        <v>20 kg</v>
      </c>
      <c r="D223" s="11" t="s">
        <v>340</v>
      </c>
      <c r="E223" s="16" t="str">
        <f aca="false">$A223&amp;"."&amp;$D223&amp;".jpg"</f>
        <v>7908591300666.AP07.jpg</v>
      </c>
      <c r="F223" s="11" t="str">
        <f aca="false">IF(INDEX(PRODUTOS!$I$4:$I$63,MATCH($A223,PRODUTOS!$B$4:$B$63,0))="B",INDEX(MODELOS!$F$3:$F$19,MATCH($D223,MODELOS!$A$3:$A$19,0)),INDEX(MODELOS!$B$3:$B$19,MATCH($D223,MODELOS!$A$3:$A$19,0)))</f>
        <v>A+ · Módulo 4 · Especificações</v>
      </c>
      <c r="G223" s="11" t="str">
        <f aca="false">IF(INDEX(PRODUTOS!$F$4:$F$63,MATCH($A223,PRODUTOS!$B$4:$B$63,0))="Ração",IF(INDEX(PRODUTOS!$I$4:$I$63,MATCH($A223,PRODUTOS!$B$4:$B$63,0))="B",INDEX(MODELOS!$G$3:$G$19,MATCH($D223,MODELOS!$A$3:$A$19,0)),INDEX(MODELOS!$C$3:$C$19,MATCH($D223,MODELOS!$A$3:$A$19,0))),IF(INDEX(PRODUTOS!$I$4:$I$63,MATCH($A223,PRODUTOS!$B$4:$B$63,0))="B",INDEX(MODELOS!$H$3:$H$19,MATCH($D223,MODELOS!$A$3:$A$19,0)),INDEX(MODELOS!$D$3:$D$19,MATCH($D223,MODELOS!$A$3:$A$19,0))))</f>
        <v>Grão ou pacote em destaque</v>
      </c>
      <c r="H223" s="11" t="str">
        <f aca="false">IF(INDEX(PRODUTOS!$I$4:$I$63,MATCH($A223,PRODUTOS!$B$4:$B$63,0))="B",INDEX(MODELOS!$I$3:$I$19,MATCH($D223,MODELOS!$A$3:$A$19,0)),INDEX(MODELOS!$E$3:$E$19,MATCH($D223,MODELOS!$A$3:$A$19,0)))</f>
        <v>300 × 300</v>
      </c>
      <c r="I223" s="11" t="str">
        <f aca="false">INDEX(MODELOS!$J$3:$J$19,MATCH($D223,MODELOS!$A$3:$A$19,0))</f>
        <v>Conforme modelo</v>
      </c>
      <c r="J223" s="11" t="str">
        <f aca="false">IF(LEFT($D223,2)&lt;&gt;"AP",IF($I223="SIM","SIM","RECOMENDADA"),IF(INDEX(PRODUTOS!$J$4:$J$63,MATCH($A223,PRODUTOS!$B$4:$B$63,0))&lt;&gt;"","NÃO (usa o A+ do EAN "&amp;INDEX(PRODUTOS!$J$4:$J$63,MATCH($A223,PRODUTOS!$B$4:$B$63,0))&amp;")",IF(AND(INDEX(PRODUTOS!$I$4:$I$63,MATCH($A223,PRODUTOS!$B$4:$B$63,0))="B",$D223="AP07"),"NÃO (modelo B)","SIM")))</f>
        <v>SIM</v>
      </c>
      <c r="K223" s="13" t="s">
        <v>325</v>
      </c>
      <c r="L223" s="13"/>
    </row>
    <row r="224" customFormat="false" ht="15" hidden="false" customHeight="false" outlineLevel="0" collapsed="false">
      <c r="A224" s="15" t="s">
        <v>98</v>
      </c>
      <c r="B224" s="11" t="str">
        <f aca="false">INDEX(PRODUTOS!$E$4:$E$63,MATCH($A224,PRODUTOS!$B$4:$B$63,0))</f>
        <v>New Dots Ração Seca Premium para Gatos Adultos Castrados - 20 kg</v>
      </c>
      <c r="C224" s="11" t="str">
        <f aca="false">INDEX(PRODUTOS!$H$4:$H$63,MATCH($A224,PRODUTOS!$B$4:$B$63,0))</f>
        <v>20 kg</v>
      </c>
      <c r="D224" s="11" t="s">
        <v>341</v>
      </c>
      <c r="E224" s="16" t="str">
        <f aca="false">$A224&amp;"."&amp;$D224&amp;".jpg"</f>
        <v>7908591300666.COMP.jpg</v>
      </c>
      <c r="F224" s="11" t="str">
        <f aca="false">IF(INDEX(PRODUTOS!$I$4:$I$63,MATCH($A224,PRODUTOS!$B$4:$B$63,0))="B",INDEX(MODELOS!$F$3:$F$19,MATCH($D224,MODELOS!$A$3:$A$19,0)),INDEX(MODELOS!$B$3:$B$19,MATCH($D224,MODELOS!$A$3:$A$19,0)))</f>
        <v>A+ · Tabela comparativa</v>
      </c>
      <c r="G224" s="11" t="str">
        <f aca="false">IF(INDEX(PRODUTOS!$F$4:$F$63,MATCH($A224,PRODUTOS!$B$4:$B$63,0))="Ração",IF(INDEX(PRODUTOS!$I$4:$I$63,MATCH($A224,PRODUTOS!$B$4:$B$63,0))="B",INDEX(MODELOS!$G$3:$G$19,MATCH($D224,MODELOS!$A$3:$A$19,0)),INDEX(MODELOS!$C$3:$C$19,MATCH($D224,MODELOS!$A$3:$A$19,0))),IF(INDEX(PRODUTOS!$I$4:$I$63,MATCH($A224,PRODUTOS!$B$4:$B$63,0))="B",INDEX(MODELOS!$H$3:$H$19,MATCH($D224,MODELOS!$A$3:$A$19,0)),INDEX(MODELOS!$D$3:$D$19,MATCH($D224,MODELOS!$A$3:$A$19,0))))</f>
        <v>Pacote na vertical, sem fundo colorido</v>
      </c>
      <c r="H224" s="11" t="str">
        <f aca="false">IF(INDEX(PRODUTOS!$I$4:$I$63,MATCH($A224,PRODUTOS!$B$4:$B$63,0))="B",INDEX(MODELOS!$I$3:$I$19,MATCH($D224,MODELOS!$A$3:$A$19,0)),INDEX(MODELOS!$E$3:$E$19,MATCH($D224,MODELOS!$A$3:$A$19,0)))</f>
        <v>150 × 300</v>
      </c>
      <c r="I224" s="11" t="str">
        <f aca="false">INDEX(MODELOS!$J$3:$J$19,MATCH($D224,MODELOS!$A$3:$A$19,0))</f>
        <v>SIM</v>
      </c>
      <c r="J224" s="11" t="str">
        <f aca="false">IF(LEFT($D224,2)&lt;&gt;"AP",IF($I224="SIM","SIM","RECOMENDADA"),IF(INDEX(PRODUTOS!$J$4:$J$63,MATCH($A224,PRODUTOS!$B$4:$B$63,0))&lt;&gt;"","NÃO (usa o A+ do EAN "&amp;INDEX(PRODUTOS!$J$4:$J$63,MATCH($A224,PRODUTOS!$B$4:$B$63,0))&amp;")",IF(AND(INDEX(PRODUTOS!$I$4:$I$63,MATCH($A224,PRODUTOS!$B$4:$B$63,0))="B",$D224="AP07"),"NÃO (modelo B)","SIM")))</f>
        <v>SIM</v>
      </c>
      <c r="K224" s="13" t="s">
        <v>325</v>
      </c>
      <c r="L224" s="13"/>
    </row>
    <row r="225" customFormat="false" ht="15" hidden="false" customHeight="false" outlineLevel="0" collapsed="false">
      <c r="A225" s="15" t="s">
        <v>102</v>
      </c>
      <c r="B225" s="11" t="str">
        <f aca="false">INDEX(PRODUTOS!$E$4:$E$63,MATCH($A225,PRODUTOS!$B$4:$B$63,0))</f>
        <v>New Dots Ração Seca Premium para Gatos Adultos Castrados - 11 kg</v>
      </c>
      <c r="C225" s="11" t="str">
        <f aca="false">INDEX(PRODUTOS!$H$4:$H$63,MATCH($A225,PRODUTOS!$B$4:$B$63,0))</f>
        <v>11 kg</v>
      </c>
      <c r="D225" s="11" t="s">
        <v>324</v>
      </c>
      <c r="E225" s="16" t="str">
        <f aca="false">$A225&amp;"."&amp;$D225&amp;".jpg"</f>
        <v>7908591300413.MAIN.jpg</v>
      </c>
      <c r="F225" s="11" t="str">
        <f aca="false">IF(INDEX(PRODUTOS!$I$4:$I$63,MATCH($A225,PRODUTOS!$B$4:$B$63,0))="B",INDEX(MODELOS!$F$3:$F$19,MATCH($D225,MODELOS!$A$3:$A$19,0)),INDEX(MODELOS!$B$3:$B$19,MATCH($D225,MODELOS!$A$3:$A$19,0)))</f>
        <v>Capa (posição 1)</v>
      </c>
      <c r="G225" s="11" t="str">
        <f aca="false">IF(INDEX(PRODUTOS!$F$4:$F$63,MATCH($A225,PRODUTOS!$B$4:$B$63,0))="Ração",IF(INDEX(PRODUTOS!$I$4:$I$63,MATCH($A225,PRODUTOS!$B$4:$B$63,0))="B",INDEX(MODELOS!$G$3:$G$19,MATCH($D225,MODELOS!$A$3:$A$19,0)),INDEX(MODELOS!$C$3:$C$19,MATCH($D225,MODELOS!$A$3:$A$19,0))),IF(INDEX(PRODUTOS!$I$4:$I$63,MATCH($A225,PRODUTOS!$B$4:$B$63,0))="B",INDEX(MODELOS!$H$3:$H$19,MATCH($D225,MODELOS!$A$3:$A$19,0)),INDEX(MODELOS!$D$3:$D$19,MATCH($D225,MODELOS!$A$3:$A$19,0))))</f>
        <v>Embalagem de frente, fundo branco puro, 85% da área, nada adicionado</v>
      </c>
      <c r="H225" s="11" t="str">
        <f aca="false">IF(INDEX(PRODUTOS!$I$4:$I$63,MATCH($A225,PRODUTOS!$B$4:$B$63,0))="B",INDEX(MODELOS!$I$3:$I$19,MATCH($D225,MODELOS!$A$3:$A$19,0)),INDEX(MODELOS!$E$3:$E$19,MATCH($D225,MODELOS!$A$3:$A$19,0)))</f>
        <v>2000 × 2000</v>
      </c>
      <c r="I225" s="11" t="str">
        <f aca="false">INDEX(MODELOS!$J$3:$J$19,MATCH($D225,MODELOS!$A$3:$A$19,0))</f>
        <v>SIM</v>
      </c>
      <c r="J225" s="11" t="str">
        <f aca="false">IF(LEFT($D225,2)&lt;&gt;"AP",IF($I225="SIM","SIM","RECOMENDADA"),IF(INDEX(PRODUTOS!$J$4:$J$63,MATCH($A225,PRODUTOS!$B$4:$B$63,0))&lt;&gt;"","NÃO (usa o A+ do EAN "&amp;INDEX(PRODUTOS!$J$4:$J$63,MATCH($A225,PRODUTOS!$B$4:$B$63,0))&amp;")",IF(AND(INDEX(PRODUTOS!$I$4:$I$63,MATCH($A225,PRODUTOS!$B$4:$B$63,0))="B",$D225="AP07"),"NÃO (modelo B)","SIM")))</f>
        <v>SIM</v>
      </c>
      <c r="K225" s="13" t="s">
        <v>325</v>
      </c>
      <c r="L225" s="13"/>
    </row>
    <row r="226" customFormat="false" ht="15" hidden="false" customHeight="false" outlineLevel="0" collapsed="false">
      <c r="A226" s="15" t="s">
        <v>102</v>
      </c>
      <c r="B226" s="11" t="str">
        <f aca="false">INDEX(PRODUTOS!$E$4:$E$63,MATCH($A226,PRODUTOS!$B$4:$B$63,0))</f>
        <v>New Dots Ração Seca Premium para Gatos Adultos Castrados - 11 kg</v>
      </c>
      <c r="C226" s="11" t="str">
        <f aca="false">INDEX(PRODUTOS!$H$4:$H$63,MATCH($A226,PRODUTOS!$B$4:$B$63,0))</f>
        <v>11 kg</v>
      </c>
      <c r="D226" s="11" t="s">
        <v>326</v>
      </c>
      <c r="E226" s="16" t="str">
        <f aca="false">$A226&amp;"."&amp;$D226&amp;".jpg"</f>
        <v>7908591300413.PT01.jpg</v>
      </c>
      <c r="F226" s="11" t="str">
        <f aca="false">IF(INDEX(PRODUTOS!$I$4:$I$63,MATCH($A226,PRODUTOS!$B$4:$B$63,0))="B",INDEX(MODELOS!$F$3:$F$19,MATCH($D226,MODELOS!$A$3:$A$19,0)),INDEX(MODELOS!$B$3:$B$19,MATCH($D226,MODELOS!$A$3:$A$19,0)))</f>
        <v>Galeria · posição 2</v>
      </c>
      <c r="G226" s="11" t="str">
        <f aca="false">IF(INDEX(PRODUTOS!$F$4:$F$63,MATCH($A226,PRODUTOS!$B$4:$B$63,0))="Ração",IF(INDEX(PRODUTOS!$I$4:$I$63,MATCH($A226,PRODUTOS!$B$4:$B$63,0))="B",INDEX(MODELOS!$G$3:$G$19,MATCH($D226,MODELOS!$A$3:$A$19,0)),INDEX(MODELOS!$C$3:$C$19,MATCH($D226,MODELOS!$A$3:$A$19,0))),IF(INDEX(PRODUTOS!$I$4:$I$63,MATCH($A226,PRODUTOS!$B$4:$B$63,0))="B",INDEX(MODELOS!$H$3:$H$19,MATCH($D226,MODELOS!$A$3:$A$19,0)),INDEX(MODELOS!$D$3:$D$19,MATCH($D226,MODELOS!$A$3:$A$19,0))))</f>
        <v>Grande diferencial da linha (número ou promessa forte + grão e ingrediente)</v>
      </c>
      <c r="H226" s="11" t="str">
        <f aca="false">IF(INDEX(PRODUTOS!$I$4:$I$63,MATCH($A226,PRODUTOS!$B$4:$B$63,0))="B",INDEX(MODELOS!$I$3:$I$19,MATCH($D226,MODELOS!$A$3:$A$19,0)),INDEX(MODELOS!$E$3:$E$19,MATCH($D226,MODELOS!$A$3:$A$19,0)))</f>
        <v>2000 × 2000</v>
      </c>
      <c r="I226" s="11" t="str">
        <f aca="false">INDEX(MODELOS!$J$3:$J$19,MATCH($D226,MODELOS!$A$3:$A$19,0))</f>
        <v>SIM</v>
      </c>
      <c r="J226" s="11" t="str">
        <f aca="false">IF(LEFT($D226,2)&lt;&gt;"AP",IF($I226="SIM","SIM","RECOMENDADA"),IF(INDEX(PRODUTOS!$J$4:$J$63,MATCH($A226,PRODUTOS!$B$4:$B$63,0))&lt;&gt;"","NÃO (usa o A+ do EAN "&amp;INDEX(PRODUTOS!$J$4:$J$63,MATCH($A226,PRODUTOS!$B$4:$B$63,0))&amp;")",IF(AND(INDEX(PRODUTOS!$I$4:$I$63,MATCH($A226,PRODUTOS!$B$4:$B$63,0))="B",$D226="AP07"),"NÃO (modelo B)","SIM")))</f>
        <v>SIM</v>
      </c>
      <c r="K226" s="13" t="s">
        <v>325</v>
      </c>
      <c r="L226" s="13"/>
    </row>
    <row r="227" customFormat="false" ht="15" hidden="false" customHeight="false" outlineLevel="0" collapsed="false">
      <c r="A227" s="15" t="s">
        <v>102</v>
      </c>
      <c r="B227" s="11" t="str">
        <f aca="false">INDEX(PRODUTOS!$E$4:$E$63,MATCH($A227,PRODUTOS!$B$4:$B$63,0))</f>
        <v>New Dots Ração Seca Premium para Gatos Adultos Castrados - 11 kg</v>
      </c>
      <c r="C227" s="11" t="str">
        <f aca="false">INDEX(PRODUTOS!$H$4:$H$63,MATCH($A227,PRODUTOS!$B$4:$B$63,0))</f>
        <v>11 kg</v>
      </c>
      <c r="D227" s="11" t="s">
        <v>327</v>
      </c>
      <c r="E227" s="16" t="str">
        <f aca="false">$A227&amp;"."&amp;$D227&amp;".jpg"</f>
        <v>7908591300413.PT02.jpg</v>
      </c>
      <c r="F227" s="11" t="str">
        <f aca="false">IF(INDEX(PRODUTOS!$I$4:$I$63,MATCH($A227,PRODUTOS!$B$4:$B$63,0))="B",INDEX(MODELOS!$F$3:$F$19,MATCH($D227,MODELOS!$A$3:$A$19,0)),INDEX(MODELOS!$B$3:$B$19,MATCH($D227,MODELOS!$A$3:$A$19,0)))</f>
        <v>Galeria · posição 3</v>
      </c>
      <c r="G227" s="11" t="str">
        <f aca="false">IF(INDEX(PRODUTOS!$F$4:$F$63,MATCH($A227,PRODUTOS!$B$4:$B$63,0))="Ração",IF(INDEX(PRODUTOS!$I$4:$I$63,MATCH($A227,PRODUTOS!$B$4:$B$63,0))="B",INDEX(MODELOS!$G$3:$G$19,MATCH($D227,MODELOS!$A$3:$A$19,0)),INDEX(MODELOS!$C$3:$C$19,MATCH($D227,MODELOS!$A$3:$A$19,0))),IF(INDEX(PRODUTOS!$I$4:$I$63,MATCH($A227,PRODUTOS!$B$4:$B$63,0))="B",INDEX(MODELOS!$H$3:$H$19,MATCH($D227,MODELOS!$A$3:$A$19,0)),INDEX(MODELOS!$D$3:$D$19,MATCH($D227,MODELOS!$A$3:$A$19,0))))</f>
        <v>Benefícios com ícones (4 a 6, impressos na embalagem) + ingrediente</v>
      </c>
      <c r="H227" s="11" t="str">
        <f aca="false">IF(INDEX(PRODUTOS!$I$4:$I$63,MATCH($A227,PRODUTOS!$B$4:$B$63,0))="B",INDEX(MODELOS!$I$3:$I$19,MATCH($D227,MODELOS!$A$3:$A$19,0)),INDEX(MODELOS!$E$3:$E$19,MATCH($D227,MODELOS!$A$3:$A$19,0)))</f>
        <v>2000 × 2000</v>
      </c>
      <c r="I227" s="11" t="str">
        <f aca="false">INDEX(MODELOS!$J$3:$J$19,MATCH($D227,MODELOS!$A$3:$A$19,0))</f>
        <v>SIM</v>
      </c>
      <c r="J227" s="11" t="str">
        <f aca="false">IF(LEFT($D227,2)&lt;&gt;"AP",IF($I227="SIM","SIM","RECOMENDADA"),IF(INDEX(PRODUTOS!$J$4:$J$63,MATCH($A227,PRODUTOS!$B$4:$B$63,0))&lt;&gt;"","NÃO (usa o A+ do EAN "&amp;INDEX(PRODUTOS!$J$4:$J$63,MATCH($A227,PRODUTOS!$B$4:$B$63,0))&amp;")",IF(AND(INDEX(PRODUTOS!$I$4:$I$63,MATCH($A227,PRODUTOS!$B$4:$B$63,0))="B",$D227="AP07"),"NÃO (modelo B)","SIM")))</f>
        <v>SIM</v>
      </c>
      <c r="K227" s="13" t="s">
        <v>325</v>
      </c>
      <c r="L227" s="13"/>
    </row>
    <row r="228" customFormat="false" ht="15" hidden="false" customHeight="false" outlineLevel="0" collapsed="false">
      <c r="A228" s="15" t="s">
        <v>102</v>
      </c>
      <c r="B228" s="11" t="str">
        <f aca="false">INDEX(PRODUTOS!$E$4:$E$63,MATCH($A228,PRODUTOS!$B$4:$B$63,0))</f>
        <v>New Dots Ração Seca Premium para Gatos Adultos Castrados - 11 kg</v>
      </c>
      <c r="C228" s="11" t="str">
        <f aca="false">INDEX(PRODUTOS!$H$4:$H$63,MATCH($A228,PRODUTOS!$B$4:$B$63,0))</f>
        <v>11 kg</v>
      </c>
      <c r="D228" s="11" t="s">
        <v>328</v>
      </c>
      <c r="E228" s="16" t="str">
        <f aca="false">$A228&amp;"."&amp;$D228&amp;".jpg"</f>
        <v>7908591300413.PT03.jpg</v>
      </c>
      <c r="F228" s="11" t="str">
        <f aca="false">IF(INDEX(PRODUTOS!$I$4:$I$63,MATCH($A228,PRODUTOS!$B$4:$B$63,0))="B",INDEX(MODELOS!$F$3:$F$19,MATCH($D228,MODELOS!$A$3:$A$19,0)),INDEX(MODELOS!$B$3:$B$19,MATCH($D228,MODELOS!$A$3:$A$19,0)))</f>
        <v>Galeria · posição 4</v>
      </c>
      <c r="G228" s="11" t="str">
        <f aca="false">IF(INDEX(PRODUTOS!$F$4:$F$63,MATCH($A228,PRODUTOS!$B$4:$B$63,0))="Ração",IF(INDEX(PRODUTOS!$I$4:$I$63,MATCH($A228,PRODUTOS!$B$4:$B$63,0))="B",INDEX(MODELOS!$G$3:$G$19,MATCH($D228,MODELOS!$A$3:$A$19,0)),INDEX(MODELOS!$C$3:$C$19,MATCH($D228,MODELOS!$A$3:$A$19,0))),IF(INDEX(PRODUTOS!$I$4:$I$63,MATCH($A228,PRODUTOS!$B$4:$B$63,0))="B",INDEX(MODELOS!$H$3:$H$19,MATCH($D228,MODELOS!$A$3:$A$19,0)),INDEX(MODELOS!$D$3:$D$19,MATCH($D228,MODELOS!$A$3:$A$19,0))))</f>
        <v>Formato e tamanho do grão, com medida em mm e referência de tamanho</v>
      </c>
      <c r="H228" s="11" t="str">
        <f aca="false">IF(INDEX(PRODUTOS!$I$4:$I$63,MATCH($A228,PRODUTOS!$B$4:$B$63,0))="B",INDEX(MODELOS!$I$3:$I$19,MATCH($D228,MODELOS!$A$3:$A$19,0)),INDEX(MODELOS!$E$3:$E$19,MATCH($D228,MODELOS!$A$3:$A$19,0)))</f>
        <v>2000 × 2000</v>
      </c>
      <c r="I228" s="11" t="str">
        <f aca="false">INDEX(MODELOS!$J$3:$J$19,MATCH($D228,MODELOS!$A$3:$A$19,0))</f>
        <v>SIM</v>
      </c>
      <c r="J228" s="11" t="str">
        <f aca="false">IF(LEFT($D228,2)&lt;&gt;"AP",IF($I228="SIM","SIM","RECOMENDADA"),IF(INDEX(PRODUTOS!$J$4:$J$63,MATCH($A228,PRODUTOS!$B$4:$B$63,0))&lt;&gt;"","NÃO (usa o A+ do EAN "&amp;INDEX(PRODUTOS!$J$4:$J$63,MATCH($A228,PRODUTOS!$B$4:$B$63,0))&amp;")",IF(AND(INDEX(PRODUTOS!$I$4:$I$63,MATCH($A228,PRODUTOS!$B$4:$B$63,0))="B",$D228="AP07"),"NÃO (modelo B)","SIM")))</f>
        <v>SIM</v>
      </c>
      <c r="K228" s="13" t="s">
        <v>325</v>
      </c>
      <c r="L228" s="13"/>
    </row>
    <row r="229" customFormat="false" ht="15" hidden="false" customHeight="false" outlineLevel="0" collapsed="false">
      <c r="A229" s="15" t="s">
        <v>102</v>
      </c>
      <c r="B229" s="11" t="str">
        <f aca="false">INDEX(PRODUTOS!$E$4:$E$63,MATCH($A229,PRODUTOS!$B$4:$B$63,0))</f>
        <v>New Dots Ração Seca Premium para Gatos Adultos Castrados - 11 kg</v>
      </c>
      <c r="C229" s="11" t="str">
        <f aca="false">INDEX(PRODUTOS!$H$4:$H$63,MATCH($A229,PRODUTOS!$B$4:$B$63,0))</f>
        <v>11 kg</v>
      </c>
      <c r="D229" s="11" t="s">
        <v>329</v>
      </c>
      <c r="E229" s="16" t="str">
        <f aca="false">$A229&amp;"."&amp;$D229&amp;".jpg"</f>
        <v>7908591300413.PT04.jpg</v>
      </c>
      <c r="F229" s="11" t="str">
        <f aca="false">IF(INDEX(PRODUTOS!$I$4:$I$63,MATCH($A229,PRODUTOS!$B$4:$B$63,0))="B",INDEX(MODELOS!$F$3:$F$19,MATCH($D229,MODELOS!$A$3:$A$19,0)),INDEX(MODELOS!$B$3:$B$19,MATCH($D229,MODELOS!$A$3:$A$19,0)))</f>
        <v>Galeria · posição 5</v>
      </c>
      <c r="G229" s="11" t="str">
        <f aca="false">IF(INDEX(PRODUTOS!$F$4:$F$63,MATCH($A229,PRODUTOS!$B$4:$B$63,0))="Ração",IF(INDEX(PRODUTOS!$I$4:$I$63,MATCH($A229,PRODUTOS!$B$4:$B$63,0))="B",INDEX(MODELOS!$G$3:$G$19,MATCH($D229,MODELOS!$A$3:$A$19,0)),INDEX(MODELOS!$C$3:$C$19,MATCH($D229,MODELOS!$A$3:$A$19,0))),IF(INDEX(PRODUTOS!$I$4:$I$63,MATCH($A229,PRODUTOS!$B$4:$B$63,0))="B",INDEX(MODELOS!$H$3:$H$19,MATCH($D229,MODELOS!$A$3:$A$19,0)),INDEX(MODELOS!$D$3:$D$19,MATCH($D229,MODELOS!$A$3:$A$19,0))))</f>
        <v>Quantidade diária por peso do cão/gato (números idênticos à embalagem)</v>
      </c>
      <c r="H229" s="11" t="str">
        <f aca="false">IF(INDEX(PRODUTOS!$I$4:$I$63,MATCH($A229,PRODUTOS!$B$4:$B$63,0))="B",INDEX(MODELOS!$I$3:$I$19,MATCH($D229,MODELOS!$A$3:$A$19,0)),INDEX(MODELOS!$E$3:$E$19,MATCH($D229,MODELOS!$A$3:$A$19,0)))</f>
        <v>2000 × 2000</v>
      </c>
      <c r="I229" s="11" t="str">
        <f aca="false">INDEX(MODELOS!$J$3:$J$19,MATCH($D229,MODELOS!$A$3:$A$19,0))</f>
        <v>SIM</v>
      </c>
      <c r="J229" s="11" t="str">
        <f aca="false">IF(LEFT($D229,2)&lt;&gt;"AP",IF($I229="SIM","SIM","RECOMENDADA"),IF(INDEX(PRODUTOS!$J$4:$J$63,MATCH($A229,PRODUTOS!$B$4:$B$63,0))&lt;&gt;"","NÃO (usa o A+ do EAN "&amp;INDEX(PRODUTOS!$J$4:$J$63,MATCH($A229,PRODUTOS!$B$4:$B$63,0))&amp;")",IF(AND(INDEX(PRODUTOS!$I$4:$I$63,MATCH($A229,PRODUTOS!$B$4:$B$63,0))="B",$D229="AP07"),"NÃO (modelo B)","SIM")))</f>
        <v>SIM</v>
      </c>
      <c r="K229" s="13" t="s">
        <v>325</v>
      </c>
      <c r="L229" s="13"/>
    </row>
    <row r="230" customFormat="false" ht="15" hidden="false" customHeight="false" outlineLevel="0" collapsed="false">
      <c r="A230" s="15" t="s">
        <v>102</v>
      </c>
      <c r="B230" s="11" t="str">
        <f aca="false">INDEX(PRODUTOS!$E$4:$E$63,MATCH($A230,PRODUTOS!$B$4:$B$63,0))</f>
        <v>New Dots Ração Seca Premium para Gatos Adultos Castrados - 11 kg</v>
      </c>
      <c r="C230" s="11" t="str">
        <f aca="false">INDEX(PRODUTOS!$H$4:$H$63,MATCH($A230,PRODUTOS!$B$4:$B$63,0))</f>
        <v>11 kg</v>
      </c>
      <c r="D230" s="11" t="s">
        <v>330</v>
      </c>
      <c r="E230" s="16" t="str">
        <f aca="false">$A230&amp;"."&amp;$D230&amp;".jpg"</f>
        <v>7908591300413.PT05.jpg</v>
      </c>
      <c r="F230" s="11" t="str">
        <f aca="false">IF(INDEX(PRODUTOS!$I$4:$I$63,MATCH($A230,PRODUTOS!$B$4:$B$63,0))="B",INDEX(MODELOS!$F$3:$F$19,MATCH($D230,MODELOS!$A$3:$A$19,0)),INDEX(MODELOS!$B$3:$B$19,MATCH($D230,MODELOS!$A$3:$A$19,0)))</f>
        <v>Galeria · posição 6</v>
      </c>
      <c r="G230" s="11" t="str">
        <f aca="false">IF(INDEX(PRODUTOS!$F$4:$F$63,MATCH($A230,PRODUTOS!$B$4:$B$63,0))="Ração",IF(INDEX(PRODUTOS!$I$4:$I$63,MATCH($A230,PRODUTOS!$B$4:$B$63,0))="B",INDEX(MODELOS!$G$3:$G$19,MATCH($D230,MODELOS!$A$3:$A$19,0)),INDEX(MODELOS!$C$3:$C$19,MATCH($D230,MODELOS!$A$3:$A$19,0))),IF(INDEX(PRODUTOS!$I$4:$I$63,MATCH($A230,PRODUTOS!$B$4:$B$63,0))="B",INDEX(MODELOS!$H$3:$H$19,MATCH($D230,MODELOS!$A$3:$A$19,0)),INDEX(MODELOS!$D$3:$D$19,MATCH($D230,MODELOS!$A$3:$A$19,0))))</f>
        <v>Transição alimentar dia a dia (igual ao verso da embalagem)</v>
      </c>
      <c r="H230" s="11" t="str">
        <f aca="false">IF(INDEX(PRODUTOS!$I$4:$I$63,MATCH($A230,PRODUTOS!$B$4:$B$63,0))="B",INDEX(MODELOS!$I$3:$I$19,MATCH($D230,MODELOS!$A$3:$A$19,0)),INDEX(MODELOS!$E$3:$E$19,MATCH($D230,MODELOS!$A$3:$A$19,0)))</f>
        <v>2000 × 2000</v>
      </c>
      <c r="I230" s="11" t="str">
        <f aca="false">INDEX(MODELOS!$J$3:$J$19,MATCH($D230,MODELOS!$A$3:$A$19,0))</f>
        <v>Recomendada</v>
      </c>
      <c r="J230" s="11" t="str">
        <f aca="false">IF(LEFT($D230,2)&lt;&gt;"AP",IF($I230="SIM","SIM","RECOMENDADA"),IF(INDEX(PRODUTOS!$J$4:$J$63,MATCH($A230,PRODUTOS!$B$4:$B$63,0))&lt;&gt;"","NÃO (usa o A+ do EAN "&amp;INDEX(PRODUTOS!$J$4:$J$63,MATCH($A230,PRODUTOS!$B$4:$B$63,0))&amp;")",IF(AND(INDEX(PRODUTOS!$I$4:$I$63,MATCH($A230,PRODUTOS!$B$4:$B$63,0))="B",$D230="AP07"),"NÃO (modelo B)","SIM")))</f>
        <v>RECOMENDADA</v>
      </c>
      <c r="K230" s="13" t="s">
        <v>325</v>
      </c>
      <c r="L230" s="13"/>
    </row>
    <row r="231" customFormat="false" ht="15" hidden="false" customHeight="false" outlineLevel="0" collapsed="false">
      <c r="A231" s="15" t="s">
        <v>102</v>
      </c>
      <c r="B231" s="11" t="str">
        <f aca="false">INDEX(PRODUTOS!$E$4:$E$63,MATCH($A231,PRODUTOS!$B$4:$B$63,0))</f>
        <v>New Dots Ração Seca Premium para Gatos Adultos Castrados - 11 kg</v>
      </c>
      <c r="C231" s="11" t="str">
        <f aca="false">INDEX(PRODUTOS!$H$4:$H$63,MATCH($A231,PRODUTOS!$B$4:$B$63,0))</f>
        <v>11 kg</v>
      </c>
      <c r="D231" s="11" t="s">
        <v>331</v>
      </c>
      <c r="E231" s="16" t="str">
        <f aca="false">$A231&amp;"."&amp;$D231&amp;".jpg"</f>
        <v>7908591300413.PT06.jpg</v>
      </c>
      <c r="F231" s="11" t="str">
        <f aca="false">IF(INDEX(PRODUTOS!$I$4:$I$63,MATCH($A231,PRODUTOS!$B$4:$B$63,0))="B",INDEX(MODELOS!$F$3:$F$19,MATCH($D231,MODELOS!$A$3:$A$19,0)),INDEX(MODELOS!$B$3:$B$19,MATCH($D231,MODELOS!$A$3:$A$19,0)))</f>
        <v>Galeria · posição 7</v>
      </c>
      <c r="G231" s="11" t="str">
        <f aca="false">IF(INDEX(PRODUTOS!$F$4:$F$63,MATCH($A231,PRODUTOS!$B$4:$B$63,0))="Ração",IF(INDEX(PRODUTOS!$I$4:$I$63,MATCH($A231,PRODUTOS!$B$4:$B$63,0))="B",INDEX(MODELOS!$G$3:$G$19,MATCH($D231,MODELOS!$A$3:$A$19,0)),INDEX(MODELOS!$C$3:$C$19,MATCH($D231,MODELOS!$A$3:$A$19,0))),IF(INDEX(PRODUTOS!$I$4:$I$63,MATCH($A231,PRODUTOS!$B$4:$B$63,0))="B",INDEX(MODELOS!$H$3:$H$19,MATCH($D231,MODELOS!$A$3:$A$19,0)),INDEX(MODELOS!$D$3:$D$19,MATCH($D231,MODELOS!$A$3:$A$19,0))))</f>
        <v>Composição e níveis de garantia em letra grande</v>
      </c>
      <c r="H231" s="11" t="str">
        <f aca="false">IF(INDEX(PRODUTOS!$I$4:$I$63,MATCH($A231,PRODUTOS!$B$4:$B$63,0))="B",INDEX(MODELOS!$I$3:$I$19,MATCH($D231,MODELOS!$A$3:$A$19,0)),INDEX(MODELOS!$E$3:$E$19,MATCH($D231,MODELOS!$A$3:$A$19,0)))</f>
        <v>2000 × 2000</v>
      </c>
      <c r="I231" s="11" t="str">
        <f aca="false">INDEX(MODELOS!$J$3:$J$19,MATCH($D231,MODELOS!$A$3:$A$19,0))</f>
        <v>SIM</v>
      </c>
      <c r="J231" s="11" t="str">
        <f aca="false">IF(LEFT($D231,2)&lt;&gt;"AP",IF($I231="SIM","SIM","RECOMENDADA"),IF(INDEX(PRODUTOS!$J$4:$J$63,MATCH($A231,PRODUTOS!$B$4:$B$63,0))&lt;&gt;"","NÃO (usa o A+ do EAN "&amp;INDEX(PRODUTOS!$J$4:$J$63,MATCH($A231,PRODUTOS!$B$4:$B$63,0))&amp;")",IF(AND(INDEX(PRODUTOS!$I$4:$I$63,MATCH($A231,PRODUTOS!$B$4:$B$63,0))="B",$D231="AP07"),"NÃO (modelo B)","SIM")))</f>
        <v>SIM</v>
      </c>
      <c r="K231" s="13" t="s">
        <v>325</v>
      </c>
      <c r="L231" s="13"/>
    </row>
    <row r="232" customFormat="false" ht="15" hidden="false" customHeight="false" outlineLevel="0" collapsed="false">
      <c r="A232" s="15" t="s">
        <v>102</v>
      </c>
      <c r="B232" s="11" t="str">
        <f aca="false">INDEX(PRODUTOS!$E$4:$E$63,MATCH($A232,PRODUTOS!$B$4:$B$63,0))</f>
        <v>New Dots Ração Seca Premium para Gatos Adultos Castrados - 11 kg</v>
      </c>
      <c r="C232" s="11" t="str">
        <f aca="false">INDEX(PRODUTOS!$H$4:$H$63,MATCH($A232,PRODUTOS!$B$4:$B$63,0))</f>
        <v>11 kg</v>
      </c>
      <c r="D232" s="11" t="s">
        <v>332</v>
      </c>
      <c r="E232" s="16" t="str">
        <f aca="false">$A232&amp;"."&amp;$D232&amp;".jpg"</f>
        <v>7908591300413.PT07.jpg</v>
      </c>
      <c r="F232" s="11" t="str">
        <f aca="false">IF(INDEX(PRODUTOS!$I$4:$I$63,MATCH($A232,PRODUTOS!$B$4:$B$63,0))="B",INDEX(MODELOS!$F$3:$F$19,MATCH($D232,MODELOS!$A$3:$A$19,0)),INDEX(MODELOS!$B$3:$B$19,MATCH($D232,MODELOS!$A$3:$A$19,0)))</f>
        <v>Galeria · posição 8</v>
      </c>
      <c r="G232" s="11" t="str">
        <f aca="false">IF(INDEX(PRODUTOS!$F$4:$F$63,MATCH($A232,PRODUTOS!$B$4:$B$63,0))="Ração",IF(INDEX(PRODUTOS!$I$4:$I$63,MATCH($A232,PRODUTOS!$B$4:$B$63,0))="B",INDEX(MODELOS!$G$3:$G$19,MATCH($D232,MODELOS!$A$3:$A$19,0)),INDEX(MODELOS!$C$3:$C$19,MATCH($D232,MODELOS!$A$3:$A$19,0))),IF(INDEX(PRODUTOS!$I$4:$I$63,MATCH($A232,PRODUTOS!$B$4:$B$63,0))="B",INDEX(MODELOS!$H$3:$H$19,MATCH($D232,MODELOS!$A$3:$A$19,0)),INDEX(MODELOS!$D$3:$D$19,MATCH($D232,MODELOS!$A$3:$A$19,0))))</f>
        <v>Emocional / momento de uso (pet do porte certo, pote cheio)</v>
      </c>
      <c r="H232" s="11" t="str">
        <f aca="false">IF(INDEX(PRODUTOS!$I$4:$I$63,MATCH($A232,PRODUTOS!$B$4:$B$63,0))="B",INDEX(MODELOS!$I$3:$I$19,MATCH($D232,MODELOS!$A$3:$A$19,0)),INDEX(MODELOS!$E$3:$E$19,MATCH($D232,MODELOS!$A$3:$A$19,0)))</f>
        <v>2000 × 2000</v>
      </c>
      <c r="I232" s="11" t="str">
        <f aca="false">INDEX(MODELOS!$J$3:$J$19,MATCH($D232,MODELOS!$A$3:$A$19,0))</f>
        <v>Recomendada</v>
      </c>
      <c r="J232" s="11" t="str">
        <f aca="false">IF(LEFT($D232,2)&lt;&gt;"AP",IF($I232="SIM","SIM","RECOMENDADA"),IF(INDEX(PRODUTOS!$J$4:$J$63,MATCH($A232,PRODUTOS!$B$4:$B$63,0))&lt;&gt;"","NÃO (usa o A+ do EAN "&amp;INDEX(PRODUTOS!$J$4:$J$63,MATCH($A232,PRODUTOS!$B$4:$B$63,0))&amp;")",IF(AND(INDEX(PRODUTOS!$I$4:$I$63,MATCH($A232,PRODUTOS!$B$4:$B$63,0))="B",$D232="AP07"),"NÃO (modelo B)","SIM")))</f>
        <v>RECOMENDADA</v>
      </c>
      <c r="K232" s="13" t="s">
        <v>325</v>
      </c>
      <c r="L232" s="13"/>
    </row>
    <row r="233" customFormat="false" ht="15" hidden="false" customHeight="false" outlineLevel="0" collapsed="false">
      <c r="A233" s="15" t="s">
        <v>102</v>
      </c>
      <c r="B233" s="11" t="str">
        <f aca="false">INDEX(PRODUTOS!$E$4:$E$63,MATCH($A233,PRODUTOS!$B$4:$B$63,0))</f>
        <v>New Dots Ração Seca Premium para Gatos Adultos Castrados - 11 kg</v>
      </c>
      <c r="C233" s="11" t="str">
        <f aca="false">INDEX(PRODUTOS!$H$4:$H$63,MATCH($A233,PRODUTOS!$B$4:$B$63,0))</f>
        <v>11 kg</v>
      </c>
      <c r="D233" s="11" t="s">
        <v>333</v>
      </c>
      <c r="E233" s="16" t="str">
        <f aca="false">$A233&amp;"."&amp;$D233&amp;".jpg"</f>
        <v>7908591300413.PT08.jpg</v>
      </c>
      <c r="F233" s="11" t="str">
        <f aca="false">IF(INDEX(PRODUTOS!$I$4:$I$63,MATCH($A233,PRODUTOS!$B$4:$B$63,0))="B",INDEX(MODELOS!$F$3:$F$19,MATCH($D233,MODELOS!$A$3:$A$19,0)),INDEX(MODELOS!$B$3:$B$19,MATCH($D233,MODELOS!$A$3:$A$19,0)))</f>
        <v>Galeria · posição 9</v>
      </c>
      <c r="G233" s="11" t="str">
        <f aca="false">IF(INDEX(PRODUTOS!$F$4:$F$63,MATCH($A233,PRODUTOS!$B$4:$B$63,0))="Ração",IF(INDEX(PRODUTOS!$I$4:$I$63,MATCH($A233,PRODUTOS!$B$4:$B$63,0))="B",INDEX(MODELOS!$G$3:$G$19,MATCH($D233,MODELOS!$A$3:$A$19,0)),INDEX(MODELOS!$C$3:$C$19,MATCH($D233,MODELOS!$A$3:$A$19,0))),IF(INDEX(PRODUTOS!$I$4:$I$63,MATCH($A233,PRODUTOS!$B$4:$B$63,0))="B",INDEX(MODELOS!$H$3:$H$19,MATCH($D233,MODELOS!$A$3:$A$19,0)),INDEX(MODELOS!$D$3:$D$19,MATCH($D233,MODELOS!$A$3:$A$19,0))))</f>
        <v>Linha da marca ou embalagem anterior × nova</v>
      </c>
      <c r="H233" s="11" t="str">
        <f aca="false">IF(INDEX(PRODUTOS!$I$4:$I$63,MATCH($A233,PRODUTOS!$B$4:$B$63,0))="B",INDEX(MODELOS!$I$3:$I$19,MATCH($D233,MODELOS!$A$3:$A$19,0)),INDEX(MODELOS!$E$3:$E$19,MATCH($D233,MODELOS!$A$3:$A$19,0)))</f>
        <v>2000 × 2000</v>
      </c>
      <c r="I233" s="11" t="str">
        <f aca="false">INDEX(MODELOS!$J$3:$J$19,MATCH($D233,MODELOS!$A$3:$A$19,0))</f>
        <v>Recomendada</v>
      </c>
      <c r="J233" s="11" t="str">
        <f aca="false">IF(LEFT($D233,2)&lt;&gt;"AP",IF($I233="SIM","SIM","RECOMENDADA"),IF(INDEX(PRODUTOS!$J$4:$J$63,MATCH($A233,PRODUTOS!$B$4:$B$63,0))&lt;&gt;"","NÃO (usa o A+ do EAN "&amp;INDEX(PRODUTOS!$J$4:$J$63,MATCH($A233,PRODUTOS!$B$4:$B$63,0))&amp;")",IF(AND(INDEX(PRODUTOS!$I$4:$I$63,MATCH($A233,PRODUTOS!$B$4:$B$63,0))="B",$D233="AP07"),"NÃO (modelo B)","SIM")))</f>
        <v>RECOMENDADA</v>
      </c>
      <c r="K233" s="13" t="s">
        <v>325</v>
      </c>
      <c r="L233" s="13"/>
    </row>
    <row r="234" customFormat="false" ht="15" hidden="false" customHeight="false" outlineLevel="0" collapsed="false">
      <c r="A234" s="15" t="s">
        <v>102</v>
      </c>
      <c r="B234" s="11" t="str">
        <f aca="false">INDEX(PRODUTOS!$E$4:$E$63,MATCH($A234,PRODUTOS!$B$4:$B$63,0))</f>
        <v>New Dots Ração Seca Premium para Gatos Adultos Castrados - 11 kg</v>
      </c>
      <c r="C234" s="11" t="str">
        <f aca="false">INDEX(PRODUTOS!$H$4:$H$63,MATCH($A234,PRODUTOS!$B$4:$B$63,0))</f>
        <v>11 kg</v>
      </c>
      <c r="D234" s="11" t="s">
        <v>334</v>
      </c>
      <c r="E234" s="16" t="str">
        <f aca="false">$A234&amp;"."&amp;$D234&amp;".jpg"</f>
        <v>7908591300413.AP01.jpg</v>
      </c>
      <c r="F234" s="11" t="str">
        <f aca="false">IF(INDEX(PRODUTOS!$I$4:$I$63,MATCH($A234,PRODUTOS!$B$4:$B$63,0))="B",INDEX(MODELOS!$F$3:$F$19,MATCH($D234,MODELOS!$A$3:$A$19,0)),INDEX(MODELOS!$B$3:$B$19,MATCH($D234,MODELOS!$A$3:$A$19,0)))</f>
        <v>A+ · Módulo 1 · Banner</v>
      </c>
      <c r="G234" s="11" t="str">
        <f aca="false">IF(INDEX(PRODUTOS!$F$4:$F$63,MATCH($A234,PRODUTOS!$B$4:$B$63,0))="Ração",IF(INDEX(PRODUTOS!$I$4:$I$63,MATCH($A234,PRODUTOS!$B$4:$B$63,0))="B",INDEX(MODELOS!$G$3:$G$19,MATCH($D234,MODELOS!$A$3:$A$19,0)),INDEX(MODELOS!$C$3:$C$19,MATCH($D234,MODELOS!$A$3:$A$19,0))),IF(INDEX(PRODUTOS!$I$4:$I$63,MATCH($A234,PRODUTOS!$B$4:$B$63,0))="B",INDEX(MODELOS!$H$3:$H$19,MATCH($D234,MODELOS!$A$3:$A$19,0)),INDEX(MODELOS!$D$3:$D$19,MATCH($D234,MODELOS!$A$3:$A$19,0))))</f>
        <v>Embalagem + pet + ingredientes, com o nome da linha</v>
      </c>
      <c r="H234" s="11" t="str">
        <f aca="false">IF(INDEX(PRODUTOS!$I$4:$I$63,MATCH($A234,PRODUTOS!$B$4:$B$63,0))="B",INDEX(MODELOS!$I$3:$I$19,MATCH($D234,MODELOS!$A$3:$A$19,0)),INDEX(MODELOS!$E$3:$E$19,MATCH($D234,MODELOS!$A$3:$A$19,0)))</f>
        <v>970 × 600</v>
      </c>
      <c r="I234" s="11" t="str">
        <f aca="false">INDEX(MODELOS!$J$3:$J$19,MATCH($D234,MODELOS!$A$3:$A$19,0))</f>
        <v>Conforme modelo</v>
      </c>
      <c r="J234" s="11" t="str">
        <f aca="false">IF(LEFT($D234,2)&lt;&gt;"AP",IF($I234="SIM","SIM","RECOMENDADA"),IF(INDEX(PRODUTOS!$J$4:$J$63,MATCH($A234,PRODUTOS!$B$4:$B$63,0))&lt;&gt;"","NÃO (usa o A+ do EAN "&amp;INDEX(PRODUTOS!$J$4:$J$63,MATCH($A234,PRODUTOS!$B$4:$B$63,0))&amp;")",IF(AND(INDEX(PRODUTOS!$I$4:$I$63,MATCH($A234,PRODUTOS!$B$4:$B$63,0))="B",$D234="AP07"),"NÃO (modelo B)","SIM")))</f>
        <v>NÃO (usa o A+ do EAN 7908591300666)</v>
      </c>
      <c r="K234" s="13" t="s">
        <v>325</v>
      </c>
      <c r="L234" s="13"/>
    </row>
    <row r="235" customFormat="false" ht="15" hidden="false" customHeight="false" outlineLevel="0" collapsed="false">
      <c r="A235" s="15" t="s">
        <v>102</v>
      </c>
      <c r="B235" s="11" t="str">
        <f aca="false">INDEX(PRODUTOS!$E$4:$E$63,MATCH($A235,PRODUTOS!$B$4:$B$63,0))</f>
        <v>New Dots Ração Seca Premium para Gatos Adultos Castrados - 11 kg</v>
      </c>
      <c r="C235" s="11" t="str">
        <f aca="false">INDEX(PRODUTOS!$H$4:$H$63,MATCH($A235,PRODUTOS!$B$4:$B$63,0))</f>
        <v>11 kg</v>
      </c>
      <c r="D235" s="11" t="s">
        <v>335</v>
      </c>
      <c r="E235" s="16" t="str">
        <f aca="false">$A235&amp;"."&amp;$D235&amp;".jpg"</f>
        <v>7908591300413.AP02.jpg</v>
      </c>
      <c r="F235" s="11" t="str">
        <f aca="false">IF(INDEX(PRODUTOS!$I$4:$I$63,MATCH($A235,PRODUTOS!$B$4:$B$63,0))="B",INDEX(MODELOS!$F$3:$F$19,MATCH($D235,MODELOS!$A$3:$A$19,0)),INDEX(MODELOS!$B$3:$B$19,MATCH($D235,MODELOS!$A$3:$A$19,0)))</f>
        <v>A+ · Módulo 2 · Texto sobreposto</v>
      </c>
      <c r="G235" s="11" t="str">
        <f aca="false">IF(INDEX(PRODUTOS!$F$4:$F$63,MATCH($A235,PRODUTOS!$B$4:$B$63,0))="Ração",IF(INDEX(PRODUTOS!$I$4:$I$63,MATCH($A235,PRODUTOS!$B$4:$B$63,0))="B",INDEX(MODELOS!$G$3:$G$19,MATCH($D235,MODELOS!$A$3:$A$19,0)),INDEX(MODELOS!$C$3:$C$19,MATCH($D235,MODELOS!$A$3:$A$19,0))),IF(INDEX(PRODUTOS!$I$4:$I$63,MATCH($A235,PRODUTOS!$B$4:$B$63,0))="B",INDEX(MODELOS!$H$3:$H$19,MATCH($D235,MODELOS!$A$3:$A$19,0)),INDEX(MODELOS!$D$3:$D$19,MATCH($D235,MODELOS!$A$3:$A$19,0))))</f>
        <v>Principal diferencial; deixar o lado direito limpo</v>
      </c>
      <c r="H235" s="11" t="str">
        <f aca="false">IF(INDEX(PRODUTOS!$I$4:$I$63,MATCH($A235,PRODUTOS!$B$4:$B$63,0))="B",INDEX(MODELOS!$I$3:$I$19,MATCH($D235,MODELOS!$A$3:$A$19,0)),INDEX(MODELOS!$E$3:$E$19,MATCH($D235,MODELOS!$A$3:$A$19,0)))</f>
        <v>970 × 300</v>
      </c>
      <c r="I235" s="11" t="str">
        <f aca="false">INDEX(MODELOS!$J$3:$J$19,MATCH($D235,MODELOS!$A$3:$A$19,0))</f>
        <v>Conforme modelo</v>
      </c>
      <c r="J235" s="11" t="str">
        <f aca="false">IF(LEFT($D235,2)&lt;&gt;"AP",IF($I235="SIM","SIM","RECOMENDADA"),IF(INDEX(PRODUTOS!$J$4:$J$63,MATCH($A235,PRODUTOS!$B$4:$B$63,0))&lt;&gt;"","NÃO (usa o A+ do EAN "&amp;INDEX(PRODUTOS!$J$4:$J$63,MATCH($A235,PRODUTOS!$B$4:$B$63,0))&amp;")",IF(AND(INDEX(PRODUTOS!$I$4:$I$63,MATCH($A235,PRODUTOS!$B$4:$B$63,0))="B",$D235="AP07"),"NÃO (modelo B)","SIM")))</f>
        <v>NÃO (usa o A+ do EAN 7908591300666)</v>
      </c>
      <c r="K235" s="13" t="s">
        <v>325</v>
      </c>
      <c r="L235" s="13"/>
    </row>
    <row r="236" customFormat="false" ht="15" hidden="false" customHeight="false" outlineLevel="0" collapsed="false">
      <c r="A236" s="15" t="s">
        <v>102</v>
      </c>
      <c r="B236" s="11" t="str">
        <f aca="false">INDEX(PRODUTOS!$E$4:$E$63,MATCH($A236,PRODUTOS!$B$4:$B$63,0))</f>
        <v>New Dots Ração Seca Premium para Gatos Adultos Castrados - 11 kg</v>
      </c>
      <c r="C236" s="11" t="str">
        <f aca="false">INDEX(PRODUTOS!$H$4:$H$63,MATCH($A236,PRODUTOS!$B$4:$B$63,0))</f>
        <v>11 kg</v>
      </c>
      <c r="D236" s="11" t="s">
        <v>336</v>
      </c>
      <c r="E236" s="16" t="str">
        <f aca="false">$A236&amp;"."&amp;$D236&amp;".jpg"</f>
        <v>7908591300413.AP03.jpg</v>
      </c>
      <c r="F236" s="11" t="str">
        <f aca="false">IF(INDEX(PRODUTOS!$I$4:$I$63,MATCH($A236,PRODUTOS!$B$4:$B$63,0))="B",INDEX(MODELOS!$F$3:$F$19,MATCH($D236,MODELOS!$A$3:$A$19,0)),INDEX(MODELOS!$B$3:$B$19,MATCH($D236,MODELOS!$A$3:$A$19,0)))</f>
        <v>A+ · Módulo 3 · Benefício 1 de 4</v>
      </c>
      <c r="G236" s="11" t="str">
        <f aca="false">IF(INDEX(PRODUTOS!$F$4:$F$63,MATCH($A236,PRODUTOS!$B$4:$B$63,0))="Ração",IF(INDEX(PRODUTOS!$I$4:$I$63,MATCH($A236,PRODUTOS!$B$4:$B$63,0))="B",INDEX(MODELOS!$G$3:$G$19,MATCH($D236,MODELOS!$A$3:$A$19,0)),INDEX(MODELOS!$C$3:$C$19,MATCH($D236,MODELOS!$A$3:$A$19,0))),IF(INDEX(PRODUTOS!$I$4:$I$63,MATCH($A236,PRODUTOS!$B$4:$B$63,0))="B",INDEX(MODELOS!$H$3:$H$19,MATCH($D236,MODELOS!$A$3:$A$19,0)),INDEX(MODELOS!$D$3:$D$19,MATCH($D236,MODELOS!$A$3:$A$19,0))))</f>
        <v>Foto/ilustração do benefício 1</v>
      </c>
      <c r="H236" s="11" t="str">
        <f aca="false">IF(INDEX(PRODUTOS!$I$4:$I$63,MATCH($A236,PRODUTOS!$B$4:$B$63,0))="B",INDEX(MODELOS!$I$3:$I$19,MATCH($D236,MODELOS!$A$3:$A$19,0)),INDEX(MODELOS!$E$3:$E$19,MATCH($D236,MODELOS!$A$3:$A$19,0)))</f>
        <v>220 × 200</v>
      </c>
      <c r="I236" s="11" t="str">
        <f aca="false">INDEX(MODELOS!$J$3:$J$19,MATCH($D236,MODELOS!$A$3:$A$19,0))</f>
        <v>Conforme modelo</v>
      </c>
      <c r="J236" s="11" t="str">
        <f aca="false">IF(LEFT($D236,2)&lt;&gt;"AP",IF($I236="SIM","SIM","RECOMENDADA"),IF(INDEX(PRODUTOS!$J$4:$J$63,MATCH($A236,PRODUTOS!$B$4:$B$63,0))&lt;&gt;"","NÃO (usa o A+ do EAN "&amp;INDEX(PRODUTOS!$J$4:$J$63,MATCH($A236,PRODUTOS!$B$4:$B$63,0))&amp;")",IF(AND(INDEX(PRODUTOS!$I$4:$I$63,MATCH($A236,PRODUTOS!$B$4:$B$63,0))="B",$D236="AP07"),"NÃO (modelo B)","SIM")))</f>
        <v>NÃO (usa o A+ do EAN 7908591300666)</v>
      </c>
      <c r="K236" s="13" t="s">
        <v>325</v>
      </c>
      <c r="L236" s="13"/>
    </row>
    <row r="237" customFormat="false" ht="15" hidden="false" customHeight="false" outlineLevel="0" collapsed="false">
      <c r="A237" s="15" t="s">
        <v>102</v>
      </c>
      <c r="B237" s="11" t="str">
        <f aca="false">INDEX(PRODUTOS!$E$4:$E$63,MATCH($A237,PRODUTOS!$B$4:$B$63,0))</f>
        <v>New Dots Ração Seca Premium para Gatos Adultos Castrados - 11 kg</v>
      </c>
      <c r="C237" s="11" t="str">
        <f aca="false">INDEX(PRODUTOS!$H$4:$H$63,MATCH($A237,PRODUTOS!$B$4:$B$63,0))</f>
        <v>11 kg</v>
      </c>
      <c r="D237" s="11" t="s">
        <v>337</v>
      </c>
      <c r="E237" s="16" t="str">
        <f aca="false">$A237&amp;"."&amp;$D237&amp;".jpg"</f>
        <v>7908591300413.AP04.jpg</v>
      </c>
      <c r="F237" s="11" t="str">
        <f aca="false">IF(INDEX(PRODUTOS!$I$4:$I$63,MATCH($A237,PRODUTOS!$B$4:$B$63,0))="B",INDEX(MODELOS!$F$3:$F$19,MATCH($D237,MODELOS!$A$3:$A$19,0)),INDEX(MODELOS!$B$3:$B$19,MATCH($D237,MODELOS!$A$3:$A$19,0)))</f>
        <v>A+ · Módulo 3 · Benefício 2 de 4</v>
      </c>
      <c r="G237" s="11" t="str">
        <f aca="false">IF(INDEX(PRODUTOS!$F$4:$F$63,MATCH($A237,PRODUTOS!$B$4:$B$63,0))="Ração",IF(INDEX(PRODUTOS!$I$4:$I$63,MATCH($A237,PRODUTOS!$B$4:$B$63,0))="B",INDEX(MODELOS!$G$3:$G$19,MATCH($D237,MODELOS!$A$3:$A$19,0)),INDEX(MODELOS!$C$3:$C$19,MATCH($D237,MODELOS!$A$3:$A$19,0))),IF(INDEX(PRODUTOS!$I$4:$I$63,MATCH($A237,PRODUTOS!$B$4:$B$63,0))="B",INDEX(MODELOS!$H$3:$H$19,MATCH($D237,MODELOS!$A$3:$A$19,0)),INDEX(MODELOS!$D$3:$D$19,MATCH($D237,MODELOS!$A$3:$A$19,0))))</f>
        <v>Foto/ilustração do benefício 2</v>
      </c>
      <c r="H237" s="11" t="str">
        <f aca="false">IF(INDEX(PRODUTOS!$I$4:$I$63,MATCH($A237,PRODUTOS!$B$4:$B$63,0))="B",INDEX(MODELOS!$I$3:$I$19,MATCH($D237,MODELOS!$A$3:$A$19,0)),INDEX(MODELOS!$E$3:$E$19,MATCH($D237,MODELOS!$A$3:$A$19,0)))</f>
        <v>220 × 200</v>
      </c>
      <c r="I237" s="11" t="str">
        <f aca="false">INDEX(MODELOS!$J$3:$J$19,MATCH($D237,MODELOS!$A$3:$A$19,0))</f>
        <v>Conforme modelo</v>
      </c>
      <c r="J237" s="11" t="str">
        <f aca="false">IF(LEFT($D237,2)&lt;&gt;"AP",IF($I237="SIM","SIM","RECOMENDADA"),IF(INDEX(PRODUTOS!$J$4:$J$63,MATCH($A237,PRODUTOS!$B$4:$B$63,0))&lt;&gt;"","NÃO (usa o A+ do EAN "&amp;INDEX(PRODUTOS!$J$4:$J$63,MATCH($A237,PRODUTOS!$B$4:$B$63,0))&amp;")",IF(AND(INDEX(PRODUTOS!$I$4:$I$63,MATCH($A237,PRODUTOS!$B$4:$B$63,0))="B",$D237="AP07"),"NÃO (modelo B)","SIM")))</f>
        <v>NÃO (usa o A+ do EAN 7908591300666)</v>
      </c>
      <c r="K237" s="13" t="s">
        <v>325</v>
      </c>
      <c r="L237" s="13"/>
    </row>
    <row r="238" customFormat="false" ht="15" hidden="false" customHeight="false" outlineLevel="0" collapsed="false">
      <c r="A238" s="15" t="s">
        <v>102</v>
      </c>
      <c r="B238" s="11" t="str">
        <f aca="false">INDEX(PRODUTOS!$E$4:$E$63,MATCH($A238,PRODUTOS!$B$4:$B$63,0))</f>
        <v>New Dots Ração Seca Premium para Gatos Adultos Castrados - 11 kg</v>
      </c>
      <c r="C238" s="11" t="str">
        <f aca="false">INDEX(PRODUTOS!$H$4:$H$63,MATCH($A238,PRODUTOS!$B$4:$B$63,0))</f>
        <v>11 kg</v>
      </c>
      <c r="D238" s="11" t="s">
        <v>338</v>
      </c>
      <c r="E238" s="16" t="str">
        <f aca="false">$A238&amp;"."&amp;$D238&amp;".jpg"</f>
        <v>7908591300413.AP05.jpg</v>
      </c>
      <c r="F238" s="11" t="str">
        <f aca="false">IF(INDEX(PRODUTOS!$I$4:$I$63,MATCH($A238,PRODUTOS!$B$4:$B$63,0))="B",INDEX(MODELOS!$F$3:$F$19,MATCH($D238,MODELOS!$A$3:$A$19,0)),INDEX(MODELOS!$B$3:$B$19,MATCH($D238,MODELOS!$A$3:$A$19,0)))</f>
        <v>A+ · Módulo 3 · Benefício 3 de 4</v>
      </c>
      <c r="G238" s="11" t="str">
        <f aca="false">IF(INDEX(PRODUTOS!$F$4:$F$63,MATCH($A238,PRODUTOS!$B$4:$B$63,0))="Ração",IF(INDEX(PRODUTOS!$I$4:$I$63,MATCH($A238,PRODUTOS!$B$4:$B$63,0))="B",INDEX(MODELOS!$G$3:$G$19,MATCH($D238,MODELOS!$A$3:$A$19,0)),INDEX(MODELOS!$C$3:$C$19,MATCH($D238,MODELOS!$A$3:$A$19,0))),IF(INDEX(PRODUTOS!$I$4:$I$63,MATCH($A238,PRODUTOS!$B$4:$B$63,0))="B",INDEX(MODELOS!$H$3:$H$19,MATCH($D238,MODELOS!$A$3:$A$19,0)),INDEX(MODELOS!$D$3:$D$19,MATCH($D238,MODELOS!$A$3:$A$19,0))))</f>
        <v>Foto/ilustração do benefício 3</v>
      </c>
      <c r="H238" s="11" t="str">
        <f aca="false">IF(INDEX(PRODUTOS!$I$4:$I$63,MATCH($A238,PRODUTOS!$B$4:$B$63,0))="B",INDEX(MODELOS!$I$3:$I$19,MATCH($D238,MODELOS!$A$3:$A$19,0)),INDEX(MODELOS!$E$3:$E$19,MATCH($D238,MODELOS!$A$3:$A$19,0)))</f>
        <v>220 × 200</v>
      </c>
      <c r="I238" s="11" t="str">
        <f aca="false">INDEX(MODELOS!$J$3:$J$19,MATCH($D238,MODELOS!$A$3:$A$19,0))</f>
        <v>Conforme modelo</v>
      </c>
      <c r="J238" s="11" t="str">
        <f aca="false">IF(LEFT($D238,2)&lt;&gt;"AP",IF($I238="SIM","SIM","RECOMENDADA"),IF(INDEX(PRODUTOS!$J$4:$J$63,MATCH($A238,PRODUTOS!$B$4:$B$63,0))&lt;&gt;"","NÃO (usa o A+ do EAN "&amp;INDEX(PRODUTOS!$J$4:$J$63,MATCH($A238,PRODUTOS!$B$4:$B$63,0))&amp;")",IF(AND(INDEX(PRODUTOS!$I$4:$I$63,MATCH($A238,PRODUTOS!$B$4:$B$63,0))="B",$D238="AP07"),"NÃO (modelo B)","SIM")))</f>
        <v>NÃO (usa o A+ do EAN 7908591300666)</v>
      </c>
      <c r="K238" s="13" t="s">
        <v>325</v>
      </c>
      <c r="L238" s="13"/>
    </row>
    <row r="239" customFormat="false" ht="15" hidden="false" customHeight="false" outlineLevel="0" collapsed="false">
      <c r="A239" s="15" t="s">
        <v>102</v>
      </c>
      <c r="B239" s="11" t="str">
        <f aca="false">INDEX(PRODUTOS!$E$4:$E$63,MATCH($A239,PRODUTOS!$B$4:$B$63,0))</f>
        <v>New Dots Ração Seca Premium para Gatos Adultos Castrados - 11 kg</v>
      </c>
      <c r="C239" s="11" t="str">
        <f aca="false">INDEX(PRODUTOS!$H$4:$H$63,MATCH($A239,PRODUTOS!$B$4:$B$63,0))</f>
        <v>11 kg</v>
      </c>
      <c r="D239" s="11" t="s">
        <v>339</v>
      </c>
      <c r="E239" s="16" t="str">
        <f aca="false">$A239&amp;"."&amp;$D239&amp;".jpg"</f>
        <v>7908591300413.AP06.jpg</v>
      </c>
      <c r="F239" s="11" t="str">
        <f aca="false">IF(INDEX(PRODUTOS!$I$4:$I$63,MATCH($A239,PRODUTOS!$B$4:$B$63,0))="B",INDEX(MODELOS!$F$3:$F$19,MATCH($D239,MODELOS!$A$3:$A$19,0)),INDEX(MODELOS!$B$3:$B$19,MATCH($D239,MODELOS!$A$3:$A$19,0)))</f>
        <v>A+ · Módulo 3 · Benefício 4 de 4</v>
      </c>
      <c r="G239" s="11" t="str">
        <f aca="false">IF(INDEX(PRODUTOS!$F$4:$F$63,MATCH($A239,PRODUTOS!$B$4:$B$63,0))="Ração",IF(INDEX(PRODUTOS!$I$4:$I$63,MATCH($A239,PRODUTOS!$B$4:$B$63,0))="B",INDEX(MODELOS!$G$3:$G$19,MATCH($D239,MODELOS!$A$3:$A$19,0)),INDEX(MODELOS!$C$3:$C$19,MATCH($D239,MODELOS!$A$3:$A$19,0))),IF(INDEX(PRODUTOS!$I$4:$I$63,MATCH($A239,PRODUTOS!$B$4:$B$63,0))="B",INDEX(MODELOS!$H$3:$H$19,MATCH($D239,MODELOS!$A$3:$A$19,0)),INDEX(MODELOS!$D$3:$D$19,MATCH($D239,MODELOS!$A$3:$A$19,0))))</f>
        <v>Foto/ilustração do benefício 4</v>
      </c>
      <c r="H239" s="11" t="str">
        <f aca="false">IF(INDEX(PRODUTOS!$I$4:$I$63,MATCH($A239,PRODUTOS!$B$4:$B$63,0))="B",INDEX(MODELOS!$I$3:$I$19,MATCH($D239,MODELOS!$A$3:$A$19,0)),INDEX(MODELOS!$E$3:$E$19,MATCH($D239,MODELOS!$A$3:$A$19,0)))</f>
        <v>220 × 200</v>
      </c>
      <c r="I239" s="11" t="str">
        <f aca="false">INDEX(MODELOS!$J$3:$J$19,MATCH($D239,MODELOS!$A$3:$A$19,0))</f>
        <v>Conforme modelo</v>
      </c>
      <c r="J239" s="11" t="str">
        <f aca="false">IF(LEFT($D239,2)&lt;&gt;"AP",IF($I239="SIM","SIM","RECOMENDADA"),IF(INDEX(PRODUTOS!$J$4:$J$63,MATCH($A239,PRODUTOS!$B$4:$B$63,0))&lt;&gt;"","NÃO (usa o A+ do EAN "&amp;INDEX(PRODUTOS!$J$4:$J$63,MATCH($A239,PRODUTOS!$B$4:$B$63,0))&amp;")",IF(AND(INDEX(PRODUTOS!$I$4:$I$63,MATCH($A239,PRODUTOS!$B$4:$B$63,0))="B",$D239="AP07"),"NÃO (modelo B)","SIM")))</f>
        <v>NÃO (usa o A+ do EAN 7908591300666)</v>
      </c>
      <c r="K239" s="13" t="s">
        <v>325</v>
      </c>
      <c r="L239" s="13"/>
    </row>
    <row r="240" customFormat="false" ht="15" hidden="false" customHeight="false" outlineLevel="0" collapsed="false">
      <c r="A240" s="15" t="s">
        <v>102</v>
      </c>
      <c r="B240" s="11" t="str">
        <f aca="false">INDEX(PRODUTOS!$E$4:$E$63,MATCH($A240,PRODUTOS!$B$4:$B$63,0))</f>
        <v>New Dots Ração Seca Premium para Gatos Adultos Castrados - 11 kg</v>
      </c>
      <c r="C240" s="11" t="str">
        <f aca="false">INDEX(PRODUTOS!$H$4:$H$63,MATCH($A240,PRODUTOS!$B$4:$B$63,0))</f>
        <v>11 kg</v>
      </c>
      <c r="D240" s="11" t="s">
        <v>340</v>
      </c>
      <c r="E240" s="16" t="str">
        <f aca="false">$A240&amp;"."&amp;$D240&amp;".jpg"</f>
        <v>7908591300413.AP07.jpg</v>
      </c>
      <c r="F240" s="11" t="str">
        <f aca="false">IF(INDEX(PRODUTOS!$I$4:$I$63,MATCH($A240,PRODUTOS!$B$4:$B$63,0))="B",INDEX(MODELOS!$F$3:$F$19,MATCH($D240,MODELOS!$A$3:$A$19,0)),INDEX(MODELOS!$B$3:$B$19,MATCH($D240,MODELOS!$A$3:$A$19,0)))</f>
        <v>A+ · Módulo 4 · Especificações</v>
      </c>
      <c r="G240" s="11" t="str">
        <f aca="false">IF(INDEX(PRODUTOS!$F$4:$F$63,MATCH($A240,PRODUTOS!$B$4:$B$63,0))="Ração",IF(INDEX(PRODUTOS!$I$4:$I$63,MATCH($A240,PRODUTOS!$B$4:$B$63,0))="B",INDEX(MODELOS!$G$3:$G$19,MATCH($D240,MODELOS!$A$3:$A$19,0)),INDEX(MODELOS!$C$3:$C$19,MATCH($D240,MODELOS!$A$3:$A$19,0))),IF(INDEX(PRODUTOS!$I$4:$I$63,MATCH($A240,PRODUTOS!$B$4:$B$63,0))="B",INDEX(MODELOS!$H$3:$H$19,MATCH($D240,MODELOS!$A$3:$A$19,0)),INDEX(MODELOS!$D$3:$D$19,MATCH($D240,MODELOS!$A$3:$A$19,0))))</f>
        <v>Grão ou pacote em destaque</v>
      </c>
      <c r="H240" s="11" t="str">
        <f aca="false">IF(INDEX(PRODUTOS!$I$4:$I$63,MATCH($A240,PRODUTOS!$B$4:$B$63,0))="B",INDEX(MODELOS!$I$3:$I$19,MATCH($D240,MODELOS!$A$3:$A$19,0)),INDEX(MODELOS!$E$3:$E$19,MATCH($D240,MODELOS!$A$3:$A$19,0)))</f>
        <v>300 × 300</v>
      </c>
      <c r="I240" s="11" t="str">
        <f aca="false">INDEX(MODELOS!$J$3:$J$19,MATCH($D240,MODELOS!$A$3:$A$19,0))</f>
        <v>Conforme modelo</v>
      </c>
      <c r="J240" s="11" t="str">
        <f aca="false">IF(LEFT($D240,2)&lt;&gt;"AP",IF($I240="SIM","SIM","RECOMENDADA"),IF(INDEX(PRODUTOS!$J$4:$J$63,MATCH($A240,PRODUTOS!$B$4:$B$63,0))&lt;&gt;"","NÃO (usa o A+ do EAN "&amp;INDEX(PRODUTOS!$J$4:$J$63,MATCH($A240,PRODUTOS!$B$4:$B$63,0))&amp;")",IF(AND(INDEX(PRODUTOS!$I$4:$I$63,MATCH($A240,PRODUTOS!$B$4:$B$63,0))="B",$D240="AP07"),"NÃO (modelo B)","SIM")))</f>
        <v>NÃO (usa o A+ do EAN 7908591300666)</v>
      </c>
      <c r="K240" s="13" t="s">
        <v>325</v>
      </c>
      <c r="L240" s="13"/>
    </row>
    <row r="241" customFormat="false" ht="15" hidden="false" customHeight="false" outlineLevel="0" collapsed="false">
      <c r="A241" s="15" t="s">
        <v>102</v>
      </c>
      <c r="B241" s="11" t="str">
        <f aca="false">INDEX(PRODUTOS!$E$4:$E$63,MATCH($A241,PRODUTOS!$B$4:$B$63,0))</f>
        <v>New Dots Ração Seca Premium para Gatos Adultos Castrados - 11 kg</v>
      </c>
      <c r="C241" s="11" t="str">
        <f aca="false">INDEX(PRODUTOS!$H$4:$H$63,MATCH($A241,PRODUTOS!$B$4:$B$63,0))</f>
        <v>11 kg</v>
      </c>
      <c r="D241" s="11" t="s">
        <v>341</v>
      </c>
      <c r="E241" s="16" t="str">
        <f aca="false">$A241&amp;"."&amp;$D241&amp;".jpg"</f>
        <v>7908591300413.COMP.jpg</v>
      </c>
      <c r="F241" s="11" t="str">
        <f aca="false">IF(INDEX(PRODUTOS!$I$4:$I$63,MATCH($A241,PRODUTOS!$B$4:$B$63,0))="B",INDEX(MODELOS!$F$3:$F$19,MATCH($D241,MODELOS!$A$3:$A$19,0)),INDEX(MODELOS!$B$3:$B$19,MATCH($D241,MODELOS!$A$3:$A$19,0)))</f>
        <v>A+ · Tabela comparativa</v>
      </c>
      <c r="G241" s="11" t="str">
        <f aca="false">IF(INDEX(PRODUTOS!$F$4:$F$63,MATCH($A241,PRODUTOS!$B$4:$B$63,0))="Ração",IF(INDEX(PRODUTOS!$I$4:$I$63,MATCH($A241,PRODUTOS!$B$4:$B$63,0))="B",INDEX(MODELOS!$G$3:$G$19,MATCH($D241,MODELOS!$A$3:$A$19,0)),INDEX(MODELOS!$C$3:$C$19,MATCH($D241,MODELOS!$A$3:$A$19,0))),IF(INDEX(PRODUTOS!$I$4:$I$63,MATCH($A241,PRODUTOS!$B$4:$B$63,0))="B",INDEX(MODELOS!$H$3:$H$19,MATCH($D241,MODELOS!$A$3:$A$19,0)),INDEX(MODELOS!$D$3:$D$19,MATCH($D241,MODELOS!$A$3:$A$19,0))))</f>
        <v>Pacote na vertical, sem fundo colorido</v>
      </c>
      <c r="H241" s="11" t="str">
        <f aca="false">IF(INDEX(PRODUTOS!$I$4:$I$63,MATCH($A241,PRODUTOS!$B$4:$B$63,0))="B",INDEX(MODELOS!$I$3:$I$19,MATCH($D241,MODELOS!$A$3:$A$19,0)),INDEX(MODELOS!$E$3:$E$19,MATCH($D241,MODELOS!$A$3:$A$19,0)))</f>
        <v>150 × 300</v>
      </c>
      <c r="I241" s="11" t="str">
        <f aca="false">INDEX(MODELOS!$J$3:$J$19,MATCH($D241,MODELOS!$A$3:$A$19,0))</f>
        <v>SIM</v>
      </c>
      <c r="J241" s="11" t="str">
        <f aca="false">IF(LEFT($D241,2)&lt;&gt;"AP",IF($I241="SIM","SIM","RECOMENDADA"),IF(INDEX(PRODUTOS!$J$4:$J$63,MATCH($A241,PRODUTOS!$B$4:$B$63,0))&lt;&gt;"","NÃO (usa o A+ do EAN "&amp;INDEX(PRODUTOS!$J$4:$J$63,MATCH($A241,PRODUTOS!$B$4:$B$63,0))&amp;")",IF(AND(INDEX(PRODUTOS!$I$4:$I$63,MATCH($A241,PRODUTOS!$B$4:$B$63,0))="B",$D241="AP07"),"NÃO (modelo B)","SIM")))</f>
        <v>SIM</v>
      </c>
      <c r="K241" s="13" t="s">
        <v>325</v>
      </c>
      <c r="L241" s="13"/>
    </row>
    <row r="242" customFormat="false" ht="15" hidden="false" customHeight="false" outlineLevel="0" collapsed="false">
      <c r="A242" s="15" t="s">
        <v>106</v>
      </c>
      <c r="B242" s="11" t="str">
        <f aca="false">INDEX(PRODUTOS!$E$4:$E$63,MATCH($A242,PRODUTOS!$B$4:$B$63,0))</f>
        <v>New Dots Ração Seca Premium para Gatos Adultos Castrados - 1 kg</v>
      </c>
      <c r="C242" s="11" t="str">
        <f aca="false">INDEX(PRODUTOS!$H$4:$H$63,MATCH($A242,PRODUTOS!$B$4:$B$63,0))</f>
        <v>1 kg</v>
      </c>
      <c r="D242" s="11" t="s">
        <v>324</v>
      </c>
      <c r="E242" s="16" t="str">
        <f aca="false">$A242&amp;"."&amp;$D242&amp;".jpg"</f>
        <v>7908591300406.MAIN.jpg</v>
      </c>
      <c r="F242" s="11" t="str">
        <f aca="false">IF(INDEX(PRODUTOS!$I$4:$I$63,MATCH($A242,PRODUTOS!$B$4:$B$63,0))="B",INDEX(MODELOS!$F$3:$F$19,MATCH($D242,MODELOS!$A$3:$A$19,0)),INDEX(MODELOS!$B$3:$B$19,MATCH($D242,MODELOS!$A$3:$A$19,0)))</f>
        <v>Capa (posição 1)</v>
      </c>
      <c r="G242" s="11" t="str">
        <f aca="false">IF(INDEX(PRODUTOS!$F$4:$F$63,MATCH($A242,PRODUTOS!$B$4:$B$63,0))="Ração",IF(INDEX(PRODUTOS!$I$4:$I$63,MATCH($A242,PRODUTOS!$B$4:$B$63,0))="B",INDEX(MODELOS!$G$3:$G$19,MATCH($D242,MODELOS!$A$3:$A$19,0)),INDEX(MODELOS!$C$3:$C$19,MATCH($D242,MODELOS!$A$3:$A$19,0))),IF(INDEX(PRODUTOS!$I$4:$I$63,MATCH($A242,PRODUTOS!$B$4:$B$63,0))="B",INDEX(MODELOS!$H$3:$H$19,MATCH($D242,MODELOS!$A$3:$A$19,0)),INDEX(MODELOS!$D$3:$D$19,MATCH($D242,MODELOS!$A$3:$A$19,0))))</f>
        <v>Embalagem de frente, fundo branco puro, 85% da área, nada adicionado</v>
      </c>
      <c r="H242" s="11" t="str">
        <f aca="false">IF(INDEX(PRODUTOS!$I$4:$I$63,MATCH($A242,PRODUTOS!$B$4:$B$63,0))="B",INDEX(MODELOS!$I$3:$I$19,MATCH($D242,MODELOS!$A$3:$A$19,0)),INDEX(MODELOS!$E$3:$E$19,MATCH($D242,MODELOS!$A$3:$A$19,0)))</f>
        <v>2000 × 2000</v>
      </c>
      <c r="I242" s="11" t="str">
        <f aca="false">INDEX(MODELOS!$J$3:$J$19,MATCH($D242,MODELOS!$A$3:$A$19,0))</f>
        <v>SIM</v>
      </c>
      <c r="J242" s="11" t="str">
        <f aca="false">IF(LEFT($D242,2)&lt;&gt;"AP",IF($I242="SIM","SIM","RECOMENDADA"),IF(INDEX(PRODUTOS!$J$4:$J$63,MATCH($A242,PRODUTOS!$B$4:$B$63,0))&lt;&gt;"","NÃO (usa o A+ do EAN "&amp;INDEX(PRODUTOS!$J$4:$J$63,MATCH($A242,PRODUTOS!$B$4:$B$63,0))&amp;")",IF(AND(INDEX(PRODUTOS!$I$4:$I$63,MATCH($A242,PRODUTOS!$B$4:$B$63,0))="B",$D242="AP07"),"NÃO (modelo B)","SIM")))</f>
        <v>SIM</v>
      </c>
      <c r="K242" s="13" t="s">
        <v>325</v>
      </c>
      <c r="L242" s="13"/>
    </row>
    <row r="243" customFormat="false" ht="15" hidden="false" customHeight="false" outlineLevel="0" collapsed="false">
      <c r="A243" s="15" t="s">
        <v>106</v>
      </c>
      <c r="B243" s="11" t="str">
        <f aca="false">INDEX(PRODUTOS!$E$4:$E$63,MATCH($A243,PRODUTOS!$B$4:$B$63,0))</f>
        <v>New Dots Ração Seca Premium para Gatos Adultos Castrados - 1 kg</v>
      </c>
      <c r="C243" s="11" t="str">
        <f aca="false">INDEX(PRODUTOS!$H$4:$H$63,MATCH($A243,PRODUTOS!$B$4:$B$63,0))</f>
        <v>1 kg</v>
      </c>
      <c r="D243" s="11" t="s">
        <v>326</v>
      </c>
      <c r="E243" s="16" t="str">
        <f aca="false">$A243&amp;"."&amp;$D243&amp;".jpg"</f>
        <v>7908591300406.PT01.jpg</v>
      </c>
      <c r="F243" s="11" t="str">
        <f aca="false">IF(INDEX(PRODUTOS!$I$4:$I$63,MATCH($A243,PRODUTOS!$B$4:$B$63,0))="B",INDEX(MODELOS!$F$3:$F$19,MATCH($D243,MODELOS!$A$3:$A$19,0)),INDEX(MODELOS!$B$3:$B$19,MATCH($D243,MODELOS!$A$3:$A$19,0)))</f>
        <v>Galeria · posição 2</v>
      </c>
      <c r="G243" s="11" t="str">
        <f aca="false">IF(INDEX(PRODUTOS!$F$4:$F$63,MATCH($A243,PRODUTOS!$B$4:$B$63,0))="Ração",IF(INDEX(PRODUTOS!$I$4:$I$63,MATCH($A243,PRODUTOS!$B$4:$B$63,0))="B",INDEX(MODELOS!$G$3:$G$19,MATCH($D243,MODELOS!$A$3:$A$19,0)),INDEX(MODELOS!$C$3:$C$19,MATCH($D243,MODELOS!$A$3:$A$19,0))),IF(INDEX(PRODUTOS!$I$4:$I$63,MATCH($A243,PRODUTOS!$B$4:$B$63,0))="B",INDEX(MODELOS!$H$3:$H$19,MATCH($D243,MODELOS!$A$3:$A$19,0)),INDEX(MODELOS!$D$3:$D$19,MATCH($D243,MODELOS!$A$3:$A$19,0))))</f>
        <v>Grande diferencial da linha (número ou promessa forte + grão e ingrediente)</v>
      </c>
      <c r="H243" s="11" t="str">
        <f aca="false">IF(INDEX(PRODUTOS!$I$4:$I$63,MATCH($A243,PRODUTOS!$B$4:$B$63,0))="B",INDEX(MODELOS!$I$3:$I$19,MATCH($D243,MODELOS!$A$3:$A$19,0)),INDEX(MODELOS!$E$3:$E$19,MATCH($D243,MODELOS!$A$3:$A$19,0)))</f>
        <v>2000 × 2000</v>
      </c>
      <c r="I243" s="11" t="str">
        <f aca="false">INDEX(MODELOS!$J$3:$J$19,MATCH($D243,MODELOS!$A$3:$A$19,0))</f>
        <v>SIM</v>
      </c>
      <c r="J243" s="11" t="str">
        <f aca="false">IF(LEFT($D243,2)&lt;&gt;"AP",IF($I243="SIM","SIM","RECOMENDADA"),IF(INDEX(PRODUTOS!$J$4:$J$63,MATCH($A243,PRODUTOS!$B$4:$B$63,0))&lt;&gt;"","NÃO (usa o A+ do EAN "&amp;INDEX(PRODUTOS!$J$4:$J$63,MATCH($A243,PRODUTOS!$B$4:$B$63,0))&amp;")",IF(AND(INDEX(PRODUTOS!$I$4:$I$63,MATCH($A243,PRODUTOS!$B$4:$B$63,0))="B",$D243="AP07"),"NÃO (modelo B)","SIM")))</f>
        <v>SIM</v>
      </c>
      <c r="K243" s="13" t="s">
        <v>325</v>
      </c>
      <c r="L243" s="13"/>
    </row>
    <row r="244" customFormat="false" ht="15" hidden="false" customHeight="false" outlineLevel="0" collapsed="false">
      <c r="A244" s="15" t="s">
        <v>106</v>
      </c>
      <c r="B244" s="11" t="str">
        <f aca="false">INDEX(PRODUTOS!$E$4:$E$63,MATCH($A244,PRODUTOS!$B$4:$B$63,0))</f>
        <v>New Dots Ração Seca Premium para Gatos Adultos Castrados - 1 kg</v>
      </c>
      <c r="C244" s="11" t="str">
        <f aca="false">INDEX(PRODUTOS!$H$4:$H$63,MATCH($A244,PRODUTOS!$B$4:$B$63,0))</f>
        <v>1 kg</v>
      </c>
      <c r="D244" s="11" t="s">
        <v>327</v>
      </c>
      <c r="E244" s="16" t="str">
        <f aca="false">$A244&amp;"."&amp;$D244&amp;".jpg"</f>
        <v>7908591300406.PT02.jpg</v>
      </c>
      <c r="F244" s="11" t="str">
        <f aca="false">IF(INDEX(PRODUTOS!$I$4:$I$63,MATCH($A244,PRODUTOS!$B$4:$B$63,0))="B",INDEX(MODELOS!$F$3:$F$19,MATCH($D244,MODELOS!$A$3:$A$19,0)),INDEX(MODELOS!$B$3:$B$19,MATCH($D244,MODELOS!$A$3:$A$19,0)))</f>
        <v>Galeria · posição 3</v>
      </c>
      <c r="G244" s="11" t="str">
        <f aca="false">IF(INDEX(PRODUTOS!$F$4:$F$63,MATCH($A244,PRODUTOS!$B$4:$B$63,0))="Ração",IF(INDEX(PRODUTOS!$I$4:$I$63,MATCH($A244,PRODUTOS!$B$4:$B$63,0))="B",INDEX(MODELOS!$G$3:$G$19,MATCH($D244,MODELOS!$A$3:$A$19,0)),INDEX(MODELOS!$C$3:$C$19,MATCH($D244,MODELOS!$A$3:$A$19,0))),IF(INDEX(PRODUTOS!$I$4:$I$63,MATCH($A244,PRODUTOS!$B$4:$B$63,0))="B",INDEX(MODELOS!$H$3:$H$19,MATCH($D244,MODELOS!$A$3:$A$19,0)),INDEX(MODELOS!$D$3:$D$19,MATCH($D244,MODELOS!$A$3:$A$19,0))))</f>
        <v>Benefícios com ícones (4 a 6, impressos na embalagem) + ingrediente</v>
      </c>
      <c r="H244" s="11" t="str">
        <f aca="false">IF(INDEX(PRODUTOS!$I$4:$I$63,MATCH($A244,PRODUTOS!$B$4:$B$63,0))="B",INDEX(MODELOS!$I$3:$I$19,MATCH($D244,MODELOS!$A$3:$A$19,0)),INDEX(MODELOS!$E$3:$E$19,MATCH($D244,MODELOS!$A$3:$A$19,0)))</f>
        <v>2000 × 2000</v>
      </c>
      <c r="I244" s="11" t="str">
        <f aca="false">INDEX(MODELOS!$J$3:$J$19,MATCH($D244,MODELOS!$A$3:$A$19,0))</f>
        <v>SIM</v>
      </c>
      <c r="J244" s="11" t="str">
        <f aca="false">IF(LEFT($D244,2)&lt;&gt;"AP",IF($I244="SIM","SIM","RECOMENDADA"),IF(INDEX(PRODUTOS!$J$4:$J$63,MATCH($A244,PRODUTOS!$B$4:$B$63,0))&lt;&gt;"","NÃO (usa o A+ do EAN "&amp;INDEX(PRODUTOS!$J$4:$J$63,MATCH($A244,PRODUTOS!$B$4:$B$63,0))&amp;")",IF(AND(INDEX(PRODUTOS!$I$4:$I$63,MATCH($A244,PRODUTOS!$B$4:$B$63,0))="B",$D244="AP07"),"NÃO (modelo B)","SIM")))</f>
        <v>SIM</v>
      </c>
      <c r="K244" s="13" t="s">
        <v>325</v>
      </c>
      <c r="L244" s="13"/>
    </row>
    <row r="245" customFormat="false" ht="15" hidden="false" customHeight="false" outlineLevel="0" collapsed="false">
      <c r="A245" s="15" t="s">
        <v>106</v>
      </c>
      <c r="B245" s="11" t="str">
        <f aca="false">INDEX(PRODUTOS!$E$4:$E$63,MATCH($A245,PRODUTOS!$B$4:$B$63,0))</f>
        <v>New Dots Ração Seca Premium para Gatos Adultos Castrados - 1 kg</v>
      </c>
      <c r="C245" s="11" t="str">
        <f aca="false">INDEX(PRODUTOS!$H$4:$H$63,MATCH($A245,PRODUTOS!$B$4:$B$63,0))</f>
        <v>1 kg</v>
      </c>
      <c r="D245" s="11" t="s">
        <v>328</v>
      </c>
      <c r="E245" s="16" t="str">
        <f aca="false">$A245&amp;"."&amp;$D245&amp;".jpg"</f>
        <v>7908591300406.PT03.jpg</v>
      </c>
      <c r="F245" s="11" t="str">
        <f aca="false">IF(INDEX(PRODUTOS!$I$4:$I$63,MATCH($A245,PRODUTOS!$B$4:$B$63,0))="B",INDEX(MODELOS!$F$3:$F$19,MATCH($D245,MODELOS!$A$3:$A$19,0)),INDEX(MODELOS!$B$3:$B$19,MATCH($D245,MODELOS!$A$3:$A$19,0)))</f>
        <v>Galeria · posição 4</v>
      </c>
      <c r="G245" s="11" t="str">
        <f aca="false">IF(INDEX(PRODUTOS!$F$4:$F$63,MATCH($A245,PRODUTOS!$B$4:$B$63,0))="Ração",IF(INDEX(PRODUTOS!$I$4:$I$63,MATCH($A245,PRODUTOS!$B$4:$B$63,0))="B",INDEX(MODELOS!$G$3:$G$19,MATCH($D245,MODELOS!$A$3:$A$19,0)),INDEX(MODELOS!$C$3:$C$19,MATCH($D245,MODELOS!$A$3:$A$19,0))),IF(INDEX(PRODUTOS!$I$4:$I$63,MATCH($A245,PRODUTOS!$B$4:$B$63,0))="B",INDEX(MODELOS!$H$3:$H$19,MATCH($D245,MODELOS!$A$3:$A$19,0)),INDEX(MODELOS!$D$3:$D$19,MATCH($D245,MODELOS!$A$3:$A$19,0))))</f>
        <v>Formato e tamanho do grão, com medida em mm e referência de tamanho</v>
      </c>
      <c r="H245" s="11" t="str">
        <f aca="false">IF(INDEX(PRODUTOS!$I$4:$I$63,MATCH($A245,PRODUTOS!$B$4:$B$63,0))="B",INDEX(MODELOS!$I$3:$I$19,MATCH($D245,MODELOS!$A$3:$A$19,0)),INDEX(MODELOS!$E$3:$E$19,MATCH($D245,MODELOS!$A$3:$A$19,0)))</f>
        <v>2000 × 2000</v>
      </c>
      <c r="I245" s="11" t="str">
        <f aca="false">INDEX(MODELOS!$J$3:$J$19,MATCH($D245,MODELOS!$A$3:$A$19,0))</f>
        <v>SIM</v>
      </c>
      <c r="J245" s="11" t="str">
        <f aca="false">IF(LEFT($D245,2)&lt;&gt;"AP",IF($I245="SIM","SIM","RECOMENDADA"),IF(INDEX(PRODUTOS!$J$4:$J$63,MATCH($A245,PRODUTOS!$B$4:$B$63,0))&lt;&gt;"","NÃO (usa o A+ do EAN "&amp;INDEX(PRODUTOS!$J$4:$J$63,MATCH($A245,PRODUTOS!$B$4:$B$63,0))&amp;")",IF(AND(INDEX(PRODUTOS!$I$4:$I$63,MATCH($A245,PRODUTOS!$B$4:$B$63,0))="B",$D245="AP07"),"NÃO (modelo B)","SIM")))</f>
        <v>SIM</v>
      </c>
      <c r="K245" s="13" t="s">
        <v>325</v>
      </c>
      <c r="L245" s="13"/>
    </row>
    <row r="246" customFormat="false" ht="15" hidden="false" customHeight="false" outlineLevel="0" collapsed="false">
      <c r="A246" s="15" t="s">
        <v>106</v>
      </c>
      <c r="B246" s="11" t="str">
        <f aca="false">INDEX(PRODUTOS!$E$4:$E$63,MATCH($A246,PRODUTOS!$B$4:$B$63,0))</f>
        <v>New Dots Ração Seca Premium para Gatos Adultos Castrados - 1 kg</v>
      </c>
      <c r="C246" s="11" t="str">
        <f aca="false">INDEX(PRODUTOS!$H$4:$H$63,MATCH($A246,PRODUTOS!$B$4:$B$63,0))</f>
        <v>1 kg</v>
      </c>
      <c r="D246" s="11" t="s">
        <v>329</v>
      </c>
      <c r="E246" s="16" t="str">
        <f aca="false">$A246&amp;"."&amp;$D246&amp;".jpg"</f>
        <v>7908591300406.PT04.jpg</v>
      </c>
      <c r="F246" s="11" t="str">
        <f aca="false">IF(INDEX(PRODUTOS!$I$4:$I$63,MATCH($A246,PRODUTOS!$B$4:$B$63,0))="B",INDEX(MODELOS!$F$3:$F$19,MATCH($D246,MODELOS!$A$3:$A$19,0)),INDEX(MODELOS!$B$3:$B$19,MATCH($D246,MODELOS!$A$3:$A$19,0)))</f>
        <v>Galeria · posição 5</v>
      </c>
      <c r="G246" s="11" t="str">
        <f aca="false">IF(INDEX(PRODUTOS!$F$4:$F$63,MATCH($A246,PRODUTOS!$B$4:$B$63,0))="Ração",IF(INDEX(PRODUTOS!$I$4:$I$63,MATCH($A246,PRODUTOS!$B$4:$B$63,0))="B",INDEX(MODELOS!$G$3:$G$19,MATCH($D246,MODELOS!$A$3:$A$19,0)),INDEX(MODELOS!$C$3:$C$19,MATCH($D246,MODELOS!$A$3:$A$19,0))),IF(INDEX(PRODUTOS!$I$4:$I$63,MATCH($A246,PRODUTOS!$B$4:$B$63,0))="B",INDEX(MODELOS!$H$3:$H$19,MATCH($D246,MODELOS!$A$3:$A$19,0)),INDEX(MODELOS!$D$3:$D$19,MATCH($D246,MODELOS!$A$3:$A$19,0))))</f>
        <v>Quantidade diária por peso do cão/gato (números idênticos à embalagem)</v>
      </c>
      <c r="H246" s="11" t="str">
        <f aca="false">IF(INDEX(PRODUTOS!$I$4:$I$63,MATCH($A246,PRODUTOS!$B$4:$B$63,0))="B",INDEX(MODELOS!$I$3:$I$19,MATCH($D246,MODELOS!$A$3:$A$19,0)),INDEX(MODELOS!$E$3:$E$19,MATCH($D246,MODELOS!$A$3:$A$19,0)))</f>
        <v>2000 × 2000</v>
      </c>
      <c r="I246" s="11" t="str">
        <f aca="false">INDEX(MODELOS!$J$3:$J$19,MATCH($D246,MODELOS!$A$3:$A$19,0))</f>
        <v>SIM</v>
      </c>
      <c r="J246" s="11" t="str">
        <f aca="false">IF(LEFT($D246,2)&lt;&gt;"AP",IF($I246="SIM","SIM","RECOMENDADA"),IF(INDEX(PRODUTOS!$J$4:$J$63,MATCH($A246,PRODUTOS!$B$4:$B$63,0))&lt;&gt;"","NÃO (usa o A+ do EAN "&amp;INDEX(PRODUTOS!$J$4:$J$63,MATCH($A246,PRODUTOS!$B$4:$B$63,0))&amp;")",IF(AND(INDEX(PRODUTOS!$I$4:$I$63,MATCH($A246,PRODUTOS!$B$4:$B$63,0))="B",$D246="AP07"),"NÃO (modelo B)","SIM")))</f>
        <v>SIM</v>
      </c>
      <c r="K246" s="13" t="s">
        <v>325</v>
      </c>
      <c r="L246" s="13"/>
    </row>
    <row r="247" customFormat="false" ht="15" hidden="false" customHeight="false" outlineLevel="0" collapsed="false">
      <c r="A247" s="15" t="s">
        <v>106</v>
      </c>
      <c r="B247" s="11" t="str">
        <f aca="false">INDEX(PRODUTOS!$E$4:$E$63,MATCH($A247,PRODUTOS!$B$4:$B$63,0))</f>
        <v>New Dots Ração Seca Premium para Gatos Adultos Castrados - 1 kg</v>
      </c>
      <c r="C247" s="11" t="str">
        <f aca="false">INDEX(PRODUTOS!$H$4:$H$63,MATCH($A247,PRODUTOS!$B$4:$B$63,0))</f>
        <v>1 kg</v>
      </c>
      <c r="D247" s="11" t="s">
        <v>330</v>
      </c>
      <c r="E247" s="16" t="str">
        <f aca="false">$A247&amp;"."&amp;$D247&amp;".jpg"</f>
        <v>7908591300406.PT05.jpg</v>
      </c>
      <c r="F247" s="11" t="str">
        <f aca="false">IF(INDEX(PRODUTOS!$I$4:$I$63,MATCH($A247,PRODUTOS!$B$4:$B$63,0))="B",INDEX(MODELOS!$F$3:$F$19,MATCH($D247,MODELOS!$A$3:$A$19,0)),INDEX(MODELOS!$B$3:$B$19,MATCH($D247,MODELOS!$A$3:$A$19,0)))</f>
        <v>Galeria · posição 6</v>
      </c>
      <c r="G247" s="11" t="str">
        <f aca="false">IF(INDEX(PRODUTOS!$F$4:$F$63,MATCH($A247,PRODUTOS!$B$4:$B$63,0))="Ração",IF(INDEX(PRODUTOS!$I$4:$I$63,MATCH($A247,PRODUTOS!$B$4:$B$63,0))="B",INDEX(MODELOS!$G$3:$G$19,MATCH($D247,MODELOS!$A$3:$A$19,0)),INDEX(MODELOS!$C$3:$C$19,MATCH($D247,MODELOS!$A$3:$A$19,0))),IF(INDEX(PRODUTOS!$I$4:$I$63,MATCH($A247,PRODUTOS!$B$4:$B$63,0))="B",INDEX(MODELOS!$H$3:$H$19,MATCH($D247,MODELOS!$A$3:$A$19,0)),INDEX(MODELOS!$D$3:$D$19,MATCH($D247,MODELOS!$A$3:$A$19,0))))</f>
        <v>Transição alimentar dia a dia (igual ao verso da embalagem)</v>
      </c>
      <c r="H247" s="11" t="str">
        <f aca="false">IF(INDEX(PRODUTOS!$I$4:$I$63,MATCH($A247,PRODUTOS!$B$4:$B$63,0))="B",INDEX(MODELOS!$I$3:$I$19,MATCH($D247,MODELOS!$A$3:$A$19,0)),INDEX(MODELOS!$E$3:$E$19,MATCH($D247,MODELOS!$A$3:$A$19,0)))</f>
        <v>2000 × 2000</v>
      </c>
      <c r="I247" s="11" t="str">
        <f aca="false">INDEX(MODELOS!$J$3:$J$19,MATCH($D247,MODELOS!$A$3:$A$19,0))</f>
        <v>Recomendada</v>
      </c>
      <c r="J247" s="11" t="str">
        <f aca="false">IF(LEFT($D247,2)&lt;&gt;"AP",IF($I247="SIM","SIM","RECOMENDADA"),IF(INDEX(PRODUTOS!$J$4:$J$63,MATCH($A247,PRODUTOS!$B$4:$B$63,0))&lt;&gt;"","NÃO (usa o A+ do EAN "&amp;INDEX(PRODUTOS!$J$4:$J$63,MATCH($A247,PRODUTOS!$B$4:$B$63,0))&amp;")",IF(AND(INDEX(PRODUTOS!$I$4:$I$63,MATCH($A247,PRODUTOS!$B$4:$B$63,0))="B",$D247="AP07"),"NÃO (modelo B)","SIM")))</f>
        <v>RECOMENDADA</v>
      </c>
      <c r="K247" s="13" t="s">
        <v>325</v>
      </c>
      <c r="L247" s="13"/>
    </row>
    <row r="248" customFormat="false" ht="15" hidden="false" customHeight="false" outlineLevel="0" collapsed="false">
      <c r="A248" s="15" t="s">
        <v>106</v>
      </c>
      <c r="B248" s="11" t="str">
        <f aca="false">INDEX(PRODUTOS!$E$4:$E$63,MATCH($A248,PRODUTOS!$B$4:$B$63,0))</f>
        <v>New Dots Ração Seca Premium para Gatos Adultos Castrados - 1 kg</v>
      </c>
      <c r="C248" s="11" t="str">
        <f aca="false">INDEX(PRODUTOS!$H$4:$H$63,MATCH($A248,PRODUTOS!$B$4:$B$63,0))</f>
        <v>1 kg</v>
      </c>
      <c r="D248" s="11" t="s">
        <v>331</v>
      </c>
      <c r="E248" s="16" t="str">
        <f aca="false">$A248&amp;"."&amp;$D248&amp;".jpg"</f>
        <v>7908591300406.PT06.jpg</v>
      </c>
      <c r="F248" s="11" t="str">
        <f aca="false">IF(INDEX(PRODUTOS!$I$4:$I$63,MATCH($A248,PRODUTOS!$B$4:$B$63,0))="B",INDEX(MODELOS!$F$3:$F$19,MATCH($D248,MODELOS!$A$3:$A$19,0)),INDEX(MODELOS!$B$3:$B$19,MATCH($D248,MODELOS!$A$3:$A$19,0)))</f>
        <v>Galeria · posição 7</v>
      </c>
      <c r="G248" s="11" t="str">
        <f aca="false">IF(INDEX(PRODUTOS!$F$4:$F$63,MATCH($A248,PRODUTOS!$B$4:$B$63,0))="Ração",IF(INDEX(PRODUTOS!$I$4:$I$63,MATCH($A248,PRODUTOS!$B$4:$B$63,0))="B",INDEX(MODELOS!$G$3:$G$19,MATCH($D248,MODELOS!$A$3:$A$19,0)),INDEX(MODELOS!$C$3:$C$19,MATCH($D248,MODELOS!$A$3:$A$19,0))),IF(INDEX(PRODUTOS!$I$4:$I$63,MATCH($A248,PRODUTOS!$B$4:$B$63,0))="B",INDEX(MODELOS!$H$3:$H$19,MATCH($D248,MODELOS!$A$3:$A$19,0)),INDEX(MODELOS!$D$3:$D$19,MATCH($D248,MODELOS!$A$3:$A$19,0))))</f>
        <v>Composição e níveis de garantia em letra grande</v>
      </c>
      <c r="H248" s="11" t="str">
        <f aca="false">IF(INDEX(PRODUTOS!$I$4:$I$63,MATCH($A248,PRODUTOS!$B$4:$B$63,0))="B",INDEX(MODELOS!$I$3:$I$19,MATCH($D248,MODELOS!$A$3:$A$19,0)),INDEX(MODELOS!$E$3:$E$19,MATCH($D248,MODELOS!$A$3:$A$19,0)))</f>
        <v>2000 × 2000</v>
      </c>
      <c r="I248" s="11" t="str">
        <f aca="false">INDEX(MODELOS!$J$3:$J$19,MATCH($D248,MODELOS!$A$3:$A$19,0))</f>
        <v>SIM</v>
      </c>
      <c r="J248" s="11" t="str">
        <f aca="false">IF(LEFT($D248,2)&lt;&gt;"AP",IF($I248="SIM","SIM","RECOMENDADA"),IF(INDEX(PRODUTOS!$J$4:$J$63,MATCH($A248,PRODUTOS!$B$4:$B$63,0))&lt;&gt;"","NÃO (usa o A+ do EAN "&amp;INDEX(PRODUTOS!$J$4:$J$63,MATCH($A248,PRODUTOS!$B$4:$B$63,0))&amp;")",IF(AND(INDEX(PRODUTOS!$I$4:$I$63,MATCH($A248,PRODUTOS!$B$4:$B$63,0))="B",$D248="AP07"),"NÃO (modelo B)","SIM")))</f>
        <v>SIM</v>
      </c>
      <c r="K248" s="13" t="s">
        <v>325</v>
      </c>
      <c r="L248" s="13"/>
    </row>
    <row r="249" customFormat="false" ht="15" hidden="false" customHeight="false" outlineLevel="0" collapsed="false">
      <c r="A249" s="15" t="s">
        <v>106</v>
      </c>
      <c r="B249" s="11" t="str">
        <f aca="false">INDEX(PRODUTOS!$E$4:$E$63,MATCH($A249,PRODUTOS!$B$4:$B$63,0))</f>
        <v>New Dots Ração Seca Premium para Gatos Adultos Castrados - 1 kg</v>
      </c>
      <c r="C249" s="11" t="str">
        <f aca="false">INDEX(PRODUTOS!$H$4:$H$63,MATCH($A249,PRODUTOS!$B$4:$B$63,0))</f>
        <v>1 kg</v>
      </c>
      <c r="D249" s="11" t="s">
        <v>332</v>
      </c>
      <c r="E249" s="16" t="str">
        <f aca="false">$A249&amp;"."&amp;$D249&amp;".jpg"</f>
        <v>7908591300406.PT07.jpg</v>
      </c>
      <c r="F249" s="11" t="str">
        <f aca="false">IF(INDEX(PRODUTOS!$I$4:$I$63,MATCH($A249,PRODUTOS!$B$4:$B$63,0))="B",INDEX(MODELOS!$F$3:$F$19,MATCH($D249,MODELOS!$A$3:$A$19,0)),INDEX(MODELOS!$B$3:$B$19,MATCH($D249,MODELOS!$A$3:$A$19,0)))</f>
        <v>Galeria · posição 8</v>
      </c>
      <c r="G249" s="11" t="str">
        <f aca="false">IF(INDEX(PRODUTOS!$F$4:$F$63,MATCH($A249,PRODUTOS!$B$4:$B$63,0))="Ração",IF(INDEX(PRODUTOS!$I$4:$I$63,MATCH($A249,PRODUTOS!$B$4:$B$63,0))="B",INDEX(MODELOS!$G$3:$G$19,MATCH($D249,MODELOS!$A$3:$A$19,0)),INDEX(MODELOS!$C$3:$C$19,MATCH($D249,MODELOS!$A$3:$A$19,0))),IF(INDEX(PRODUTOS!$I$4:$I$63,MATCH($A249,PRODUTOS!$B$4:$B$63,0))="B",INDEX(MODELOS!$H$3:$H$19,MATCH($D249,MODELOS!$A$3:$A$19,0)),INDEX(MODELOS!$D$3:$D$19,MATCH($D249,MODELOS!$A$3:$A$19,0))))</f>
        <v>Emocional / momento de uso (pet do porte certo, pote cheio)</v>
      </c>
      <c r="H249" s="11" t="str">
        <f aca="false">IF(INDEX(PRODUTOS!$I$4:$I$63,MATCH($A249,PRODUTOS!$B$4:$B$63,0))="B",INDEX(MODELOS!$I$3:$I$19,MATCH($D249,MODELOS!$A$3:$A$19,0)),INDEX(MODELOS!$E$3:$E$19,MATCH($D249,MODELOS!$A$3:$A$19,0)))</f>
        <v>2000 × 2000</v>
      </c>
      <c r="I249" s="11" t="str">
        <f aca="false">INDEX(MODELOS!$J$3:$J$19,MATCH($D249,MODELOS!$A$3:$A$19,0))</f>
        <v>Recomendada</v>
      </c>
      <c r="J249" s="11" t="str">
        <f aca="false">IF(LEFT($D249,2)&lt;&gt;"AP",IF($I249="SIM","SIM","RECOMENDADA"),IF(INDEX(PRODUTOS!$J$4:$J$63,MATCH($A249,PRODUTOS!$B$4:$B$63,0))&lt;&gt;"","NÃO (usa o A+ do EAN "&amp;INDEX(PRODUTOS!$J$4:$J$63,MATCH($A249,PRODUTOS!$B$4:$B$63,0))&amp;")",IF(AND(INDEX(PRODUTOS!$I$4:$I$63,MATCH($A249,PRODUTOS!$B$4:$B$63,0))="B",$D249="AP07"),"NÃO (modelo B)","SIM")))</f>
        <v>RECOMENDADA</v>
      </c>
      <c r="K249" s="13" t="s">
        <v>325</v>
      </c>
      <c r="L249" s="13"/>
    </row>
    <row r="250" customFormat="false" ht="15" hidden="false" customHeight="false" outlineLevel="0" collapsed="false">
      <c r="A250" s="15" t="s">
        <v>106</v>
      </c>
      <c r="B250" s="11" t="str">
        <f aca="false">INDEX(PRODUTOS!$E$4:$E$63,MATCH($A250,PRODUTOS!$B$4:$B$63,0))</f>
        <v>New Dots Ração Seca Premium para Gatos Adultos Castrados - 1 kg</v>
      </c>
      <c r="C250" s="11" t="str">
        <f aca="false">INDEX(PRODUTOS!$H$4:$H$63,MATCH($A250,PRODUTOS!$B$4:$B$63,0))</f>
        <v>1 kg</v>
      </c>
      <c r="D250" s="11" t="s">
        <v>333</v>
      </c>
      <c r="E250" s="16" t="str">
        <f aca="false">$A250&amp;"."&amp;$D250&amp;".jpg"</f>
        <v>7908591300406.PT08.jpg</v>
      </c>
      <c r="F250" s="11" t="str">
        <f aca="false">IF(INDEX(PRODUTOS!$I$4:$I$63,MATCH($A250,PRODUTOS!$B$4:$B$63,0))="B",INDEX(MODELOS!$F$3:$F$19,MATCH($D250,MODELOS!$A$3:$A$19,0)),INDEX(MODELOS!$B$3:$B$19,MATCH($D250,MODELOS!$A$3:$A$19,0)))</f>
        <v>Galeria · posição 9</v>
      </c>
      <c r="G250" s="11" t="str">
        <f aca="false">IF(INDEX(PRODUTOS!$F$4:$F$63,MATCH($A250,PRODUTOS!$B$4:$B$63,0))="Ração",IF(INDEX(PRODUTOS!$I$4:$I$63,MATCH($A250,PRODUTOS!$B$4:$B$63,0))="B",INDEX(MODELOS!$G$3:$G$19,MATCH($D250,MODELOS!$A$3:$A$19,0)),INDEX(MODELOS!$C$3:$C$19,MATCH($D250,MODELOS!$A$3:$A$19,0))),IF(INDEX(PRODUTOS!$I$4:$I$63,MATCH($A250,PRODUTOS!$B$4:$B$63,0))="B",INDEX(MODELOS!$H$3:$H$19,MATCH($D250,MODELOS!$A$3:$A$19,0)),INDEX(MODELOS!$D$3:$D$19,MATCH($D250,MODELOS!$A$3:$A$19,0))))</f>
        <v>Linha da marca ou embalagem anterior × nova</v>
      </c>
      <c r="H250" s="11" t="str">
        <f aca="false">IF(INDEX(PRODUTOS!$I$4:$I$63,MATCH($A250,PRODUTOS!$B$4:$B$63,0))="B",INDEX(MODELOS!$I$3:$I$19,MATCH($D250,MODELOS!$A$3:$A$19,0)),INDEX(MODELOS!$E$3:$E$19,MATCH($D250,MODELOS!$A$3:$A$19,0)))</f>
        <v>2000 × 2000</v>
      </c>
      <c r="I250" s="11" t="str">
        <f aca="false">INDEX(MODELOS!$J$3:$J$19,MATCH($D250,MODELOS!$A$3:$A$19,0))</f>
        <v>Recomendada</v>
      </c>
      <c r="J250" s="11" t="str">
        <f aca="false">IF(LEFT($D250,2)&lt;&gt;"AP",IF($I250="SIM","SIM","RECOMENDADA"),IF(INDEX(PRODUTOS!$J$4:$J$63,MATCH($A250,PRODUTOS!$B$4:$B$63,0))&lt;&gt;"","NÃO (usa o A+ do EAN "&amp;INDEX(PRODUTOS!$J$4:$J$63,MATCH($A250,PRODUTOS!$B$4:$B$63,0))&amp;")",IF(AND(INDEX(PRODUTOS!$I$4:$I$63,MATCH($A250,PRODUTOS!$B$4:$B$63,0))="B",$D250="AP07"),"NÃO (modelo B)","SIM")))</f>
        <v>RECOMENDADA</v>
      </c>
      <c r="K250" s="13" t="s">
        <v>325</v>
      </c>
      <c r="L250" s="13"/>
    </row>
    <row r="251" customFormat="false" ht="15" hidden="false" customHeight="false" outlineLevel="0" collapsed="false">
      <c r="A251" s="15" t="s">
        <v>106</v>
      </c>
      <c r="B251" s="11" t="str">
        <f aca="false">INDEX(PRODUTOS!$E$4:$E$63,MATCH($A251,PRODUTOS!$B$4:$B$63,0))</f>
        <v>New Dots Ração Seca Premium para Gatos Adultos Castrados - 1 kg</v>
      </c>
      <c r="C251" s="11" t="str">
        <f aca="false">INDEX(PRODUTOS!$H$4:$H$63,MATCH($A251,PRODUTOS!$B$4:$B$63,0))</f>
        <v>1 kg</v>
      </c>
      <c r="D251" s="11" t="s">
        <v>334</v>
      </c>
      <c r="E251" s="16" t="str">
        <f aca="false">$A251&amp;"."&amp;$D251&amp;".jpg"</f>
        <v>7908591300406.AP01.jpg</v>
      </c>
      <c r="F251" s="11" t="str">
        <f aca="false">IF(INDEX(PRODUTOS!$I$4:$I$63,MATCH($A251,PRODUTOS!$B$4:$B$63,0))="B",INDEX(MODELOS!$F$3:$F$19,MATCH($D251,MODELOS!$A$3:$A$19,0)),INDEX(MODELOS!$B$3:$B$19,MATCH($D251,MODELOS!$A$3:$A$19,0)))</f>
        <v>A+ · Módulo 1 · Banner</v>
      </c>
      <c r="G251" s="11" t="str">
        <f aca="false">IF(INDEX(PRODUTOS!$F$4:$F$63,MATCH($A251,PRODUTOS!$B$4:$B$63,0))="Ração",IF(INDEX(PRODUTOS!$I$4:$I$63,MATCH($A251,PRODUTOS!$B$4:$B$63,0))="B",INDEX(MODELOS!$G$3:$G$19,MATCH($D251,MODELOS!$A$3:$A$19,0)),INDEX(MODELOS!$C$3:$C$19,MATCH($D251,MODELOS!$A$3:$A$19,0))),IF(INDEX(PRODUTOS!$I$4:$I$63,MATCH($A251,PRODUTOS!$B$4:$B$63,0))="B",INDEX(MODELOS!$H$3:$H$19,MATCH($D251,MODELOS!$A$3:$A$19,0)),INDEX(MODELOS!$D$3:$D$19,MATCH($D251,MODELOS!$A$3:$A$19,0))))</f>
        <v>Embalagem + pet + ingredientes, com o nome da linha</v>
      </c>
      <c r="H251" s="11" t="str">
        <f aca="false">IF(INDEX(PRODUTOS!$I$4:$I$63,MATCH($A251,PRODUTOS!$B$4:$B$63,0))="B",INDEX(MODELOS!$I$3:$I$19,MATCH($D251,MODELOS!$A$3:$A$19,0)),INDEX(MODELOS!$E$3:$E$19,MATCH($D251,MODELOS!$A$3:$A$19,0)))</f>
        <v>970 × 600</v>
      </c>
      <c r="I251" s="11" t="str">
        <f aca="false">INDEX(MODELOS!$J$3:$J$19,MATCH($D251,MODELOS!$A$3:$A$19,0))</f>
        <v>Conforme modelo</v>
      </c>
      <c r="J251" s="11" t="str">
        <f aca="false">IF(LEFT($D251,2)&lt;&gt;"AP",IF($I251="SIM","SIM","RECOMENDADA"),IF(INDEX(PRODUTOS!$J$4:$J$63,MATCH($A251,PRODUTOS!$B$4:$B$63,0))&lt;&gt;"","NÃO (usa o A+ do EAN "&amp;INDEX(PRODUTOS!$J$4:$J$63,MATCH($A251,PRODUTOS!$B$4:$B$63,0))&amp;")",IF(AND(INDEX(PRODUTOS!$I$4:$I$63,MATCH($A251,PRODUTOS!$B$4:$B$63,0))="B",$D251="AP07"),"NÃO (modelo B)","SIM")))</f>
        <v>NÃO (usa o A+ do EAN 7908591300666)</v>
      </c>
      <c r="K251" s="13" t="s">
        <v>325</v>
      </c>
      <c r="L251" s="13"/>
    </row>
    <row r="252" customFormat="false" ht="15" hidden="false" customHeight="false" outlineLevel="0" collapsed="false">
      <c r="A252" s="15" t="s">
        <v>106</v>
      </c>
      <c r="B252" s="11" t="str">
        <f aca="false">INDEX(PRODUTOS!$E$4:$E$63,MATCH($A252,PRODUTOS!$B$4:$B$63,0))</f>
        <v>New Dots Ração Seca Premium para Gatos Adultos Castrados - 1 kg</v>
      </c>
      <c r="C252" s="11" t="str">
        <f aca="false">INDEX(PRODUTOS!$H$4:$H$63,MATCH($A252,PRODUTOS!$B$4:$B$63,0))</f>
        <v>1 kg</v>
      </c>
      <c r="D252" s="11" t="s">
        <v>335</v>
      </c>
      <c r="E252" s="16" t="str">
        <f aca="false">$A252&amp;"."&amp;$D252&amp;".jpg"</f>
        <v>7908591300406.AP02.jpg</v>
      </c>
      <c r="F252" s="11" t="str">
        <f aca="false">IF(INDEX(PRODUTOS!$I$4:$I$63,MATCH($A252,PRODUTOS!$B$4:$B$63,0))="B",INDEX(MODELOS!$F$3:$F$19,MATCH($D252,MODELOS!$A$3:$A$19,0)),INDEX(MODELOS!$B$3:$B$19,MATCH($D252,MODELOS!$A$3:$A$19,0)))</f>
        <v>A+ · Módulo 2 · Texto sobreposto</v>
      </c>
      <c r="G252" s="11" t="str">
        <f aca="false">IF(INDEX(PRODUTOS!$F$4:$F$63,MATCH($A252,PRODUTOS!$B$4:$B$63,0))="Ração",IF(INDEX(PRODUTOS!$I$4:$I$63,MATCH($A252,PRODUTOS!$B$4:$B$63,0))="B",INDEX(MODELOS!$G$3:$G$19,MATCH($D252,MODELOS!$A$3:$A$19,0)),INDEX(MODELOS!$C$3:$C$19,MATCH($D252,MODELOS!$A$3:$A$19,0))),IF(INDEX(PRODUTOS!$I$4:$I$63,MATCH($A252,PRODUTOS!$B$4:$B$63,0))="B",INDEX(MODELOS!$H$3:$H$19,MATCH($D252,MODELOS!$A$3:$A$19,0)),INDEX(MODELOS!$D$3:$D$19,MATCH($D252,MODELOS!$A$3:$A$19,0))))</f>
        <v>Principal diferencial; deixar o lado direito limpo</v>
      </c>
      <c r="H252" s="11" t="str">
        <f aca="false">IF(INDEX(PRODUTOS!$I$4:$I$63,MATCH($A252,PRODUTOS!$B$4:$B$63,0))="B",INDEX(MODELOS!$I$3:$I$19,MATCH($D252,MODELOS!$A$3:$A$19,0)),INDEX(MODELOS!$E$3:$E$19,MATCH($D252,MODELOS!$A$3:$A$19,0)))</f>
        <v>970 × 300</v>
      </c>
      <c r="I252" s="11" t="str">
        <f aca="false">INDEX(MODELOS!$J$3:$J$19,MATCH($D252,MODELOS!$A$3:$A$19,0))</f>
        <v>Conforme modelo</v>
      </c>
      <c r="J252" s="11" t="str">
        <f aca="false">IF(LEFT($D252,2)&lt;&gt;"AP",IF($I252="SIM","SIM","RECOMENDADA"),IF(INDEX(PRODUTOS!$J$4:$J$63,MATCH($A252,PRODUTOS!$B$4:$B$63,0))&lt;&gt;"","NÃO (usa o A+ do EAN "&amp;INDEX(PRODUTOS!$J$4:$J$63,MATCH($A252,PRODUTOS!$B$4:$B$63,0))&amp;")",IF(AND(INDEX(PRODUTOS!$I$4:$I$63,MATCH($A252,PRODUTOS!$B$4:$B$63,0))="B",$D252="AP07"),"NÃO (modelo B)","SIM")))</f>
        <v>NÃO (usa o A+ do EAN 7908591300666)</v>
      </c>
      <c r="K252" s="13" t="s">
        <v>325</v>
      </c>
      <c r="L252" s="13"/>
    </row>
    <row r="253" customFormat="false" ht="15" hidden="false" customHeight="false" outlineLevel="0" collapsed="false">
      <c r="A253" s="15" t="s">
        <v>106</v>
      </c>
      <c r="B253" s="11" t="str">
        <f aca="false">INDEX(PRODUTOS!$E$4:$E$63,MATCH($A253,PRODUTOS!$B$4:$B$63,0))</f>
        <v>New Dots Ração Seca Premium para Gatos Adultos Castrados - 1 kg</v>
      </c>
      <c r="C253" s="11" t="str">
        <f aca="false">INDEX(PRODUTOS!$H$4:$H$63,MATCH($A253,PRODUTOS!$B$4:$B$63,0))</f>
        <v>1 kg</v>
      </c>
      <c r="D253" s="11" t="s">
        <v>336</v>
      </c>
      <c r="E253" s="16" t="str">
        <f aca="false">$A253&amp;"."&amp;$D253&amp;".jpg"</f>
        <v>7908591300406.AP03.jpg</v>
      </c>
      <c r="F253" s="11" t="str">
        <f aca="false">IF(INDEX(PRODUTOS!$I$4:$I$63,MATCH($A253,PRODUTOS!$B$4:$B$63,0))="B",INDEX(MODELOS!$F$3:$F$19,MATCH($D253,MODELOS!$A$3:$A$19,0)),INDEX(MODELOS!$B$3:$B$19,MATCH($D253,MODELOS!$A$3:$A$19,0)))</f>
        <v>A+ · Módulo 3 · Benefício 1 de 4</v>
      </c>
      <c r="G253" s="11" t="str">
        <f aca="false">IF(INDEX(PRODUTOS!$F$4:$F$63,MATCH($A253,PRODUTOS!$B$4:$B$63,0))="Ração",IF(INDEX(PRODUTOS!$I$4:$I$63,MATCH($A253,PRODUTOS!$B$4:$B$63,0))="B",INDEX(MODELOS!$G$3:$G$19,MATCH($D253,MODELOS!$A$3:$A$19,0)),INDEX(MODELOS!$C$3:$C$19,MATCH($D253,MODELOS!$A$3:$A$19,0))),IF(INDEX(PRODUTOS!$I$4:$I$63,MATCH($A253,PRODUTOS!$B$4:$B$63,0))="B",INDEX(MODELOS!$H$3:$H$19,MATCH($D253,MODELOS!$A$3:$A$19,0)),INDEX(MODELOS!$D$3:$D$19,MATCH($D253,MODELOS!$A$3:$A$19,0))))</f>
        <v>Foto/ilustração do benefício 1</v>
      </c>
      <c r="H253" s="11" t="str">
        <f aca="false">IF(INDEX(PRODUTOS!$I$4:$I$63,MATCH($A253,PRODUTOS!$B$4:$B$63,0))="B",INDEX(MODELOS!$I$3:$I$19,MATCH($D253,MODELOS!$A$3:$A$19,0)),INDEX(MODELOS!$E$3:$E$19,MATCH($D253,MODELOS!$A$3:$A$19,0)))</f>
        <v>220 × 200</v>
      </c>
      <c r="I253" s="11" t="str">
        <f aca="false">INDEX(MODELOS!$J$3:$J$19,MATCH($D253,MODELOS!$A$3:$A$19,0))</f>
        <v>Conforme modelo</v>
      </c>
      <c r="J253" s="11" t="str">
        <f aca="false">IF(LEFT($D253,2)&lt;&gt;"AP",IF($I253="SIM","SIM","RECOMENDADA"),IF(INDEX(PRODUTOS!$J$4:$J$63,MATCH($A253,PRODUTOS!$B$4:$B$63,0))&lt;&gt;"","NÃO (usa o A+ do EAN "&amp;INDEX(PRODUTOS!$J$4:$J$63,MATCH($A253,PRODUTOS!$B$4:$B$63,0))&amp;")",IF(AND(INDEX(PRODUTOS!$I$4:$I$63,MATCH($A253,PRODUTOS!$B$4:$B$63,0))="B",$D253="AP07"),"NÃO (modelo B)","SIM")))</f>
        <v>NÃO (usa o A+ do EAN 7908591300666)</v>
      </c>
      <c r="K253" s="13" t="s">
        <v>325</v>
      </c>
      <c r="L253" s="13"/>
    </row>
    <row r="254" customFormat="false" ht="15" hidden="false" customHeight="false" outlineLevel="0" collapsed="false">
      <c r="A254" s="15" t="s">
        <v>106</v>
      </c>
      <c r="B254" s="11" t="str">
        <f aca="false">INDEX(PRODUTOS!$E$4:$E$63,MATCH($A254,PRODUTOS!$B$4:$B$63,0))</f>
        <v>New Dots Ração Seca Premium para Gatos Adultos Castrados - 1 kg</v>
      </c>
      <c r="C254" s="11" t="str">
        <f aca="false">INDEX(PRODUTOS!$H$4:$H$63,MATCH($A254,PRODUTOS!$B$4:$B$63,0))</f>
        <v>1 kg</v>
      </c>
      <c r="D254" s="11" t="s">
        <v>337</v>
      </c>
      <c r="E254" s="16" t="str">
        <f aca="false">$A254&amp;"."&amp;$D254&amp;".jpg"</f>
        <v>7908591300406.AP04.jpg</v>
      </c>
      <c r="F254" s="11" t="str">
        <f aca="false">IF(INDEX(PRODUTOS!$I$4:$I$63,MATCH($A254,PRODUTOS!$B$4:$B$63,0))="B",INDEX(MODELOS!$F$3:$F$19,MATCH($D254,MODELOS!$A$3:$A$19,0)),INDEX(MODELOS!$B$3:$B$19,MATCH($D254,MODELOS!$A$3:$A$19,0)))</f>
        <v>A+ · Módulo 3 · Benefício 2 de 4</v>
      </c>
      <c r="G254" s="11" t="str">
        <f aca="false">IF(INDEX(PRODUTOS!$F$4:$F$63,MATCH($A254,PRODUTOS!$B$4:$B$63,0))="Ração",IF(INDEX(PRODUTOS!$I$4:$I$63,MATCH($A254,PRODUTOS!$B$4:$B$63,0))="B",INDEX(MODELOS!$G$3:$G$19,MATCH($D254,MODELOS!$A$3:$A$19,0)),INDEX(MODELOS!$C$3:$C$19,MATCH($D254,MODELOS!$A$3:$A$19,0))),IF(INDEX(PRODUTOS!$I$4:$I$63,MATCH($A254,PRODUTOS!$B$4:$B$63,0))="B",INDEX(MODELOS!$H$3:$H$19,MATCH($D254,MODELOS!$A$3:$A$19,0)),INDEX(MODELOS!$D$3:$D$19,MATCH($D254,MODELOS!$A$3:$A$19,0))))</f>
        <v>Foto/ilustração do benefício 2</v>
      </c>
      <c r="H254" s="11" t="str">
        <f aca="false">IF(INDEX(PRODUTOS!$I$4:$I$63,MATCH($A254,PRODUTOS!$B$4:$B$63,0))="B",INDEX(MODELOS!$I$3:$I$19,MATCH($D254,MODELOS!$A$3:$A$19,0)),INDEX(MODELOS!$E$3:$E$19,MATCH($D254,MODELOS!$A$3:$A$19,0)))</f>
        <v>220 × 200</v>
      </c>
      <c r="I254" s="11" t="str">
        <f aca="false">INDEX(MODELOS!$J$3:$J$19,MATCH($D254,MODELOS!$A$3:$A$19,0))</f>
        <v>Conforme modelo</v>
      </c>
      <c r="J254" s="11" t="str">
        <f aca="false">IF(LEFT($D254,2)&lt;&gt;"AP",IF($I254="SIM","SIM","RECOMENDADA"),IF(INDEX(PRODUTOS!$J$4:$J$63,MATCH($A254,PRODUTOS!$B$4:$B$63,0))&lt;&gt;"","NÃO (usa o A+ do EAN "&amp;INDEX(PRODUTOS!$J$4:$J$63,MATCH($A254,PRODUTOS!$B$4:$B$63,0))&amp;")",IF(AND(INDEX(PRODUTOS!$I$4:$I$63,MATCH($A254,PRODUTOS!$B$4:$B$63,0))="B",$D254="AP07"),"NÃO (modelo B)","SIM")))</f>
        <v>NÃO (usa o A+ do EAN 7908591300666)</v>
      </c>
      <c r="K254" s="13" t="s">
        <v>325</v>
      </c>
      <c r="L254" s="13"/>
    </row>
    <row r="255" customFormat="false" ht="15" hidden="false" customHeight="false" outlineLevel="0" collapsed="false">
      <c r="A255" s="15" t="s">
        <v>106</v>
      </c>
      <c r="B255" s="11" t="str">
        <f aca="false">INDEX(PRODUTOS!$E$4:$E$63,MATCH($A255,PRODUTOS!$B$4:$B$63,0))</f>
        <v>New Dots Ração Seca Premium para Gatos Adultos Castrados - 1 kg</v>
      </c>
      <c r="C255" s="11" t="str">
        <f aca="false">INDEX(PRODUTOS!$H$4:$H$63,MATCH($A255,PRODUTOS!$B$4:$B$63,0))</f>
        <v>1 kg</v>
      </c>
      <c r="D255" s="11" t="s">
        <v>338</v>
      </c>
      <c r="E255" s="16" t="str">
        <f aca="false">$A255&amp;"."&amp;$D255&amp;".jpg"</f>
        <v>7908591300406.AP05.jpg</v>
      </c>
      <c r="F255" s="11" t="str">
        <f aca="false">IF(INDEX(PRODUTOS!$I$4:$I$63,MATCH($A255,PRODUTOS!$B$4:$B$63,0))="B",INDEX(MODELOS!$F$3:$F$19,MATCH($D255,MODELOS!$A$3:$A$19,0)),INDEX(MODELOS!$B$3:$B$19,MATCH($D255,MODELOS!$A$3:$A$19,0)))</f>
        <v>A+ · Módulo 3 · Benefício 3 de 4</v>
      </c>
      <c r="G255" s="11" t="str">
        <f aca="false">IF(INDEX(PRODUTOS!$F$4:$F$63,MATCH($A255,PRODUTOS!$B$4:$B$63,0))="Ração",IF(INDEX(PRODUTOS!$I$4:$I$63,MATCH($A255,PRODUTOS!$B$4:$B$63,0))="B",INDEX(MODELOS!$G$3:$G$19,MATCH($D255,MODELOS!$A$3:$A$19,0)),INDEX(MODELOS!$C$3:$C$19,MATCH($D255,MODELOS!$A$3:$A$19,0))),IF(INDEX(PRODUTOS!$I$4:$I$63,MATCH($A255,PRODUTOS!$B$4:$B$63,0))="B",INDEX(MODELOS!$H$3:$H$19,MATCH($D255,MODELOS!$A$3:$A$19,0)),INDEX(MODELOS!$D$3:$D$19,MATCH($D255,MODELOS!$A$3:$A$19,0))))</f>
        <v>Foto/ilustração do benefício 3</v>
      </c>
      <c r="H255" s="11" t="str">
        <f aca="false">IF(INDEX(PRODUTOS!$I$4:$I$63,MATCH($A255,PRODUTOS!$B$4:$B$63,0))="B",INDEX(MODELOS!$I$3:$I$19,MATCH($D255,MODELOS!$A$3:$A$19,0)),INDEX(MODELOS!$E$3:$E$19,MATCH($D255,MODELOS!$A$3:$A$19,0)))</f>
        <v>220 × 200</v>
      </c>
      <c r="I255" s="11" t="str">
        <f aca="false">INDEX(MODELOS!$J$3:$J$19,MATCH($D255,MODELOS!$A$3:$A$19,0))</f>
        <v>Conforme modelo</v>
      </c>
      <c r="J255" s="11" t="str">
        <f aca="false">IF(LEFT($D255,2)&lt;&gt;"AP",IF($I255="SIM","SIM","RECOMENDADA"),IF(INDEX(PRODUTOS!$J$4:$J$63,MATCH($A255,PRODUTOS!$B$4:$B$63,0))&lt;&gt;"","NÃO (usa o A+ do EAN "&amp;INDEX(PRODUTOS!$J$4:$J$63,MATCH($A255,PRODUTOS!$B$4:$B$63,0))&amp;")",IF(AND(INDEX(PRODUTOS!$I$4:$I$63,MATCH($A255,PRODUTOS!$B$4:$B$63,0))="B",$D255="AP07"),"NÃO (modelo B)","SIM")))</f>
        <v>NÃO (usa o A+ do EAN 7908591300666)</v>
      </c>
      <c r="K255" s="13" t="s">
        <v>325</v>
      </c>
      <c r="L255" s="13"/>
    </row>
    <row r="256" customFormat="false" ht="15" hidden="false" customHeight="false" outlineLevel="0" collapsed="false">
      <c r="A256" s="15" t="s">
        <v>106</v>
      </c>
      <c r="B256" s="11" t="str">
        <f aca="false">INDEX(PRODUTOS!$E$4:$E$63,MATCH($A256,PRODUTOS!$B$4:$B$63,0))</f>
        <v>New Dots Ração Seca Premium para Gatos Adultos Castrados - 1 kg</v>
      </c>
      <c r="C256" s="11" t="str">
        <f aca="false">INDEX(PRODUTOS!$H$4:$H$63,MATCH($A256,PRODUTOS!$B$4:$B$63,0))</f>
        <v>1 kg</v>
      </c>
      <c r="D256" s="11" t="s">
        <v>339</v>
      </c>
      <c r="E256" s="16" t="str">
        <f aca="false">$A256&amp;"."&amp;$D256&amp;".jpg"</f>
        <v>7908591300406.AP06.jpg</v>
      </c>
      <c r="F256" s="11" t="str">
        <f aca="false">IF(INDEX(PRODUTOS!$I$4:$I$63,MATCH($A256,PRODUTOS!$B$4:$B$63,0))="B",INDEX(MODELOS!$F$3:$F$19,MATCH($D256,MODELOS!$A$3:$A$19,0)),INDEX(MODELOS!$B$3:$B$19,MATCH($D256,MODELOS!$A$3:$A$19,0)))</f>
        <v>A+ · Módulo 3 · Benefício 4 de 4</v>
      </c>
      <c r="G256" s="11" t="str">
        <f aca="false">IF(INDEX(PRODUTOS!$F$4:$F$63,MATCH($A256,PRODUTOS!$B$4:$B$63,0))="Ração",IF(INDEX(PRODUTOS!$I$4:$I$63,MATCH($A256,PRODUTOS!$B$4:$B$63,0))="B",INDEX(MODELOS!$G$3:$G$19,MATCH($D256,MODELOS!$A$3:$A$19,0)),INDEX(MODELOS!$C$3:$C$19,MATCH($D256,MODELOS!$A$3:$A$19,0))),IF(INDEX(PRODUTOS!$I$4:$I$63,MATCH($A256,PRODUTOS!$B$4:$B$63,0))="B",INDEX(MODELOS!$H$3:$H$19,MATCH($D256,MODELOS!$A$3:$A$19,0)),INDEX(MODELOS!$D$3:$D$19,MATCH($D256,MODELOS!$A$3:$A$19,0))))</f>
        <v>Foto/ilustração do benefício 4</v>
      </c>
      <c r="H256" s="11" t="str">
        <f aca="false">IF(INDEX(PRODUTOS!$I$4:$I$63,MATCH($A256,PRODUTOS!$B$4:$B$63,0))="B",INDEX(MODELOS!$I$3:$I$19,MATCH($D256,MODELOS!$A$3:$A$19,0)),INDEX(MODELOS!$E$3:$E$19,MATCH($D256,MODELOS!$A$3:$A$19,0)))</f>
        <v>220 × 200</v>
      </c>
      <c r="I256" s="11" t="str">
        <f aca="false">INDEX(MODELOS!$J$3:$J$19,MATCH($D256,MODELOS!$A$3:$A$19,0))</f>
        <v>Conforme modelo</v>
      </c>
      <c r="J256" s="11" t="str">
        <f aca="false">IF(LEFT($D256,2)&lt;&gt;"AP",IF($I256="SIM","SIM","RECOMENDADA"),IF(INDEX(PRODUTOS!$J$4:$J$63,MATCH($A256,PRODUTOS!$B$4:$B$63,0))&lt;&gt;"","NÃO (usa o A+ do EAN "&amp;INDEX(PRODUTOS!$J$4:$J$63,MATCH($A256,PRODUTOS!$B$4:$B$63,0))&amp;")",IF(AND(INDEX(PRODUTOS!$I$4:$I$63,MATCH($A256,PRODUTOS!$B$4:$B$63,0))="B",$D256="AP07"),"NÃO (modelo B)","SIM")))</f>
        <v>NÃO (usa o A+ do EAN 7908591300666)</v>
      </c>
      <c r="K256" s="13" t="s">
        <v>325</v>
      </c>
      <c r="L256" s="13"/>
    </row>
    <row r="257" customFormat="false" ht="15" hidden="false" customHeight="false" outlineLevel="0" collapsed="false">
      <c r="A257" s="15" t="s">
        <v>106</v>
      </c>
      <c r="B257" s="11" t="str">
        <f aca="false">INDEX(PRODUTOS!$E$4:$E$63,MATCH($A257,PRODUTOS!$B$4:$B$63,0))</f>
        <v>New Dots Ração Seca Premium para Gatos Adultos Castrados - 1 kg</v>
      </c>
      <c r="C257" s="11" t="str">
        <f aca="false">INDEX(PRODUTOS!$H$4:$H$63,MATCH($A257,PRODUTOS!$B$4:$B$63,0))</f>
        <v>1 kg</v>
      </c>
      <c r="D257" s="11" t="s">
        <v>340</v>
      </c>
      <c r="E257" s="16" t="str">
        <f aca="false">$A257&amp;"."&amp;$D257&amp;".jpg"</f>
        <v>7908591300406.AP07.jpg</v>
      </c>
      <c r="F257" s="11" t="str">
        <f aca="false">IF(INDEX(PRODUTOS!$I$4:$I$63,MATCH($A257,PRODUTOS!$B$4:$B$63,0))="B",INDEX(MODELOS!$F$3:$F$19,MATCH($D257,MODELOS!$A$3:$A$19,0)),INDEX(MODELOS!$B$3:$B$19,MATCH($D257,MODELOS!$A$3:$A$19,0)))</f>
        <v>A+ · Módulo 4 · Especificações</v>
      </c>
      <c r="G257" s="11" t="str">
        <f aca="false">IF(INDEX(PRODUTOS!$F$4:$F$63,MATCH($A257,PRODUTOS!$B$4:$B$63,0))="Ração",IF(INDEX(PRODUTOS!$I$4:$I$63,MATCH($A257,PRODUTOS!$B$4:$B$63,0))="B",INDEX(MODELOS!$G$3:$G$19,MATCH($D257,MODELOS!$A$3:$A$19,0)),INDEX(MODELOS!$C$3:$C$19,MATCH($D257,MODELOS!$A$3:$A$19,0))),IF(INDEX(PRODUTOS!$I$4:$I$63,MATCH($A257,PRODUTOS!$B$4:$B$63,0))="B",INDEX(MODELOS!$H$3:$H$19,MATCH($D257,MODELOS!$A$3:$A$19,0)),INDEX(MODELOS!$D$3:$D$19,MATCH($D257,MODELOS!$A$3:$A$19,0))))</f>
        <v>Grão ou pacote em destaque</v>
      </c>
      <c r="H257" s="11" t="str">
        <f aca="false">IF(INDEX(PRODUTOS!$I$4:$I$63,MATCH($A257,PRODUTOS!$B$4:$B$63,0))="B",INDEX(MODELOS!$I$3:$I$19,MATCH($D257,MODELOS!$A$3:$A$19,0)),INDEX(MODELOS!$E$3:$E$19,MATCH($D257,MODELOS!$A$3:$A$19,0)))</f>
        <v>300 × 300</v>
      </c>
      <c r="I257" s="11" t="str">
        <f aca="false">INDEX(MODELOS!$J$3:$J$19,MATCH($D257,MODELOS!$A$3:$A$19,0))</f>
        <v>Conforme modelo</v>
      </c>
      <c r="J257" s="11" t="str">
        <f aca="false">IF(LEFT($D257,2)&lt;&gt;"AP",IF($I257="SIM","SIM","RECOMENDADA"),IF(INDEX(PRODUTOS!$J$4:$J$63,MATCH($A257,PRODUTOS!$B$4:$B$63,0))&lt;&gt;"","NÃO (usa o A+ do EAN "&amp;INDEX(PRODUTOS!$J$4:$J$63,MATCH($A257,PRODUTOS!$B$4:$B$63,0))&amp;")",IF(AND(INDEX(PRODUTOS!$I$4:$I$63,MATCH($A257,PRODUTOS!$B$4:$B$63,0))="B",$D257="AP07"),"NÃO (modelo B)","SIM")))</f>
        <v>NÃO (usa o A+ do EAN 7908591300666)</v>
      </c>
      <c r="K257" s="13" t="s">
        <v>325</v>
      </c>
      <c r="L257" s="13"/>
    </row>
    <row r="258" customFormat="false" ht="15" hidden="false" customHeight="false" outlineLevel="0" collapsed="false">
      <c r="A258" s="15" t="s">
        <v>106</v>
      </c>
      <c r="B258" s="11" t="str">
        <f aca="false">INDEX(PRODUTOS!$E$4:$E$63,MATCH($A258,PRODUTOS!$B$4:$B$63,0))</f>
        <v>New Dots Ração Seca Premium para Gatos Adultos Castrados - 1 kg</v>
      </c>
      <c r="C258" s="11" t="str">
        <f aca="false">INDEX(PRODUTOS!$H$4:$H$63,MATCH($A258,PRODUTOS!$B$4:$B$63,0))</f>
        <v>1 kg</v>
      </c>
      <c r="D258" s="11" t="s">
        <v>341</v>
      </c>
      <c r="E258" s="16" t="str">
        <f aca="false">$A258&amp;"."&amp;$D258&amp;".jpg"</f>
        <v>7908591300406.COMP.jpg</v>
      </c>
      <c r="F258" s="11" t="str">
        <f aca="false">IF(INDEX(PRODUTOS!$I$4:$I$63,MATCH($A258,PRODUTOS!$B$4:$B$63,0))="B",INDEX(MODELOS!$F$3:$F$19,MATCH($D258,MODELOS!$A$3:$A$19,0)),INDEX(MODELOS!$B$3:$B$19,MATCH($D258,MODELOS!$A$3:$A$19,0)))</f>
        <v>A+ · Tabela comparativa</v>
      </c>
      <c r="G258" s="11" t="str">
        <f aca="false">IF(INDEX(PRODUTOS!$F$4:$F$63,MATCH($A258,PRODUTOS!$B$4:$B$63,0))="Ração",IF(INDEX(PRODUTOS!$I$4:$I$63,MATCH($A258,PRODUTOS!$B$4:$B$63,0))="B",INDEX(MODELOS!$G$3:$G$19,MATCH($D258,MODELOS!$A$3:$A$19,0)),INDEX(MODELOS!$C$3:$C$19,MATCH($D258,MODELOS!$A$3:$A$19,0))),IF(INDEX(PRODUTOS!$I$4:$I$63,MATCH($A258,PRODUTOS!$B$4:$B$63,0))="B",INDEX(MODELOS!$H$3:$H$19,MATCH($D258,MODELOS!$A$3:$A$19,0)),INDEX(MODELOS!$D$3:$D$19,MATCH($D258,MODELOS!$A$3:$A$19,0))))</f>
        <v>Pacote na vertical, sem fundo colorido</v>
      </c>
      <c r="H258" s="11" t="str">
        <f aca="false">IF(INDEX(PRODUTOS!$I$4:$I$63,MATCH($A258,PRODUTOS!$B$4:$B$63,0))="B",INDEX(MODELOS!$I$3:$I$19,MATCH($D258,MODELOS!$A$3:$A$19,0)),INDEX(MODELOS!$E$3:$E$19,MATCH($D258,MODELOS!$A$3:$A$19,0)))</f>
        <v>150 × 300</v>
      </c>
      <c r="I258" s="11" t="str">
        <f aca="false">INDEX(MODELOS!$J$3:$J$19,MATCH($D258,MODELOS!$A$3:$A$19,0))</f>
        <v>SIM</v>
      </c>
      <c r="J258" s="11" t="str">
        <f aca="false">IF(LEFT($D258,2)&lt;&gt;"AP",IF($I258="SIM","SIM","RECOMENDADA"),IF(INDEX(PRODUTOS!$J$4:$J$63,MATCH($A258,PRODUTOS!$B$4:$B$63,0))&lt;&gt;"","NÃO (usa o A+ do EAN "&amp;INDEX(PRODUTOS!$J$4:$J$63,MATCH($A258,PRODUTOS!$B$4:$B$63,0))&amp;")",IF(AND(INDEX(PRODUTOS!$I$4:$I$63,MATCH($A258,PRODUTOS!$B$4:$B$63,0))="B",$D258="AP07"),"NÃO (modelo B)","SIM")))</f>
        <v>SIM</v>
      </c>
      <c r="K258" s="13" t="s">
        <v>325</v>
      </c>
      <c r="L258" s="13"/>
    </row>
    <row r="259" customFormat="false" ht="15" hidden="false" customHeight="false" outlineLevel="0" collapsed="false">
      <c r="A259" s="15" t="s">
        <v>109</v>
      </c>
      <c r="B259" s="11" t="str">
        <f aca="false">INDEX(PRODUTOS!$E$4:$E$63,MATCH($A259,PRODUTOS!$B$4:$B$63,0))</f>
        <v>Ração Seca Natural Dots para Cães Adultos - Pacote 15 kg</v>
      </c>
      <c r="C259" s="11" t="str">
        <f aca="false">INDEX(PRODUTOS!$H$4:$H$63,MATCH($A259,PRODUTOS!$B$4:$B$63,0))</f>
        <v>15 kg</v>
      </c>
      <c r="D259" s="11" t="s">
        <v>324</v>
      </c>
      <c r="E259" s="16" t="str">
        <f aca="false">$A259&amp;"."&amp;$D259&amp;".jpg"</f>
        <v>7898968541283.MAIN.jpg</v>
      </c>
      <c r="F259" s="11" t="str">
        <f aca="false">IF(INDEX(PRODUTOS!$I$4:$I$63,MATCH($A259,PRODUTOS!$B$4:$B$63,0))="B",INDEX(MODELOS!$F$3:$F$19,MATCH($D259,MODELOS!$A$3:$A$19,0)),INDEX(MODELOS!$B$3:$B$19,MATCH($D259,MODELOS!$A$3:$A$19,0)))</f>
        <v>Capa (posição 1)</v>
      </c>
      <c r="G259" s="11" t="str">
        <f aca="false">IF(INDEX(PRODUTOS!$F$4:$F$63,MATCH($A259,PRODUTOS!$B$4:$B$63,0))="Ração",IF(INDEX(PRODUTOS!$I$4:$I$63,MATCH($A259,PRODUTOS!$B$4:$B$63,0))="B",INDEX(MODELOS!$G$3:$G$19,MATCH($D259,MODELOS!$A$3:$A$19,0)),INDEX(MODELOS!$C$3:$C$19,MATCH($D259,MODELOS!$A$3:$A$19,0))),IF(INDEX(PRODUTOS!$I$4:$I$63,MATCH($A259,PRODUTOS!$B$4:$B$63,0))="B",INDEX(MODELOS!$H$3:$H$19,MATCH($D259,MODELOS!$A$3:$A$19,0)),INDEX(MODELOS!$D$3:$D$19,MATCH($D259,MODELOS!$A$3:$A$19,0))))</f>
        <v>Embalagem de frente, fundo branco puro, 85% da área, nada adicionado</v>
      </c>
      <c r="H259" s="11" t="str">
        <f aca="false">IF(INDEX(PRODUTOS!$I$4:$I$63,MATCH($A259,PRODUTOS!$B$4:$B$63,0))="B",INDEX(MODELOS!$I$3:$I$19,MATCH($D259,MODELOS!$A$3:$A$19,0)),INDEX(MODELOS!$E$3:$E$19,MATCH($D259,MODELOS!$A$3:$A$19,0)))</f>
        <v>2000 × 2000</v>
      </c>
      <c r="I259" s="11" t="str">
        <f aca="false">INDEX(MODELOS!$J$3:$J$19,MATCH($D259,MODELOS!$A$3:$A$19,0))</f>
        <v>SIM</v>
      </c>
      <c r="J259" s="11" t="str">
        <f aca="false">IF(LEFT($D259,2)&lt;&gt;"AP",IF($I259="SIM","SIM","RECOMENDADA"),IF(INDEX(PRODUTOS!$J$4:$J$63,MATCH($A259,PRODUTOS!$B$4:$B$63,0))&lt;&gt;"","NÃO (usa o A+ do EAN "&amp;INDEX(PRODUTOS!$J$4:$J$63,MATCH($A259,PRODUTOS!$B$4:$B$63,0))&amp;")",IF(AND(INDEX(PRODUTOS!$I$4:$I$63,MATCH($A259,PRODUTOS!$B$4:$B$63,0))="B",$D259="AP07"),"NÃO (modelo B)","SIM")))</f>
        <v>SIM</v>
      </c>
      <c r="K259" s="13" t="s">
        <v>325</v>
      </c>
      <c r="L259" s="13"/>
    </row>
    <row r="260" customFormat="false" ht="15" hidden="false" customHeight="false" outlineLevel="0" collapsed="false">
      <c r="A260" s="15" t="s">
        <v>109</v>
      </c>
      <c r="B260" s="11" t="str">
        <f aca="false">INDEX(PRODUTOS!$E$4:$E$63,MATCH($A260,PRODUTOS!$B$4:$B$63,0))</f>
        <v>Ração Seca Natural Dots para Cães Adultos - Pacote 15 kg</v>
      </c>
      <c r="C260" s="11" t="str">
        <f aca="false">INDEX(PRODUTOS!$H$4:$H$63,MATCH($A260,PRODUTOS!$B$4:$B$63,0))</f>
        <v>15 kg</v>
      </c>
      <c r="D260" s="11" t="s">
        <v>326</v>
      </c>
      <c r="E260" s="16" t="str">
        <f aca="false">$A260&amp;"."&amp;$D260&amp;".jpg"</f>
        <v>7898968541283.PT01.jpg</v>
      </c>
      <c r="F260" s="11" t="str">
        <f aca="false">IF(INDEX(PRODUTOS!$I$4:$I$63,MATCH($A260,PRODUTOS!$B$4:$B$63,0))="B",INDEX(MODELOS!$F$3:$F$19,MATCH($D260,MODELOS!$A$3:$A$19,0)),INDEX(MODELOS!$B$3:$B$19,MATCH($D260,MODELOS!$A$3:$A$19,0)))</f>
        <v>Galeria · posição 2</v>
      </c>
      <c r="G260" s="11" t="str">
        <f aca="false">IF(INDEX(PRODUTOS!$F$4:$F$63,MATCH($A260,PRODUTOS!$B$4:$B$63,0))="Ração",IF(INDEX(PRODUTOS!$I$4:$I$63,MATCH($A260,PRODUTOS!$B$4:$B$63,0))="B",INDEX(MODELOS!$G$3:$G$19,MATCH($D260,MODELOS!$A$3:$A$19,0)),INDEX(MODELOS!$C$3:$C$19,MATCH($D260,MODELOS!$A$3:$A$19,0))),IF(INDEX(PRODUTOS!$I$4:$I$63,MATCH($A260,PRODUTOS!$B$4:$B$63,0))="B",INDEX(MODELOS!$H$3:$H$19,MATCH($D260,MODELOS!$A$3:$A$19,0)),INDEX(MODELOS!$D$3:$D$19,MATCH($D260,MODELOS!$A$3:$A$19,0))))</f>
        <v>Grande diferencial da linha (número ou promessa forte + grão e ingrediente)</v>
      </c>
      <c r="H260" s="11" t="str">
        <f aca="false">IF(INDEX(PRODUTOS!$I$4:$I$63,MATCH($A260,PRODUTOS!$B$4:$B$63,0))="B",INDEX(MODELOS!$I$3:$I$19,MATCH($D260,MODELOS!$A$3:$A$19,0)),INDEX(MODELOS!$E$3:$E$19,MATCH($D260,MODELOS!$A$3:$A$19,0)))</f>
        <v>2000 × 2000</v>
      </c>
      <c r="I260" s="11" t="str">
        <f aca="false">INDEX(MODELOS!$J$3:$J$19,MATCH($D260,MODELOS!$A$3:$A$19,0))</f>
        <v>SIM</v>
      </c>
      <c r="J260" s="11" t="str">
        <f aca="false">IF(LEFT($D260,2)&lt;&gt;"AP",IF($I260="SIM","SIM","RECOMENDADA"),IF(INDEX(PRODUTOS!$J$4:$J$63,MATCH($A260,PRODUTOS!$B$4:$B$63,0))&lt;&gt;"","NÃO (usa o A+ do EAN "&amp;INDEX(PRODUTOS!$J$4:$J$63,MATCH($A260,PRODUTOS!$B$4:$B$63,0))&amp;")",IF(AND(INDEX(PRODUTOS!$I$4:$I$63,MATCH($A260,PRODUTOS!$B$4:$B$63,0))="B",$D260="AP07"),"NÃO (modelo B)","SIM")))</f>
        <v>SIM</v>
      </c>
      <c r="K260" s="13" t="s">
        <v>325</v>
      </c>
      <c r="L260" s="13"/>
    </row>
    <row r="261" customFormat="false" ht="15" hidden="false" customHeight="false" outlineLevel="0" collapsed="false">
      <c r="A261" s="15" t="s">
        <v>109</v>
      </c>
      <c r="B261" s="11" t="str">
        <f aca="false">INDEX(PRODUTOS!$E$4:$E$63,MATCH($A261,PRODUTOS!$B$4:$B$63,0))</f>
        <v>Ração Seca Natural Dots para Cães Adultos - Pacote 15 kg</v>
      </c>
      <c r="C261" s="11" t="str">
        <f aca="false">INDEX(PRODUTOS!$H$4:$H$63,MATCH($A261,PRODUTOS!$B$4:$B$63,0))</f>
        <v>15 kg</v>
      </c>
      <c r="D261" s="11" t="s">
        <v>327</v>
      </c>
      <c r="E261" s="16" t="str">
        <f aca="false">$A261&amp;"."&amp;$D261&amp;".jpg"</f>
        <v>7898968541283.PT02.jpg</v>
      </c>
      <c r="F261" s="11" t="str">
        <f aca="false">IF(INDEX(PRODUTOS!$I$4:$I$63,MATCH($A261,PRODUTOS!$B$4:$B$63,0))="B",INDEX(MODELOS!$F$3:$F$19,MATCH($D261,MODELOS!$A$3:$A$19,0)),INDEX(MODELOS!$B$3:$B$19,MATCH($D261,MODELOS!$A$3:$A$19,0)))</f>
        <v>Galeria · posição 3</v>
      </c>
      <c r="G261" s="11" t="str">
        <f aca="false">IF(INDEX(PRODUTOS!$F$4:$F$63,MATCH($A261,PRODUTOS!$B$4:$B$63,0))="Ração",IF(INDEX(PRODUTOS!$I$4:$I$63,MATCH($A261,PRODUTOS!$B$4:$B$63,0))="B",INDEX(MODELOS!$G$3:$G$19,MATCH($D261,MODELOS!$A$3:$A$19,0)),INDEX(MODELOS!$C$3:$C$19,MATCH($D261,MODELOS!$A$3:$A$19,0))),IF(INDEX(PRODUTOS!$I$4:$I$63,MATCH($A261,PRODUTOS!$B$4:$B$63,0))="B",INDEX(MODELOS!$H$3:$H$19,MATCH($D261,MODELOS!$A$3:$A$19,0)),INDEX(MODELOS!$D$3:$D$19,MATCH($D261,MODELOS!$A$3:$A$19,0))))</f>
        <v>Benefícios com ícones (4 a 6, impressos na embalagem) + ingrediente</v>
      </c>
      <c r="H261" s="11" t="str">
        <f aca="false">IF(INDEX(PRODUTOS!$I$4:$I$63,MATCH($A261,PRODUTOS!$B$4:$B$63,0))="B",INDEX(MODELOS!$I$3:$I$19,MATCH($D261,MODELOS!$A$3:$A$19,0)),INDEX(MODELOS!$E$3:$E$19,MATCH($D261,MODELOS!$A$3:$A$19,0)))</f>
        <v>2000 × 2000</v>
      </c>
      <c r="I261" s="11" t="str">
        <f aca="false">INDEX(MODELOS!$J$3:$J$19,MATCH($D261,MODELOS!$A$3:$A$19,0))</f>
        <v>SIM</v>
      </c>
      <c r="J261" s="11" t="str">
        <f aca="false">IF(LEFT($D261,2)&lt;&gt;"AP",IF($I261="SIM","SIM","RECOMENDADA"),IF(INDEX(PRODUTOS!$J$4:$J$63,MATCH($A261,PRODUTOS!$B$4:$B$63,0))&lt;&gt;"","NÃO (usa o A+ do EAN "&amp;INDEX(PRODUTOS!$J$4:$J$63,MATCH($A261,PRODUTOS!$B$4:$B$63,0))&amp;")",IF(AND(INDEX(PRODUTOS!$I$4:$I$63,MATCH($A261,PRODUTOS!$B$4:$B$63,0))="B",$D261="AP07"),"NÃO (modelo B)","SIM")))</f>
        <v>SIM</v>
      </c>
      <c r="K261" s="13" t="s">
        <v>325</v>
      </c>
      <c r="L261" s="13"/>
    </row>
    <row r="262" customFormat="false" ht="15" hidden="false" customHeight="false" outlineLevel="0" collapsed="false">
      <c r="A262" s="15" t="s">
        <v>109</v>
      </c>
      <c r="B262" s="11" t="str">
        <f aca="false">INDEX(PRODUTOS!$E$4:$E$63,MATCH($A262,PRODUTOS!$B$4:$B$63,0))</f>
        <v>Ração Seca Natural Dots para Cães Adultos - Pacote 15 kg</v>
      </c>
      <c r="C262" s="11" t="str">
        <f aca="false">INDEX(PRODUTOS!$H$4:$H$63,MATCH($A262,PRODUTOS!$B$4:$B$63,0))</f>
        <v>15 kg</v>
      </c>
      <c r="D262" s="11" t="s">
        <v>328</v>
      </c>
      <c r="E262" s="16" t="str">
        <f aca="false">$A262&amp;"."&amp;$D262&amp;".jpg"</f>
        <v>7898968541283.PT03.jpg</v>
      </c>
      <c r="F262" s="11" t="str">
        <f aca="false">IF(INDEX(PRODUTOS!$I$4:$I$63,MATCH($A262,PRODUTOS!$B$4:$B$63,0))="B",INDEX(MODELOS!$F$3:$F$19,MATCH($D262,MODELOS!$A$3:$A$19,0)),INDEX(MODELOS!$B$3:$B$19,MATCH($D262,MODELOS!$A$3:$A$19,0)))</f>
        <v>Galeria · posição 4</v>
      </c>
      <c r="G262" s="11" t="str">
        <f aca="false">IF(INDEX(PRODUTOS!$F$4:$F$63,MATCH($A262,PRODUTOS!$B$4:$B$63,0))="Ração",IF(INDEX(PRODUTOS!$I$4:$I$63,MATCH($A262,PRODUTOS!$B$4:$B$63,0))="B",INDEX(MODELOS!$G$3:$G$19,MATCH($D262,MODELOS!$A$3:$A$19,0)),INDEX(MODELOS!$C$3:$C$19,MATCH($D262,MODELOS!$A$3:$A$19,0))),IF(INDEX(PRODUTOS!$I$4:$I$63,MATCH($A262,PRODUTOS!$B$4:$B$63,0))="B",INDEX(MODELOS!$H$3:$H$19,MATCH($D262,MODELOS!$A$3:$A$19,0)),INDEX(MODELOS!$D$3:$D$19,MATCH($D262,MODELOS!$A$3:$A$19,0))))</f>
        <v>Formato e tamanho do grão, com medida em mm e referência de tamanho</v>
      </c>
      <c r="H262" s="11" t="str">
        <f aca="false">IF(INDEX(PRODUTOS!$I$4:$I$63,MATCH($A262,PRODUTOS!$B$4:$B$63,0))="B",INDEX(MODELOS!$I$3:$I$19,MATCH($D262,MODELOS!$A$3:$A$19,0)),INDEX(MODELOS!$E$3:$E$19,MATCH($D262,MODELOS!$A$3:$A$19,0)))</f>
        <v>2000 × 2000</v>
      </c>
      <c r="I262" s="11" t="str">
        <f aca="false">INDEX(MODELOS!$J$3:$J$19,MATCH($D262,MODELOS!$A$3:$A$19,0))</f>
        <v>SIM</v>
      </c>
      <c r="J262" s="11" t="str">
        <f aca="false">IF(LEFT($D262,2)&lt;&gt;"AP",IF($I262="SIM","SIM","RECOMENDADA"),IF(INDEX(PRODUTOS!$J$4:$J$63,MATCH($A262,PRODUTOS!$B$4:$B$63,0))&lt;&gt;"","NÃO (usa o A+ do EAN "&amp;INDEX(PRODUTOS!$J$4:$J$63,MATCH($A262,PRODUTOS!$B$4:$B$63,0))&amp;")",IF(AND(INDEX(PRODUTOS!$I$4:$I$63,MATCH($A262,PRODUTOS!$B$4:$B$63,0))="B",$D262="AP07"),"NÃO (modelo B)","SIM")))</f>
        <v>SIM</v>
      </c>
      <c r="K262" s="13" t="s">
        <v>325</v>
      </c>
      <c r="L262" s="13"/>
    </row>
    <row r="263" customFormat="false" ht="15" hidden="false" customHeight="false" outlineLevel="0" collapsed="false">
      <c r="A263" s="15" t="s">
        <v>109</v>
      </c>
      <c r="B263" s="11" t="str">
        <f aca="false">INDEX(PRODUTOS!$E$4:$E$63,MATCH($A263,PRODUTOS!$B$4:$B$63,0))</f>
        <v>Ração Seca Natural Dots para Cães Adultos - Pacote 15 kg</v>
      </c>
      <c r="C263" s="11" t="str">
        <f aca="false">INDEX(PRODUTOS!$H$4:$H$63,MATCH($A263,PRODUTOS!$B$4:$B$63,0))</f>
        <v>15 kg</v>
      </c>
      <c r="D263" s="11" t="s">
        <v>329</v>
      </c>
      <c r="E263" s="16" t="str">
        <f aca="false">$A263&amp;"."&amp;$D263&amp;".jpg"</f>
        <v>7898968541283.PT04.jpg</v>
      </c>
      <c r="F263" s="11" t="str">
        <f aca="false">IF(INDEX(PRODUTOS!$I$4:$I$63,MATCH($A263,PRODUTOS!$B$4:$B$63,0))="B",INDEX(MODELOS!$F$3:$F$19,MATCH($D263,MODELOS!$A$3:$A$19,0)),INDEX(MODELOS!$B$3:$B$19,MATCH($D263,MODELOS!$A$3:$A$19,0)))</f>
        <v>Galeria · posição 5</v>
      </c>
      <c r="G263" s="11" t="str">
        <f aca="false">IF(INDEX(PRODUTOS!$F$4:$F$63,MATCH($A263,PRODUTOS!$B$4:$B$63,0))="Ração",IF(INDEX(PRODUTOS!$I$4:$I$63,MATCH($A263,PRODUTOS!$B$4:$B$63,0))="B",INDEX(MODELOS!$G$3:$G$19,MATCH($D263,MODELOS!$A$3:$A$19,0)),INDEX(MODELOS!$C$3:$C$19,MATCH($D263,MODELOS!$A$3:$A$19,0))),IF(INDEX(PRODUTOS!$I$4:$I$63,MATCH($A263,PRODUTOS!$B$4:$B$63,0))="B",INDEX(MODELOS!$H$3:$H$19,MATCH($D263,MODELOS!$A$3:$A$19,0)),INDEX(MODELOS!$D$3:$D$19,MATCH($D263,MODELOS!$A$3:$A$19,0))))</f>
        <v>Quantidade diária por peso do cão/gato (números idênticos à embalagem)</v>
      </c>
      <c r="H263" s="11" t="str">
        <f aca="false">IF(INDEX(PRODUTOS!$I$4:$I$63,MATCH($A263,PRODUTOS!$B$4:$B$63,0))="B",INDEX(MODELOS!$I$3:$I$19,MATCH($D263,MODELOS!$A$3:$A$19,0)),INDEX(MODELOS!$E$3:$E$19,MATCH($D263,MODELOS!$A$3:$A$19,0)))</f>
        <v>2000 × 2000</v>
      </c>
      <c r="I263" s="11" t="str">
        <f aca="false">INDEX(MODELOS!$J$3:$J$19,MATCH($D263,MODELOS!$A$3:$A$19,0))</f>
        <v>SIM</v>
      </c>
      <c r="J263" s="11" t="str">
        <f aca="false">IF(LEFT($D263,2)&lt;&gt;"AP",IF($I263="SIM","SIM","RECOMENDADA"),IF(INDEX(PRODUTOS!$J$4:$J$63,MATCH($A263,PRODUTOS!$B$4:$B$63,0))&lt;&gt;"","NÃO (usa o A+ do EAN "&amp;INDEX(PRODUTOS!$J$4:$J$63,MATCH($A263,PRODUTOS!$B$4:$B$63,0))&amp;")",IF(AND(INDEX(PRODUTOS!$I$4:$I$63,MATCH($A263,PRODUTOS!$B$4:$B$63,0))="B",$D263="AP07"),"NÃO (modelo B)","SIM")))</f>
        <v>SIM</v>
      </c>
      <c r="K263" s="13" t="s">
        <v>325</v>
      </c>
      <c r="L263" s="13"/>
    </row>
    <row r="264" customFormat="false" ht="15" hidden="false" customHeight="false" outlineLevel="0" collapsed="false">
      <c r="A264" s="15" t="s">
        <v>109</v>
      </c>
      <c r="B264" s="11" t="str">
        <f aca="false">INDEX(PRODUTOS!$E$4:$E$63,MATCH($A264,PRODUTOS!$B$4:$B$63,0))</f>
        <v>Ração Seca Natural Dots para Cães Adultos - Pacote 15 kg</v>
      </c>
      <c r="C264" s="11" t="str">
        <f aca="false">INDEX(PRODUTOS!$H$4:$H$63,MATCH($A264,PRODUTOS!$B$4:$B$63,0))</f>
        <v>15 kg</v>
      </c>
      <c r="D264" s="11" t="s">
        <v>330</v>
      </c>
      <c r="E264" s="16" t="str">
        <f aca="false">$A264&amp;"."&amp;$D264&amp;".jpg"</f>
        <v>7898968541283.PT05.jpg</v>
      </c>
      <c r="F264" s="11" t="str">
        <f aca="false">IF(INDEX(PRODUTOS!$I$4:$I$63,MATCH($A264,PRODUTOS!$B$4:$B$63,0))="B",INDEX(MODELOS!$F$3:$F$19,MATCH($D264,MODELOS!$A$3:$A$19,0)),INDEX(MODELOS!$B$3:$B$19,MATCH($D264,MODELOS!$A$3:$A$19,0)))</f>
        <v>Galeria · posição 6</v>
      </c>
      <c r="G264" s="11" t="str">
        <f aca="false">IF(INDEX(PRODUTOS!$F$4:$F$63,MATCH($A264,PRODUTOS!$B$4:$B$63,0))="Ração",IF(INDEX(PRODUTOS!$I$4:$I$63,MATCH($A264,PRODUTOS!$B$4:$B$63,0))="B",INDEX(MODELOS!$G$3:$G$19,MATCH($D264,MODELOS!$A$3:$A$19,0)),INDEX(MODELOS!$C$3:$C$19,MATCH($D264,MODELOS!$A$3:$A$19,0))),IF(INDEX(PRODUTOS!$I$4:$I$63,MATCH($A264,PRODUTOS!$B$4:$B$63,0))="B",INDEX(MODELOS!$H$3:$H$19,MATCH($D264,MODELOS!$A$3:$A$19,0)),INDEX(MODELOS!$D$3:$D$19,MATCH($D264,MODELOS!$A$3:$A$19,0))))</f>
        <v>Transição alimentar dia a dia (igual ao verso da embalagem)</v>
      </c>
      <c r="H264" s="11" t="str">
        <f aca="false">IF(INDEX(PRODUTOS!$I$4:$I$63,MATCH($A264,PRODUTOS!$B$4:$B$63,0))="B",INDEX(MODELOS!$I$3:$I$19,MATCH($D264,MODELOS!$A$3:$A$19,0)),INDEX(MODELOS!$E$3:$E$19,MATCH($D264,MODELOS!$A$3:$A$19,0)))</f>
        <v>2000 × 2000</v>
      </c>
      <c r="I264" s="11" t="str">
        <f aca="false">INDEX(MODELOS!$J$3:$J$19,MATCH($D264,MODELOS!$A$3:$A$19,0))</f>
        <v>Recomendada</v>
      </c>
      <c r="J264" s="11" t="str">
        <f aca="false">IF(LEFT($D264,2)&lt;&gt;"AP",IF($I264="SIM","SIM","RECOMENDADA"),IF(INDEX(PRODUTOS!$J$4:$J$63,MATCH($A264,PRODUTOS!$B$4:$B$63,0))&lt;&gt;"","NÃO (usa o A+ do EAN "&amp;INDEX(PRODUTOS!$J$4:$J$63,MATCH($A264,PRODUTOS!$B$4:$B$63,0))&amp;")",IF(AND(INDEX(PRODUTOS!$I$4:$I$63,MATCH($A264,PRODUTOS!$B$4:$B$63,0))="B",$D264="AP07"),"NÃO (modelo B)","SIM")))</f>
        <v>RECOMENDADA</v>
      </c>
      <c r="K264" s="13" t="s">
        <v>325</v>
      </c>
      <c r="L264" s="13"/>
    </row>
    <row r="265" customFormat="false" ht="15" hidden="false" customHeight="false" outlineLevel="0" collapsed="false">
      <c r="A265" s="15" t="s">
        <v>109</v>
      </c>
      <c r="B265" s="11" t="str">
        <f aca="false">INDEX(PRODUTOS!$E$4:$E$63,MATCH($A265,PRODUTOS!$B$4:$B$63,0))</f>
        <v>Ração Seca Natural Dots para Cães Adultos - Pacote 15 kg</v>
      </c>
      <c r="C265" s="11" t="str">
        <f aca="false">INDEX(PRODUTOS!$H$4:$H$63,MATCH($A265,PRODUTOS!$B$4:$B$63,0))</f>
        <v>15 kg</v>
      </c>
      <c r="D265" s="11" t="s">
        <v>331</v>
      </c>
      <c r="E265" s="16" t="str">
        <f aca="false">$A265&amp;"."&amp;$D265&amp;".jpg"</f>
        <v>7898968541283.PT06.jpg</v>
      </c>
      <c r="F265" s="11" t="str">
        <f aca="false">IF(INDEX(PRODUTOS!$I$4:$I$63,MATCH($A265,PRODUTOS!$B$4:$B$63,0))="B",INDEX(MODELOS!$F$3:$F$19,MATCH($D265,MODELOS!$A$3:$A$19,0)),INDEX(MODELOS!$B$3:$B$19,MATCH($D265,MODELOS!$A$3:$A$19,0)))</f>
        <v>Galeria · posição 7</v>
      </c>
      <c r="G265" s="11" t="str">
        <f aca="false">IF(INDEX(PRODUTOS!$F$4:$F$63,MATCH($A265,PRODUTOS!$B$4:$B$63,0))="Ração",IF(INDEX(PRODUTOS!$I$4:$I$63,MATCH($A265,PRODUTOS!$B$4:$B$63,0))="B",INDEX(MODELOS!$G$3:$G$19,MATCH($D265,MODELOS!$A$3:$A$19,0)),INDEX(MODELOS!$C$3:$C$19,MATCH($D265,MODELOS!$A$3:$A$19,0))),IF(INDEX(PRODUTOS!$I$4:$I$63,MATCH($A265,PRODUTOS!$B$4:$B$63,0))="B",INDEX(MODELOS!$H$3:$H$19,MATCH($D265,MODELOS!$A$3:$A$19,0)),INDEX(MODELOS!$D$3:$D$19,MATCH($D265,MODELOS!$A$3:$A$19,0))))</f>
        <v>Composição e níveis de garantia em letra grande</v>
      </c>
      <c r="H265" s="11" t="str">
        <f aca="false">IF(INDEX(PRODUTOS!$I$4:$I$63,MATCH($A265,PRODUTOS!$B$4:$B$63,0))="B",INDEX(MODELOS!$I$3:$I$19,MATCH($D265,MODELOS!$A$3:$A$19,0)),INDEX(MODELOS!$E$3:$E$19,MATCH($D265,MODELOS!$A$3:$A$19,0)))</f>
        <v>2000 × 2000</v>
      </c>
      <c r="I265" s="11" t="str">
        <f aca="false">INDEX(MODELOS!$J$3:$J$19,MATCH($D265,MODELOS!$A$3:$A$19,0))</f>
        <v>SIM</v>
      </c>
      <c r="J265" s="11" t="str">
        <f aca="false">IF(LEFT($D265,2)&lt;&gt;"AP",IF($I265="SIM","SIM","RECOMENDADA"),IF(INDEX(PRODUTOS!$J$4:$J$63,MATCH($A265,PRODUTOS!$B$4:$B$63,0))&lt;&gt;"","NÃO (usa o A+ do EAN "&amp;INDEX(PRODUTOS!$J$4:$J$63,MATCH($A265,PRODUTOS!$B$4:$B$63,0))&amp;")",IF(AND(INDEX(PRODUTOS!$I$4:$I$63,MATCH($A265,PRODUTOS!$B$4:$B$63,0))="B",$D265="AP07"),"NÃO (modelo B)","SIM")))</f>
        <v>SIM</v>
      </c>
      <c r="K265" s="13" t="s">
        <v>325</v>
      </c>
      <c r="L265" s="13"/>
    </row>
    <row r="266" customFormat="false" ht="15" hidden="false" customHeight="false" outlineLevel="0" collapsed="false">
      <c r="A266" s="15" t="s">
        <v>109</v>
      </c>
      <c r="B266" s="11" t="str">
        <f aca="false">INDEX(PRODUTOS!$E$4:$E$63,MATCH($A266,PRODUTOS!$B$4:$B$63,0))</f>
        <v>Ração Seca Natural Dots para Cães Adultos - Pacote 15 kg</v>
      </c>
      <c r="C266" s="11" t="str">
        <f aca="false">INDEX(PRODUTOS!$H$4:$H$63,MATCH($A266,PRODUTOS!$B$4:$B$63,0))</f>
        <v>15 kg</v>
      </c>
      <c r="D266" s="11" t="s">
        <v>332</v>
      </c>
      <c r="E266" s="16" t="str">
        <f aca="false">$A266&amp;"."&amp;$D266&amp;".jpg"</f>
        <v>7898968541283.PT07.jpg</v>
      </c>
      <c r="F266" s="11" t="str">
        <f aca="false">IF(INDEX(PRODUTOS!$I$4:$I$63,MATCH($A266,PRODUTOS!$B$4:$B$63,0))="B",INDEX(MODELOS!$F$3:$F$19,MATCH($D266,MODELOS!$A$3:$A$19,0)),INDEX(MODELOS!$B$3:$B$19,MATCH($D266,MODELOS!$A$3:$A$19,0)))</f>
        <v>Galeria · posição 8</v>
      </c>
      <c r="G266" s="11" t="str">
        <f aca="false">IF(INDEX(PRODUTOS!$F$4:$F$63,MATCH($A266,PRODUTOS!$B$4:$B$63,0))="Ração",IF(INDEX(PRODUTOS!$I$4:$I$63,MATCH($A266,PRODUTOS!$B$4:$B$63,0))="B",INDEX(MODELOS!$G$3:$G$19,MATCH($D266,MODELOS!$A$3:$A$19,0)),INDEX(MODELOS!$C$3:$C$19,MATCH($D266,MODELOS!$A$3:$A$19,0))),IF(INDEX(PRODUTOS!$I$4:$I$63,MATCH($A266,PRODUTOS!$B$4:$B$63,0))="B",INDEX(MODELOS!$H$3:$H$19,MATCH($D266,MODELOS!$A$3:$A$19,0)),INDEX(MODELOS!$D$3:$D$19,MATCH($D266,MODELOS!$A$3:$A$19,0))))</f>
        <v>Emocional / momento de uso (pet do porte certo, pote cheio)</v>
      </c>
      <c r="H266" s="11" t="str">
        <f aca="false">IF(INDEX(PRODUTOS!$I$4:$I$63,MATCH($A266,PRODUTOS!$B$4:$B$63,0))="B",INDEX(MODELOS!$I$3:$I$19,MATCH($D266,MODELOS!$A$3:$A$19,0)),INDEX(MODELOS!$E$3:$E$19,MATCH($D266,MODELOS!$A$3:$A$19,0)))</f>
        <v>2000 × 2000</v>
      </c>
      <c r="I266" s="11" t="str">
        <f aca="false">INDEX(MODELOS!$J$3:$J$19,MATCH($D266,MODELOS!$A$3:$A$19,0))</f>
        <v>Recomendada</v>
      </c>
      <c r="J266" s="11" t="str">
        <f aca="false">IF(LEFT($D266,2)&lt;&gt;"AP",IF($I266="SIM","SIM","RECOMENDADA"),IF(INDEX(PRODUTOS!$J$4:$J$63,MATCH($A266,PRODUTOS!$B$4:$B$63,0))&lt;&gt;"","NÃO (usa o A+ do EAN "&amp;INDEX(PRODUTOS!$J$4:$J$63,MATCH($A266,PRODUTOS!$B$4:$B$63,0))&amp;")",IF(AND(INDEX(PRODUTOS!$I$4:$I$63,MATCH($A266,PRODUTOS!$B$4:$B$63,0))="B",$D266="AP07"),"NÃO (modelo B)","SIM")))</f>
        <v>RECOMENDADA</v>
      </c>
      <c r="K266" s="13" t="s">
        <v>325</v>
      </c>
      <c r="L266" s="13"/>
    </row>
    <row r="267" customFormat="false" ht="15" hidden="false" customHeight="false" outlineLevel="0" collapsed="false">
      <c r="A267" s="15" t="s">
        <v>109</v>
      </c>
      <c r="B267" s="11" t="str">
        <f aca="false">INDEX(PRODUTOS!$E$4:$E$63,MATCH($A267,PRODUTOS!$B$4:$B$63,0))</f>
        <v>Ração Seca Natural Dots para Cães Adultos - Pacote 15 kg</v>
      </c>
      <c r="C267" s="11" t="str">
        <f aca="false">INDEX(PRODUTOS!$H$4:$H$63,MATCH($A267,PRODUTOS!$B$4:$B$63,0))</f>
        <v>15 kg</v>
      </c>
      <c r="D267" s="11" t="s">
        <v>333</v>
      </c>
      <c r="E267" s="16" t="str">
        <f aca="false">$A267&amp;"."&amp;$D267&amp;".jpg"</f>
        <v>7898968541283.PT08.jpg</v>
      </c>
      <c r="F267" s="11" t="str">
        <f aca="false">IF(INDEX(PRODUTOS!$I$4:$I$63,MATCH($A267,PRODUTOS!$B$4:$B$63,0))="B",INDEX(MODELOS!$F$3:$F$19,MATCH($D267,MODELOS!$A$3:$A$19,0)),INDEX(MODELOS!$B$3:$B$19,MATCH($D267,MODELOS!$A$3:$A$19,0)))</f>
        <v>Galeria · posição 9</v>
      </c>
      <c r="G267" s="11" t="str">
        <f aca="false">IF(INDEX(PRODUTOS!$F$4:$F$63,MATCH($A267,PRODUTOS!$B$4:$B$63,0))="Ração",IF(INDEX(PRODUTOS!$I$4:$I$63,MATCH($A267,PRODUTOS!$B$4:$B$63,0))="B",INDEX(MODELOS!$G$3:$G$19,MATCH($D267,MODELOS!$A$3:$A$19,0)),INDEX(MODELOS!$C$3:$C$19,MATCH($D267,MODELOS!$A$3:$A$19,0))),IF(INDEX(PRODUTOS!$I$4:$I$63,MATCH($A267,PRODUTOS!$B$4:$B$63,0))="B",INDEX(MODELOS!$H$3:$H$19,MATCH($D267,MODELOS!$A$3:$A$19,0)),INDEX(MODELOS!$D$3:$D$19,MATCH($D267,MODELOS!$A$3:$A$19,0))))</f>
        <v>Linha da marca ou embalagem anterior × nova</v>
      </c>
      <c r="H267" s="11" t="str">
        <f aca="false">IF(INDEX(PRODUTOS!$I$4:$I$63,MATCH($A267,PRODUTOS!$B$4:$B$63,0))="B",INDEX(MODELOS!$I$3:$I$19,MATCH($D267,MODELOS!$A$3:$A$19,0)),INDEX(MODELOS!$E$3:$E$19,MATCH($D267,MODELOS!$A$3:$A$19,0)))</f>
        <v>2000 × 2000</v>
      </c>
      <c r="I267" s="11" t="str">
        <f aca="false">INDEX(MODELOS!$J$3:$J$19,MATCH($D267,MODELOS!$A$3:$A$19,0))</f>
        <v>Recomendada</v>
      </c>
      <c r="J267" s="11" t="str">
        <f aca="false">IF(LEFT($D267,2)&lt;&gt;"AP",IF($I267="SIM","SIM","RECOMENDADA"),IF(INDEX(PRODUTOS!$J$4:$J$63,MATCH($A267,PRODUTOS!$B$4:$B$63,0))&lt;&gt;"","NÃO (usa o A+ do EAN "&amp;INDEX(PRODUTOS!$J$4:$J$63,MATCH($A267,PRODUTOS!$B$4:$B$63,0))&amp;")",IF(AND(INDEX(PRODUTOS!$I$4:$I$63,MATCH($A267,PRODUTOS!$B$4:$B$63,0))="B",$D267="AP07"),"NÃO (modelo B)","SIM")))</f>
        <v>RECOMENDADA</v>
      </c>
      <c r="K267" s="13" t="s">
        <v>325</v>
      </c>
      <c r="L267" s="13"/>
    </row>
    <row r="268" customFormat="false" ht="15" hidden="false" customHeight="false" outlineLevel="0" collapsed="false">
      <c r="A268" s="15" t="s">
        <v>109</v>
      </c>
      <c r="B268" s="11" t="str">
        <f aca="false">INDEX(PRODUTOS!$E$4:$E$63,MATCH($A268,PRODUTOS!$B$4:$B$63,0))</f>
        <v>Ração Seca Natural Dots para Cães Adultos - Pacote 15 kg</v>
      </c>
      <c r="C268" s="11" t="str">
        <f aca="false">INDEX(PRODUTOS!$H$4:$H$63,MATCH($A268,PRODUTOS!$B$4:$B$63,0))</f>
        <v>15 kg</v>
      </c>
      <c r="D268" s="11" t="s">
        <v>334</v>
      </c>
      <c r="E268" s="16" t="str">
        <f aca="false">$A268&amp;"."&amp;$D268&amp;".jpg"</f>
        <v>7898968541283.AP01.jpg</v>
      </c>
      <c r="F268" s="11" t="str">
        <f aca="false">IF(INDEX(PRODUTOS!$I$4:$I$63,MATCH($A268,PRODUTOS!$B$4:$B$63,0))="B",INDEX(MODELOS!$F$3:$F$19,MATCH($D268,MODELOS!$A$3:$A$19,0)),INDEX(MODELOS!$B$3:$B$19,MATCH($D268,MODELOS!$A$3:$A$19,0)))</f>
        <v>A+ · Módulo 1 · Banner</v>
      </c>
      <c r="G268" s="11" t="str">
        <f aca="false">IF(INDEX(PRODUTOS!$F$4:$F$63,MATCH($A268,PRODUTOS!$B$4:$B$63,0))="Ração",IF(INDEX(PRODUTOS!$I$4:$I$63,MATCH($A268,PRODUTOS!$B$4:$B$63,0))="B",INDEX(MODELOS!$G$3:$G$19,MATCH($D268,MODELOS!$A$3:$A$19,0)),INDEX(MODELOS!$C$3:$C$19,MATCH($D268,MODELOS!$A$3:$A$19,0))),IF(INDEX(PRODUTOS!$I$4:$I$63,MATCH($A268,PRODUTOS!$B$4:$B$63,0))="B",INDEX(MODELOS!$H$3:$H$19,MATCH($D268,MODELOS!$A$3:$A$19,0)),INDEX(MODELOS!$D$3:$D$19,MATCH($D268,MODELOS!$A$3:$A$19,0))))</f>
        <v>Embalagem + pet + ingredientes, com o nome da linha</v>
      </c>
      <c r="H268" s="11" t="str">
        <f aca="false">IF(INDEX(PRODUTOS!$I$4:$I$63,MATCH($A268,PRODUTOS!$B$4:$B$63,0))="B",INDEX(MODELOS!$I$3:$I$19,MATCH($D268,MODELOS!$A$3:$A$19,0)),INDEX(MODELOS!$E$3:$E$19,MATCH($D268,MODELOS!$A$3:$A$19,0)))</f>
        <v>970 × 600</v>
      </c>
      <c r="I268" s="11" t="str">
        <f aca="false">INDEX(MODELOS!$J$3:$J$19,MATCH($D268,MODELOS!$A$3:$A$19,0))</f>
        <v>Conforme modelo</v>
      </c>
      <c r="J268" s="11" t="str">
        <f aca="false">IF(LEFT($D268,2)&lt;&gt;"AP",IF($I268="SIM","SIM","RECOMENDADA"),IF(INDEX(PRODUTOS!$J$4:$J$63,MATCH($A268,PRODUTOS!$B$4:$B$63,0))&lt;&gt;"","NÃO (usa o A+ do EAN "&amp;INDEX(PRODUTOS!$J$4:$J$63,MATCH($A268,PRODUTOS!$B$4:$B$63,0))&amp;")",IF(AND(INDEX(PRODUTOS!$I$4:$I$63,MATCH($A268,PRODUTOS!$B$4:$B$63,0))="B",$D268="AP07"),"NÃO (modelo B)","SIM")))</f>
        <v>SIM</v>
      </c>
      <c r="K268" s="13" t="s">
        <v>325</v>
      </c>
      <c r="L268" s="13"/>
    </row>
    <row r="269" customFormat="false" ht="15" hidden="false" customHeight="false" outlineLevel="0" collapsed="false">
      <c r="A269" s="15" t="s">
        <v>109</v>
      </c>
      <c r="B269" s="11" t="str">
        <f aca="false">INDEX(PRODUTOS!$E$4:$E$63,MATCH($A269,PRODUTOS!$B$4:$B$63,0))</f>
        <v>Ração Seca Natural Dots para Cães Adultos - Pacote 15 kg</v>
      </c>
      <c r="C269" s="11" t="str">
        <f aca="false">INDEX(PRODUTOS!$H$4:$H$63,MATCH($A269,PRODUTOS!$B$4:$B$63,0))</f>
        <v>15 kg</v>
      </c>
      <c r="D269" s="11" t="s">
        <v>335</v>
      </c>
      <c r="E269" s="16" t="str">
        <f aca="false">$A269&amp;"."&amp;$D269&amp;".jpg"</f>
        <v>7898968541283.AP02.jpg</v>
      </c>
      <c r="F269" s="11" t="str">
        <f aca="false">IF(INDEX(PRODUTOS!$I$4:$I$63,MATCH($A269,PRODUTOS!$B$4:$B$63,0))="B",INDEX(MODELOS!$F$3:$F$19,MATCH($D269,MODELOS!$A$3:$A$19,0)),INDEX(MODELOS!$B$3:$B$19,MATCH($D269,MODELOS!$A$3:$A$19,0)))</f>
        <v>A+ · Módulo 2 · Texto sobreposto</v>
      </c>
      <c r="G269" s="11" t="str">
        <f aca="false">IF(INDEX(PRODUTOS!$F$4:$F$63,MATCH($A269,PRODUTOS!$B$4:$B$63,0))="Ração",IF(INDEX(PRODUTOS!$I$4:$I$63,MATCH($A269,PRODUTOS!$B$4:$B$63,0))="B",INDEX(MODELOS!$G$3:$G$19,MATCH($D269,MODELOS!$A$3:$A$19,0)),INDEX(MODELOS!$C$3:$C$19,MATCH($D269,MODELOS!$A$3:$A$19,0))),IF(INDEX(PRODUTOS!$I$4:$I$63,MATCH($A269,PRODUTOS!$B$4:$B$63,0))="B",INDEX(MODELOS!$H$3:$H$19,MATCH($D269,MODELOS!$A$3:$A$19,0)),INDEX(MODELOS!$D$3:$D$19,MATCH($D269,MODELOS!$A$3:$A$19,0))))</f>
        <v>Principal diferencial; deixar o lado direito limpo</v>
      </c>
      <c r="H269" s="11" t="str">
        <f aca="false">IF(INDEX(PRODUTOS!$I$4:$I$63,MATCH($A269,PRODUTOS!$B$4:$B$63,0))="B",INDEX(MODELOS!$I$3:$I$19,MATCH($D269,MODELOS!$A$3:$A$19,0)),INDEX(MODELOS!$E$3:$E$19,MATCH($D269,MODELOS!$A$3:$A$19,0)))</f>
        <v>970 × 300</v>
      </c>
      <c r="I269" s="11" t="str">
        <f aca="false">INDEX(MODELOS!$J$3:$J$19,MATCH($D269,MODELOS!$A$3:$A$19,0))</f>
        <v>Conforme modelo</v>
      </c>
      <c r="J269" s="11" t="str">
        <f aca="false">IF(LEFT($D269,2)&lt;&gt;"AP",IF($I269="SIM","SIM","RECOMENDADA"),IF(INDEX(PRODUTOS!$J$4:$J$63,MATCH($A269,PRODUTOS!$B$4:$B$63,0))&lt;&gt;"","NÃO (usa o A+ do EAN "&amp;INDEX(PRODUTOS!$J$4:$J$63,MATCH($A269,PRODUTOS!$B$4:$B$63,0))&amp;")",IF(AND(INDEX(PRODUTOS!$I$4:$I$63,MATCH($A269,PRODUTOS!$B$4:$B$63,0))="B",$D269="AP07"),"NÃO (modelo B)","SIM")))</f>
        <v>SIM</v>
      </c>
      <c r="K269" s="13" t="s">
        <v>325</v>
      </c>
      <c r="L269" s="13"/>
    </row>
    <row r="270" customFormat="false" ht="15" hidden="false" customHeight="false" outlineLevel="0" collapsed="false">
      <c r="A270" s="15" t="s">
        <v>109</v>
      </c>
      <c r="B270" s="11" t="str">
        <f aca="false">INDEX(PRODUTOS!$E$4:$E$63,MATCH($A270,PRODUTOS!$B$4:$B$63,0))</f>
        <v>Ração Seca Natural Dots para Cães Adultos - Pacote 15 kg</v>
      </c>
      <c r="C270" s="11" t="str">
        <f aca="false">INDEX(PRODUTOS!$H$4:$H$63,MATCH($A270,PRODUTOS!$B$4:$B$63,0))</f>
        <v>15 kg</v>
      </c>
      <c r="D270" s="11" t="s">
        <v>336</v>
      </c>
      <c r="E270" s="16" t="str">
        <f aca="false">$A270&amp;"."&amp;$D270&amp;".jpg"</f>
        <v>7898968541283.AP03.jpg</v>
      </c>
      <c r="F270" s="11" t="str">
        <f aca="false">IF(INDEX(PRODUTOS!$I$4:$I$63,MATCH($A270,PRODUTOS!$B$4:$B$63,0))="B",INDEX(MODELOS!$F$3:$F$19,MATCH($D270,MODELOS!$A$3:$A$19,0)),INDEX(MODELOS!$B$3:$B$19,MATCH($D270,MODELOS!$A$3:$A$19,0)))</f>
        <v>A+ · Módulo 3 · Benefício 1 de 4</v>
      </c>
      <c r="G270" s="11" t="str">
        <f aca="false">IF(INDEX(PRODUTOS!$F$4:$F$63,MATCH($A270,PRODUTOS!$B$4:$B$63,0))="Ração",IF(INDEX(PRODUTOS!$I$4:$I$63,MATCH($A270,PRODUTOS!$B$4:$B$63,0))="B",INDEX(MODELOS!$G$3:$G$19,MATCH($D270,MODELOS!$A$3:$A$19,0)),INDEX(MODELOS!$C$3:$C$19,MATCH($D270,MODELOS!$A$3:$A$19,0))),IF(INDEX(PRODUTOS!$I$4:$I$63,MATCH($A270,PRODUTOS!$B$4:$B$63,0))="B",INDEX(MODELOS!$H$3:$H$19,MATCH($D270,MODELOS!$A$3:$A$19,0)),INDEX(MODELOS!$D$3:$D$19,MATCH($D270,MODELOS!$A$3:$A$19,0))))</f>
        <v>Foto/ilustração do benefício 1</v>
      </c>
      <c r="H270" s="11" t="str">
        <f aca="false">IF(INDEX(PRODUTOS!$I$4:$I$63,MATCH($A270,PRODUTOS!$B$4:$B$63,0))="B",INDEX(MODELOS!$I$3:$I$19,MATCH($D270,MODELOS!$A$3:$A$19,0)),INDEX(MODELOS!$E$3:$E$19,MATCH($D270,MODELOS!$A$3:$A$19,0)))</f>
        <v>220 × 200</v>
      </c>
      <c r="I270" s="11" t="str">
        <f aca="false">INDEX(MODELOS!$J$3:$J$19,MATCH($D270,MODELOS!$A$3:$A$19,0))</f>
        <v>Conforme modelo</v>
      </c>
      <c r="J270" s="11" t="str">
        <f aca="false">IF(LEFT($D270,2)&lt;&gt;"AP",IF($I270="SIM","SIM","RECOMENDADA"),IF(INDEX(PRODUTOS!$J$4:$J$63,MATCH($A270,PRODUTOS!$B$4:$B$63,0))&lt;&gt;"","NÃO (usa o A+ do EAN "&amp;INDEX(PRODUTOS!$J$4:$J$63,MATCH($A270,PRODUTOS!$B$4:$B$63,0))&amp;")",IF(AND(INDEX(PRODUTOS!$I$4:$I$63,MATCH($A270,PRODUTOS!$B$4:$B$63,0))="B",$D270="AP07"),"NÃO (modelo B)","SIM")))</f>
        <v>SIM</v>
      </c>
      <c r="K270" s="13" t="s">
        <v>325</v>
      </c>
      <c r="L270" s="13"/>
    </row>
    <row r="271" customFormat="false" ht="15" hidden="false" customHeight="false" outlineLevel="0" collapsed="false">
      <c r="A271" s="15" t="s">
        <v>109</v>
      </c>
      <c r="B271" s="11" t="str">
        <f aca="false">INDEX(PRODUTOS!$E$4:$E$63,MATCH($A271,PRODUTOS!$B$4:$B$63,0))</f>
        <v>Ração Seca Natural Dots para Cães Adultos - Pacote 15 kg</v>
      </c>
      <c r="C271" s="11" t="str">
        <f aca="false">INDEX(PRODUTOS!$H$4:$H$63,MATCH($A271,PRODUTOS!$B$4:$B$63,0))</f>
        <v>15 kg</v>
      </c>
      <c r="D271" s="11" t="s">
        <v>337</v>
      </c>
      <c r="E271" s="16" t="str">
        <f aca="false">$A271&amp;"."&amp;$D271&amp;".jpg"</f>
        <v>7898968541283.AP04.jpg</v>
      </c>
      <c r="F271" s="11" t="str">
        <f aca="false">IF(INDEX(PRODUTOS!$I$4:$I$63,MATCH($A271,PRODUTOS!$B$4:$B$63,0))="B",INDEX(MODELOS!$F$3:$F$19,MATCH($D271,MODELOS!$A$3:$A$19,0)),INDEX(MODELOS!$B$3:$B$19,MATCH($D271,MODELOS!$A$3:$A$19,0)))</f>
        <v>A+ · Módulo 3 · Benefício 2 de 4</v>
      </c>
      <c r="G271" s="11" t="str">
        <f aca="false">IF(INDEX(PRODUTOS!$F$4:$F$63,MATCH($A271,PRODUTOS!$B$4:$B$63,0))="Ração",IF(INDEX(PRODUTOS!$I$4:$I$63,MATCH($A271,PRODUTOS!$B$4:$B$63,0))="B",INDEX(MODELOS!$G$3:$G$19,MATCH($D271,MODELOS!$A$3:$A$19,0)),INDEX(MODELOS!$C$3:$C$19,MATCH($D271,MODELOS!$A$3:$A$19,0))),IF(INDEX(PRODUTOS!$I$4:$I$63,MATCH($A271,PRODUTOS!$B$4:$B$63,0))="B",INDEX(MODELOS!$H$3:$H$19,MATCH($D271,MODELOS!$A$3:$A$19,0)),INDEX(MODELOS!$D$3:$D$19,MATCH($D271,MODELOS!$A$3:$A$19,0))))</f>
        <v>Foto/ilustração do benefício 2</v>
      </c>
      <c r="H271" s="11" t="str">
        <f aca="false">IF(INDEX(PRODUTOS!$I$4:$I$63,MATCH($A271,PRODUTOS!$B$4:$B$63,0))="B",INDEX(MODELOS!$I$3:$I$19,MATCH($D271,MODELOS!$A$3:$A$19,0)),INDEX(MODELOS!$E$3:$E$19,MATCH($D271,MODELOS!$A$3:$A$19,0)))</f>
        <v>220 × 200</v>
      </c>
      <c r="I271" s="11" t="str">
        <f aca="false">INDEX(MODELOS!$J$3:$J$19,MATCH($D271,MODELOS!$A$3:$A$19,0))</f>
        <v>Conforme modelo</v>
      </c>
      <c r="J271" s="11" t="str">
        <f aca="false">IF(LEFT($D271,2)&lt;&gt;"AP",IF($I271="SIM","SIM","RECOMENDADA"),IF(INDEX(PRODUTOS!$J$4:$J$63,MATCH($A271,PRODUTOS!$B$4:$B$63,0))&lt;&gt;"","NÃO (usa o A+ do EAN "&amp;INDEX(PRODUTOS!$J$4:$J$63,MATCH($A271,PRODUTOS!$B$4:$B$63,0))&amp;")",IF(AND(INDEX(PRODUTOS!$I$4:$I$63,MATCH($A271,PRODUTOS!$B$4:$B$63,0))="B",$D271="AP07"),"NÃO (modelo B)","SIM")))</f>
        <v>SIM</v>
      </c>
      <c r="K271" s="13" t="s">
        <v>325</v>
      </c>
      <c r="L271" s="13"/>
    </row>
    <row r="272" customFormat="false" ht="15" hidden="false" customHeight="false" outlineLevel="0" collapsed="false">
      <c r="A272" s="15" t="s">
        <v>109</v>
      </c>
      <c r="B272" s="11" t="str">
        <f aca="false">INDEX(PRODUTOS!$E$4:$E$63,MATCH($A272,PRODUTOS!$B$4:$B$63,0))</f>
        <v>Ração Seca Natural Dots para Cães Adultos - Pacote 15 kg</v>
      </c>
      <c r="C272" s="11" t="str">
        <f aca="false">INDEX(PRODUTOS!$H$4:$H$63,MATCH($A272,PRODUTOS!$B$4:$B$63,0))</f>
        <v>15 kg</v>
      </c>
      <c r="D272" s="11" t="s">
        <v>338</v>
      </c>
      <c r="E272" s="16" t="str">
        <f aca="false">$A272&amp;"."&amp;$D272&amp;".jpg"</f>
        <v>7898968541283.AP05.jpg</v>
      </c>
      <c r="F272" s="11" t="str">
        <f aca="false">IF(INDEX(PRODUTOS!$I$4:$I$63,MATCH($A272,PRODUTOS!$B$4:$B$63,0))="B",INDEX(MODELOS!$F$3:$F$19,MATCH($D272,MODELOS!$A$3:$A$19,0)),INDEX(MODELOS!$B$3:$B$19,MATCH($D272,MODELOS!$A$3:$A$19,0)))</f>
        <v>A+ · Módulo 3 · Benefício 3 de 4</v>
      </c>
      <c r="G272" s="11" t="str">
        <f aca="false">IF(INDEX(PRODUTOS!$F$4:$F$63,MATCH($A272,PRODUTOS!$B$4:$B$63,0))="Ração",IF(INDEX(PRODUTOS!$I$4:$I$63,MATCH($A272,PRODUTOS!$B$4:$B$63,0))="B",INDEX(MODELOS!$G$3:$G$19,MATCH($D272,MODELOS!$A$3:$A$19,0)),INDEX(MODELOS!$C$3:$C$19,MATCH($D272,MODELOS!$A$3:$A$19,0))),IF(INDEX(PRODUTOS!$I$4:$I$63,MATCH($A272,PRODUTOS!$B$4:$B$63,0))="B",INDEX(MODELOS!$H$3:$H$19,MATCH($D272,MODELOS!$A$3:$A$19,0)),INDEX(MODELOS!$D$3:$D$19,MATCH($D272,MODELOS!$A$3:$A$19,0))))</f>
        <v>Foto/ilustração do benefício 3</v>
      </c>
      <c r="H272" s="11" t="str">
        <f aca="false">IF(INDEX(PRODUTOS!$I$4:$I$63,MATCH($A272,PRODUTOS!$B$4:$B$63,0))="B",INDEX(MODELOS!$I$3:$I$19,MATCH($D272,MODELOS!$A$3:$A$19,0)),INDEX(MODELOS!$E$3:$E$19,MATCH($D272,MODELOS!$A$3:$A$19,0)))</f>
        <v>220 × 200</v>
      </c>
      <c r="I272" s="11" t="str">
        <f aca="false">INDEX(MODELOS!$J$3:$J$19,MATCH($D272,MODELOS!$A$3:$A$19,0))</f>
        <v>Conforme modelo</v>
      </c>
      <c r="J272" s="11" t="str">
        <f aca="false">IF(LEFT($D272,2)&lt;&gt;"AP",IF($I272="SIM","SIM","RECOMENDADA"),IF(INDEX(PRODUTOS!$J$4:$J$63,MATCH($A272,PRODUTOS!$B$4:$B$63,0))&lt;&gt;"","NÃO (usa o A+ do EAN "&amp;INDEX(PRODUTOS!$J$4:$J$63,MATCH($A272,PRODUTOS!$B$4:$B$63,0))&amp;")",IF(AND(INDEX(PRODUTOS!$I$4:$I$63,MATCH($A272,PRODUTOS!$B$4:$B$63,0))="B",$D272="AP07"),"NÃO (modelo B)","SIM")))</f>
        <v>SIM</v>
      </c>
      <c r="K272" s="13" t="s">
        <v>325</v>
      </c>
      <c r="L272" s="13"/>
    </row>
    <row r="273" customFormat="false" ht="15" hidden="false" customHeight="false" outlineLevel="0" collapsed="false">
      <c r="A273" s="15" t="s">
        <v>109</v>
      </c>
      <c r="B273" s="11" t="str">
        <f aca="false">INDEX(PRODUTOS!$E$4:$E$63,MATCH($A273,PRODUTOS!$B$4:$B$63,0))</f>
        <v>Ração Seca Natural Dots para Cães Adultos - Pacote 15 kg</v>
      </c>
      <c r="C273" s="11" t="str">
        <f aca="false">INDEX(PRODUTOS!$H$4:$H$63,MATCH($A273,PRODUTOS!$B$4:$B$63,0))</f>
        <v>15 kg</v>
      </c>
      <c r="D273" s="11" t="s">
        <v>339</v>
      </c>
      <c r="E273" s="16" t="str">
        <f aca="false">$A273&amp;"."&amp;$D273&amp;".jpg"</f>
        <v>7898968541283.AP06.jpg</v>
      </c>
      <c r="F273" s="11" t="str">
        <f aca="false">IF(INDEX(PRODUTOS!$I$4:$I$63,MATCH($A273,PRODUTOS!$B$4:$B$63,0))="B",INDEX(MODELOS!$F$3:$F$19,MATCH($D273,MODELOS!$A$3:$A$19,0)),INDEX(MODELOS!$B$3:$B$19,MATCH($D273,MODELOS!$A$3:$A$19,0)))</f>
        <v>A+ · Módulo 3 · Benefício 4 de 4</v>
      </c>
      <c r="G273" s="11" t="str">
        <f aca="false">IF(INDEX(PRODUTOS!$F$4:$F$63,MATCH($A273,PRODUTOS!$B$4:$B$63,0))="Ração",IF(INDEX(PRODUTOS!$I$4:$I$63,MATCH($A273,PRODUTOS!$B$4:$B$63,0))="B",INDEX(MODELOS!$G$3:$G$19,MATCH($D273,MODELOS!$A$3:$A$19,0)),INDEX(MODELOS!$C$3:$C$19,MATCH($D273,MODELOS!$A$3:$A$19,0))),IF(INDEX(PRODUTOS!$I$4:$I$63,MATCH($A273,PRODUTOS!$B$4:$B$63,0))="B",INDEX(MODELOS!$H$3:$H$19,MATCH($D273,MODELOS!$A$3:$A$19,0)),INDEX(MODELOS!$D$3:$D$19,MATCH($D273,MODELOS!$A$3:$A$19,0))))</f>
        <v>Foto/ilustração do benefício 4</v>
      </c>
      <c r="H273" s="11" t="str">
        <f aca="false">IF(INDEX(PRODUTOS!$I$4:$I$63,MATCH($A273,PRODUTOS!$B$4:$B$63,0))="B",INDEX(MODELOS!$I$3:$I$19,MATCH($D273,MODELOS!$A$3:$A$19,0)),INDEX(MODELOS!$E$3:$E$19,MATCH($D273,MODELOS!$A$3:$A$19,0)))</f>
        <v>220 × 200</v>
      </c>
      <c r="I273" s="11" t="str">
        <f aca="false">INDEX(MODELOS!$J$3:$J$19,MATCH($D273,MODELOS!$A$3:$A$19,0))</f>
        <v>Conforme modelo</v>
      </c>
      <c r="J273" s="11" t="str">
        <f aca="false">IF(LEFT($D273,2)&lt;&gt;"AP",IF($I273="SIM","SIM","RECOMENDADA"),IF(INDEX(PRODUTOS!$J$4:$J$63,MATCH($A273,PRODUTOS!$B$4:$B$63,0))&lt;&gt;"","NÃO (usa o A+ do EAN "&amp;INDEX(PRODUTOS!$J$4:$J$63,MATCH($A273,PRODUTOS!$B$4:$B$63,0))&amp;")",IF(AND(INDEX(PRODUTOS!$I$4:$I$63,MATCH($A273,PRODUTOS!$B$4:$B$63,0))="B",$D273="AP07"),"NÃO (modelo B)","SIM")))</f>
        <v>SIM</v>
      </c>
      <c r="K273" s="13" t="s">
        <v>325</v>
      </c>
      <c r="L273" s="13"/>
    </row>
    <row r="274" customFormat="false" ht="15" hidden="false" customHeight="false" outlineLevel="0" collapsed="false">
      <c r="A274" s="15" t="s">
        <v>109</v>
      </c>
      <c r="B274" s="11" t="str">
        <f aca="false">INDEX(PRODUTOS!$E$4:$E$63,MATCH($A274,PRODUTOS!$B$4:$B$63,0))</f>
        <v>Ração Seca Natural Dots para Cães Adultos - Pacote 15 kg</v>
      </c>
      <c r="C274" s="11" t="str">
        <f aca="false">INDEX(PRODUTOS!$H$4:$H$63,MATCH($A274,PRODUTOS!$B$4:$B$63,0))</f>
        <v>15 kg</v>
      </c>
      <c r="D274" s="11" t="s">
        <v>340</v>
      </c>
      <c r="E274" s="16" t="str">
        <f aca="false">$A274&amp;"."&amp;$D274&amp;".jpg"</f>
        <v>7898968541283.AP07.jpg</v>
      </c>
      <c r="F274" s="11" t="str">
        <f aca="false">IF(INDEX(PRODUTOS!$I$4:$I$63,MATCH($A274,PRODUTOS!$B$4:$B$63,0))="B",INDEX(MODELOS!$F$3:$F$19,MATCH($D274,MODELOS!$A$3:$A$19,0)),INDEX(MODELOS!$B$3:$B$19,MATCH($D274,MODELOS!$A$3:$A$19,0)))</f>
        <v>A+ · Módulo 4 · Especificações</v>
      </c>
      <c r="G274" s="11" t="str">
        <f aca="false">IF(INDEX(PRODUTOS!$F$4:$F$63,MATCH($A274,PRODUTOS!$B$4:$B$63,0))="Ração",IF(INDEX(PRODUTOS!$I$4:$I$63,MATCH($A274,PRODUTOS!$B$4:$B$63,0))="B",INDEX(MODELOS!$G$3:$G$19,MATCH($D274,MODELOS!$A$3:$A$19,0)),INDEX(MODELOS!$C$3:$C$19,MATCH($D274,MODELOS!$A$3:$A$19,0))),IF(INDEX(PRODUTOS!$I$4:$I$63,MATCH($A274,PRODUTOS!$B$4:$B$63,0))="B",INDEX(MODELOS!$H$3:$H$19,MATCH($D274,MODELOS!$A$3:$A$19,0)),INDEX(MODELOS!$D$3:$D$19,MATCH($D274,MODELOS!$A$3:$A$19,0))))</f>
        <v>Grão ou pacote em destaque</v>
      </c>
      <c r="H274" s="11" t="str">
        <f aca="false">IF(INDEX(PRODUTOS!$I$4:$I$63,MATCH($A274,PRODUTOS!$B$4:$B$63,0))="B",INDEX(MODELOS!$I$3:$I$19,MATCH($D274,MODELOS!$A$3:$A$19,0)),INDEX(MODELOS!$E$3:$E$19,MATCH($D274,MODELOS!$A$3:$A$19,0)))</f>
        <v>300 × 300</v>
      </c>
      <c r="I274" s="11" t="str">
        <f aca="false">INDEX(MODELOS!$J$3:$J$19,MATCH($D274,MODELOS!$A$3:$A$19,0))</f>
        <v>Conforme modelo</v>
      </c>
      <c r="J274" s="11" t="str">
        <f aca="false">IF(LEFT($D274,2)&lt;&gt;"AP",IF($I274="SIM","SIM","RECOMENDADA"),IF(INDEX(PRODUTOS!$J$4:$J$63,MATCH($A274,PRODUTOS!$B$4:$B$63,0))&lt;&gt;"","NÃO (usa o A+ do EAN "&amp;INDEX(PRODUTOS!$J$4:$J$63,MATCH($A274,PRODUTOS!$B$4:$B$63,0))&amp;")",IF(AND(INDEX(PRODUTOS!$I$4:$I$63,MATCH($A274,PRODUTOS!$B$4:$B$63,0))="B",$D274="AP07"),"NÃO (modelo B)","SIM")))</f>
        <v>SIM</v>
      </c>
      <c r="K274" s="13" t="s">
        <v>325</v>
      </c>
      <c r="L274" s="13"/>
    </row>
    <row r="275" customFormat="false" ht="15" hidden="false" customHeight="false" outlineLevel="0" collapsed="false">
      <c r="A275" s="15" t="s">
        <v>109</v>
      </c>
      <c r="B275" s="11" t="str">
        <f aca="false">INDEX(PRODUTOS!$E$4:$E$63,MATCH($A275,PRODUTOS!$B$4:$B$63,0))</f>
        <v>Ração Seca Natural Dots para Cães Adultos - Pacote 15 kg</v>
      </c>
      <c r="C275" s="11" t="str">
        <f aca="false">INDEX(PRODUTOS!$H$4:$H$63,MATCH($A275,PRODUTOS!$B$4:$B$63,0))</f>
        <v>15 kg</v>
      </c>
      <c r="D275" s="11" t="s">
        <v>341</v>
      </c>
      <c r="E275" s="16" t="str">
        <f aca="false">$A275&amp;"."&amp;$D275&amp;".jpg"</f>
        <v>7898968541283.COMP.jpg</v>
      </c>
      <c r="F275" s="11" t="str">
        <f aca="false">IF(INDEX(PRODUTOS!$I$4:$I$63,MATCH($A275,PRODUTOS!$B$4:$B$63,0))="B",INDEX(MODELOS!$F$3:$F$19,MATCH($D275,MODELOS!$A$3:$A$19,0)),INDEX(MODELOS!$B$3:$B$19,MATCH($D275,MODELOS!$A$3:$A$19,0)))</f>
        <v>A+ · Tabela comparativa</v>
      </c>
      <c r="G275" s="11" t="str">
        <f aca="false">IF(INDEX(PRODUTOS!$F$4:$F$63,MATCH($A275,PRODUTOS!$B$4:$B$63,0))="Ração",IF(INDEX(PRODUTOS!$I$4:$I$63,MATCH($A275,PRODUTOS!$B$4:$B$63,0))="B",INDEX(MODELOS!$G$3:$G$19,MATCH($D275,MODELOS!$A$3:$A$19,0)),INDEX(MODELOS!$C$3:$C$19,MATCH($D275,MODELOS!$A$3:$A$19,0))),IF(INDEX(PRODUTOS!$I$4:$I$63,MATCH($A275,PRODUTOS!$B$4:$B$63,0))="B",INDEX(MODELOS!$H$3:$H$19,MATCH($D275,MODELOS!$A$3:$A$19,0)),INDEX(MODELOS!$D$3:$D$19,MATCH($D275,MODELOS!$A$3:$A$19,0))))</f>
        <v>Pacote na vertical, sem fundo colorido</v>
      </c>
      <c r="H275" s="11" t="str">
        <f aca="false">IF(INDEX(PRODUTOS!$I$4:$I$63,MATCH($A275,PRODUTOS!$B$4:$B$63,0))="B",INDEX(MODELOS!$I$3:$I$19,MATCH($D275,MODELOS!$A$3:$A$19,0)),INDEX(MODELOS!$E$3:$E$19,MATCH($D275,MODELOS!$A$3:$A$19,0)))</f>
        <v>150 × 300</v>
      </c>
      <c r="I275" s="11" t="str">
        <f aca="false">INDEX(MODELOS!$J$3:$J$19,MATCH($D275,MODELOS!$A$3:$A$19,0))</f>
        <v>SIM</v>
      </c>
      <c r="J275" s="11" t="str">
        <f aca="false">IF(LEFT($D275,2)&lt;&gt;"AP",IF($I275="SIM","SIM","RECOMENDADA"),IF(INDEX(PRODUTOS!$J$4:$J$63,MATCH($A275,PRODUTOS!$B$4:$B$63,0))&lt;&gt;"","NÃO (usa o A+ do EAN "&amp;INDEX(PRODUTOS!$J$4:$J$63,MATCH($A275,PRODUTOS!$B$4:$B$63,0))&amp;")",IF(AND(INDEX(PRODUTOS!$I$4:$I$63,MATCH($A275,PRODUTOS!$B$4:$B$63,0))="B",$D275="AP07"),"NÃO (modelo B)","SIM")))</f>
        <v>SIM</v>
      </c>
      <c r="K275" s="13" t="s">
        <v>325</v>
      </c>
      <c r="L275" s="13"/>
    </row>
    <row r="276" customFormat="false" ht="15" hidden="false" customHeight="false" outlineLevel="0" collapsed="false">
      <c r="A276" s="15" t="s">
        <v>114</v>
      </c>
      <c r="B276" s="11" t="str">
        <f aca="false">INDEX(PRODUTOS!$E$4:$E$63,MATCH($A276,PRODUTOS!$B$4:$B$63,0))</f>
        <v>Ração Seca Natural Dots para Cães Adultos - Pacote 1 kg</v>
      </c>
      <c r="C276" s="11" t="str">
        <f aca="false">INDEX(PRODUTOS!$H$4:$H$63,MATCH($A276,PRODUTOS!$B$4:$B$63,0))</f>
        <v>1 kg</v>
      </c>
      <c r="D276" s="11" t="s">
        <v>324</v>
      </c>
      <c r="E276" s="16" t="str">
        <f aca="false">$A276&amp;"."&amp;$D276&amp;".jpg"</f>
        <v>7898968541269.MAIN.jpg</v>
      </c>
      <c r="F276" s="11" t="str">
        <f aca="false">IF(INDEX(PRODUTOS!$I$4:$I$63,MATCH($A276,PRODUTOS!$B$4:$B$63,0))="B",INDEX(MODELOS!$F$3:$F$19,MATCH($D276,MODELOS!$A$3:$A$19,0)),INDEX(MODELOS!$B$3:$B$19,MATCH($D276,MODELOS!$A$3:$A$19,0)))</f>
        <v>Capa (posição 1)</v>
      </c>
      <c r="G276" s="11" t="str">
        <f aca="false">IF(INDEX(PRODUTOS!$F$4:$F$63,MATCH($A276,PRODUTOS!$B$4:$B$63,0))="Ração",IF(INDEX(PRODUTOS!$I$4:$I$63,MATCH($A276,PRODUTOS!$B$4:$B$63,0))="B",INDEX(MODELOS!$G$3:$G$19,MATCH($D276,MODELOS!$A$3:$A$19,0)),INDEX(MODELOS!$C$3:$C$19,MATCH($D276,MODELOS!$A$3:$A$19,0))),IF(INDEX(PRODUTOS!$I$4:$I$63,MATCH($A276,PRODUTOS!$B$4:$B$63,0))="B",INDEX(MODELOS!$H$3:$H$19,MATCH($D276,MODELOS!$A$3:$A$19,0)),INDEX(MODELOS!$D$3:$D$19,MATCH($D276,MODELOS!$A$3:$A$19,0))))</f>
        <v>Embalagem de frente, fundo branco puro, 85% da área, nada adicionado</v>
      </c>
      <c r="H276" s="11" t="str">
        <f aca="false">IF(INDEX(PRODUTOS!$I$4:$I$63,MATCH($A276,PRODUTOS!$B$4:$B$63,0))="B",INDEX(MODELOS!$I$3:$I$19,MATCH($D276,MODELOS!$A$3:$A$19,0)),INDEX(MODELOS!$E$3:$E$19,MATCH($D276,MODELOS!$A$3:$A$19,0)))</f>
        <v>2000 × 2000</v>
      </c>
      <c r="I276" s="11" t="str">
        <f aca="false">INDEX(MODELOS!$J$3:$J$19,MATCH($D276,MODELOS!$A$3:$A$19,0))</f>
        <v>SIM</v>
      </c>
      <c r="J276" s="11" t="str">
        <f aca="false">IF(LEFT($D276,2)&lt;&gt;"AP",IF($I276="SIM","SIM","RECOMENDADA"),IF(INDEX(PRODUTOS!$J$4:$J$63,MATCH($A276,PRODUTOS!$B$4:$B$63,0))&lt;&gt;"","NÃO (usa o A+ do EAN "&amp;INDEX(PRODUTOS!$J$4:$J$63,MATCH($A276,PRODUTOS!$B$4:$B$63,0))&amp;")",IF(AND(INDEX(PRODUTOS!$I$4:$I$63,MATCH($A276,PRODUTOS!$B$4:$B$63,0))="B",$D276="AP07"),"NÃO (modelo B)","SIM")))</f>
        <v>SIM</v>
      </c>
      <c r="K276" s="13" t="s">
        <v>325</v>
      </c>
      <c r="L276" s="13"/>
    </row>
    <row r="277" customFormat="false" ht="15" hidden="false" customHeight="false" outlineLevel="0" collapsed="false">
      <c r="A277" s="15" t="s">
        <v>114</v>
      </c>
      <c r="B277" s="11" t="str">
        <f aca="false">INDEX(PRODUTOS!$E$4:$E$63,MATCH($A277,PRODUTOS!$B$4:$B$63,0))</f>
        <v>Ração Seca Natural Dots para Cães Adultos - Pacote 1 kg</v>
      </c>
      <c r="C277" s="11" t="str">
        <f aca="false">INDEX(PRODUTOS!$H$4:$H$63,MATCH($A277,PRODUTOS!$B$4:$B$63,0))</f>
        <v>1 kg</v>
      </c>
      <c r="D277" s="11" t="s">
        <v>326</v>
      </c>
      <c r="E277" s="16" t="str">
        <f aca="false">$A277&amp;"."&amp;$D277&amp;".jpg"</f>
        <v>7898968541269.PT01.jpg</v>
      </c>
      <c r="F277" s="11" t="str">
        <f aca="false">IF(INDEX(PRODUTOS!$I$4:$I$63,MATCH($A277,PRODUTOS!$B$4:$B$63,0))="B",INDEX(MODELOS!$F$3:$F$19,MATCH($D277,MODELOS!$A$3:$A$19,0)),INDEX(MODELOS!$B$3:$B$19,MATCH($D277,MODELOS!$A$3:$A$19,0)))</f>
        <v>Galeria · posição 2</v>
      </c>
      <c r="G277" s="11" t="str">
        <f aca="false">IF(INDEX(PRODUTOS!$F$4:$F$63,MATCH($A277,PRODUTOS!$B$4:$B$63,0))="Ração",IF(INDEX(PRODUTOS!$I$4:$I$63,MATCH($A277,PRODUTOS!$B$4:$B$63,0))="B",INDEX(MODELOS!$G$3:$G$19,MATCH($D277,MODELOS!$A$3:$A$19,0)),INDEX(MODELOS!$C$3:$C$19,MATCH($D277,MODELOS!$A$3:$A$19,0))),IF(INDEX(PRODUTOS!$I$4:$I$63,MATCH($A277,PRODUTOS!$B$4:$B$63,0))="B",INDEX(MODELOS!$H$3:$H$19,MATCH($D277,MODELOS!$A$3:$A$19,0)),INDEX(MODELOS!$D$3:$D$19,MATCH($D277,MODELOS!$A$3:$A$19,0))))</f>
        <v>Grande diferencial da linha (número ou promessa forte + grão e ingrediente)</v>
      </c>
      <c r="H277" s="11" t="str">
        <f aca="false">IF(INDEX(PRODUTOS!$I$4:$I$63,MATCH($A277,PRODUTOS!$B$4:$B$63,0))="B",INDEX(MODELOS!$I$3:$I$19,MATCH($D277,MODELOS!$A$3:$A$19,0)),INDEX(MODELOS!$E$3:$E$19,MATCH($D277,MODELOS!$A$3:$A$19,0)))</f>
        <v>2000 × 2000</v>
      </c>
      <c r="I277" s="11" t="str">
        <f aca="false">INDEX(MODELOS!$J$3:$J$19,MATCH($D277,MODELOS!$A$3:$A$19,0))</f>
        <v>SIM</v>
      </c>
      <c r="J277" s="11" t="str">
        <f aca="false">IF(LEFT($D277,2)&lt;&gt;"AP",IF($I277="SIM","SIM","RECOMENDADA"),IF(INDEX(PRODUTOS!$J$4:$J$63,MATCH($A277,PRODUTOS!$B$4:$B$63,0))&lt;&gt;"","NÃO (usa o A+ do EAN "&amp;INDEX(PRODUTOS!$J$4:$J$63,MATCH($A277,PRODUTOS!$B$4:$B$63,0))&amp;")",IF(AND(INDEX(PRODUTOS!$I$4:$I$63,MATCH($A277,PRODUTOS!$B$4:$B$63,0))="B",$D277="AP07"),"NÃO (modelo B)","SIM")))</f>
        <v>SIM</v>
      </c>
      <c r="K277" s="13" t="s">
        <v>325</v>
      </c>
      <c r="L277" s="13"/>
    </row>
    <row r="278" customFormat="false" ht="15" hidden="false" customHeight="false" outlineLevel="0" collapsed="false">
      <c r="A278" s="15" t="s">
        <v>114</v>
      </c>
      <c r="B278" s="11" t="str">
        <f aca="false">INDEX(PRODUTOS!$E$4:$E$63,MATCH($A278,PRODUTOS!$B$4:$B$63,0))</f>
        <v>Ração Seca Natural Dots para Cães Adultos - Pacote 1 kg</v>
      </c>
      <c r="C278" s="11" t="str">
        <f aca="false">INDEX(PRODUTOS!$H$4:$H$63,MATCH($A278,PRODUTOS!$B$4:$B$63,0))</f>
        <v>1 kg</v>
      </c>
      <c r="D278" s="11" t="s">
        <v>327</v>
      </c>
      <c r="E278" s="16" t="str">
        <f aca="false">$A278&amp;"."&amp;$D278&amp;".jpg"</f>
        <v>7898968541269.PT02.jpg</v>
      </c>
      <c r="F278" s="11" t="str">
        <f aca="false">IF(INDEX(PRODUTOS!$I$4:$I$63,MATCH($A278,PRODUTOS!$B$4:$B$63,0))="B",INDEX(MODELOS!$F$3:$F$19,MATCH($D278,MODELOS!$A$3:$A$19,0)),INDEX(MODELOS!$B$3:$B$19,MATCH($D278,MODELOS!$A$3:$A$19,0)))</f>
        <v>Galeria · posição 3</v>
      </c>
      <c r="G278" s="11" t="str">
        <f aca="false">IF(INDEX(PRODUTOS!$F$4:$F$63,MATCH($A278,PRODUTOS!$B$4:$B$63,0))="Ração",IF(INDEX(PRODUTOS!$I$4:$I$63,MATCH($A278,PRODUTOS!$B$4:$B$63,0))="B",INDEX(MODELOS!$G$3:$G$19,MATCH($D278,MODELOS!$A$3:$A$19,0)),INDEX(MODELOS!$C$3:$C$19,MATCH($D278,MODELOS!$A$3:$A$19,0))),IF(INDEX(PRODUTOS!$I$4:$I$63,MATCH($A278,PRODUTOS!$B$4:$B$63,0))="B",INDEX(MODELOS!$H$3:$H$19,MATCH($D278,MODELOS!$A$3:$A$19,0)),INDEX(MODELOS!$D$3:$D$19,MATCH($D278,MODELOS!$A$3:$A$19,0))))</f>
        <v>Benefícios com ícones (4 a 6, impressos na embalagem) + ingrediente</v>
      </c>
      <c r="H278" s="11" t="str">
        <f aca="false">IF(INDEX(PRODUTOS!$I$4:$I$63,MATCH($A278,PRODUTOS!$B$4:$B$63,0))="B",INDEX(MODELOS!$I$3:$I$19,MATCH($D278,MODELOS!$A$3:$A$19,0)),INDEX(MODELOS!$E$3:$E$19,MATCH($D278,MODELOS!$A$3:$A$19,0)))</f>
        <v>2000 × 2000</v>
      </c>
      <c r="I278" s="11" t="str">
        <f aca="false">INDEX(MODELOS!$J$3:$J$19,MATCH($D278,MODELOS!$A$3:$A$19,0))</f>
        <v>SIM</v>
      </c>
      <c r="J278" s="11" t="str">
        <f aca="false">IF(LEFT($D278,2)&lt;&gt;"AP",IF($I278="SIM","SIM","RECOMENDADA"),IF(INDEX(PRODUTOS!$J$4:$J$63,MATCH($A278,PRODUTOS!$B$4:$B$63,0))&lt;&gt;"","NÃO (usa o A+ do EAN "&amp;INDEX(PRODUTOS!$J$4:$J$63,MATCH($A278,PRODUTOS!$B$4:$B$63,0))&amp;")",IF(AND(INDEX(PRODUTOS!$I$4:$I$63,MATCH($A278,PRODUTOS!$B$4:$B$63,0))="B",$D278="AP07"),"NÃO (modelo B)","SIM")))</f>
        <v>SIM</v>
      </c>
      <c r="K278" s="13" t="s">
        <v>325</v>
      </c>
      <c r="L278" s="13"/>
    </row>
    <row r="279" customFormat="false" ht="15" hidden="false" customHeight="false" outlineLevel="0" collapsed="false">
      <c r="A279" s="15" t="s">
        <v>114</v>
      </c>
      <c r="B279" s="11" t="str">
        <f aca="false">INDEX(PRODUTOS!$E$4:$E$63,MATCH($A279,PRODUTOS!$B$4:$B$63,0))</f>
        <v>Ração Seca Natural Dots para Cães Adultos - Pacote 1 kg</v>
      </c>
      <c r="C279" s="11" t="str">
        <f aca="false">INDEX(PRODUTOS!$H$4:$H$63,MATCH($A279,PRODUTOS!$B$4:$B$63,0))</f>
        <v>1 kg</v>
      </c>
      <c r="D279" s="11" t="s">
        <v>328</v>
      </c>
      <c r="E279" s="16" t="str">
        <f aca="false">$A279&amp;"."&amp;$D279&amp;".jpg"</f>
        <v>7898968541269.PT03.jpg</v>
      </c>
      <c r="F279" s="11" t="str">
        <f aca="false">IF(INDEX(PRODUTOS!$I$4:$I$63,MATCH($A279,PRODUTOS!$B$4:$B$63,0))="B",INDEX(MODELOS!$F$3:$F$19,MATCH($D279,MODELOS!$A$3:$A$19,0)),INDEX(MODELOS!$B$3:$B$19,MATCH($D279,MODELOS!$A$3:$A$19,0)))</f>
        <v>Galeria · posição 4</v>
      </c>
      <c r="G279" s="11" t="str">
        <f aca="false">IF(INDEX(PRODUTOS!$F$4:$F$63,MATCH($A279,PRODUTOS!$B$4:$B$63,0))="Ração",IF(INDEX(PRODUTOS!$I$4:$I$63,MATCH($A279,PRODUTOS!$B$4:$B$63,0))="B",INDEX(MODELOS!$G$3:$G$19,MATCH($D279,MODELOS!$A$3:$A$19,0)),INDEX(MODELOS!$C$3:$C$19,MATCH($D279,MODELOS!$A$3:$A$19,0))),IF(INDEX(PRODUTOS!$I$4:$I$63,MATCH($A279,PRODUTOS!$B$4:$B$63,0))="B",INDEX(MODELOS!$H$3:$H$19,MATCH($D279,MODELOS!$A$3:$A$19,0)),INDEX(MODELOS!$D$3:$D$19,MATCH($D279,MODELOS!$A$3:$A$19,0))))</f>
        <v>Formato e tamanho do grão, com medida em mm e referência de tamanho</v>
      </c>
      <c r="H279" s="11" t="str">
        <f aca="false">IF(INDEX(PRODUTOS!$I$4:$I$63,MATCH($A279,PRODUTOS!$B$4:$B$63,0))="B",INDEX(MODELOS!$I$3:$I$19,MATCH($D279,MODELOS!$A$3:$A$19,0)),INDEX(MODELOS!$E$3:$E$19,MATCH($D279,MODELOS!$A$3:$A$19,0)))</f>
        <v>2000 × 2000</v>
      </c>
      <c r="I279" s="11" t="str">
        <f aca="false">INDEX(MODELOS!$J$3:$J$19,MATCH($D279,MODELOS!$A$3:$A$19,0))</f>
        <v>SIM</v>
      </c>
      <c r="J279" s="11" t="str">
        <f aca="false">IF(LEFT($D279,2)&lt;&gt;"AP",IF($I279="SIM","SIM","RECOMENDADA"),IF(INDEX(PRODUTOS!$J$4:$J$63,MATCH($A279,PRODUTOS!$B$4:$B$63,0))&lt;&gt;"","NÃO (usa o A+ do EAN "&amp;INDEX(PRODUTOS!$J$4:$J$63,MATCH($A279,PRODUTOS!$B$4:$B$63,0))&amp;")",IF(AND(INDEX(PRODUTOS!$I$4:$I$63,MATCH($A279,PRODUTOS!$B$4:$B$63,0))="B",$D279="AP07"),"NÃO (modelo B)","SIM")))</f>
        <v>SIM</v>
      </c>
      <c r="K279" s="13" t="s">
        <v>325</v>
      </c>
      <c r="L279" s="13"/>
    </row>
    <row r="280" customFormat="false" ht="15" hidden="false" customHeight="false" outlineLevel="0" collapsed="false">
      <c r="A280" s="15" t="s">
        <v>114</v>
      </c>
      <c r="B280" s="11" t="str">
        <f aca="false">INDEX(PRODUTOS!$E$4:$E$63,MATCH($A280,PRODUTOS!$B$4:$B$63,0))</f>
        <v>Ração Seca Natural Dots para Cães Adultos - Pacote 1 kg</v>
      </c>
      <c r="C280" s="11" t="str">
        <f aca="false">INDEX(PRODUTOS!$H$4:$H$63,MATCH($A280,PRODUTOS!$B$4:$B$63,0))</f>
        <v>1 kg</v>
      </c>
      <c r="D280" s="11" t="s">
        <v>329</v>
      </c>
      <c r="E280" s="16" t="str">
        <f aca="false">$A280&amp;"."&amp;$D280&amp;".jpg"</f>
        <v>7898968541269.PT04.jpg</v>
      </c>
      <c r="F280" s="11" t="str">
        <f aca="false">IF(INDEX(PRODUTOS!$I$4:$I$63,MATCH($A280,PRODUTOS!$B$4:$B$63,0))="B",INDEX(MODELOS!$F$3:$F$19,MATCH($D280,MODELOS!$A$3:$A$19,0)),INDEX(MODELOS!$B$3:$B$19,MATCH($D280,MODELOS!$A$3:$A$19,0)))</f>
        <v>Galeria · posição 5</v>
      </c>
      <c r="G280" s="11" t="str">
        <f aca="false">IF(INDEX(PRODUTOS!$F$4:$F$63,MATCH($A280,PRODUTOS!$B$4:$B$63,0))="Ração",IF(INDEX(PRODUTOS!$I$4:$I$63,MATCH($A280,PRODUTOS!$B$4:$B$63,0))="B",INDEX(MODELOS!$G$3:$G$19,MATCH($D280,MODELOS!$A$3:$A$19,0)),INDEX(MODELOS!$C$3:$C$19,MATCH($D280,MODELOS!$A$3:$A$19,0))),IF(INDEX(PRODUTOS!$I$4:$I$63,MATCH($A280,PRODUTOS!$B$4:$B$63,0))="B",INDEX(MODELOS!$H$3:$H$19,MATCH($D280,MODELOS!$A$3:$A$19,0)),INDEX(MODELOS!$D$3:$D$19,MATCH($D280,MODELOS!$A$3:$A$19,0))))</f>
        <v>Quantidade diária por peso do cão/gato (números idênticos à embalagem)</v>
      </c>
      <c r="H280" s="11" t="str">
        <f aca="false">IF(INDEX(PRODUTOS!$I$4:$I$63,MATCH($A280,PRODUTOS!$B$4:$B$63,0))="B",INDEX(MODELOS!$I$3:$I$19,MATCH($D280,MODELOS!$A$3:$A$19,0)),INDEX(MODELOS!$E$3:$E$19,MATCH($D280,MODELOS!$A$3:$A$19,0)))</f>
        <v>2000 × 2000</v>
      </c>
      <c r="I280" s="11" t="str">
        <f aca="false">INDEX(MODELOS!$J$3:$J$19,MATCH($D280,MODELOS!$A$3:$A$19,0))</f>
        <v>SIM</v>
      </c>
      <c r="J280" s="11" t="str">
        <f aca="false">IF(LEFT($D280,2)&lt;&gt;"AP",IF($I280="SIM","SIM","RECOMENDADA"),IF(INDEX(PRODUTOS!$J$4:$J$63,MATCH($A280,PRODUTOS!$B$4:$B$63,0))&lt;&gt;"","NÃO (usa o A+ do EAN "&amp;INDEX(PRODUTOS!$J$4:$J$63,MATCH($A280,PRODUTOS!$B$4:$B$63,0))&amp;")",IF(AND(INDEX(PRODUTOS!$I$4:$I$63,MATCH($A280,PRODUTOS!$B$4:$B$63,0))="B",$D280="AP07"),"NÃO (modelo B)","SIM")))</f>
        <v>SIM</v>
      </c>
      <c r="K280" s="13" t="s">
        <v>325</v>
      </c>
      <c r="L280" s="13"/>
    </row>
    <row r="281" customFormat="false" ht="15" hidden="false" customHeight="false" outlineLevel="0" collapsed="false">
      <c r="A281" s="15" t="s">
        <v>114</v>
      </c>
      <c r="B281" s="11" t="str">
        <f aca="false">INDEX(PRODUTOS!$E$4:$E$63,MATCH($A281,PRODUTOS!$B$4:$B$63,0))</f>
        <v>Ração Seca Natural Dots para Cães Adultos - Pacote 1 kg</v>
      </c>
      <c r="C281" s="11" t="str">
        <f aca="false">INDEX(PRODUTOS!$H$4:$H$63,MATCH($A281,PRODUTOS!$B$4:$B$63,0))</f>
        <v>1 kg</v>
      </c>
      <c r="D281" s="11" t="s">
        <v>330</v>
      </c>
      <c r="E281" s="16" t="str">
        <f aca="false">$A281&amp;"."&amp;$D281&amp;".jpg"</f>
        <v>7898968541269.PT05.jpg</v>
      </c>
      <c r="F281" s="11" t="str">
        <f aca="false">IF(INDEX(PRODUTOS!$I$4:$I$63,MATCH($A281,PRODUTOS!$B$4:$B$63,0))="B",INDEX(MODELOS!$F$3:$F$19,MATCH($D281,MODELOS!$A$3:$A$19,0)),INDEX(MODELOS!$B$3:$B$19,MATCH($D281,MODELOS!$A$3:$A$19,0)))</f>
        <v>Galeria · posição 6</v>
      </c>
      <c r="G281" s="11" t="str">
        <f aca="false">IF(INDEX(PRODUTOS!$F$4:$F$63,MATCH($A281,PRODUTOS!$B$4:$B$63,0))="Ração",IF(INDEX(PRODUTOS!$I$4:$I$63,MATCH($A281,PRODUTOS!$B$4:$B$63,0))="B",INDEX(MODELOS!$G$3:$G$19,MATCH($D281,MODELOS!$A$3:$A$19,0)),INDEX(MODELOS!$C$3:$C$19,MATCH($D281,MODELOS!$A$3:$A$19,0))),IF(INDEX(PRODUTOS!$I$4:$I$63,MATCH($A281,PRODUTOS!$B$4:$B$63,0))="B",INDEX(MODELOS!$H$3:$H$19,MATCH($D281,MODELOS!$A$3:$A$19,0)),INDEX(MODELOS!$D$3:$D$19,MATCH($D281,MODELOS!$A$3:$A$19,0))))</f>
        <v>Transição alimentar dia a dia (igual ao verso da embalagem)</v>
      </c>
      <c r="H281" s="11" t="str">
        <f aca="false">IF(INDEX(PRODUTOS!$I$4:$I$63,MATCH($A281,PRODUTOS!$B$4:$B$63,0))="B",INDEX(MODELOS!$I$3:$I$19,MATCH($D281,MODELOS!$A$3:$A$19,0)),INDEX(MODELOS!$E$3:$E$19,MATCH($D281,MODELOS!$A$3:$A$19,0)))</f>
        <v>2000 × 2000</v>
      </c>
      <c r="I281" s="11" t="str">
        <f aca="false">INDEX(MODELOS!$J$3:$J$19,MATCH($D281,MODELOS!$A$3:$A$19,0))</f>
        <v>Recomendada</v>
      </c>
      <c r="J281" s="11" t="str">
        <f aca="false">IF(LEFT($D281,2)&lt;&gt;"AP",IF($I281="SIM","SIM","RECOMENDADA"),IF(INDEX(PRODUTOS!$J$4:$J$63,MATCH($A281,PRODUTOS!$B$4:$B$63,0))&lt;&gt;"","NÃO (usa o A+ do EAN "&amp;INDEX(PRODUTOS!$J$4:$J$63,MATCH($A281,PRODUTOS!$B$4:$B$63,0))&amp;")",IF(AND(INDEX(PRODUTOS!$I$4:$I$63,MATCH($A281,PRODUTOS!$B$4:$B$63,0))="B",$D281="AP07"),"NÃO (modelo B)","SIM")))</f>
        <v>RECOMENDADA</v>
      </c>
      <c r="K281" s="13" t="s">
        <v>325</v>
      </c>
      <c r="L281" s="13"/>
    </row>
    <row r="282" customFormat="false" ht="15" hidden="false" customHeight="false" outlineLevel="0" collapsed="false">
      <c r="A282" s="15" t="s">
        <v>114</v>
      </c>
      <c r="B282" s="11" t="str">
        <f aca="false">INDEX(PRODUTOS!$E$4:$E$63,MATCH($A282,PRODUTOS!$B$4:$B$63,0))</f>
        <v>Ração Seca Natural Dots para Cães Adultos - Pacote 1 kg</v>
      </c>
      <c r="C282" s="11" t="str">
        <f aca="false">INDEX(PRODUTOS!$H$4:$H$63,MATCH($A282,PRODUTOS!$B$4:$B$63,0))</f>
        <v>1 kg</v>
      </c>
      <c r="D282" s="11" t="s">
        <v>331</v>
      </c>
      <c r="E282" s="16" t="str">
        <f aca="false">$A282&amp;"."&amp;$D282&amp;".jpg"</f>
        <v>7898968541269.PT06.jpg</v>
      </c>
      <c r="F282" s="11" t="str">
        <f aca="false">IF(INDEX(PRODUTOS!$I$4:$I$63,MATCH($A282,PRODUTOS!$B$4:$B$63,0))="B",INDEX(MODELOS!$F$3:$F$19,MATCH($D282,MODELOS!$A$3:$A$19,0)),INDEX(MODELOS!$B$3:$B$19,MATCH($D282,MODELOS!$A$3:$A$19,0)))</f>
        <v>Galeria · posição 7</v>
      </c>
      <c r="G282" s="11" t="str">
        <f aca="false">IF(INDEX(PRODUTOS!$F$4:$F$63,MATCH($A282,PRODUTOS!$B$4:$B$63,0))="Ração",IF(INDEX(PRODUTOS!$I$4:$I$63,MATCH($A282,PRODUTOS!$B$4:$B$63,0))="B",INDEX(MODELOS!$G$3:$G$19,MATCH($D282,MODELOS!$A$3:$A$19,0)),INDEX(MODELOS!$C$3:$C$19,MATCH($D282,MODELOS!$A$3:$A$19,0))),IF(INDEX(PRODUTOS!$I$4:$I$63,MATCH($A282,PRODUTOS!$B$4:$B$63,0))="B",INDEX(MODELOS!$H$3:$H$19,MATCH($D282,MODELOS!$A$3:$A$19,0)),INDEX(MODELOS!$D$3:$D$19,MATCH($D282,MODELOS!$A$3:$A$19,0))))</f>
        <v>Composição e níveis de garantia em letra grande</v>
      </c>
      <c r="H282" s="11" t="str">
        <f aca="false">IF(INDEX(PRODUTOS!$I$4:$I$63,MATCH($A282,PRODUTOS!$B$4:$B$63,0))="B",INDEX(MODELOS!$I$3:$I$19,MATCH($D282,MODELOS!$A$3:$A$19,0)),INDEX(MODELOS!$E$3:$E$19,MATCH($D282,MODELOS!$A$3:$A$19,0)))</f>
        <v>2000 × 2000</v>
      </c>
      <c r="I282" s="11" t="str">
        <f aca="false">INDEX(MODELOS!$J$3:$J$19,MATCH($D282,MODELOS!$A$3:$A$19,0))</f>
        <v>SIM</v>
      </c>
      <c r="J282" s="11" t="str">
        <f aca="false">IF(LEFT($D282,2)&lt;&gt;"AP",IF($I282="SIM","SIM","RECOMENDADA"),IF(INDEX(PRODUTOS!$J$4:$J$63,MATCH($A282,PRODUTOS!$B$4:$B$63,0))&lt;&gt;"","NÃO (usa o A+ do EAN "&amp;INDEX(PRODUTOS!$J$4:$J$63,MATCH($A282,PRODUTOS!$B$4:$B$63,0))&amp;")",IF(AND(INDEX(PRODUTOS!$I$4:$I$63,MATCH($A282,PRODUTOS!$B$4:$B$63,0))="B",$D282="AP07"),"NÃO (modelo B)","SIM")))</f>
        <v>SIM</v>
      </c>
      <c r="K282" s="13" t="s">
        <v>325</v>
      </c>
      <c r="L282" s="13"/>
    </row>
    <row r="283" customFormat="false" ht="15" hidden="false" customHeight="false" outlineLevel="0" collapsed="false">
      <c r="A283" s="15" t="s">
        <v>114</v>
      </c>
      <c r="B283" s="11" t="str">
        <f aca="false">INDEX(PRODUTOS!$E$4:$E$63,MATCH($A283,PRODUTOS!$B$4:$B$63,0))</f>
        <v>Ração Seca Natural Dots para Cães Adultos - Pacote 1 kg</v>
      </c>
      <c r="C283" s="11" t="str">
        <f aca="false">INDEX(PRODUTOS!$H$4:$H$63,MATCH($A283,PRODUTOS!$B$4:$B$63,0))</f>
        <v>1 kg</v>
      </c>
      <c r="D283" s="11" t="s">
        <v>332</v>
      </c>
      <c r="E283" s="16" t="str">
        <f aca="false">$A283&amp;"."&amp;$D283&amp;".jpg"</f>
        <v>7898968541269.PT07.jpg</v>
      </c>
      <c r="F283" s="11" t="str">
        <f aca="false">IF(INDEX(PRODUTOS!$I$4:$I$63,MATCH($A283,PRODUTOS!$B$4:$B$63,0))="B",INDEX(MODELOS!$F$3:$F$19,MATCH($D283,MODELOS!$A$3:$A$19,0)),INDEX(MODELOS!$B$3:$B$19,MATCH($D283,MODELOS!$A$3:$A$19,0)))</f>
        <v>Galeria · posição 8</v>
      </c>
      <c r="G283" s="11" t="str">
        <f aca="false">IF(INDEX(PRODUTOS!$F$4:$F$63,MATCH($A283,PRODUTOS!$B$4:$B$63,0))="Ração",IF(INDEX(PRODUTOS!$I$4:$I$63,MATCH($A283,PRODUTOS!$B$4:$B$63,0))="B",INDEX(MODELOS!$G$3:$G$19,MATCH($D283,MODELOS!$A$3:$A$19,0)),INDEX(MODELOS!$C$3:$C$19,MATCH($D283,MODELOS!$A$3:$A$19,0))),IF(INDEX(PRODUTOS!$I$4:$I$63,MATCH($A283,PRODUTOS!$B$4:$B$63,0))="B",INDEX(MODELOS!$H$3:$H$19,MATCH($D283,MODELOS!$A$3:$A$19,0)),INDEX(MODELOS!$D$3:$D$19,MATCH($D283,MODELOS!$A$3:$A$19,0))))</f>
        <v>Emocional / momento de uso (pet do porte certo, pote cheio)</v>
      </c>
      <c r="H283" s="11" t="str">
        <f aca="false">IF(INDEX(PRODUTOS!$I$4:$I$63,MATCH($A283,PRODUTOS!$B$4:$B$63,0))="B",INDEX(MODELOS!$I$3:$I$19,MATCH($D283,MODELOS!$A$3:$A$19,0)),INDEX(MODELOS!$E$3:$E$19,MATCH($D283,MODELOS!$A$3:$A$19,0)))</f>
        <v>2000 × 2000</v>
      </c>
      <c r="I283" s="11" t="str">
        <f aca="false">INDEX(MODELOS!$J$3:$J$19,MATCH($D283,MODELOS!$A$3:$A$19,0))</f>
        <v>Recomendada</v>
      </c>
      <c r="J283" s="11" t="str">
        <f aca="false">IF(LEFT($D283,2)&lt;&gt;"AP",IF($I283="SIM","SIM","RECOMENDADA"),IF(INDEX(PRODUTOS!$J$4:$J$63,MATCH($A283,PRODUTOS!$B$4:$B$63,0))&lt;&gt;"","NÃO (usa o A+ do EAN "&amp;INDEX(PRODUTOS!$J$4:$J$63,MATCH($A283,PRODUTOS!$B$4:$B$63,0))&amp;")",IF(AND(INDEX(PRODUTOS!$I$4:$I$63,MATCH($A283,PRODUTOS!$B$4:$B$63,0))="B",$D283="AP07"),"NÃO (modelo B)","SIM")))</f>
        <v>RECOMENDADA</v>
      </c>
      <c r="K283" s="13" t="s">
        <v>325</v>
      </c>
      <c r="L283" s="13"/>
    </row>
    <row r="284" customFormat="false" ht="15" hidden="false" customHeight="false" outlineLevel="0" collapsed="false">
      <c r="A284" s="15" t="s">
        <v>114</v>
      </c>
      <c r="B284" s="11" t="str">
        <f aca="false">INDEX(PRODUTOS!$E$4:$E$63,MATCH($A284,PRODUTOS!$B$4:$B$63,0))</f>
        <v>Ração Seca Natural Dots para Cães Adultos - Pacote 1 kg</v>
      </c>
      <c r="C284" s="11" t="str">
        <f aca="false">INDEX(PRODUTOS!$H$4:$H$63,MATCH($A284,PRODUTOS!$B$4:$B$63,0))</f>
        <v>1 kg</v>
      </c>
      <c r="D284" s="11" t="s">
        <v>333</v>
      </c>
      <c r="E284" s="16" t="str">
        <f aca="false">$A284&amp;"."&amp;$D284&amp;".jpg"</f>
        <v>7898968541269.PT08.jpg</v>
      </c>
      <c r="F284" s="11" t="str">
        <f aca="false">IF(INDEX(PRODUTOS!$I$4:$I$63,MATCH($A284,PRODUTOS!$B$4:$B$63,0))="B",INDEX(MODELOS!$F$3:$F$19,MATCH($D284,MODELOS!$A$3:$A$19,0)),INDEX(MODELOS!$B$3:$B$19,MATCH($D284,MODELOS!$A$3:$A$19,0)))</f>
        <v>Galeria · posição 9</v>
      </c>
      <c r="G284" s="11" t="str">
        <f aca="false">IF(INDEX(PRODUTOS!$F$4:$F$63,MATCH($A284,PRODUTOS!$B$4:$B$63,0))="Ração",IF(INDEX(PRODUTOS!$I$4:$I$63,MATCH($A284,PRODUTOS!$B$4:$B$63,0))="B",INDEX(MODELOS!$G$3:$G$19,MATCH($D284,MODELOS!$A$3:$A$19,0)),INDEX(MODELOS!$C$3:$C$19,MATCH($D284,MODELOS!$A$3:$A$19,0))),IF(INDEX(PRODUTOS!$I$4:$I$63,MATCH($A284,PRODUTOS!$B$4:$B$63,0))="B",INDEX(MODELOS!$H$3:$H$19,MATCH($D284,MODELOS!$A$3:$A$19,0)),INDEX(MODELOS!$D$3:$D$19,MATCH($D284,MODELOS!$A$3:$A$19,0))))</f>
        <v>Linha da marca ou embalagem anterior × nova</v>
      </c>
      <c r="H284" s="11" t="str">
        <f aca="false">IF(INDEX(PRODUTOS!$I$4:$I$63,MATCH($A284,PRODUTOS!$B$4:$B$63,0))="B",INDEX(MODELOS!$I$3:$I$19,MATCH($D284,MODELOS!$A$3:$A$19,0)),INDEX(MODELOS!$E$3:$E$19,MATCH($D284,MODELOS!$A$3:$A$19,0)))</f>
        <v>2000 × 2000</v>
      </c>
      <c r="I284" s="11" t="str">
        <f aca="false">INDEX(MODELOS!$J$3:$J$19,MATCH($D284,MODELOS!$A$3:$A$19,0))</f>
        <v>Recomendada</v>
      </c>
      <c r="J284" s="11" t="str">
        <f aca="false">IF(LEFT($D284,2)&lt;&gt;"AP",IF($I284="SIM","SIM","RECOMENDADA"),IF(INDEX(PRODUTOS!$J$4:$J$63,MATCH($A284,PRODUTOS!$B$4:$B$63,0))&lt;&gt;"","NÃO (usa o A+ do EAN "&amp;INDEX(PRODUTOS!$J$4:$J$63,MATCH($A284,PRODUTOS!$B$4:$B$63,0))&amp;")",IF(AND(INDEX(PRODUTOS!$I$4:$I$63,MATCH($A284,PRODUTOS!$B$4:$B$63,0))="B",$D284="AP07"),"NÃO (modelo B)","SIM")))</f>
        <v>RECOMENDADA</v>
      </c>
      <c r="K284" s="13" t="s">
        <v>325</v>
      </c>
      <c r="L284" s="13"/>
    </row>
    <row r="285" customFormat="false" ht="15" hidden="false" customHeight="false" outlineLevel="0" collapsed="false">
      <c r="A285" s="15" t="s">
        <v>114</v>
      </c>
      <c r="B285" s="11" t="str">
        <f aca="false">INDEX(PRODUTOS!$E$4:$E$63,MATCH($A285,PRODUTOS!$B$4:$B$63,0))</f>
        <v>Ração Seca Natural Dots para Cães Adultos - Pacote 1 kg</v>
      </c>
      <c r="C285" s="11" t="str">
        <f aca="false">INDEX(PRODUTOS!$H$4:$H$63,MATCH($A285,PRODUTOS!$B$4:$B$63,0))</f>
        <v>1 kg</v>
      </c>
      <c r="D285" s="11" t="s">
        <v>334</v>
      </c>
      <c r="E285" s="16" t="str">
        <f aca="false">$A285&amp;"."&amp;$D285&amp;".jpg"</f>
        <v>7898968541269.AP01.jpg</v>
      </c>
      <c r="F285" s="11" t="str">
        <f aca="false">IF(INDEX(PRODUTOS!$I$4:$I$63,MATCH($A285,PRODUTOS!$B$4:$B$63,0))="B",INDEX(MODELOS!$F$3:$F$19,MATCH($D285,MODELOS!$A$3:$A$19,0)),INDEX(MODELOS!$B$3:$B$19,MATCH($D285,MODELOS!$A$3:$A$19,0)))</f>
        <v>A+ · Módulo 1 · Banner</v>
      </c>
      <c r="G285" s="11" t="str">
        <f aca="false">IF(INDEX(PRODUTOS!$F$4:$F$63,MATCH($A285,PRODUTOS!$B$4:$B$63,0))="Ração",IF(INDEX(PRODUTOS!$I$4:$I$63,MATCH($A285,PRODUTOS!$B$4:$B$63,0))="B",INDEX(MODELOS!$G$3:$G$19,MATCH($D285,MODELOS!$A$3:$A$19,0)),INDEX(MODELOS!$C$3:$C$19,MATCH($D285,MODELOS!$A$3:$A$19,0))),IF(INDEX(PRODUTOS!$I$4:$I$63,MATCH($A285,PRODUTOS!$B$4:$B$63,0))="B",INDEX(MODELOS!$H$3:$H$19,MATCH($D285,MODELOS!$A$3:$A$19,0)),INDEX(MODELOS!$D$3:$D$19,MATCH($D285,MODELOS!$A$3:$A$19,0))))</f>
        <v>Embalagem + pet + ingredientes, com o nome da linha</v>
      </c>
      <c r="H285" s="11" t="str">
        <f aca="false">IF(INDEX(PRODUTOS!$I$4:$I$63,MATCH($A285,PRODUTOS!$B$4:$B$63,0))="B",INDEX(MODELOS!$I$3:$I$19,MATCH($D285,MODELOS!$A$3:$A$19,0)),INDEX(MODELOS!$E$3:$E$19,MATCH($D285,MODELOS!$A$3:$A$19,0)))</f>
        <v>970 × 600</v>
      </c>
      <c r="I285" s="11" t="str">
        <f aca="false">INDEX(MODELOS!$J$3:$J$19,MATCH($D285,MODELOS!$A$3:$A$19,0))</f>
        <v>Conforme modelo</v>
      </c>
      <c r="J285" s="11" t="str">
        <f aca="false">IF(LEFT($D285,2)&lt;&gt;"AP",IF($I285="SIM","SIM","RECOMENDADA"),IF(INDEX(PRODUTOS!$J$4:$J$63,MATCH($A285,PRODUTOS!$B$4:$B$63,0))&lt;&gt;"","NÃO (usa o A+ do EAN "&amp;INDEX(PRODUTOS!$J$4:$J$63,MATCH($A285,PRODUTOS!$B$4:$B$63,0))&amp;")",IF(AND(INDEX(PRODUTOS!$I$4:$I$63,MATCH($A285,PRODUTOS!$B$4:$B$63,0))="B",$D285="AP07"),"NÃO (modelo B)","SIM")))</f>
        <v>NÃO (usa o A+ do EAN 7898968541283)</v>
      </c>
      <c r="K285" s="13" t="s">
        <v>325</v>
      </c>
      <c r="L285" s="13"/>
    </row>
    <row r="286" customFormat="false" ht="15" hidden="false" customHeight="false" outlineLevel="0" collapsed="false">
      <c r="A286" s="15" t="s">
        <v>114</v>
      </c>
      <c r="B286" s="11" t="str">
        <f aca="false">INDEX(PRODUTOS!$E$4:$E$63,MATCH($A286,PRODUTOS!$B$4:$B$63,0))</f>
        <v>Ração Seca Natural Dots para Cães Adultos - Pacote 1 kg</v>
      </c>
      <c r="C286" s="11" t="str">
        <f aca="false">INDEX(PRODUTOS!$H$4:$H$63,MATCH($A286,PRODUTOS!$B$4:$B$63,0))</f>
        <v>1 kg</v>
      </c>
      <c r="D286" s="11" t="s">
        <v>335</v>
      </c>
      <c r="E286" s="16" t="str">
        <f aca="false">$A286&amp;"."&amp;$D286&amp;".jpg"</f>
        <v>7898968541269.AP02.jpg</v>
      </c>
      <c r="F286" s="11" t="str">
        <f aca="false">IF(INDEX(PRODUTOS!$I$4:$I$63,MATCH($A286,PRODUTOS!$B$4:$B$63,0))="B",INDEX(MODELOS!$F$3:$F$19,MATCH($D286,MODELOS!$A$3:$A$19,0)),INDEX(MODELOS!$B$3:$B$19,MATCH($D286,MODELOS!$A$3:$A$19,0)))</f>
        <v>A+ · Módulo 2 · Texto sobreposto</v>
      </c>
      <c r="G286" s="11" t="str">
        <f aca="false">IF(INDEX(PRODUTOS!$F$4:$F$63,MATCH($A286,PRODUTOS!$B$4:$B$63,0))="Ração",IF(INDEX(PRODUTOS!$I$4:$I$63,MATCH($A286,PRODUTOS!$B$4:$B$63,0))="B",INDEX(MODELOS!$G$3:$G$19,MATCH($D286,MODELOS!$A$3:$A$19,0)),INDEX(MODELOS!$C$3:$C$19,MATCH($D286,MODELOS!$A$3:$A$19,0))),IF(INDEX(PRODUTOS!$I$4:$I$63,MATCH($A286,PRODUTOS!$B$4:$B$63,0))="B",INDEX(MODELOS!$H$3:$H$19,MATCH($D286,MODELOS!$A$3:$A$19,0)),INDEX(MODELOS!$D$3:$D$19,MATCH($D286,MODELOS!$A$3:$A$19,0))))</f>
        <v>Principal diferencial; deixar o lado direito limpo</v>
      </c>
      <c r="H286" s="11" t="str">
        <f aca="false">IF(INDEX(PRODUTOS!$I$4:$I$63,MATCH($A286,PRODUTOS!$B$4:$B$63,0))="B",INDEX(MODELOS!$I$3:$I$19,MATCH($D286,MODELOS!$A$3:$A$19,0)),INDEX(MODELOS!$E$3:$E$19,MATCH($D286,MODELOS!$A$3:$A$19,0)))</f>
        <v>970 × 300</v>
      </c>
      <c r="I286" s="11" t="str">
        <f aca="false">INDEX(MODELOS!$J$3:$J$19,MATCH($D286,MODELOS!$A$3:$A$19,0))</f>
        <v>Conforme modelo</v>
      </c>
      <c r="J286" s="11" t="str">
        <f aca="false">IF(LEFT($D286,2)&lt;&gt;"AP",IF($I286="SIM","SIM","RECOMENDADA"),IF(INDEX(PRODUTOS!$J$4:$J$63,MATCH($A286,PRODUTOS!$B$4:$B$63,0))&lt;&gt;"","NÃO (usa o A+ do EAN "&amp;INDEX(PRODUTOS!$J$4:$J$63,MATCH($A286,PRODUTOS!$B$4:$B$63,0))&amp;")",IF(AND(INDEX(PRODUTOS!$I$4:$I$63,MATCH($A286,PRODUTOS!$B$4:$B$63,0))="B",$D286="AP07"),"NÃO (modelo B)","SIM")))</f>
        <v>NÃO (usa o A+ do EAN 7898968541283)</v>
      </c>
      <c r="K286" s="13" t="s">
        <v>325</v>
      </c>
      <c r="L286" s="13"/>
    </row>
    <row r="287" customFormat="false" ht="15" hidden="false" customHeight="false" outlineLevel="0" collapsed="false">
      <c r="A287" s="15" t="s">
        <v>114</v>
      </c>
      <c r="B287" s="11" t="str">
        <f aca="false">INDEX(PRODUTOS!$E$4:$E$63,MATCH($A287,PRODUTOS!$B$4:$B$63,0))</f>
        <v>Ração Seca Natural Dots para Cães Adultos - Pacote 1 kg</v>
      </c>
      <c r="C287" s="11" t="str">
        <f aca="false">INDEX(PRODUTOS!$H$4:$H$63,MATCH($A287,PRODUTOS!$B$4:$B$63,0))</f>
        <v>1 kg</v>
      </c>
      <c r="D287" s="11" t="s">
        <v>336</v>
      </c>
      <c r="E287" s="16" t="str">
        <f aca="false">$A287&amp;"."&amp;$D287&amp;".jpg"</f>
        <v>7898968541269.AP03.jpg</v>
      </c>
      <c r="F287" s="11" t="str">
        <f aca="false">IF(INDEX(PRODUTOS!$I$4:$I$63,MATCH($A287,PRODUTOS!$B$4:$B$63,0))="B",INDEX(MODELOS!$F$3:$F$19,MATCH($D287,MODELOS!$A$3:$A$19,0)),INDEX(MODELOS!$B$3:$B$19,MATCH($D287,MODELOS!$A$3:$A$19,0)))</f>
        <v>A+ · Módulo 3 · Benefício 1 de 4</v>
      </c>
      <c r="G287" s="11" t="str">
        <f aca="false">IF(INDEX(PRODUTOS!$F$4:$F$63,MATCH($A287,PRODUTOS!$B$4:$B$63,0))="Ração",IF(INDEX(PRODUTOS!$I$4:$I$63,MATCH($A287,PRODUTOS!$B$4:$B$63,0))="B",INDEX(MODELOS!$G$3:$G$19,MATCH($D287,MODELOS!$A$3:$A$19,0)),INDEX(MODELOS!$C$3:$C$19,MATCH($D287,MODELOS!$A$3:$A$19,0))),IF(INDEX(PRODUTOS!$I$4:$I$63,MATCH($A287,PRODUTOS!$B$4:$B$63,0))="B",INDEX(MODELOS!$H$3:$H$19,MATCH($D287,MODELOS!$A$3:$A$19,0)),INDEX(MODELOS!$D$3:$D$19,MATCH($D287,MODELOS!$A$3:$A$19,0))))</f>
        <v>Foto/ilustração do benefício 1</v>
      </c>
      <c r="H287" s="11" t="str">
        <f aca="false">IF(INDEX(PRODUTOS!$I$4:$I$63,MATCH($A287,PRODUTOS!$B$4:$B$63,0))="B",INDEX(MODELOS!$I$3:$I$19,MATCH($D287,MODELOS!$A$3:$A$19,0)),INDEX(MODELOS!$E$3:$E$19,MATCH($D287,MODELOS!$A$3:$A$19,0)))</f>
        <v>220 × 200</v>
      </c>
      <c r="I287" s="11" t="str">
        <f aca="false">INDEX(MODELOS!$J$3:$J$19,MATCH($D287,MODELOS!$A$3:$A$19,0))</f>
        <v>Conforme modelo</v>
      </c>
      <c r="J287" s="11" t="str">
        <f aca="false">IF(LEFT($D287,2)&lt;&gt;"AP",IF($I287="SIM","SIM","RECOMENDADA"),IF(INDEX(PRODUTOS!$J$4:$J$63,MATCH($A287,PRODUTOS!$B$4:$B$63,0))&lt;&gt;"","NÃO (usa o A+ do EAN "&amp;INDEX(PRODUTOS!$J$4:$J$63,MATCH($A287,PRODUTOS!$B$4:$B$63,0))&amp;")",IF(AND(INDEX(PRODUTOS!$I$4:$I$63,MATCH($A287,PRODUTOS!$B$4:$B$63,0))="B",$D287="AP07"),"NÃO (modelo B)","SIM")))</f>
        <v>NÃO (usa o A+ do EAN 7898968541283)</v>
      </c>
      <c r="K287" s="13" t="s">
        <v>325</v>
      </c>
      <c r="L287" s="13"/>
    </row>
    <row r="288" customFormat="false" ht="15" hidden="false" customHeight="false" outlineLevel="0" collapsed="false">
      <c r="A288" s="15" t="s">
        <v>114</v>
      </c>
      <c r="B288" s="11" t="str">
        <f aca="false">INDEX(PRODUTOS!$E$4:$E$63,MATCH($A288,PRODUTOS!$B$4:$B$63,0))</f>
        <v>Ração Seca Natural Dots para Cães Adultos - Pacote 1 kg</v>
      </c>
      <c r="C288" s="11" t="str">
        <f aca="false">INDEX(PRODUTOS!$H$4:$H$63,MATCH($A288,PRODUTOS!$B$4:$B$63,0))</f>
        <v>1 kg</v>
      </c>
      <c r="D288" s="11" t="s">
        <v>337</v>
      </c>
      <c r="E288" s="16" t="str">
        <f aca="false">$A288&amp;"."&amp;$D288&amp;".jpg"</f>
        <v>7898968541269.AP04.jpg</v>
      </c>
      <c r="F288" s="11" t="str">
        <f aca="false">IF(INDEX(PRODUTOS!$I$4:$I$63,MATCH($A288,PRODUTOS!$B$4:$B$63,0))="B",INDEX(MODELOS!$F$3:$F$19,MATCH($D288,MODELOS!$A$3:$A$19,0)),INDEX(MODELOS!$B$3:$B$19,MATCH($D288,MODELOS!$A$3:$A$19,0)))</f>
        <v>A+ · Módulo 3 · Benefício 2 de 4</v>
      </c>
      <c r="G288" s="11" t="str">
        <f aca="false">IF(INDEX(PRODUTOS!$F$4:$F$63,MATCH($A288,PRODUTOS!$B$4:$B$63,0))="Ração",IF(INDEX(PRODUTOS!$I$4:$I$63,MATCH($A288,PRODUTOS!$B$4:$B$63,0))="B",INDEX(MODELOS!$G$3:$G$19,MATCH($D288,MODELOS!$A$3:$A$19,0)),INDEX(MODELOS!$C$3:$C$19,MATCH($D288,MODELOS!$A$3:$A$19,0))),IF(INDEX(PRODUTOS!$I$4:$I$63,MATCH($A288,PRODUTOS!$B$4:$B$63,0))="B",INDEX(MODELOS!$H$3:$H$19,MATCH($D288,MODELOS!$A$3:$A$19,0)),INDEX(MODELOS!$D$3:$D$19,MATCH($D288,MODELOS!$A$3:$A$19,0))))</f>
        <v>Foto/ilustração do benefício 2</v>
      </c>
      <c r="H288" s="11" t="str">
        <f aca="false">IF(INDEX(PRODUTOS!$I$4:$I$63,MATCH($A288,PRODUTOS!$B$4:$B$63,0))="B",INDEX(MODELOS!$I$3:$I$19,MATCH($D288,MODELOS!$A$3:$A$19,0)),INDEX(MODELOS!$E$3:$E$19,MATCH($D288,MODELOS!$A$3:$A$19,0)))</f>
        <v>220 × 200</v>
      </c>
      <c r="I288" s="11" t="str">
        <f aca="false">INDEX(MODELOS!$J$3:$J$19,MATCH($D288,MODELOS!$A$3:$A$19,0))</f>
        <v>Conforme modelo</v>
      </c>
      <c r="J288" s="11" t="str">
        <f aca="false">IF(LEFT($D288,2)&lt;&gt;"AP",IF($I288="SIM","SIM","RECOMENDADA"),IF(INDEX(PRODUTOS!$J$4:$J$63,MATCH($A288,PRODUTOS!$B$4:$B$63,0))&lt;&gt;"","NÃO (usa o A+ do EAN "&amp;INDEX(PRODUTOS!$J$4:$J$63,MATCH($A288,PRODUTOS!$B$4:$B$63,0))&amp;")",IF(AND(INDEX(PRODUTOS!$I$4:$I$63,MATCH($A288,PRODUTOS!$B$4:$B$63,0))="B",$D288="AP07"),"NÃO (modelo B)","SIM")))</f>
        <v>NÃO (usa o A+ do EAN 7898968541283)</v>
      </c>
      <c r="K288" s="13" t="s">
        <v>325</v>
      </c>
      <c r="L288" s="13"/>
    </row>
    <row r="289" customFormat="false" ht="15" hidden="false" customHeight="false" outlineLevel="0" collapsed="false">
      <c r="A289" s="15" t="s">
        <v>114</v>
      </c>
      <c r="B289" s="11" t="str">
        <f aca="false">INDEX(PRODUTOS!$E$4:$E$63,MATCH($A289,PRODUTOS!$B$4:$B$63,0))</f>
        <v>Ração Seca Natural Dots para Cães Adultos - Pacote 1 kg</v>
      </c>
      <c r="C289" s="11" t="str">
        <f aca="false">INDEX(PRODUTOS!$H$4:$H$63,MATCH($A289,PRODUTOS!$B$4:$B$63,0))</f>
        <v>1 kg</v>
      </c>
      <c r="D289" s="11" t="s">
        <v>338</v>
      </c>
      <c r="E289" s="16" t="str">
        <f aca="false">$A289&amp;"."&amp;$D289&amp;".jpg"</f>
        <v>7898968541269.AP05.jpg</v>
      </c>
      <c r="F289" s="11" t="str">
        <f aca="false">IF(INDEX(PRODUTOS!$I$4:$I$63,MATCH($A289,PRODUTOS!$B$4:$B$63,0))="B",INDEX(MODELOS!$F$3:$F$19,MATCH($D289,MODELOS!$A$3:$A$19,0)),INDEX(MODELOS!$B$3:$B$19,MATCH($D289,MODELOS!$A$3:$A$19,0)))</f>
        <v>A+ · Módulo 3 · Benefício 3 de 4</v>
      </c>
      <c r="G289" s="11" t="str">
        <f aca="false">IF(INDEX(PRODUTOS!$F$4:$F$63,MATCH($A289,PRODUTOS!$B$4:$B$63,0))="Ração",IF(INDEX(PRODUTOS!$I$4:$I$63,MATCH($A289,PRODUTOS!$B$4:$B$63,0))="B",INDEX(MODELOS!$G$3:$G$19,MATCH($D289,MODELOS!$A$3:$A$19,0)),INDEX(MODELOS!$C$3:$C$19,MATCH($D289,MODELOS!$A$3:$A$19,0))),IF(INDEX(PRODUTOS!$I$4:$I$63,MATCH($A289,PRODUTOS!$B$4:$B$63,0))="B",INDEX(MODELOS!$H$3:$H$19,MATCH($D289,MODELOS!$A$3:$A$19,0)),INDEX(MODELOS!$D$3:$D$19,MATCH($D289,MODELOS!$A$3:$A$19,0))))</f>
        <v>Foto/ilustração do benefício 3</v>
      </c>
      <c r="H289" s="11" t="str">
        <f aca="false">IF(INDEX(PRODUTOS!$I$4:$I$63,MATCH($A289,PRODUTOS!$B$4:$B$63,0))="B",INDEX(MODELOS!$I$3:$I$19,MATCH($D289,MODELOS!$A$3:$A$19,0)),INDEX(MODELOS!$E$3:$E$19,MATCH($D289,MODELOS!$A$3:$A$19,0)))</f>
        <v>220 × 200</v>
      </c>
      <c r="I289" s="11" t="str">
        <f aca="false">INDEX(MODELOS!$J$3:$J$19,MATCH($D289,MODELOS!$A$3:$A$19,0))</f>
        <v>Conforme modelo</v>
      </c>
      <c r="J289" s="11" t="str">
        <f aca="false">IF(LEFT($D289,2)&lt;&gt;"AP",IF($I289="SIM","SIM","RECOMENDADA"),IF(INDEX(PRODUTOS!$J$4:$J$63,MATCH($A289,PRODUTOS!$B$4:$B$63,0))&lt;&gt;"","NÃO (usa o A+ do EAN "&amp;INDEX(PRODUTOS!$J$4:$J$63,MATCH($A289,PRODUTOS!$B$4:$B$63,0))&amp;")",IF(AND(INDEX(PRODUTOS!$I$4:$I$63,MATCH($A289,PRODUTOS!$B$4:$B$63,0))="B",$D289="AP07"),"NÃO (modelo B)","SIM")))</f>
        <v>NÃO (usa o A+ do EAN 7898968541283)</v>
      </c>
      <c r="K289" s="13" t="s">
        <v>325</v>
      </c>
      <c r="L289" s="13"/>
    </row>
    <row r="290" customFormat="false" ht="15" hidden="false" customHeight="false" outlineLevel="0" collapsed="false">
      <c r="A290" s="15" t="s">
        <v>114</v>
      </c>
      <c r="B290" s="11" t="str">
        <f aca="false">INDEX(PRODUTOS!$E$4:$E$63,MATCH($A290,PRODUTOS!$B$4:$B$63,0))</f>
        <v>Ração Seca Natural Dots para Cães Adultos - Pacote 1 kg</v>
      </c>
      <c r="C290" s="11" t="str">
        <f aca="false">INDEX(PRODUTOS!$H$4:$H$63,MATCH($A290,PRODUTOS!$B$4:$B$63,0))</f>
        <v>1 kg</v>
      </c>
      <c r="D290" s="11" t="s">
        <v>339</v>
      </c>
      <c r="E290" s="16" t="str">
        <f aca="false">$A290&amp;"."&amp;$D290&amp;".jpg"</f>
        <v>7898968541269.AP06.jpg</v>
      </c>
      <c r="F290" s="11" t="str">
        <f aca="false">IF(INDEX(PRODUTOS!$I$4:$I$63,MATCH($A290,PRODUTOS!$B$4:$B$63,0))="B",INDEX(MODELOS!$F$3:$F$19,MATCH($D290,MODELOS!$A$3:$A$19,0)),INDEX(MODELOS!$B$3:$B$19,MATCH($D290,MODELOS!$A$3:$A$19,0)))</f>
        <v>A+ · Módulo 3 · Benefício 4 de 4</v>
      </c>
      <c r="G290" s="11" t="str">
        <f aca="false">IF(INDEX(PRODUTOS!$F$4:$F$63,MATCH($A290,PRODUTOS!$B$4:$B$63,0))="Ração",IF(INDEX(PRODUTOS!$I$4:$I$63,MATCH($A290,PRODUTOS!$B$4:$B$63,0))="B",INDEX(MODELOS!$G$3:$G$19,MATCH($D290,MODELOS!$A$3:$A$19,0)),INDEX(MODELOS!$C$3:$C$19,MATCH($D290,MODELOS!$A$3:$A$19,0))),IF(INDEX(PRODUTOS!$I$4:$I$63,MATCH($A290,PRODUTOS!$B$4:$B$63,0))="B",INDEX(MODELOS!$H$3:$H$19,MATCH($D290,MODELOS!$A$3:$A$19,0)),INDEX(MODELOS!$D$3:$D$19,MATCH($D290,MODELOS!$A$3:$A$19,0))))</f>
        <v>Foto/ilustração do benefício 4</v>
      </c>
      <c r="H290" s="11" t="str">
        <f aca="false">IF(INDEX(PRODUTOS!$I$4:$I$63,MATCH($A290,PRODUTOS!$B$4:$B$63,0))="B",INDEX(MODELOS!$I$3:$I$19,MATCH($D290,MODELOS!$A$3:$A$19,0)),INDEX(MODELOS!$E$3:$E$19,MATCH($D290,MODELOS!$A$3:$A$19,0)))</f>
        <v>220 × 200</v>
      </c>
      <c r="I290" s="11" t="str">
        <f aca="false">INDEX(MODELOS!$J$3:$J$19,MATCH($D290,MODELOS!$A$3:$A$19,0))</f>
        <v>Conforme modelo</v>
      </c>
      <c r="J290" s="11" t="str">
        <f aca="false">IF(LEFT($D290,2)&lt;&gt;"AP",IF($I290="SIM","SIM","RECOMENDADA"),IF(INDEX(PRODUTOS!$J$4:$J$63,MATCH($A290,PRODUTOS!$B$4:$B$63,0))&lt;&gt;"","NÃO (usa o A+ do EAN "&amp;INDEX(PRODUTOS!$J$4:$J$63,MATCH($A290,PRODUTOS!$B$4:$B$63,0))&amp;")",IF(AND(INDEX(PRODUTOS!$I$4:$I$63,MATCH($A290,PRODUTOS!$B$4:$B$63,0))="B",$D290="AP07"),"NÃO (modelo B)","SIM")))</f>
        <v>NÃO (usa o A+ do EAN 7898968541283)</v>
      </c>
      <c r="K290" s="13" t="s">
        <v>325</v>
      </c>
      <c r="L290" s="13"/>
    </row>
    <row r="291" customFormat="false" ht="15" hidden="false" customHeight="false" outlineLevel="0" collapsed="false">
      <c r="A291" s="15" t="s">
        <v>114</v>
      </c>
      <c r="B291" s="11" t="str">
        <f aca="false">INDEX(PRODUTOS!$E$4:$E$63,MATCH($A291,PRODUTOS!$B$4:$B$63,0))</f>
        <v>Ração Seca Natural Dots para Cães Adultos - Pacote 1 kg</v>
      </c>
      <c r="C291" s="11" t="str">
        <f aca="false">INDEX(PRODUTOS!$H$4:$H$63,MATCH($A291,PRODUTOS!$B$4:$B$63,0))</f>
        <v>1 kg</v>
      </c>
      <c r="D291" s="11" t="s">
        <v>340</v>
      </c>
      <c r="E291" s="16" t="str">
        <f aca="false">$A291&amp;"."&amp;$D291&amp;".jpg"</f>
        <v>7898968541269.AP07.jpg</v>
      </c>
      <c r="F291" s="11" t="str">
        <f aca="false">IF(INDEX(PRODUTOS!$I$4:$I$63,MATCH($A291,PRODUTOS!$B$4:$B$63,0))="B",INDEX(MODELOS!$F$3:$F$19,MATCH($D291,MODELOS!$A$3:$A$19,0)),INDEX(MODELOS!$B$3:$B$19,MATCH($D291,MODELOS!$A$3:$A$19,0)))</f>
        <v>A+ · Módulo 4 · Especificações</v>
      </c>
      <c r="G291" s="11" t="str">
        <f aca="false">IF(INDEX(PRODUTOS!$F$4:$F$63,MATCH($A291,PRODUTOS!$B$4:$B$63,0))="Ração",IF(INDEX(PRODUTOS!$I$4:$I$63,MATCH($A291,PRODUTOS!$B$4:$B$63,0))="B",INDEX(MODELOS!$G$3:$G$19,MATCH($D291,MODELOS!$A$3:$A$19,0)),INDEX(MODELOS!$C$3:$C$19,MATCH($D291,MODELOS!$A$3:$A$19,0))),IF(INDEX(PRODUTOS!$I$4:$I$63,MATCH($A291,PRODUTOS!$B$4:$B$63,0))="B",INDEX(MODELOS!$H$3:$H$19,MATCH($D291,MODELOS!$A$3:$A$19,0)),INDEX(MODELOS!$D$3:$D$19,MATCH($D291,MODELOS!$A$3:$A$19,0))))</f>
        <v>Grão ou pacote em destaque</v>
      </c>
      <c r="H291" s="11" t="str">
        <f aca="false">IF(INDEX(PRODUTOS!$I$4:$I$63,MATCH($A291,PRODUTOS!$B$4:$B$63,0))="B",INDEX(MODELOS!$I$3:$I$19,MATCH($D291,MODELOS!$A$3:$A$19,0)),INDEX(MODELOS!$E$3:$E$19,MATCH($D291,MODELOS!$A$3:$A$19,0)))</f>
        <v>300 × 300</v>
      </c>
      <c r="I291" s="11" t="str">
        <f aca="false">INDEX(MODELOS!$J$3:$J$19,MATCH($D291,MODELOS!$A$3:$A$19,0))</f>
        <v>Conforme modelo</v>
      </c>
      <c r="J291" s="11" t="str">
        <f aca="false">IF(LEFT($D291,2)&lt;&gt;"AP",IF($I291="SIM","SIM","RECOMENDADA"),IF(INDEX(PRODUTOS!$J$4:$J$63,MATCH($A291,PRODUTOS!$B$4:$B$63,0))&lt;&gt;"","NÃO (usa o A+ do EAN "&amp;INDEX(PRODUTOS!$J$4:$J$63,MATCH($A291,PRODUTOS!$B$4:$B$63,0))&amp;")",IF(AND(INDEX(PRODUTOS!$I$4:$I$63,MATCH($A291,PRODUTOS!$B$4:$B$63,0))="B",$D291="AP07"),"NÃO (modelo B)","SIM")))</f>
        <v>NÃO (usa o A+ do EAN 7898968541283)</v>
      </c>
      <c r="K291" s="13" t="s">
        <v>325</v>
      </c>
      <c r="L291" s="13"/>
    </row>
    <row r="292" customFormat="false" ht="15" hidden="false" customHeight="false" outlineLevel="0" collapsed="false">
      <c r="A292" s="15" t="s">
        <v>114</v>
      </c>
      <c r="B292" s="11" t="str">
        <f aca="false">INDEX(PRODUTOS!$E$4:$E$63,MATCH($A292,PRODUTOS!$B$4:$B$63,0))</f>
        <v>Ração Seca Natural Dots para Cães Adultos - Pacote 1 kg</v>
      </c>
      <c r="C292" s="11" t="str">
        <f aca="false">INDEX(PRODUTOS!$H$4:$H$63,MATCH($A292,PRODUTOS!$B$4:$B$63,0))</f>
        <v>1 kg</v>
      </c>
      <c r="D292" s="11" t="s">
        <v>341</v>
      </c>
      <c r="E292" s="16" t="str">
        <f aca="false">$A292&amp;"."&amp;$D292&amp;".jpg"</f>
        <v>7898968541269.COMP.jpg</v>
      </c>
      <c r="F292" s="11" t="str">
        <f aca="false">IF(INDEX(PRODUTOS!$I$4:$I$63,MATCH($A292,PRODUTOS!$B$4:$B$63,0))="B",INDEX(MODELOS!$F$3:$F$19,MATCH($D292,MODELOS!$A$3:$A$19,0)),INDEX(MODELOS!$B$3:$B$19,MATCH($D292,MODELOS!$A$3:$A$19,0)))</f>
        <v>A+ · Tabela comparativa</v>
      </c>
      <c r="G292" s="11" t="str">
        <f aca="false">IF(INDEX(PRODUTOS!$F$4:$F$63,MATCH($A292,PRODUTOS!$B$4:$B$63,0))="Ração",IF(INDEX(PRODUTOS!$I$4:$I$63,MATCH($A292,PRODUTOS!$B$4:$B$63,0))="B",INDEX(MODELOS!$G$3:$G$19,MATCH($D292,MODELOS!$A$3:$A$19,0)),INDEX(MODELOS!$C$3:$C$19,MATCH($D292,MODELOS!$A$3:$A$19,0))),IF(INDEX(PRODUTOS!$I$4:$I$63,MATCH($A292,PRODUTOS!$B$4:$B$63,0))="B",INDEX(MODELOS!$H$3:$H$19,MATCH($D292,MODELOS!$A$3:$A$19,0)),INDEX(MODELOS!$D$3:$D$19,MATCH($D292,MODELOS!$A$3:$A$19,0))))</f>
        <v>Pacote na vertical, sem fundo colorido</v>
      </c>
      <c r="H292" s="11" t="str">
        <f aca="false">IF(INDEX(PRODUTOS!$I$4:$I$63,MATCH($A292,PRODUTOS!$B$4:$B$63,0))="B",INDEX(MODELOS!$I$3:$I$19,MATCH($D292,MODELOS!$A$3:$A$19,0)),INDEX(MODELOS!$E$3:$E$19,MATCH($D292,MODELOS!$A$3:$A$19,0)))</f>
        <v>150 × 300</v>
      </c>
      <c r="I292" s="11" t="str">
        <f aca="false">INDEX(MODELOS!$J$3:$J$19,MATCH($D292,MODELOS!$A$3:$A$19,0))</f>
        <v>SIM</v>
      </c>
      <c r="J292" s="11" t="str">
        <f aca="false">IF(LEFT($D292,2)&lt;&gt;"AP",IF($I292="SIM","SIM","RECOMENDADA"),IF(INDEX(PRODUTOS!$J$4:$J$63,MATCH($A292,PRODUTOS!$B$4:$B$63,0))&lt;&gt;"","NÃO (usa o A+ do EAN "&amp;INDEX(PRODUTOS!$J$4:$J$63,MATCH($A292,PRODUTOS!$B$4:$B$63,0))&amp;")",IF(AND(INDEX(PRODUTOS!$I$4:$I$63,MATCH($A292,PRODUTOS!$B$4:$B$63,0))="B",$D292="AP07"),"NÃO (modelo B)","SIM")))</f>
        <v>SIM</v>
      </c>
      <c r="K292" s="13" t="s">
        <v>325</v>
      </c>
      <c r="L292" s="13"/>
    </row>
    <row r="293" customFormat="false" ht="15" hidden="false" customHeight="false" outlineLevel="0" collapsed="false">
      <c r="A293" s="15" t="s">
        <v>118</v>
      </c>
      <c r="B293" s="11" t="str">
        <f aca="false">INDEX(PRODUTOS!$E$4:$E$63,MATCH($A293,PRODUTOS!$B$4:$B$63,0))</f>
        <v>Ração Seca Natural Dots para Cães Filhotes - Pacote 15 kg</v>
      </c>
      <c r="C293" s="11" t="str">
        <f aca="false">INDEX(PRODUTOS!$H$4:$H$63,MATCH($A293,PRODUTOS!$B$4:$B$63,0))</f>
        <v>15 kg</v>
      </c>
      <c r="D293" s="11" t="s">
        <v>324</v>
      </c>
      <c r="E293" s="16" t="str">
        <f aca="false">$A293&amp;"."&amp;$D293&amp;".jpg"</f>
        <v>7898968541313.MAIN.jpg</v>
      </c>
      <c r="F293" s="11" t="str">
        <f aca="false">IF(INDEX(PRODUTOS!$I$4:$I$63,MATCH($A293,PRODUTOS!$B$4:$B$63,0))="B",INDEX(MODELOS!$F$3:$F$19,MATCH($D293,MODELOS!$A$3:$A$19,0)),INDEX(MODELOS!$B$3:$B$19,MATCH($D293,MODELOS!$A$3:$A$19,0)))</f>
        <v>Capa (posição 1)</v>
      </c>
      <c r="G293" s="11" t="str">
        <f aca="false">IF(INDEX(PRODUTOS!$F$4:$F$63,MATCH($A293,PRODUTOS!$B$4:$B$63,0))="Ração",IF(INDEX(PRODUTOS!$I$4:$I$63,MATCH($A293,PRODUTOS!$B$4:$B$63,0))="B",INDEX(MODELOS!$G$3:$G$19,MATCH($D293,MODELOS!$A$3:$A$19,0)),INDEX(MODELOS!$C$3:$C$19,MATCH($D293,MODELOS!$A$3:$A$19,0))),IF(INDEX(PRODUTOS!$I$4:$I$63,MATCH($A293,PRODUTOS!$B$4:$B$63,0))="B",INDEX(MODELOS!$H$3:$H$19,MATCH($D293,MODELOS!$A$3:$A$19,0)),INDEX(MODELOS!$D$3:$D$19,MATCH($D293,MODELOS!$A$3:$A$19,0))))</f>
        <v>Embalagem de frente, fundo branco puro, 85% da área, nada adicionado</v>
      </c>
      <c r="H293" s="11" t="str">
        <f aca="false">IF(INDEX(PRODUTOS!$I$4:$I$63,MATCH($A293,PRODUTOS!$B$4:$B$63,0))="B",INDEX(MODELOS!$I$3:$I$19,MATCH($D293,MODELOS!$A$3:$A$19,0)),INDEX(MODELOS!$E$3:$E$19,MATCH($D293,MODELOS!$A$3:$A$19,0)))</f>
        <v>2000 × 2000</v>
      </c>
      <c r="I293" s="11" t="str">
        <f aca="false">INDEX(MODELOS!$J$3:$J$19,MATCH($D293,MODELOS!$A$3:$A$19,0))</f>
        <v>SIM</v>
      </c>
      <c r="J293" s="11" t="str">
        <f aca="false">IF(LEFT($D293,2)&lt;&gt;"AP",IF($I293="SIM","SIM","RECOMENDADA"),IF(INDEX(PRODUTOS!$J$4:$J$63,MATCH($A293,PRODUTOS!$B$4:$B$63,0))&lt;&gt;"","NÃO (usa o A+ do EAN "&amp;INDEX(PRODUTOS!$J$4:$J$63,MATCH($A293,PRODUTOS!$B$4:$B$63,0))&amp;")",IF(AND(INDEX(PRODUTOS!$I$4:$I$63,MATCH($A293,PRODUTOS!$B$4:$B$63,0))="B",$D293="AP07"),"NÃO (modelo B)","SIM")))</f>
        <v>SIM</v>
      </c>
      <c r="K293" s="13" t="s">
        <v>325</v>
      </c>
      <c r="L293" s="13"/>
    </row>
    <row r="294" customFormat="false" ht="15" hidden="false" customHeight="false" outlineLevel="0" collapsed="false">
      <c r="A294" s="15" t="s">
        <v>118</v>
      </c>
      <c r="B294" s="11" t="str">
        <f aca="false">INDEX(PRODUTOS!$E$4:$E$63,MATCH($A294,PRODUTOS!$B$4:$B$63,0))</f>
        <v>Ração Seca Natural Dots para Cães Filhotes - Pacote 15 kg</v>
      </c>
      <c r="C294" s="11" t="str">
        <f aca="false">INDEX(PRODUTOS!$H$4:$H$63,MATCH($A294,PRODUTOS!$B$4:$B$63,0))</f>
        <v>15 kg</v>
      </c>
      <c r="D294" s="11" t="s">
        <v>326</v>
      </c>
      <c r="E294" s="16" t="str">
        <f aca="false">$A294&amp;"."&amp;$D294&amp;".jpg"</f>
        <v>7898968541313.PT01.jpg</v>
      </c>
      <c r="F294" s="11" t="str">
        <f aca="false">IF(INDEX(PRODUTOS!$I$4:$I$63,MATCH($A294,PRODUTOS!$B$4:$B$63,0))="B",INDEX(MODELOS!$F$3:$F$19,MATCH($D294,MODELOS!$A$3:$A$19,0)),INDEX(MODELOS!$B$3:$B$19,MATCH($D294,MODELOS!$A$3:$A$19,0)))</f>
        <v>Galeria · posição 2</v>
      </c>
      <c r="G294" s="11" t="str">
        <f aca="false">IF(INDEX(PRODUTOS!$F$4:$F$63,MATCH($A294,PRODUTOS!$B$4:$B$63,0))="Ração",IF(INDEX(PRODUTOS!$I$4:$I$63,MATCH($A294,PRODUTOS!$B$4:$B$63,0))="B",INDEX(MODELOS!$G$3:$G$19,MATCH($D294,MODELOS!$A$3:$A$19,0)),INDEX(MODELOS!$C$3:$C$19,MATCH($D294,MODELOS!$A$3:$A$19,0))),IF(INDEX(PRODUTOS!$I$4:$I$63,MATCH($A294,PRODUTOS!$B$4:$B$63,0))="B",INDEX(MODELOS!$H$3:$H$19,MATCH($D294,MODELOS!$A$3:$A$19,0)),INDEX(MODELOS!$D$3:$D$19,MATCH($D294,MODELOS!$A$3:$A$19,0))))</f>
        <v>Grande diferencial da linha (número ou promessa forte + grão e ingrediente)</v>
      </c>
      <c r="H294" s="11" t="str">
        <f aca="false">IF(INDEX(PRODUTOS!$I$4:$I$63,MATCH($A294,PRODUTOS!$B$4:$B$63,0))="B",INDEX(MODELOS!$I$3:$I$19,MATCH($D294,MODELOS!$A$3:$A$19,0)),INDEX(MODELOS!$E$3:$E$19,MATCH($D294,MODELOS!$A$3:$A$19,0)))</f>
        <v>2000 × 2000</v>
      </c>
      <c r="I294" s="11" t="str">
        <f aca="false">INDEX(MODELOS!$J$3:$J$19,MATCH($D294,MODELOS!$A$3:$A$19,0))</f>
        <v>SIM</v>
      </c>
      <c r="J294" s="11" t="str">
        <f aca="false">IF(LEFT($D294,2)&lt;&gt;"AP",IF($I294="SIM","SIM","RECOMENDADA"),IF(INDEX(PRODUTOS!$J$4:$J$63,MATCH($A294,PRODUTOS!$B$4:$B$63,0))&lt;&gt;"","NÃO (usa o A+ do EAN "&amp;INDEX(PRODUTOS!$J$4:$J$63,MATCH($A294,PRODUTOS!$B$4:$B$63,0))&amp;")",IF(AND(INDEX(PRODUTOS!$I$4:$I$63,MATCH($A294,PRODUTOS!$B$4:$B$63,0))="B",$D294="AP07"),"NÃO (modelo B)","SIM")))</f>
        <v>SIM</v>
      </c>
      <c r="K294" s="13" t="s">
        <v>325</v>
      </c>
      <c r="L294" s="13"/>
    </row>
    <row r="295" customFormat="false" ht="15" hidden="false" customHeight="false" outlineLevel="0" collapsed="false">
      <c r="A295" s="15" t="s">
        <v>118</v>
      </c>
      <c r="B295" s="11" t="str">
        <f aca="false">INDEX(PRODUTOS!$E$4:$E$63,MATCH($A295,PRODUTOS!$B$4:$B$63,0))</f>
        <v>Ração Seca Natural Dots para Cães Filhotes - Pacote 15 kg</v>
      </c>
      <c r="C295" s="11" t="str">
        <f aca="false">INDEX(PRODUTOS!$H$4:$H$63,MATCH($A295,PRODUTOS!$B$4:$B$63,0))</f>
        <v>15 kg</v>
      </c>
      <c r="D295" s="11" t="s">
        <v>327</v>
      </c>
      <c r="E295" s="16" t="str">
        <f aca="false">$A295&amp;"."&amp;$D295&amp;".jpg"</f>
        <v>7898968541313.PT02.jpg</v>
      </c>
      <c r="F295" s="11" t="str">
        <f aca="false">IF(INDEX(PRODUTOS!$I$4:$I$63,MATCH($A295,PRODUTOS!$B$4:$B$63,0))="B",INDEX(MODELOS!$F$3:$F$19,MATCH($D295,MODELOS!$A$3:$A$19,0)),INDEX(MODELOS!$B$3:$B$19,MATCH($D295,MODELOS!$A$3:$A$19,0)))</f>
        <v>Galeria · posição 3</v>
      </c>
      <c r="G295" s="11" t="str">
        <f aca="false">IF(INDEX(PRODUTOS!$F$4:$F$63,MATCH($A295,PRODUTOS!$B$4:$B$63,0))="Ração",IF(INDEX(PRODUTOS!$I$4:$I$63,MATCH($A295,PRODUTOS!$B$4:$B$63,0))="B",INDEX(MODELOS!$G$3:$G$19,MATCH($D295,MODELOS!$A$3:$A$19,0)),INDEX(MODELOS!$C$3:$C$19,MATCH($D295,MODELOS!$A$3:$A$19,0))),IF(INDEX(PRODUTOS!$I$4:$I$63,MATCH($A295,PRODUTOS!$B$4:$B$63,0))="B",INDEX(MODELOS!$H$3:$H$19,MATCH($D295,MODELOS!$A$3:$A$19,0)),INDEX(MODELOS!$D$3:$D$19,MATCH($D295,MODELOS!$A$3:$A$19,0))))</f>
        <v>Benefícios com ícones (4 a 6, impressos na embalagem) + ingrediente</v>
      </c>
      <c r="H295" s="11" t="str">
        <f aca="false">IF(INDEX(PRODUTOS!$I$4:$I$63,MATCH($A295,PRODUTOS!$B$4:$B$63,0))="B",INDEX(MODELOS!$I$3:$I$19,MATCH($D295,MODELOS!$A$3:$A$19,0)),INDEX(MODELOS!$E$3:$E$19,MATCH($D295,MODELOS!$A$3:$A$19,0)))</f>
        <v>2000 × 2000</v>
      </c>
      <c r="I295" s="11" t="str">
        <f aca="false">INDEX(MODELOS!$J$3:$J$19,MATCH($D295,MODELOS!$A$3:$A$19,0))</f>
        <v>SIM</v>
      </c>
      <c r="J295" s="11" t="str">
        <f aca="false">IF(LEFT($D295,2)&lt;&gt;"AP",IF($I295="SIM","SIM","RECOMENDADA"),IF(INDEX(PRODUTOS!$J$4:$J$63,MATCH($A295,PRODUTOS!$B$4:$B$63,0))&lt;&gt;"","NÃO (usa o A+ do EAN "&amp;INDEX(PRODUTOS!$J$4:$J$63,MATCH($A295,PRODUTOS!$B$4:$B$63,0))&amp;")",IF(AND(INDEX(PRODUTOS!$I$4:$I$63,MATCH($A295,PRODUTOS!$B$4:$B$63,0))="B",$D295="AP07"),"NÃO (modelo B)","SIM")))</f>
        <v>SIM</v>
      </c>
      <c r="K295" s="13" t="s">
        <v>325</v>
      </c>
      <c r="L295" s="13"/>
    </row>
    <row r="296" customFormat="false" ht="15" hidden="false" customHeight="false" outlineLevel="0" collapsed="false">
      <c r="A296" s="15" t="s">
        <v>118</v>
      </c>
      <c r="B296" s="11" t="str">
        <f aca="false">INDEX(PRODUTOS!$E$4:$E$63,MATCH($A296,PRODUTOS!$B$4:$B$63,0))</f>
        <v>Ração Seca Natural Dots para Cães Filhotes - Pacote 15 kg</v>
      </c>
      <c r="C296" s="11" t="str">
        <f aca="false">INDEX(PRODUTOS!$H$4:$H$63,MATCH($A296,PRODUTOS!$B$4:$B$63,0))</f>
        <v>15 kg</v>
      </c>
      <c r="D296" s="11" t="s">
        <v>328</v>
      </c>
      <c r="E296" s="16" t="str">
        <f aca="false">$A296&amp;"."&amp;$D296&amp;".jpg"</f>
        <v>7898968541313.PT03.jpg</v>
      </c>
      <c r="F296" s="11" t="str">
        <f aca="false">IF(INDEX(PRODUTOS!$I$4:$I$63,MATCH($A296,PRODUTOS!$B$4:$B$63,0))="B",INDEX(MODELOS!$F$3:$F$19,MATCH($D296,MODELOS!$A$3:$A$19,0)),INDEX(MODELOS!$B$3:$B$19,MATCH($D296,MODELOS!$A$3:$A$19,0)))</f>
        <v>Galeria · posição 4</v>
      </c>
      <c r="G296" s="11" t="str">
        <f aca="false">IF(INDEX(PRODUTOS!$F$4:$F$63,MATCH($A296,PRODUTOS!$B$4:$B$63,0))="Ração",IF(INDEX(PRODUTOS!$I$4:$I$63,MATCH($A296,PRODUTOS!$B$4:$B$63,0))="B",INDEX(MODELOS!$G$3:$G$19,MATCH($D296,MODELOS!$A$3:$A$19,0)),INDEX(MODELOS!$C$3:$C$19,MATCH($D296,MODELOS!$A$3:$A$19,0))),IF(INDEX(PRODUTOS!$I$4:$I$63,MATCH($A296,PRODUTOS!$B$4:$B$63,0))="B",INDEX(MODELOS!$H$3:$H$19,MATCH($D296,MODELOS!$A$3:$A$19,0)),INDEX(MODELOS!$D$3:$D$19,MATCH($D296,MODELOS!$A$3:$A$19,0))))</f>
        <v>Formato e tamanho do grão, com medida em mm e referência de tamanho</v>
      </c>
      <c r="H296" s="11" t="str">
        <f aca="false">IF(INDEX(PRODUTOS!$I$4:$I$63,MATCH($A296,PRODUTOS!$B$4:$B$63,0))="B",INDEX(MODELOS!$I$3:$I$19,MATCH($D296,MODELOS!$A$3:$A$19,0)),INDEX(MODELOS!$E$3:$E$19,MATCH($D296,MODELOS!$A$3:$A$19,0)))</f>
        <v>2000 × 2000</v>
      </c>
      <c r="I296" s="11" t="str">
        <f aca="false">INDEX(MODELOS!$J$3:$J$19,MATCH($D296,MODELOS!$A$3:$A$19,0))</f>
        <v>SIM</v>
      </c>
      <c r="J296" s="11" t="str">
        <f aca="false">IF(LEFT($D296,2)&lt;&gt;"AP",IF($I296="SIM","SIM","RECOMENDADA"),IF(INDEX(PRODUTOS!$J$4:$J$63,MATCH($A296,PRODUTOS!$B$4:$B$63,0))&lt;&gt;"","NÃO (usa o A+ do EAN "&amp;INDEX(PRODUTOS!$J$4:$J$63,MATCH($A296,PRODUTOS!$B$4:$B$63,0))&amp;")",IF(AND(INDEX(PRODUTOS!$I$4:$I$63,MATCH($A296,PRODUTOS!$B$4:$B$63,0))="B",$D296="AP07"),"NÃO (modelo B)","SIM")))</f>
        <v>SIM</v>
      </c>
      <c r="K296" s="13" t="s">
        <v>325</v>
      </c>
      <c r="L296" s="13"/>
    </row>
    <row r="297" customFormat="false" ht="15" hidden="false" customHeight="false" outlineLevel="0" collapsed="false">
      <c r="A297" s="15" t="s">
        <v>118</v>
      </c>
      <c r="B297" s="11" t="str">
        <f aca="false">INDEX(PRODUTOS!$E$4:$E$63,MATCH($A297,PRODUTOS!$B$4:$B$63,0))</f>
        <v>Ração Seca Natural Dots para Cães Filhotes - Pacote 15 kg</v>
      </c>
      <c r="C297" s="11" t="str">
        <f aca="false">INDEX(PRODUTOS!$H$4:$H$63,MATCH($A297,PRODUTOS!$B$4:$B$63,0))</f>
        <v>15 kg</v>
      </c>
      <c r="D297" s="11" t="s">
        <v>329</v>
      </c>
      <c r="E297" s="16" t="str">
        <f aca="false">$A297&amp;"."&amp;$D297&amp;".jpg"</f>
        <v>7898968541313.PT04.jpg</v>
      </c>
      <c r="F297" s="11" t="str">
        <f aca="false">IF(INDEX(PRODUTOS!$I$4:$I$63,MATCH($A297,PRODUTOS!$B$4:$B$63,0))="B",INDEX(MODELOS!$F$3:$F$19,MATCH($D297,MODELOS!$A$3:$A$19,0)),INDEX(MODELOS!$B$3:$B$19,MATCH($D297,MODELOS!$A$3:$A$19,0)))</f>
        <v>Galeria · posição 5</v>
      </c>
      <c r="G297" s="11" t="str">
        <f aca="false">IF(INDEX(PRODUTOS!$F$4:$F$63,MATCH($A297,PRODUTOS!$B$4:$B$63,0))="Ração",IF(INDEX(PRODUTOS!$I$4:$I$63,MATCH($A297,PRODUTOS!$B$4:$B$63,0))="B",INDEX(MODELOS!$G$3:$G$19,MATCH($D297,MODELOS!$A$3:$A$19,0)),INDEX(MODELOS!$C$3:$C$19,MATCH($D297,MODELOS!$A$3:$A$19,0))),IF(INDEX(PRODUTOS!$I$4:$I$63,MATCH($A297,PRODUTOS!$B$4:$B$63,0))="B",INDEX(MODELOS!$H$3:$H$19,MATCH($D297,MODELOS!$A$3:$A$19,0)),INDEX(MODELOS!$D$3:$D$19,MATCH($D297,MODELOS!$A$3:$A$19,0))))</f>
        <v>Quantidade diária por peso do cão/gato (números idênticos à embalagem)</v>
      </c>
      <c r="H297" s="11" t="str">
        <f aca="false">IF(INDEX(PRODUTOS!$I$4:$I$63,MATCH($A297,PRODUTOS!$B$4:$B$63,0))="B",INDEX(MODELOS!$I$3:$I$19,MATCH($D297,MODELOS!$A$3:$A$19,0)),INDEX(MODELOS!$E$3:$E$19,MATCH($D297,MODELOS!$A$3:$A$19,0)))</f>
        <v>2000 × 2000</v>
      </c>
      <c r="I297" s="11" t="str">
        <f aca="false">INDEX(MODELOS!$J$3:$J$19,MATCH($D297,MODELOS!$A$3:$A$19,0))</f>
        <v>SIM</v>
      </c>
      <c r="J297" s="11" t="str">
        <f aca="false">IF(LEFT($D297,2)&lt;&gt;"AP",IF($I297="SIM","SIM","RECOMENDADA"),IF(INDEX(PRODUTOS!$J$4:$J$63,MATCH($A297,PRODUTOS!$B$4:$B$63,0))&lt;&gt;"","NÃO (usa o A+ do EAN "&amp;INDEX(PRODUTOS!$J$4:$J$63,MATCH($A297,PRODUTOS!$B$4:$B$63,0))&amp;")",IF(AND(INDEX(PRODUTOS!$I$4:$I$63,MATCH($A297,PRODUTOS!$B$4:$B$63,0))="B",$D297="AP07"),"NÃO (modelo B)","SIM")))</f>
        <v>SIM</v>
      </c>
      <c r="K297" s="13" t="s">
        <v>325</v>
      </c>
      <c r="L297" s="13"/>
    </row>
    <row r="298" customFormat="false" ht="15" hidden="false" customHeight="false" outlineLevel="0" collapsed="false">
      <c r="A298" s="15" t="s">
        <v>118</v>
      </c>
      <c r="B298" s="11" t="str">
        <f aca="false">INDEX(PRODUTOS!$E$4:$E$63,MATCH($A298,PRODUTOS!$B$4:$B$63,0))</f>
        <v>Ração Seca Natural Dots para Cães Filhotes - Pacote 15 kg</v>
      </c>
      <c r="C298" s="11" t="str">
        <f aca="false">INDEX(PRODUTOS!$H$4:$H$63,MATCH($A298,PRODUTOS!$B$4:$B$63,0))</f>
        <v>15 kg</v>
      </c>
      <c r="D298" s="11" t="s">
        <v>330</v>
      </c>
      <c r="E298" s="16" t="str">
        <f aca="false">$A298&amp;"."&amp;$D298&amp;".jpg"</f>
        <v>7898968541313.PT05.jpg</v>
      </c>
      <c r="F298" s="11" t="str">
        <f aca="false">IF(INDEX(PRODUTOS!$I$4:$I$63,MATCH($A298,PRODUTOS!$B$4:$B$63,0))="B",INDEX(MODELOS!$F$3:$F$19,MATCH($D298,MODELOS!$A$3:$A$19,0)),INDEX(MODELOS!$B$3:$B$19,MATCH($D298,MODELOS!$A$3:$A$19,0)))</f>
        <v>Galeria · posição 6</v>
      </c>
      <c r="G298" s="11" t="str">
        <f aca="false">IF(INDEX(PRODUTOS!$F$4:$F$63,MATCH($A298,PRODUTOS!$B$4:$B$63,0))="Ração",IF(INDEX(PRODUTOS!$I$4:$I$63,MATCH($A298,PRODUTOS!$B$4:$B$63,0))="B",INDEX(MODELOS!$G$3:$G$19,MATCH($D298,MODELOS!$A$3:$A$19,0)),INDEX(MODELOS!$C$3:$C$19,MATCH($D298,MODELOS!$A$3:$A$19,0))),IF(INDEX(PRODUTOS!$I$4:$I$63,MATCH($A298,PRODUTOS!$B$4:$B$63,0))="B",INDEX(MODELOS!$H$3:$H$19,MATCH($D298,MODELOS!$A$3:$A$19,0)),INDEX(MODELOS!$D$3:$D$19,MATCH($D298,MODELOS!$A$3:$A$19,0))))</f>
        <v>Transição alimentar dia a dia (igual ao verso da embalagem)</v>
      </c>
      <c r="H298" s="11" t="str">
        <f aca="false">IF(INDEX(PRODUTOS!$I$4:$I$63,MATCH($A298,PRODUTOS!$B$4:$B$63,0))="B",INDEX(MODELOS!$I$3:$I$19,MATCH($D298,MODELOS!$A$3:$A$19,0)),INDEX(MODELOS!$E$3:$E$19,MATCH($D298,MODELOS!$A$3:$A$19,0)))</f>
        <v>2000 × 2000</v>
      </c>
      <c r="I298" s="11" t="str">
        <f aca="false">INDEX(MODELOS!$J$3:$J$19,MATCH($D298,MODELOS!$A$3:$A$19,0))</f>
        <v>Recomendada</v>
      </c>
      <c r="J298" s="11" t="str">
        <f aca="false">IF(LEFT($D298,2)&lt;&gt;"AP",IF($I298="SIM","SIM","RECOMENDADA"),IF(INDEX(PRODUTOS!$J$4:$J$63,MATCH($A298,PRODUTOS!$B$4:$B$63,0))&lt;&gt;"","NÃO (usa o A+ do EAN "&amp;INDEX(PRODUTOS!$J$4:$J$63,MATCH($A298,PRODUTOS!$B$4:$B$63,0))&amp;")",IF(AND(INDEX(PRODUTOS!$I$4:$I$63,MATCH($A298,PRODUTOS!$B$4:$B$63,0))="B",$D298="AP07"),"NÃO (modelo B)","SIM")))</f>
        <v>RECOMENDADA</v>
      </c>
      <c r="K298" s="13" t="s">
        <v>325</v>
      </c>
      <c r="L298" s="13"/>
    </row>
    <row r="299" customFormat="false" ht="15" hidden="false" customHeight="false" outlineLevel="0" collapsed="false">
      <c r="A299" s="15" t="s">
        <v>118</v>
      </c>
      <c r="B299" s="11" t="str">
        <f aca="false">INDEX(PRODUTOS!$E$4:$E$63,MATCH($A299,PRODUTOS!$B$4:$B$63,0))</f>
        <v>Ração Seca Natural Dots para Cães Filhotes - Pacote 15 kg</v>
      </c>
      <c r="C299" s="11" t="str">
        <f aca="false">INDEX(PRODUTOS!$H$4:$H$63,MATCH($A299,PRODUTOS!$B$4:$B$63,0))</f>
        <v>15 kg</v>
      </c>
      <c r="D299" s="11" t="s">
        <v>331</v>
      </c>
      <c r="E299" s="16" t="str">
        <f aca="false">$A299&amp;"."&amp;$D299&amp;".jpg"</f>
        <v>7898968541313.PT06.jpg</v>
      </c>
      <c r="F299" s="11" t="str">
        <f aca="false">IF(INDEX(PRODUTOS!$I$4:$I$63,MATCH($A299,PRODUTOS!$B$4:$B$63,0))="B",INDEX(MODELOS!$F$3:$F$19,MATCH($D299,MODELOS!$A$3:$A$19,0)),INDEX(MODELOS!$B$3:$B$19,MATCH($D299,MODELOS!$A$3:$A$19,0)))</f>
        <v>Galeria · posição 7</v>
      </c>
      <c r="G299" s="11" t="str">
        <f aca="false">IF(INDEX(PRODUTOS!$F$4:$F$63,MATCH($A299,PRODUTOS!$B$4:$B$63,0))="Ração",IF(INDEX(PRODUTOS!$I$4:$I$63,MATCH($A299,PRODUTOS!$B$4:$B$63,0))="B",INDEX(MODELOS!$G$3:$G$19,MATCH($D299,MODELOS!$A$3:$A$19,0)),INDEX(MODELOS!$C$3:$C$19,MATCH($D299,MODELOS!$A$3:$A$19,0))),IF(INDEX(PRODUTOS!$I$4:$I$63,MATCH($A299,PRODUTOS!$B$4:$B$63,0))="B",INDEX(MODELOS!$H$3:$H$19,MATCH($D299,MODELOS!$A$3:$A$19,0)),INDEX(MODELOS!$D$3:$D$19,MATCH($D299,MODELOS!$A$3:$A$19,0))))</f>
        <v>Composição e níveis de garantia em letra grande</v>
      </c>
      <c r="H299" s="11" t="str">
        <f aca="false">IF(INDEX(PRODUTOS!$I$4:$I$63,MATCH($A299,PRODUTOS!$B$4:$B$63,0))="B",INDEX(MODELOS!$I$3:$I$19,MATCH($D299,MODELOS!$A$3:$A$19,0)),INDEX(MODELOS!$E$3:$E$19,MATCH($D299,MODELOS!$A$3:$A$19,0)))</f>
        <v>2000 × 2000</v>
      </c>
      <c r="I299" s="11" t="str">
        <f aca="false">INDEX(MODELOS!$J$3:$J$19,MATCH($D299,MODELOS!$A$3:$A$19,0))</f>
        <v>SIM</v>
      </c>
      <c r="J299" s="11" t="str">
        <f aca="false">IF(LEFT($D299,2)&lt;&gt;"AP",IF($I299="SIM","SIM","RECOMENDADA"),IF(INDEX(PRODUTOS!$J$4:$J$63,MATCH($A299,PRODUTOS!$B$4:$B$63,0))&lt;&gt;"","NÃO (usa o A+ do EAN "&amp;INDEX(PRODUTOS!$J$4:$J$63,MATCH($A299,PRODUTOS!$B$4:$B$63,0))&amp;")",IF(AND(INDEX(PRODUTOS!$I$4:$I$63,MATCH($A299,PRODUTOS!$B$4:$B$63,0))="B",$D299="AP07"),"NÃO (modelo B)","SIM")))</f>
        <v>SIM</v>
      </c>
      <c r="K299" s="13" t="s">
        <v>325</v>
      </c>
      <c r="L299" s="13"/>
    </row>
    <row r="300" customFormat="false" ht="15" hidden="false" customHeight="false" outlineLevel="0" collapsed="false">
      <c r="A300" s="15" t="s">
        <v>118</v>
      </c>
      <c r="B300" s="11" t="str">
        <f aca="false">INDEX(PRODUTOS!$E$4:$E$63,MATCH($A300,PRODUTOS!$B$4:$B$63,0))</f>
        <v>Ração Seca Natural Dots para Cães Filhotes - Pacote 15 kg</v>
      </c>
      <c r="C300" s="11" t="str">
        <f aca="false">INDEX(PRODUTOS!$H$4:$H$63,MATCH($A300,PRODUTOS!$B$4:$B$63,0))</f>
        <v>15 kg</v>
      </c>
      <c r="D300" s="11" t="s">
        <v>332</v>
      </c>
      <c r="E300" s="16" t="str">
        <f aca="false">$A300&amp;"."&amp;$D300&amp;".jpg"</f>
        <v>7898968541313.PT07.jpg</v>
      </c>
      <c r="F300" s="11" t="str">
        <f aca="false">IF(INDEX(PRODUTOS!$I$4:$I$63,MATCH($A300,PRODUTOS!$B$4:$B$63,0))="B",INDEX(MODELOS!$F$3:$F$19,MATCH($D300,MODELOS!$A$3:$A$19,0)),INDEX(MODELOS!$B$3:$B$19,MATCH($D300,MODELOS!$A$3:$A$19,0)))</f>
        <v>Galeria · posição 8</v>
      </c>
      <c r="G300" s="11" t="str">
        <f aca="false">IF(INDEX(PRODUTOS!$F$4:$F$63,MATCH($A300,PRODUTOS!$B$4:$B$63,0))="Ração",IF(INDEX(PRODUTOS!$I$4:$I$63,MATCH($A300,PRODUTOS!$B$4:$B$63,0))="B",INDEX(MODELOS!$G$3:$G$19,MATCH($D300,MODELOS!$A$3:$A$19,0)),INDEX(MODELOS!$C$3:$C$19,MATCH($D300,MODELOS!$A$3:$A$19,0))),IF(INDEX(PRODUTOS!$I$4:$I$63,MATCH($A300,PRODUTOS!$B$4:$B$63,0))="B",INDEX(MODELOS!$H$3:$H$19,MATCH($D300,MODELOS!$A$3:$A$19,0)),INDEX(MODELOS!$D$3:$D$19,MATCH($D300,MODELOS!$A$3:$A$19,0))))</f>
        <v>Emocional / momento de uso (pet do porte certo, pote cheio)</v>
      </c>
      <c r="H300" s="11" t="str">
        <f aca="false">IF(INDEX(PRODUTOS!$I$4:$I$63,MATCH($A300,PRODUTOS!$B$4:$B$63,0))="B",INDEX(MODELOS!$I$3:$I$19,MATCH($D300,MODELOS!$A$3:$A$19,0)),INDEX(MODELOS!$E$3:$E$19,MATCH($D300,MODELOS!$A$3:$A$19,0)))</f>
        <v>2000 × 2000</v>
      </c>
      <c r="I300" s="11" t="str">
        <f aca="false">INDEX(MODELOS!$J$3:$J$19,MATCH($D300,MODELOS!$A$3:$A$19,0))</f>
        <v>Recomendada</v>
      </c>
      <c r="J300" s="11" t="str">
        <f aca="false">IF(LEFT($D300,2)&lt;&gt;"AP",IF($I300="SIM","SIM","RECOMENDADA"),IF(INDEX(PRODUTOS!$J$4:$J$63,MATCH($A300,PRODUTOS!$B$4:$B$63,0))&lt;&gt;"","NÃO (usa o A+ do EAN "&amp;INDEX(PRODUTOS!$J$4:$J$63,MATCH($A300,PRODUTOS!$B$4:$B$63,0))&amp;")",IF(AND(INDEX(PRODUTOS!$I$4:$I$63,MATCH($A300,PRODUTOS!$B$4:$B$63,0))="B",$D300="AP07"),"NÃO (modelo B)","SIM")))</f>
        <v>RECOMENDADA</v>
      </c>
      <c r="K300" s="13" t="s">
        <v>325</v>
      </c>
      <c r="L300" s="13"/>
    </row>
    <row r="301" customFormat="false" ht="15" hidden="false" customHeight="false" outlineLevel="0" collapsed="false">
      <c r="A301" s="15" t="s">
        <v>118</v>
      </c>
      <c r="B301" s="11" t="str">
        <f aca="false">INDEX(PRODUTOS!$E$4:$E$63,MATCH($A301,PRODUTOS!$B$4:$B$63,0))</f>
        <v>Ração Seca Natural Dots para Cães Filhotes - Pacote 15 kg</v>
      </c>
      <c r="C301" s="11" t="str">
        <f aca="false">INDEX(PRODUTOS!$H$4:$H$63,MATCH($A301,PRODUTOS!$B$4:$B$63,0))</f>
        <v>15 kg</v>
      </c>
      <c r="D301" s="11" t="s">
        <v>333</v>
      </c>
      <c r="E301" s="16" t="str">
        <f aca="false">$A301&amp;"."&amp;$D301&amp;".jpg"</f>
        <v>7898968541313.PT08.jpg</v>
      </c>
      <c r="F301" s="11" t="str">
        <f aca="false">IF(INDEX(PRODUTOS!$I$4:$I$63,MATCH($A301,PRODUTOS!$B$4:$B$63,0))="B",INDEX(MODELOS!$F$3:$F$19,MATCH($D301,MODELOS!$A$3:$A$19,0)),INDEX(MODELOS!$B$3:$B$19,MATCH($D301,MODELOS!$A$3:$A$19,0)))</f>
        <v>Galeria · posição 9</v>
      </c>
      <c r="G301" s="11" t="str">
        <f aca="false">IF(INDEX(PRODUTOS!$F$4:$F$63,MATCH($A301,PRODUTOS!$B$4:$B$63,0))="Ração",IF(INDEX(PRODUTOS!$I$4:$I$63,MATCH($A301,PRODUTOS!$B$4:$B$63,0))="B",INDEX(MODELOS!$G$3:$G$19,MATCH($D301,MODELOS!$A$3:$A$19,0)),INDEX(MODELOS!$C$3:$C$19,MATCH($D301,MODELOS!$A$3:$A$19,0))),IF(INDEX(PRODUTOS!$I$4:$I$63,MATCH($A301,PRODUTOS!$B$4:$B$63,0))="B",INDEX(MODELOS!$H$3:$H$19,MATCH($D301,MODELOS!$A$3:$A$19,0)),INDEX(MODELOS!$D$3:$D$19,MATCH($D301,MODELOS!$A$3:$A$19,0))))</f>
        <v>Linha da marca ou embalagem anterior × nova</v>
      </c>
      <c r="H301" s="11" t="str">
        <f aca="false">IF(INDEX(PRODUTOS!$I$4:$I$63,MATCH($A301,PRODUTOS!$B$4:$B$63,0))="B",INDEX(MODELOS!$I$3:$I$19,MATCH($D301,MODELOS!$A$3:$A$19,0)),INDEX(MODELOS!$E$3:$E$19,MATCH($D301,MODELOS!$A$3:$A$19,0)))</f>
        <v>2000 × 2000</v>
      </c>
      <c r="I301" s="11" t="str">
        <f aca="false">INDEX(MODELOS!$J$3:$J$19,MATCH($D301,MODELOS!$A$3:$A$19,0))</f>
        <v>Recomendada</v>
      </c>
      <c r="J301" s="11" t="str">
        <f aca="false">IF(LEFT($D301,2)&lt;&gt;"AP",IF($I301="SIM","SIM","RECOMENDADA"),IF(INDEX(PRODUTOS!$J$4:$J$63,MATCH($A301,PRODUTOS!$B$4:$B$63,0))&lt;&gt;"","NÃO (usa o A+ do EAN "&amp;INDEX(PRODUTOS!$J$4:$J$63,MATCH($A301,PRODUTOS!$B$4:$B$63,0))&amp;")",IF(AND(INDEX(PRODUTOS!$I$4:$I$63,MATCH($A301,PRODUTOS!$B$4:$B$63,0))="B",$D301="AP07"),"NÃO (modelo B)","SIM")))</f>
        <v>RECOMENDADA</v>
      </c>
      <c r="K301" s="13" t="s">
        <v>325</v>
      </c>
      <c r="L301" s="13"/>
    </row>
    <row r="302" customFormat="false" ht="15" hidden="false" customHeight="false" outlineLevel="0" collapsed="false">
      <c r="A302" s="15" t="s">
        <v>118</v>
      </c>
      <c r="B302" s="11" t="str">
        <f aca="false">INDEX(PRODUTOS!$E$4:$E$63,MATCH($A302,PRODUTOS!$B$4:$B$63,0))</f>
        <v>Ração Seca Natural Dots para Cães Filhotes - Pacote 15 kg</v>
      </c>
      <c r="C302" s="11" t="str">
        <f aca="false">INDEX(PRODUTOS!$H$4:$H$63,MATCH($A302,PRODUTOS!$B$4:$B$63,0))</f>
        <v>15 kg</v>
      </c>
      <c r="D302" s="11" t="s">
        <v>334</v>
      </c>
      <c r="E302" s="16" t="str">
        <f aca="false">$A302&amp;"."&amp;$D302&amp;".jpg"</f>
        <v>7898968541313.AP01.jpg</v>
      </c>
      <c r="F302" s="11" t="str">
        <f aca="false">IF(INDEX(PRODUTOS!$I$4:$I$63,MATCH($A302,PRODUTOS!$B$4:$B$63,0))="B",INDEX(MODELOS!$F$3:$F$19,MATCH($D302,MODELOS!$A$3:$A$19,0)),INDEX(MODELOS!$B$3:$B$19,MATCH($D302,MODELOS!$A$3:$A$19,0)))</f>
        <v>A+ · Módulo 1 · Banner</v>
      </c>
      <c r="G302" s="11" t="str">
        <f aca="false">IF(INDEX(PRODUTOS!$F$4:$F$63,MATCH($A302,PRODUTOS!$B$4:$B$63,0))="Ração",IF(INDEX(PRODUTOS!$I$4:$I$63,MATCH($A302,PRODUTOS!$B$4:$B$63,0))="B",INDEX(MODELOS!$G$3:$G$19,MATCH($D302,MODELOS!$A$3:$A$19,0)),INDEX(MODELOS!$C$3:$C$19,MATCH($D302,MODELOS!$A$3:$A$19,0))),IF(INDEX(PRODUTOS!$I$4:$I$63,MATCH($A302,PRODUTOS!$B$4:$B$63,0))="B",INDEX(MODELOS!$H$3:$H$19,MATCH($D302,MODELOS!$A$3:$A$19,0)),INDEX(MODELOS!$D$3:$D$19,MATCH($D302,MODELOS!$A$3:$A$19,0))))</f>
        <v>Embalagem + pet + ingredientes, com o nome da linha</v>
      </c>
      <c r="H302" s="11" t="str">
        <f aca="false">IF(INDEX(PRODUTOS!$I$4:$I$63,MATCH($A302,PRODUTOS!$B$4:$B$63,0))="B",INDEX(MODELOS!$I$3:$I$19,MATCH($D302,MODELOS!$A$3:$A$19,0)),INDEX(MODELOS!$E$3:$E$19,MATCH($D302,MODELOS!$A$3:$A$19,0)))</f>
        <v>970 × 600</v>
      </c>
      <c r="I302" s="11" t="str">
        <f aca="false">INDEX(MODELOS!$J$3:$J$19,MATCH($D302,MODELOS!$A$3:$A$19,0))</f>
        <v>Conforme modelo</v>
      </c>
      <c r="J302" s="11" t="str">
        <f aca="false">IF(LEFT($D302,2)&lt;&gt;"AP",IF($I302="SIM","SIM","RECOMENDADA"),IF(INDEX(PRODUTOS!$J$4:$J$63,MATCH($A302,PRODUTOS!$B$4:$B$63,0))&lt;&gt;"","NÃO (usa o A+ do EAN "&amp;INDEX(PRODUTOS!$J$4:$J$63,MATCH($A302,PRODUTOS!$B$4:$B$63,0))&amp;")",IF(AND(INDEX(PRODUTOS!$I$4:$I$63,MATCH($A302,PRODUTOS!$B$4:$B$63,0))="B",$D302="AP07"),"NÃO (modelo B)","SIM")))</f>
        <v>SIM</v>
      </c>
      <c r="K302" s="13" t="s">
        <v>325</v>
      </c>
      <c r="L302" s="13"/>
    </row>
    <row r="303" customFormat="false" ht="15" hidden="false" customHeight="false" outlineLevel="0" collapsed="false">
      <c r="A303" s="15" t="s">
        <v>118</v>
      </c>
      <c r="B303" s="11" t="str">
        <f aca="false">INDEX(PRODUTOS!$E$4:$E$63,MATCH($A303,PRODUTOS!$B$4:$B$63,0))</f>
        <v>Ração Seca Natural Dots para Cães Filhotes - Pacote 15 kg</v>
      </c>
      <c r="C303" s="11" t="str">
        <f aca="false">INDEX(PRODUTOS!$H$4:$H$63,MATCH($A303,PRODUTOS!$B$4:$B$63,0))</f>
        <v>15 kg</v>
      </c>
      <c r="D303" s="11" t="s">
        <v>335</v>
      </c>
      <c r="E303" s="16" t="str">
        <f aca="false">$A303&amp;"."&amp;$D303&amp;".jpg"</f>
        <v>7898968541313.AP02.jpg</v>
      </c>
      <c r="F303" s="11" t="str">
        <f aca="false">IF(INDEX(PRODUTOS!$I$4:$I$63,MATCH($A303,PRODUTOS!$B$4:$B$63,0))="B",INDEX(MODELOS!$F$3:$F$19,MATCH($D303,MODELOS!$A$3:$A$19,0)),INDEX(MODELOS!$B$3:$B$19,MATCH($D303,MODELOS!$A$3:$A$19,0)))</f>
        <v>A+ · Módulo 2 · Texto sobreposto</v>
      </c>
      <c r="G303" s="11" t="str">
        <f aca="false">IF(INDEX(PRODUTOS!$F$4:$F$63,MATCH($A303,PRODUTOS!$B$4:$B$63,0))="Ração",IF(INDEX(PRODUTOS!$I$4:$I$63,MATCH($A303,PRODUTOS!$B$4:$B$63,0))="B",INDEX(MODELOS!$G$3:$G$19,MATCH($D303,MODELOS!$A$3:$A$19,0)),INDEX(MODELOS!$C$3:$C$19,MATCH($D303,MODELOS!$A$3:$A$19,0))),IF(INDEX(PRODUTOS!$I$4:$I$63,MATCH($A303,PRODUTOS!$B$4:$B$63,0))="B",INDEX(MODELOS!$H$3:$H$19,MATCH($D303,MODELOS!$A$3:$A$19,0)),INDEX(MODELOS!$D$3:$D$19,MATCH($D303,MODELOS!$A$3:$A$19,0))))</f>
        <v>Principal diferencial; deixar o lado direito limpo</v>
      </c>
      <c r="H303" s="11" t="str">
        <f aca="false">IF(INDEX(PRODUTOS!$I$4:$I$63,MATCH($A303,PRODUTOS!$B$4:$B$63,0))="B",INDEX(MODELOS!$I$3:$I$19,MATCH($D303,MODELOS!$A$3:$A$19,0)),INDEX(MODELOS!$E$3:$E$19,MATCH($D303,MODELOS!$A$3:$A$19,0)))</f>
        <v>970 × 300</v>
      </c>
      <c r="I303" s="11" t="str">
        <f aca="false">INDEX(MODELOS!$J$3:$J$19,MATCH($D303,MODELOS!$A$3:$A$19,0))</f>
        <v>Conforme modelo</v>
      </c>
      <c r="J303" s="11" t="str">
        <f aca="false">IF(LEFT($D303,2)&lt;&gt;"AP",IF($I303="SIM","SIM","RECOMENDADA"),IF(INDEX(PRODUTOS!$J$4:$J$63,MATCH($A303,PRODUTOS!$B$4:$B$63,0))&lt;&gt;"","NÃO (usa o A+ do EAN "&amp;INDEX(PRODUTOS!$J$4:$J$63,MATCH($A303,PRODUTOS!$B$4:$B$63,0))&amp;")",IF(AND(INDEX(PRODUTOS!$I$4:$I$63,MATCH($A303,PRODUTOS!$B$4:$B$63,0))="B",$D303="AP07"),"NÃO (modelo B)","SIM")))</f>
        <v>SIM</v>
      </c>
      <c r="K303" s="13" t="s">
        <v>325</v>
      </c>
      <c r="L303" s="13"/>
    </row>
    <row r="304" customFormat="false" ht="15" hidden="false" customHeight="false" outlineLevel="0" collapsed="false">
      <c r="A304" s="15" t="s">
        <v>118</v>
      </c>
      <c r="B304" s="11" t="str">
        <f aca="false">INDEX(PRODUTOS!$E$4:$E$63,MATCH($A304,PRODUTOS!$B$4:$B$63,0))</f>
        <v>Ração Seca Natural Dots para Cães Filhotes - Pacote 15 kg</v>
      </c>
      <c r="C304" s="11" t="str">
        <f aca="false">INDEX(PRODUTOS!$H$4:$H$63,MATCH($A304,PRODUTOS!$B$4:$B$63,0))</f>
        <v>15 kg</v>
      </c>
      <c r="D304" s="11" t="s">
        <v>336</v>
      </c>
      <c r="E304" s="16" t="str">
        <f aca="false">$A304&amp;"."&amp;$D304&amp;".jpg"</f>
        <v>7898968541313.AP03.jpg</v>
      </c>
      <c r="F304" s="11" t="str">
        <f aca="false">IF(INDEX(PRODUTOS!$I$4:$I$63,MATCH($A304,PRODUTOS!$B$4:$B$63,0))="B",INDEX(MODELOS!$F$3:$F$19,MATCH($D304,MODELOS!$A$3:$A$19,0)),INDEX(MODELOS!$B$3:$B$19,MATCH($D304,MODELOS!$A$3:$A$19,0)))</f>
        <v>A+ · Módulo 3 · Benefício 1 de 4</v>
      </c>
      <c r="G304" s="11" t="str">
        <f aca="false">IF(INDEX(PRODUTOS!$F$4:$F$63,MATCH($A304,PRODUTOS!$B$4:$B$63,0))="Ração",IF(INDEX(PRODUTOS!$I$4:$I$63,MATCH($A304,PRODUTOS!$B$4:$B$63,0))="B",INDEX(MODELOS!$G$3:$G$19,MATCH($D304,MODELOS!$A$3:$A$19,0)),INDEX(MODELOS!$C$3:$C$19,MATCH($D304,MODELOS!$A$3:$A$19,0))),IF(INDEX(PRODUTOS!$I$4:$I$63,MATCH($A304,PRODUTOS!$B$4:$B$63,0))="B",INDEX(MODELOS!$H$3:$H$19,MATCH($D304,MODELOS!$A$3:$A$19,0)),INDEX(MODELOS!$D$3:$D$19,MATCH($D304,MODELOS!$A$3:$A$19,0))))</f>
        <v>Foto/ilustração do benefício 1</v>
      </c>
      <c r="H304" s="11" t="str">
        <f aca="false">IF(INDEX(PRODUTOS!$I$4:$I$63,MATCH($A304,PRODUTOS!$B$4:$B$63,0))="B",INDEX(MODELOS!$I$3:$I$19,MATCH($D304,MODELOS!$A$3:$A$19,0)),INDEX(MODELOS!$E$3:$E$19,MATCH($D304,MODELOS!$A$3:$A$19,0)))</f>
        <v>220 × 200</v>
      </c>
      <c r="I304" s="11" t="str">
        <f aca="false">INDEX(MODELOS!$J$3:$J$19,MATCH($D304,MODELOS!$A$3:$A$19,0))</f>
        <v>Conforme modelo</v>
      </c>
      <c r="J304" s="11" t="str">
        <f aca="false">IF(LEFT($D304,2)&lt;&gt;"AP",IF($I304="SIM","SIM","RECOMENDADA"),IF(INDEX(PRODUTOS!$J$4:$J$63,MATCH($A304,PRODUTOS!$B$4:$B$63,0))&lt;&gt;"","NÃO (usa o A+ do EAN "&amp;INDEX(PRODUTOS!$J$4:$J$63,MATCH($A304,PRODUTOS!$B$4:$B$63,0))&amp;")",IF(AND(INDEX(PRODUTOS!$I$4:$I$63,MATCH($A304,PRODUTOS!$B$4:$B$63,0))="B",$D304="AP07"),"NÃO (modelo B)","SIM")))</f>
        <v>SIM</v>
      </c>
      <c r="K304" s="13" t="s">
        <v>325</v>
      </c>
      <c r="L304" s="13"/>
    </row>
    <row r="305" customFormat="false" ht="15" hidden="false" customHeight="false" outlineLevel="0" collapsed="false">
      <c r="A305" s="15" t="s">
        <v>118</v>
      </c>
      <c r="B305" s="11" t="str">
        <f aca="false">INDEX(PRODUTOS!$E$4:$E$63,MATCH($A305,PRODUTOS!$B$4:$B$63,0))</f>
        <v>Ração Seca Natural Dots para Cães Filhotes - Pacote 15 kg</v>
      </c>
      <c r="C305" s="11" t="str">
        <f aca="false">INDEX(PRODUTOS!$H$4:$H$63,MATCH($A305,PRODUTOS!$B$4:$B$63,0))</f>
        <v>15 kg</v>
      </c>
      <c r="D305" s="11" t="s">
        <v>337</v>
      </c>
      <c r="E305" s="16" t="str">
        <f aca="false">$A305&amp;"."&amp;$D305&amp;".jpg"</f>
        <v>7898968541313.AP04.jpg</v>
      </c>
      <c r="F305" s="11" t="str">
        <f aca="false">IF(INDEX(PRODUTOS!$I$4:$I$63,MATCH($A305,PRODUTOS!$B$4:$B$63,0))="B",INDEX(MODELOS!$F$3:$F$19,MATCH($D305,MODELOS!$A$3:$A$19,0)),INDEX(MODELOS!$B$3:$B$19,MATCH($D305,MODELOS!$A$3:$A$19,0)))</f>
        <v>A+ · Módulo 3 · Benefício 2 de 4</v>
      </c>
      <c r="G305" s="11" t="str">
        <f aca="false">IF(INDEX(PRODUTOS!$F$4:$F$63,MATCH($A305,PRODUTOS!$B$4:$B$63,0))="Ração",IF(INDEX(PRODUTOS!$I$4:$I$63,MATCH($A305,PRODUTOS!$B$4:$B$63,0))="B",INDEX(MODELOS!$G$3:$G$19,MATCH($D305,MODELOS!$A$3:$A$19,0)),INDEX(MODELOS!$C$3:$C$19,MATCH($D305,MODELOS!$A$3:$A$19,0))),IF(INDEX(PRODUTOS!$I$4:$I$63,MATCH($A305,PRODUTOS!$B$4:$B$63,0))="B",INDEX(MODELOS!$H$3:$H$19,MATCH($D305,MODELOS!$A$3:$A$19,0)),INDEX(MODELOS!$D$3:$D$19,MATCH($D305,MODELOS!$A$3:$A$19,0))))</f>
        <v>Foto/ilustração do benefício 2</v>
      </c>
      <c r="H305" s="11" t="str">
        <f aca="false">IF(INDEX(PRODUTOS!$I$4:$I$63,MATCH($A305,PRODUTOS!$B$4:$B$63,0))="B",INDEX(MODELOS!$I$3:$I$19,MATCH($D305,MODELOS!$A$3:$A$19,0)),INDEX(MODELOS!$E$3:$E$19,MATCH($D305,MODELOS!$A$3:$A$19,0)))</f>
        <v>220 × 200</v>
      </c>
      <c r="I305" s="11" t="str">
        <f aca="false">INDEX(MODELOS!$J$3:$J$19,MATCH($D305,MODELOS!$A$3:$A$19,0))</f>
        <v>Conforme modelo</v>
      </c>
      <c r="J305" s="11" t="str">
        <f aca="false">IF(LEFT($D305,2)&lt;&gt;"AP",IF($I305="SIM","SIM","RECOMENDADA"),IF(INDEX(PRODUTOS!$J$4:$J$63,MATCH($A305,PRODUTOS!$B$4:$B$63,0))&lt;&gt;"","NÃO (usa o A+ do EAN "&amp;INDEX(PRODUTOS!$J$4:$J$63,MATCH($A305,PRODUTOS!$B$4:$B$63,0))&amp;")",IF(AND(INDEX(PRODUTOS!$I$4:$I$63,MATCH($A305,PRODUTOS!$B$4:$B$63,0))="B",$D305="AP07"),"NÃO (modelo B)","SIM")))</f>
        <v>SIM</v>
      </c>
      <c r="K305" s="13" t="s">
        <v>325</v>
      </c>
      <c r="L305" s="13"/>
    </row>
    <row r="306" customFormat="false" ht="15" hidden="false" customHeight="false" outlineLevel="0" collapsed="false">
      <c r="A306" s="15" t="s">
        <v>118</v>
      </c>
      <c r="B306" s="11" t="str">
        <f aca="false">INDEX(PRODUTOS!$E$4:$E$63,MATCH($A306,PRODUTOS!$B$4:$B$63,0))</f>
        <v>Ração Seca Natural Dots para Cães Filhotes - Pacote 15 kg</v>
      </c>
      <c r="C306" s="11" t="str">
        <f aca="false">INDEX(PRODUTOS!$H$4:$H$63,MATCH($A306,PRODUTOS!$B$4:$B$63,0))</f>
        <v>15 kg</v>
      </c>
      <c r="D306" s="11" t="s">
        <v>338</v>
      </c>
      <c r="E306" s="16" t="str">
        <f aca="false">$A306&amp;"."&amp;$D306&amp;".jpg"</f>
        <v>7898968541313.AP05.jpg</v>
      </c>
      <c r="F306" s="11" t="str">
        <f aca="false">IF(INDEX(PRODUTOS!$I$4:$I$63,MATCH($A306,PRODUTOS!$B$4:$B$63,0))="B",INDEX(MODELOS!$F$3:$F$19,MATCH($D306,MODELOS!$A$3:$A$19,0)),INDEX(MODELOS!$B$3:$B$19,MATCH($D306,MODELOS!$A$3:$A$19,0)))</f>
        <v>A+ · Módulo 3 · Benefício 3 de 4</v>
      </c>
      <c r="G306" s="11" t="str">
        <f aca="false">IF(INDEX(PRODUTOS!$F$4:$F$63,MATCH($A306,PRODUTOS!$B$4:$B$63,0))="Ração",IF(INDEX(PRODUTOS!$I$4:$I$63,MATCH($A306,PRODUTOS!$B$4:$B$63,0))="B",INDEX(MODELOS!$G$3:$G$19,MATCH($D306,MODELOS!$A$3:$A$19,0)),INDEX(MODELOS!$C$3:$C$19,MATCH($D306,MODELOS!$A$3:$A$19,0))),IF(INDEX(PRODUTOS!$I$4:$I$63,MATCH($A306,PRODUTOS!$B$4:$B$63,0))="B",INDEX(MODELOS!$H$3:$H$19,MATCH($D306,MODELOS!$A$3:$A$19,0)),INDEX(MODELOS!$D$3:$D$19,MATCH($D306,MODELOS!$A$3:$A$19,0))))</f>
        <v>Foto/ilustração do benefício 3</v>
      </c>
      <c r="H306" s="11" t="str">
        <f aca="false">IF(INDEX(PRODUTOS!$I$4:$I$63,MATCH($A306,PRODUTOS!$B$4:$B$63,0))="B",INDEX(MODELOS!$I$3:$I$19,MATCH($D306,MODELOS!$A$3:$A$19,0)),INDEX(MODELOS!$E$3:$E$19,MATCH($D306,MODELOS!$A$3:$A$19,0)))</f>
        <v>220 × 200</v>
      </c>
      <c r="I306" s="11" t="str">
        <f aca="false">INDEX(MODELOS!$J$3:$J$19,MATCH($D306,MODELOS!$A$3:$A$19,0))</f>
        <v>Conforme modelo</v>
      </c>
      <c r="J306" s="11" t="str">
        <f aca="false">IF(LEFT($D306,2)&lt;&gt;"AP",IF($I306="SIM","SIM","RECOMENDADA"),IF(INDEX(PRODUTOS!$J$4:$J$63,MATCH($A306,PRODUTOS!$B$4:$B$63,0))&lt;&gt;"","NÃO (usa o A+ do EAN "&amp;INDEX(PRODUTOS!$J$4:$J$63,MATCH($A306,PRODUTOS!$B$4:$B$63,0))&amp;")",IF(AND(INDEX(PRODUTOS!$I$4:$I$63,MATCH($A306,PRODUTOS!$B$4:$B$63,0))="B",$D306="AP07"),"NÃO (modelo B)","SIM")))</f>
        <v>SIM</v>
      </c>
      <c r="K306" s="13" t="s">
        <v>325</v>
      </c>
      <c r="L306" s="13"/>
    </row>
    <row r="307" customFormat="false" ht="15" hidden="false" customHeight="false" outlineLevel="0" collapsed="false">
      <c r="A307" s="15" t="s">
        <v>118</v>
      </c>
      <c r="B307" s="11" t="str">
        <f aca="false">INDEX(PRODUTOS!$E$4:$E$63,MATCH($A307,PRODUTOS!$B$4:$B$63,0))</f>
        <v>Ração Seca Natural Dots para Cães Filhotes - Pacote 15 kg</v>
      </c>
      <c r="C307" s="11" t="str">
        <f aca="false">INDEX(PRODUTOS!$H$4:$H$63,MATCH($A307,PRODUTOS!$B$4:$B$63,0))</f>
        <v>15 kg</v>
      </c>
      <c r="D307" s="11" t="s">
        <v>339</v>
      </c>
      <c r="E307" s="16" t="str">
        <f aca="false">$A307&amp;"."&amp;$D307&amp;".jpg"</f>
        <v>7898968541313.AP06.jpg</v>
      </c>
      <c r="F307" s="11" t="str">
        <f aca="false">IF(INDEX(PRODUTOS!$I$4:$I$63,MATCH($A307,PRODUTOS!$B$4:$B$63,0))="B",INDEX(MODELOS!$F$3:$F$19,MATCH($D307,MODELOS!$A$3:$A$19,0)),INDEX(MODELOS!$B$3:$B$19,MATCH($D307,MODELOS!$A$3:$A$19,0)))</f>
        <v>A+ · Módulo 3 · Benefício 4 de 4</v>
      </c>
      <c r="G307" s="11" t="str">
        <f aca="false">IF(INDEX(PRODUTOS!$F$4:$F$63,MATCH($A307,PRODUTOS!$B$4:$B$63,0))="Ração",IF(INDEX(PRODUTOS!$I$4:$I$63,MATCH($A307,PRODUTOS!$B$4:$B$63,0))="B",INDEX(MODELOS!$G$3:$G$19,MATCH($D307,MODELOS!$A$3:$A$19,0)),INDEX(MODELOS!$C$3:$C$19,MATCH($D307,MODELOS!$A$3:$A$19,0))),IF(INDEX(PRODUTOS!$I$4:$I$63,MATCH($A307,PRODUTOS!$B$4:$B$63,0))="B",INDEX(MODELOS!$H$3:$H$19,MATCH($D307,MODELOS!$A$3:$A$19,0)),INDEX(MODELOS!$D$3:$D$19,MATCH($D307,MODELOS!$A$3:$A$19,0))))</f>
        <v>Foto/ilustração do benefício 4</v>
      </c>
      <c r="H307" s="11" t="str">
        <f aca="false">IF(INDEX(PRODUTOS!$I$4:$I$63,MATCH($A307,PRODUTOS!$B$4:$B$63,0))="B",INDEX(MODELOS!$I$3:$I$19,MATCH($D307,MODELOS!$A$3:$A$19,0)),INDEX(MODELOS!$E$3:$E$19,MATCH($D307,MODELOS!$A$3:$A$19,0)))</f>
        <v>220 × 200</v>
      </c>
      <c r="I307" s="11" t="str">
        <f aca="false">INDEX(MODELOS!$J$3:$J$19,MATCH($D307,MODELOS!$A$3:$A$19,0))</f>
        <v>Conforme modelo</v>
      </c>
      <c r="J307" s="11" t="str">
        <f aca="false">IF(LEFT($D307,2)&lt;&gt;"AP",IF($I307="SIM","SIM","RECOMENDADA"),IF(INDEX(PRODUTOS!$J$4:$J$63,MATCH($A307,PRODUTOS!$B$4:$B$63,0))&lt;&gt;"","NÃO (usa o A+ do EAN "&amp;INDEX(PRODUTOS!$J$4:$J$63,MATCH($A307,PRODUTOS!$B$4:$B$63,0))&amp;")",IF(AND(INDEX(PRODUTOS!$I$4:$I$63,MATCH($A307,PRODUTOS!$B$4:$B$63,0))="B",$D307="AP07"),"NÃO (modelo B)","SIM")))</f>
        <v>SIM</v>
      </c>
      <c r="K307" s="13" t="s">
        <v>325</v>
      </c>
      <c r="L307" s="13"/>
    </row>
    <row r="308" customFormat="false" ht="15" hidden="false" customHeight="false" outlineLevel="0" collapsed="false">
      <c r="A308" s="15" t="s">
        <v>118</v>
      </c>
      <c r="B308" s="11" t="str">
        <f aca="false">INDEX(PRODUTOS!$E$4:$E$63,MATCH($A308,PRODUTOS!$B$4:$B$63,0))</f>
        <v>Ração Seca Natural Dots para Cães Filhotes - Pacote 15 kg</v>
      </c>
      <c r="C308" s="11" t="str">
        <f aca="false">INDEX(PRODUTOS!$H$4:$H$63,MATCH($A308,PRODUTOS!$B$4:$B$63,0))</f>
        <v>15 kg</v>
      </c>
      <c r="D308" s="11" t="s">
        <v>340</v>
      </c>
      <c r="E308" s="16" t="str">
        <f aca="false">$A308&amp;"."&amp;$D308&amp;".jpg"</f>
        <v>7898968541313.AP07.jpg</v>
      </c>
      <c r="F308" s="11" t="str">
        <f aca="false">IF(INDEX(PRODUTOS!$I$4:$I$63,MATCH($A308,PRODUTOS!$B$4:$B$63,0))="B",INDEX(MODELOS!$F$3:$F$19,MATCH($D308,MODELOS!$A$3:$A$19,0)),INDEX(MODELOS!$B$3:$B$19,MATCH($D308,MODELOS!$A$3:$A$19,0)))</f>
        <v>A+ · Módulo 4 · Especificações</v>
      </c>
      <c r="G308" s="11" t="str">
        <f aca="false">IF(INDEX(PRODUTOS!$F$4:$F$63,MATCH($A308,PRODUTOS!$B$4:$B$63,0))="Ração",IF(INDEX(PRODUTOS!$I$4:$I$63,MATCH($A308,PRODUTOS!$B$4:$B$63,0))="B",INDEX(MODELOS!$G$3:$G$19,MATCH($D308,MODELOS!$A$3:$A$19,0)),INDEX(MODELOS!$C$3:$C$19,MATCH($D308,MODELOS!$A$3:$A$19,0))),IF(INDEX(PRODUTOS!$I$4:$I$63,MATCH($A308,PRODUTOS!$B$4:$B$63,0))="B",INDEX(MODELOS!$H$3:$H$19,MATCH($D308,MODELOS!$A$3:$A$19,0)),INDEX(MODELOS!$D$3:$D$19,MATCH($D308,MODELOS!$A$3:$A$19,0))))</f>
        <v>Grão ou pacote em destaque</v>
      </c>
      <c r="H308" s="11" t="str">
        <f aca="false">IF(INDEX(PRODUTOS!$I$4:$I$63,MATCH($A308,PRODUTOS!$B$4:$B$63,0))="B",INDEX(MODELOS!$I$3:$I$19,MATCH($D308,MODELOS!$A$3:$A$19,0)),INDEX(MODELOS!$E$3:$E$19,MATCH($D308,MODELOS!$A$3:$A$19,0)))</f>
        <v>300 × 300</v>
      </c>
      <c r="I308" s="11" t="str">
        <f aca="false">INDEX(MODELOS!$J$3:$J$19,MATCH($D308,MODELOS!$A$3:$A$19,0))</f>
        <v>Conforme modelo</v>
      </c>
      <c r="J308" s="11" t="str">
        <f aca="false">IF(LEFT($D308,2)&lt;&gt;"AP",IF($I308="SIM","SIM","RECOMENDADA"),IF(INDEX(PRODUTOS!$J$4:$J$63,MATCH($A308,PRODUTOS!$B$4:$B$63,0))&lt;&gt;"","NÃO (usa o A+ do EAN "&amp;INDEX(PRODUTOS!$J$4:$J$63,MATCH($A308,PRODUTOS!$B$4:$B$63,0))&amp;")",IF(AND(INDEX(PRODUTOS!$I$4:$I$63,MATCH($A308,PRODUTOS!$B$4:$B$63,0))="B",$D308="AP07"),"NÃO (modelo B)","SIM")))</f>
        <v>SIM</v>
      </c>
      <c r="K308" s="13" t="s">
        <v>325</v>
      </c>
      <c r="L308" s="13"/>
    </row>
    <row r="309" customFormat="false" ht="15" hidden="false" customHeight="false" outlineLevel="0" collapsed="false">
      <c r="A309" s="15" t="s">
        <v>118</v>
      </c>
      <c r="B309" s="11" t="str">
        <f aca="false">INDEX(PRODUTOS!$E$4:$E$63,MATCH($A309,PRODUTOS!$B$4:$B$63,0))</f>
        <v>Ração Seca Natural Dots para Cães Filhotes - Pacote 15 kg</v>
      </c>
      <c r="C309" s="11" t="str">
        <f aca="false">INDEX(PRODUTOS!$H$4:$H$63,MATCH($A309,PRODUTOS!$B$4:$B$63,0))</f>
        <v>15 kg</v>
      </c>
      <c r="D309" s="11" t="s">
        <v>341</v>
      </c>
      <c r="E309" s="16" t="str">
        <f aca="false">$A309&amp;"."&amp;$D309&amp;".jpg"</f>
        <v>7898968541313.COMP.jpg</v>
      </c>
      <c r="F309" s="11" t="str">
        <f aca="false">IF(INDEX(PRODUTOS!$I$4:$I$63,MATCH($A309,PRODUTOS!$B$4:$B$63,0))="B",INDEX(MODELOS!$F$3:$F$19,MATCH($D309,MODELOS!$A$3:$A$19,0)),INDEX(MODELOS!$B$3:$B$19,MATCH($D309,MODELOS!$A$3:$A$19,0)))</f>
        <v>A+ · Tabela comparativa</v>
      </c>
      <c r="G309" s="11" t="str">
        <f aca="false">IF(INDEX(PRODUTOS!$F$4:$F$63,MATCH($A309,PRODUTOS!$B$4:$B$63,0))="Ração",IF(INDEX(PRODUTOS!$I$4:$I$63,MATCH($A309,PRODUTOS!$B$4:$B$63,0))="B",INDEX(MODELOS!$G$3:$G$19,MATCH($D309,MODELOS!$A$3:$A$19,0)),INDEX(MODELOS!$C$3:$C$19,MATCH($D309,MODELOS!$A$3:$A$19,0))),IF(INDEX(PRODUTOS!$I$4:$I$63,MATCH($A309,PRODUTOS!$B$4:$B$63,0))="B",INDEX(MODELOS!$H$3:$H$19,MATCH($D309,MODELOS!$A$3:$A$19,0)),INDEX(MODELOS!$D$3:$D$19,MATCH($D309,MODELOS!$A$3:$A$19,0))))</f>
        <v>Pacote na vertical, sem fundo colorido</v>
      </c>
      <c r="H309" s="11" t="str">
        <f aca="false">IF(INDEX(PRODUTOS!$I$4:$I$63,MATCH($A309,PRODUTOS!$B$4:$B$63,0))="B",INDEX(MODELOS!$I$3:$I$19,MATCH($D309,MODELOS!$A$3:$A$19,0)),INDEX(MODELOS!$E$3:$E$19,MATCH($D309,MODELOS!$A$3:$A$19,0)))</f>
        <v>150 × 300</v>
      </c>
      <c r="I309" s="11" t="str">
        <f aca="false">INDEX(MODELOS!$J$3:$J$19,MATCH($D309,MODELOS!$A$3:$A$19,0))</f>
        <v>SIM</v>
      </c>
      <c r="J309" s="11" t="str">
        <f aca="false">IF(LEFT($D309,2)&lt;&gt;"AP",IF($I309="SIM","SIM","RECOMENDADA"),IF(INDEX(PRODUTOS!$J$4:$J$63,MATCH($A309,PRODUTOS!$B$4:$B$63,0))&lt;&gt;"","NÃO (usa o A+ do EAN "&amp;INDEX(PRODUTOS!$J$4:$J$63,MATCH($A309,PRODUTOS!$B$4:$B$63,0))&amp;")",IF(AND(INDEX(PRODUTOS!$I$4:$I$63,MATCH($A309,PRODUTOS!$B$4:$B$63,0))="B",$D309="AP07"),"NÃO (modelo B)","SIM")))</f>
        <v>SIM</v>
      </c>
      <c r="K309" s="13" t="s">
        <v>325</v>
      </c>
      <c r="L309" s="13"/>
    </row>
    <row r="310" customFormat="false" ht="15" hidden="false" customHeight="false" outlineLevel="0" collapsed="false">
      <c r="A310" s="15" t="s">
        <v>123</v>
      </c>
      <c r="B310" s="11" t="str">
        <f aca="false">INDEX(PRODUTOS!$E$4:$E$63,MATCH($A310,PRODUTOS!$B$4:$B$63,0))</f>
        <v>Ração Seca Natural Dots para Cães Filhotes - Pacote 1 kg</v>
      </c>
      <c r="C310" s="11" t="str">
        <f aca="false">INDEX(PRODUTOS!$H$4:$H$63,MATCH($A310,PRODUTOS!$B$4:$B$63,0))</f>
        <v>1 kg</v>
      </c>
      <c r="D310" s="11" t="s">
        <v>324</v>
      </c>
      <c r="E310" s="16" t="str">
        <f aca="false">$A310&amp;"."&amp;$D310&amp;".jpg"</f>
        <v>7898968541290.MAIN.jpg</v>
      </c>
      <c r="F310" s="11" t="str">
        <f aca="false">IF(INDEX(PRODUTOS!$I$4:$I$63,MATCH($A310,PRODUTOS!$B$4:$B$63,0))="B",INDEX(MODELOS!$F$3:$F$19,MATCH($D310,MODELOS!$A$3:$A$19,0)),INDEX(MODELOS!$B$3:$B$19,MATCH($D310,MODELOS!$A$3:$A$19,0)))</f>
        <v>Capa (posição 1)</v>
      </c>
      <c r="G310" s="11" t="str">
        <f aca="false">IF(INDEX(PRODUTOS!$F$4:$F$63,MATCH($A310,PRODUTOS!$B$4:$B$63,0))="Ração",IF(INDEX(PRODUTOS!$I$4:$I$63,MATCH($A310,PRODUTOS!$B$4:$B$63,0))="B",INDEX(MODELOS!$G$3:$G$19,MATCH($D310,MODELOS!$A$3:$A$19,0)),INDEX(MODELOS!$C$3:$C$19,MATCH($D310,MODELOS!$A$3:$A$19,0))),IF(INDEX(PRODUTOS!$I$4:$I$63,MATCH($A310,PRODUTOS!$B$4:$B$63,0))="B",INDEX(MODELOS!$H$3:$H$19,MATCH($D310,MODELOS!$A$3:$A$19,0)),INDEX(MODELOS!$D$3:$D$19,MATCH($D310,MODELOS!$A$3:$A$19,0))))</f>
        <v>Embalagem de frente, fundo branco puro, 85% da área, nada adicionado</v>
      </c>
      <c r="H310" s="11" t="str">
        <f aca="false">IF(INDEX(PRODUTOS!$I$4:$I$63,MATCH($A310,PRODUTOS!$B$4:$B$63,0))="B",INDEX(MODELOS!$I$3:$I$19,MATCH($D310,MODELOS!$A$3:$A$19,0)),INDEX(MODELOS!$E$3:$E$19,MATCH($D310,MODELOS!$A$3:$A$19,0)))</f>
        <v>2000 × 2000</v>
      </c>
      <c r="I310" s="11" t="str">
        <f aca="false">INDEX(MODELOS!$J$3:$J$19,MATCH($D310,MODELOS!$A$3:$A$19,0))</f>
        <v>SIM</v>
      </c>
      <c r="J310" s="11" t="str">
        <f aca="false">IF(LEFT($D310,2)&lt;&gt;"AP",IF($I310="SIM","SIM","RECOMENDADA"),IF(INDEX(PRODUTOS!$J$4:$J$63,MATCH($A310,PRODUTOS!$B$4:$B$63,0))&lt;&gt;"","NÃO (usa o A+ do EAN "&amp;INDEX(PRODUTOS!$J$4:$J$63,MATCH($A310,PRODUTOS!$B$4:$B$63,0))&amp;")",IF(AND(INDEX(PRODUTOS!$I$4:$I$63,MATCH($A310,PRODUTOS!$B$4:$B$63,0))="B",$D310="AP07"),"NÃO (modelo B)","SIM")))</f>
        <v>SIM</v>
      </c>
      <c r="K310" s="13" t="s">
        <v>325</v>
      </c>
      <c r="L310" s="13"/>
    </row>
    <row r="311" customFormat="false" ht="15" hidden="false" customHeight="false" outlineLevel="0" collapsed="false">
      <c r="A311" s="15" t="s">
        <v>123</v>
      </c>
      <c r="B311" s="11" t="str">
        <f aca="false">INDEX(PRODUTOS!$E$4:$E$63,MATCH($A311,PRODUTOS!$B$4:$B$63,0))</f>
        <v>Ração Seca Natural Dots para Cães Filhotes - Pacote 1 kg</v>
      </c>
      <c r="C311" s="11" t="str">
        <f aca="false">INDEX(PRODUTOS!$H$4:$H$63,MATCH($A311,PRODUTOS!$B$4:$B$63,0))</f>
        <v>1 kg</v>
      </c>
      <c r="D311" s="11" t="s">
        <v>326</v>
      </c>
      <c r="E311" s="16" t="str">
        <f aca="false">$A311&amp;"."&amp;$D311&amp;".jpg"</f>
        <v>7898968541290.PT01.jpg</v>
      </c>
      <c r="F311" s="11" t="str">
        <f aca="false">IF(INDEX(PRODUTOS!$I$4:$I$63,MATCH($A311,PRODUTOS!$B$4:$B$63,0))="B",INDEX(MODELOS!$F$3:$F$19,MATCH($D311,MODELOS!$A$3:$A$19,0)),INDEX(MODELOS!$B$3:$B$19,MATCH($D311,MODELOS!$A$3:$A$19,0)))</f>
        <v>Galeria · posição 2</v>
      </c>
      <c r="G311" s="11" t="str">
        <f aca="false">IF(INDEX(PRODUTOS!$F$4:$F$63,MATCH($A311,PRODUTOS!$B$4:$B$63,0))="Ração",IF(INDEX(PRODUTOS!$I$4:$I$63,MATCH($A311,PRODUTOS!$B$4:$B$63,0))="B",INDEX(MODELOS!$G$3:$G$19,MATCH($D311,MODELOS!$A$3:$A$19,0)),INDEX(MODELOS!$C$3:$C$19,MATCH($D311,MODELOS!$A$3:$A$19,0))),IF(INDEX(PRODUTOS!$I$4:$I$63,MATCH($A311,PRODUTOS!$B$4:$B$63,0))="B",INDEX(MODELOS!$H$3:$H$19,MATCH($D311,MODELOS!$A$3:$A$19,0)),INDEX(MODELOS!$D$3:$D$19,MATCH($D311,MODELOS!$A$3:$A$19,0))))</f>
        <v>Grande diferencial da linha (número ou promessa forte + grão e ingrediente)</v>
      </c>
      <c r="H311" s="11" t="str">
        <f aca="false">IF(INDEX(PRODUTOS!$I$4:$I$63,MATCH($A311,PRODUTOS!$B$4:$B$63,0))="B",INDEX(MODELOS!$I$3:$I$19,MATCH($D311,MODELOS!$A$3:$A$19,0)),INDEX(MODELOS!$E$3:$E$19,MATCH($D311,MODELOS!$A$3:$A$19,0)))</f>
        <v>2000 × 2000</v>
      </c>
      <c r="I311" s="11" t="str">
        <f aca="false">INDEX(MODELOS!$J$3:$J$19,MATCH($D311,MODELOS!$A$3:$A$19,0))</f>
        <v>SIM</v>
      </c>
      <c r="J311" s="11" t="str">
        <f aca="false">IF(LEFT($D311,2)&lt;&gt;"AP",IF($I311="SIM","SIM","RECOMENDADA"),IF(INDEX(PRODUTOS!$J$4:$J$63,MATCH($A311,PRODUTOS!$B$4:$B$63,0))&lt;&gt;"","NÃO (usa o A+ do EAN "&amp;INDEX(PRODUTOS!$J$4:$J$63,MATCH($A311,PRODUTOS!$B$4:$B$63,0))&amp;")",IF(AND(INDEX(PRODUTOS!$I$4:$I$63,MATCH($A311,PRODUTOS!$B$4:$B$63,0))="B",$D311="AP07"),"NÃO (modelo B)","SIM")))</f>
        <v>SIM</v>
      </c>
      <c r="K311" s="13" t="s">
        <v>325</v>
      </c>
      <c r="L311" s="13"/>
    </row>
    <row r="312" customFormat="false" ht="15" hidden="false" customHeight="false" outlineLevel="0" collapsed="false">
      <c r="A312" s="15" t="s">
        <v>123</v>
      </c>
      <c r="B312" s="11" t="str">
        <f aca="false">INDEX(PRODUTOS!$E$4:$E$63,MATCH($A312,PRODUTOS!$B$4:$B$63,0))</f>
        <v>Ração Seca Natural Dots para Cães Filhotes - Pacote 1 kg</v>
      </c>
      <c r="C312" s="11" t="str">
        <f aca="false">INDEX(PRODUTOS!$H$4:$H$63,MATCH($A312,PRODUTOS!$B$4:$B$63,0))</f>
        <v>1 kg</v>
      </c>
      <c r="D312" s="11" t="s">
        <v>327</v>
      </c>
      <c r="E312" s="16" t="str">
        <f aca="false">$A312&amp;"."&amp;$D312&amp;".jpg"</f>
        <v>7898968541290.PT02.jpg</v>
      </c>
      <c r="F312" s="11" t="str">
        <f aca="false">IF(INDEX(PRODUTOS!$I$4:$I$63,MATCH($A312,PRODUTOS!$B$4:$B$63,0))="B",INDEX(MODELOS!$F$3:$F$19,MATCH($D312,MODELOS!$A$3:$A$19,0)),INDEX(MODELOS!$B$3:$B$19,MATCH($D312,MODELOS!$A$3:$A$19,0)))</f>
        <v>Galeria · posição 3</v>
      </c>
      <c r="G312" s="11" t="str">
        <f aca="false">IF(INDEX(PRODUTOS!$F$4:$F$63,MATCH($A312,PRODUTOS!$B$4:$B$63,0))="Ração",IF(INDEX(PRODUTOS!$I$4:$I$63,MATCH($A312,PRODUTOS!$B$4:$B$63,0))="B",INDEX(MODELOS!$G$3:$G$19,MATCH($D312,MODELOS!$A$3:$A$19,0)),INDEX(MODELOS!$C$3:$C$19,MATCH($D312,MODELOS!$A$3:$A$19,0))),IF(INDEX(PRODUTOS!$I$4:$I$63,MATCH($A312,PRODUTOS!$B$4:$B$63,0))="B",INDEX(MODELOS!$H$3:$H$19,MATCH($D312,MODELOS!$A$3:$A$19,0)),INDEX(MODELOS!$D$3:$D$19,MATCH($D312,MODELOS!$A$3:$A$19,0))))</f>
        <v>Benefícios com ícones (4 a 6, impressos na embalagem) + ingrediente</v>
      </c>
      <c r="H312" s="11" t="str">
        <f aca="false">IF(INDEX(PRODUTOS!$I$4:$I$63,MATCH($A312,PRODUTOS!$B$4:$B$63,0))="B",INDEX(MODELOS!$I$3:$I$19,MATCH($D312,MODELOS!$A$3:$A$19,0)),INDEX(MODELOS!$E$3:$E$19,MATCH($D312,MODELOS!$A$3:$A$19,0)))</f>
        <v>2000 × 2000</v>
      </c>
      <c r="I312" s="11" t="str">
        <f aca="false">INDEX(MODELOS!$J$3:$J$19,MATCH($D312,MODELOS!$A$3:$A$19,0))</f>
        <v>SIM</v>
      </c>
      <c r="J312" s="11" t="str">
        <f aca="false">IF(LEFT($D312,2)&lt;&gt;"AP",IF($I312="SIM","SIM","RECOMENDADA"),IF(INDEX(PRODUTOS!$J$4:$J$63,MATCH($A312,PRODUTOS!$B$4:$B$63,0))&lt;&gt;"","NÃO (usa o A+ do EAN "&amp;INDEX(PRODUTOS!$J$4:$J$63,MATCH($A312,PRODUTOS!$B$4:$B$63,0))&amp;")",IF(AND(INDEX(PRODUTOS!$I$4:$I$63,MATCH($A312,PRODUTOS!$B$4:$B$63,0))="B",$D312="AP07"),"NÃO (modelo B)","SIM")))</f>
        <v>SIM</v>
      </c>
      <c r="K312" s="13" t="s">
        <v>325</v>
      </c>
      <c r="L312" s="13"/>
    </row>
    <row r="313" customFormat="false" ht="15" hidden="false" customHeight="false" outlineLevel="0" collapsed="false">
      <c r="A313" s="15" t="s">
        <v>123</v>
      </c>
      <c r="B313" s="11" t="str">
        <f aca="false">INDEX(PRODUTOS!$E$4:$E$63,MATCH($A313,PRODUTOS!$B$4:$B$63,0))</f>
        <v>Ração Seca Natural Dots para Cães Filhotes - Pacote 1 kg</v>
      </c>
      <c r="C313" s="11" t="str">
        <f aca="false">INDEX(PRODUTOS!$H$4:$H$63,MATCH($A313,PRODUTOS!$B$4:$B$63,0))</f>
        <v>1 kg</v>
      </c>
      <c r="D313" s="11" t="s">
        <v>328</v>
      </c>
      <c r="E313" s="16" t="str">
        <f aca="false">$A313&amp;"."&amp;$D313&amp;".jpg"</f>
        <v>7898968541290.PT03.jpg</v>
      </c>
      <c r="F313" s="11" t="str">
        <f aca="false">IF(INDEX(PRODUTOS!$I$4:$I$63,MATCH($A313,PRODUTOS!$B$4:$B$63,0))="B",INDEX(MODELOS!$F$3:$F$19,MATCH($D313,MODELOS!$A$3:$A$19,0)),INDEX(MODELOS!$B$3:$B$19,MATCH($D313,MODELOS!$A$3:$A$19,0)))</f>
        <v>Galeria · posição 4</v>
      </c>
      <c r="G313" s="11" t="str">
        <f aca="false">IF(INDEX(PRODUTOS!$F$4:$F$63,MATCH($A313,PRODUTOS!$B$4:$B$63,0))="Ração",IF(INDEX(PRODUTOS!$I$4:$I$63,MATCH($A313,PRODUTOS!$B$4:$B$63,0))="B",INDEX(MODELOS!$G$3:$G$19,MATCH($D313,MODELOS!$A$3:$A$19,0)),INDEX(MODELOS!$C$3:$C$19,MATCH($D313,MODELOS!$A$3:$A$19,0))),IF(INDEX(PRODUTOS!$I$4:$I$63,MATCH($A313,PRODUTOS!$B$4:$B$63,0))="B",INDEX(MODELOS!$H$3:$H$19,MATCH($D313,MODELOS!$A$3:$A$19,0)),INDEX(MODELOS!$D$3:$D$19,MATCH($D313,MODELOS!$A$3:$A$19,0))))</f>
        <v>Formato e tamanho do grão, com medida em mm e referência de tamanho</v>
      </c>
      <c r="H313" s="11" t="str">
        <f aca="false">IF(INDEX(PRODUTOS!$I$4:$I$63,MATCH($A313,PRODUTOS!$B$4:$B$63,0))="B",INDEX(MODELOS!$I$3:$I$19,MATCH($D313,MODELOS!$A$3:$A$19,0)),INDEX(MODELOS!$E$3:$E$19,MATCH($D313,MODELOS!$A$3:$A$19,0)))</f>
        <v>2000 × 2000</v>
      </c>
      <c r="I313" s="11" t="str">
        <f aca="false">INDEX(MODELOS!$J$3:$J$19,MATCH($D313,MODELOS!$A$3:$A$19,0))</f>
        <v>SIM</v>
      </c>
      <c r="J313" s="11" t="str">
        <f aca="false">IF(LEFT($D313,2)&lt;&gt;"AP",IF($I313="SIM","SIM","RECOMENDADA"),IF(INDEX(PRODUTOS!$J$4:$J$63,MATCH($A313,PRODUTOS!$B$4:$B$63,0))&lt;&gt;"","NÃO (usa o A+ do EAN "&amp;INDEX(PRODUTOS!$J$4:$J$63,MATCH($A313,PRODUTOS!$B$4:$B$63,0))&amp;")",IF(AND(INDEX(PRODUTOS!$I$4:$I$63,MATCH($A313,PRODUTOS!$B$4:$B$63,0))="B",$D313="AP07"),"NÃO (modelo B)","SIM")))</f>
        <v>SIM</v>
      </c>
      <c r="K313" s="13" t="s">
        <v>325</v>
      </c>
      <c r="L313" s="13"/>
    </row>
    <row r="314" customFormat="false" ht="15" hidden="false" customHeight="false" outlineLevel="0" collapsed="false">
      <c r="A314" s="15" t="s">
        <v>123</v>
      </c>
      <c r="B314" s="11" t="str">
        <f aca="false">INDEX(PRODUTOS!$E$4:$E$63,MATCH($A314,PRODUTOS!$B$4:$B$63,0))</f>
        <v>Ração Seca Natural Dots para Cães Filhotes - Pacote 1 kg</v>
      </c>
      <c r="C314" s="11" t="str">
        <f aca="false">INDEX(PRODUTOS!$H$4:$H$63,MATCH($A314,PRODUTOS!$B$4:$B$63,0))</f>
        <v>1 kg</v>
      </c>
      <c r="D314" s="11" t="s">
        <v>329</v>
      </c>
      <c r="E314" s="16" t="str">
        <f aca="false">$A314&amp;"."&amp;$D314&amp;".jpg"</f>
        <v>7898968541290.PT04.jpg</v>
      </c>
      <c r="F314" s="11" t="str">
        <f aca="false">IF(INDEX(PRODUTOS!$I$4:$I$63,MATCH($A314,PRODUTOS!$B$4:$B$63,0))="B",INDEX(MODELOS!$F$3:$F$19,MATCH($D314,MODELOS!$A$3:$A$19,0)),INDEX(MODELOS!$B$3:$B$19,MATCH($D314,MODELOS!$A$3:$A$19,0)))</f>
        <v>Galeria · posição 5</v>
      </c>
      <c r="G314" s="11" t="str">
        <f aca="false">IF(INDEX(PRODUTOS!$F$4:$F$63,MATCH($A314,PRODUTOS!$B$4:$B$63,0))="Ração",IF(INDEX(PRODUTOS!$I$4:$I$63,MATCH($A314,PRODUTOS!$B$4:$B$63,0))="B",INDEX(MODELOS!$G$3:$G$19,MATCH($D314,MODELOS!$A$3:$A$19,0)),INDEX(MODELOS!$C$3:$C$19,MATCH($D314,MODELOS!$A$3:$A$19,0))),IF(INDEX(PRODUTOS!$I$4:$I$63,MATCH($A314,PRODUTOS!$B$4:$B$63,0))="B",INDEX(MODELOS!$H$3:$H$19,MATCH($D314,MODELOS!$A$3:$A$19,0)),INDEX(MODELOS!$D$3:$D$19,MATCH($D314,MODELOS!$A$3:$A$19,0))))</f>
        <v>Quantidade diária por peso do cão/gato (números idênticos à embalagem)</v>
      </c>
      <c r="H314" s="11" t="str">
        <f aca="false">IF(INDEX(PRODUTOS!$I$4:$I$63,MATCH($A314,PRODUTOS!$B$4:$B$63,0))="B",INDEX(MODELOS!$I$3:$I$19,MATCH($D314,MODELOS!$A$3:$A$19,0)),INDEX(MODELOS!$E$3:$E$19,MATCH($D314,MODELOS!$A$3:$A$19,0)))</f>
        <v>2000 × 2000</v>
      </c>
      <c r="I314" s="11" t="str">
        <f aca="false">INDEX(MODELOS!$J$3:$J$19,MATCH($D314,MODELOS!$A$3:$A$19,0))</f>
        <v>SIM</v>
      </c>
      <c r="J314" s="11" t="str">
        <f aca="false">IF(LEFT($D314,2)&lt;&gt;"AP",IF($I314="SIM","SIM","RECOMENDADA"),IF(INDEX(PRODUTOS!$J$4:$J$63,MATCH($A314,PRODUTOS!$B$4:$B$63,0))&lt;&gt;"","NÃO (usa o A+ do EAN "&amp;INDEX(PRODUTOS!$J$4:$J$63,MATCH($A314,PRODUTOS!$B$4:$B$63,0))&amp;")",IF(AND(INDEX(PRODUTOS!$I$4:$I$63,MATCH($A314,PRODUTOS!$B$4:$B$63,0))="B",$D314="AP07"),"NÃO (modelo B)","SIM")))</f>
        <v>SIM</v>
      </c>
      <c r="K314" s="13" t="s">
        <v>325</v>
      </c>
      <c r="L314" s="13"/>
    </row>
    <row r="315" customFormat="false" ht="15" hidden="false" customHeight="false" outlineLevel="0" collapsed="false">
      <c r="A315" s="15" t="s">
        <v>123</v>
      </c>
      <c r="B315" s="11" t="str">
        <f aca="false">INDEX(PRODUTOS!$E$4:$E$63,MATCH($A315,PRODUTOS!$B$4:$B$63,0))</f>
        <v>Ração Seca Natural Dots para Cães Filhotes - Pacote 1 kg</v>
      </c>
      <c r="C315" s="11" t="str">
        <f aca="false">INDEX(PRODUTOS!$H$4:$H$63,MATCH($A315,PRODUTOS!$B$4:$B$63,0))</f>
        <v>1 kg</v>
      </c>
      <c r="D315" s="11" t="s">
        <v>330</v>
      </c>
      <c r="E315" s="16" t="str">
        <f aca="false">$A315&amp;"."&amp;$D315&amp;".jpg"</f>
        <v>7898968541290.PT05.jpg</v>
      </c>
      <c r="F315" s="11" t="str">
        <f aca="false">IF(INDEX(PRODUTOS!$I$4:$I$63,MATCH($A315,PRODUTOS!$B$4:$B$63,0))="B",INDEX(MODELOS!$F$3:$F$19,MATCH($D315,MODELOS!$A$3:$A$19,0)),INDEX(MODELOS!$B$3:$B$19,MATCH($D315,MODELOS!$A$3:$A$19,0)))</f>
        <v>Galeria · posição 6</v>
      </c>
      <c r="G315" s="11" t="str">
        <f aca="false">IF(INDEX(PRODUTOS!$F$4:$F$63,MATCH($A315,PRODUTOS!$B$4:$B$63,0))="Ração",IF(INDEX(PRODUTOS!$I$4:$I$63,MATCH($A315,PRODUTOS!$B$4:$B$63,0))="B",INDEX(MODELOS!$G$3:$G$19,MATCH($D315,MODELOS!$A$3:$A$19,0)),INDEX(MODELOS!$C$3:$C$19,MATCH($D315,MODELOS!$A$3:$A$19,0))),IF(INDEX(PRODUTOS!$I$4:$I$63,MATCH($A315,PRODUTOS!$B$4:$B$63,0))="B",INDEX(MODELOS!$H$3:$H$19,MATCH($D315,MODELOS!$A$3:$A$19,0)),INDEX(MODELOS!$D$3:$D$19,MATCH($D315,MODELOS!$A$3:$A$19,0))))</f>
        <v>Transição alimentar dia a dia (igual ao verso da embalagem)</v>
      </c>
      <c r="H315" s="11" t="str">
        <f aca="false">IF(INDEX(PRODUTOS!$I$4:$I$63,MATCH($A315,PRODUTOS!$B$4:$B$63,0))="B",INDEX(MODELOS!$I$3:$I$19,MATCH($D315,MODELOS!$A$3:$A$19,0)),INDEX(MODELOS!$E$3:$E$19,MATCH($D315,MODELOS!$A$3:$A$19,0)))</f>
        <v>2000 × 2000</v>
      </c>
      <c r="I315" s="11" t="str">
        <f aca="false">INDEX(MODELOS!$J$3:$J$19,MATCH($D315,MODELOS!$A$3:$A$19,0))</f>
        <v>Recomendada</v>
      </c>
      <c r="J315" s="11" t="str">
        <f aca="false">IF(LEFT($D315,2)&lt;&gt;"AP",IF($I315="SIM","SIM","RECOMENDADA"),IF(INDEX(PRODUTOS!$J$4:$J$63,MATCH($A315,PRODUTOS!$B$4:$B$63,0))&lt;&gt;"","NÃO (usa o A+ do EAN "&amp;INDEX(PRODUTOS!$J$4:$J$63,MATCH($A315,PRODUTOS!$B$4:$B$63,0))&amp;")",IF(AND(INDEX(PRODUTOS!$I$4:$I$63,MATCH($A315,PRODUTOS!$B$4:$B$63,0))="B",$D315="AP07"),"NÃO (modelo B)","SIM")))</f>
        <v>RECOMENDADA</v>
      </c>
      <c r="K315" s="13" t="s">
        <v>325</v>
      </c>
      <c r="L315" s="13"/>
    </row>
    <row r="316" customFormat="false" ht="15" hidden="false" customHeight="false" outlineLevel="0" collapsed="false">
      <c r="A316" s="15" t="s">
        <v>123</v>
      </c>
      <c r="B316" s="11" t="str">
        <f aca="false">INDEX(PRODUTOS!$E$4:$E$63,MATCH($A316,PRODUTOS!$B$4:$B$63,0))</f>
        <v>Ração Seca Natural Dots para Cães Filhotes - Pacote 1 kg</v>
      </c>
      <c r="C316" s="11" t="str">
        <f aca="false">INDEX(PRODUTOS!$H$4:$H$63,MATCH($A316,PRODUTOS!$B$4:$B$63,0))</f>
        <v>1 kg</v>
      </c>
      <c r="D316" s="11" t="s">
        <v>331</v>
      </c>
      <c r="E316" s="16" t="str">
        <f aca="false">$A316&amp;"."&amp;$D316&amp;".jpg"</f>
        <v>7898968541290.PT06.jpg</v>
      </c>
      <c r="F316" s="11" t="str">
        <f aca="false">IF(INDEX(PRODUTOS!$I$4:$I$63,MATCH($A316,PRODUTOS!$B$4:$B$63,0))="B",INDEX(MODELOS!$F$3:$F$19,MATCH($D316,MODELOS!$A$3:$A$19,0)),INDEX(MODELOS!$B$3:$B$19,MATCH($D316,MODELOS!$A$3:$A$19,0)))</f>
        <v>Galeria · posição 7</v>
      </c>
      <c r="G316" s="11" t="str">
        <f aca="false">IF(INDEX(PRODUTOS!$F$4:$F$63,MATCH($A316,PRODUTOS!$B$4:$B$63,0))="Ração",IF(INDEX(PRODUTOS!$I$4:$I$63,MATCH($A316,PRODUTOS!$B$4:$B$63,0))="B",INDEX(MODELOS!$G$3:$G$19,MATCH($D316,MODELOS!$A$3:$A$19,0)),INDEX(MODELOS!$C$3:$C$19,MATCH($D316,MODELOS!$A$3:$A$19,0))),IF(INDEX(PRODUTOS!$I$4:$I$63,MATCH($A316,PRODUTOS!$B$4:$B$63,0))="B",INDEX(MODELOS!$H$3:$H$19,MATCH($D316,MODELOS!$A$3:$A$19,0)),INDEX(MODELOS!$D$3:$D$19,MATCH($D316,MODELOS!$A$3:$A$19,0))))</f>
        <v>Composição e níveis de garantia em letra grande</v>
      </c>
      <c r="H316" s="11" t="str">
        <f aca="false">IF(INDEX(PRODUTOS!$I$4:$I$63,MATCH($A316,PRODUTOS!$B$4:$B$63,0))="B",INDEX(MODELOS!$I$3:$I$19,MATCH($D316,MODELOS!$A$3:$A$19,0)),INDEX(MODELOS!$E$3:$E$19,MATCH($D316,MODELOS!$A$3:$A$19,0)))</f>
        <v>2000 × 2000</v>
      </c>
      <c r="I316" s="11" t="str">
        <f aca="false">INDEX(MODELOS!$J$3:$J$19,MATCH($D316,MODELOS!$A$3:$A$19,0))</f>
        <v>SIM</v>
      </c>
      <c r="J316" s="11" t="str">
        <f aca="false">IF(LEFT($D316,2)&lt;&gt;"AP",IF($I316="SIM","SIM","RECOMENDADA"),IF(INDEX(PRODUTOS!$J$4:$J$63,MATCH($A316,PRODUTOS!$B$4:$B$63,0))&lt;&gt;"","NÃO (usa o A+ do EAN "&amp;INDEX(PRODUTOS!$J$4:$J$63,MATCH($A316,PRODUTOS!$B$4:$B$63,0))&amp;")",IF(AND(INDEX(PRODUTOS!$I$4:$I$63,MATCH($A316,PRODUTOS!$B$4:$B$63,0))="B",$D316="AP07"),"NÃO (modelo B)","SIM")))</f>
        <v>SIM</v>
      </c>
      <c r="K316" s="13" t="s">
        <v>325</v>
      </c>
      <c r="L316" s="13"/>
    </row>
    <row r="317" customFormat="false" ht="15" hidden="false" customHeight="false" outlineLevel="0" collapsed="false">
      <c r="A317" s="15" t="s">
        <v>123</v>
      </c>
      <c r="B317" s="11" t="str">
        <f aca="false">INDEX(PRODUTOS!$E$4:$E$63,MATCH($A317,PRODUTOS!$B$4:$B$63,0))</f>
        <v>Ração Seca Natural Dots para Cães Filhotes - Pacote 1 kg</v>
      </c>
      <c r="C317" s="11" t="str">
        <f aca="false">INDEX(PRODUTOS!$H$4:$H$63,MATCH($A317,PRODUTOS!$B$4:$B$63,0))</f>
        <v>1 kg</v>
      </c>
      <c r="D317" s="11" t="s">
        <v>332</v>
      </c>
      <c r="E317" s="16" t="str">
        <f aca="false">$A317&amp;"."&amp;$D317&amp;".jpg"</f>
        <v>7898968541290.PT07.jpg</v>
      </c>
      <c r="F317" s="11" t="str">
        <f aca="false">IF(INDEX(PRODUTOS!$I$4:$I$63,MATCH($A317,PRODUTOS!$B$4:$B$63,0))="B",INDEX(MODELOS!$F$3:$F$19,MATCH($D317,MODELOS!$A$3:$A$19,0)),INDEX(MODELOS!$B$3:$B$19,MATCH($D317,MODELOS!$A$3:$A$19,0)))</f>
        <v>Galeria · posição 8</v>
      </c>
      <c r="G317" s="11" t="str">
        <f aca="false">IF(INDEX(PRODUTOS!$F$4:$F$63,MATCH($A317,PRODUTOS!$B$4:$B$63,0))="Ração",IF(INDEX(PRODUTOS!$I$4:$I$63,MATCH($A317,PRODUTOS!$B$4:$B$63,0))="B",INDEX(MODELOS!$G$3:$G$19,MATCH($D317,MODELOS!$A$3:$A$19,0)),INDEX(MODELOS!$C$3:$C$19,MATCH($D317,MODELOS!$A$3:$A$19,0))),IF(INDEX(PRODUTOS!$I$4:$I$63,MATCH($A317,PRODUTOS!$B$4:$B$63,0))="B",INDEX(MODELOS!$H$3:$H$19,MATCH($D317,MODELOS!$A$3:$A$19,0)),INDEX(MODELOS!$D$3:$D$19,MATCH($D317,MODELOS!$A$3:$A$19,0))))</f>
        <v>Emocional / momento de uso (pet do porte certo, pote cheio)</v>
      </c>
      <c r="H317" s="11" t="str">
        <f aca="false">IF(INDEX(PRODUTOS!$I$4:$I$63,MATCH($A317,PRODUTOS!$B$4:$B$63,0))="B",INDEX(MODELOS!$I$3:$I$19,MATCH($D317,MODELOS!$A$3:$A$19,0)),INDEX(MODELOS!$E$3:$E$19,MATCH($D317,MODELOS!$A$3:$A$19,0)))</f>
        <v>2000 × 2000</v>
      </c>
      <c r="I317" s="11" t="str">
        <f aca="false">INDEX(MODELOS!$J$3:$J$19,MATCH($D317,MODELOS!$A$3:$A$19,0))</f>
        <v>Recomendada</v>
      </c>
      <c r="J317" s="11" t="str">
        <f aca="false">IF(LEFT($D317,2)&lt;&gt;"AP",IF($I317="SIM","SIM","RECOMENDADA"),IF(INDEX(PRODUTOS!$J$4:$J$63,MATCH($A317,PRODUTOS!$B$4:$B$63,0))&lt;&gt;"","NÃO (usa o A+ do EAN "&amp;INDEX(PRODUTOS!$J$4:$J$63,MATCH($A317,PRODUTOS!$B$4:$B$63,0))&amp;")",IF(AND(INDEX(PRODUTOS!$I$4:$I$63,MATCH($A317,PRODUTOS!$B$4:$B$63,0))="B",$D317="AP07"),"NÃO (modelo B)","SIM")))</f>
        <v>RECOMENDADA</v>
      </c>
      <c r="K317" s="13" t="s">
        <v>325</v>
      </c>
      <c r="L317" s="13"/>
    </row>
    <row r="318" customFormat="false" ht="15" hidden="false" customHeight="false" outlineLevel="0" collapsed="false">
      <c r="A318" s="15" t="s">
        <v>123</v>
      </c>
      <c r="B318" s="11" t="str">
        <f aca="false">INDEX(PRODUTOS!$E$4:$E$63,MATCH($A318,PRODUTOS!$B$4:$B$63,0))</f>
        <v>Ração Seca Natural Dots para Cães Filhotes - Pacote 1 kg</v>
      </c>
      <c r="C318" s="11" t="str">
        <f aca="false">INDEX(PRODUTOS!$H$4:$H$63,MATCH($A318,PRODUTOS!$B$4:$B$63,0))</f>
        <v>1 kg</v>
      </c>
      <c r="D318" s="11" t="s">
        <v>333</v>
      </c>
      <c r="E318" s="16" t="str">
        <f aca="false">$A318&amp;"."&amp;$D318&amp;".jpg"</f>
        <v>7898968541290.PT08.jpg</v>
      </c>
      <c r="F318" s="11" t="str">
        <f aca="false">IF(INDEX(PRODUTOS!$I$4:$I$63,MATCH($A318,PRODUTOS!$B$4:$B$63,0))="B",INDEX(MODELOS!$F$3:$F$19,MATCH($D318,MODELOS!$A$3:$A$19,0)),INDEX(MODELOS!$B$3:$B$19,MATCH($D318,MODELOS!$A$3:$A$19,0)))</f>
        <v>Galeria · posição 9</v>
      </c>
      <c r="G318" s="11" t="str">
        <f aca="false">IF(INDEX(PRODUTOS!$F$4:$F$63,MATCH($A318,PRODUTOS!$B$4:$B$63,0))="Ração",IF(INDEX(PRODUTOS!$I$4:$I$63,MATCH($A318,PRODUTOS!$B$4:$B$63,0))="B",INDEX(MODELOS!$G$3:$G$19,MATCH($D318,MODELOS!$A$3:$A$19,0)),INDEX(MODELOS!$C$3:$C$19,MATCH($D318,MODELOS!$A$3:$A$19,0))),IF(INDEX(PRODUTOS!$I$4:$I$63,MATCH($A318,PRODUTOS!$B$4:$B$63,0))="B",INDEX(MODELOS!$H$3:$H$19,MATCH($D318,MODELOS!$A$3:$A$19,0)),INDEX(MODELOS!$D$3:$D$19,MATCH($D318,MODELOS!$A$3:$A$19,0))))</f>
        <v>Linha da marca ou embalagem anterior × nova</v>
      </c>
      <c r="H318" s="11" t="str">
        <f aca="false">IF(INDEX(PRODUTOS!$I$4:$I$63,MATCH($A318,PRODUTOS!$B$4:$B$63,0))="B",INDEX(MODELOS!$I$3:$I$19,MATCH($D318,MODELOS!$A$3:$A$19,0)),INDEX(MODELOS!$E$3:$E$19,MATCH($D318,MODELOS!$A$3:$A$19,0)))</f>
        <v>2000 × 2000</v>
      </c>
      <c r="I318" s="11" t="str">
        <f aca="false">INDEX(MODELOS!$J$3:$J$19,MATCH($D318,MODELOS!$A$3:$A$19,0))</f>
        <v>Recomendada</v>
      </c>
      <c r="J318" s="11" t="str">
        <f aca="false">IF(LEFT($D318,2)&lt;&gt;"AP",IF($I318="SIM","SIM","RECOMENDADA"),IF(INDEX(PRODUTOS!$J$4:$J$63,MATCH($A318,PRODUTOS!$B$4:$B$63,0))&lt;&gt;"","NÃO (usa o A+ do EAN "&amp;INDEX(PRODUTOS!$J$4:$J$63,MATCH($A318,PRODUTOS!$B$4:$B$63,0))&amp;")",IF(AND(INDEX(PRODUTOS!$I$4:$I$63,MATCH($A318,PRODUTOS!$B$4:$B$63,0))="B",$D318="AP07"),"NÃO (modelo B)","SIM")))</f>
        <v>RECOMENDADA</v>
      </c>
      <c r="K318" s="13" t="s">
        <v>325</v>
      </c>
      <c r="L318" s="13"/>
    </row>
    <row r="319" customFormat="false" ht="15" hidden="false" customHeight="false" outlineLevel="0" collapsed="false">
      <c r="A319" s="15" t="s">
        <v>123</v>
      </c>
      <c r="B319" s="11" t="str">
        <f aca="false">INDEX(PRODUTOS!$E$4:$E$63,MATCH($A319,PRODUTOS!$B$4:$B$63,0))</f>
        <v>Ração Seca Natural Dots para Cães Filhotes - Pacote 1 kg</v>
      </c>
      <c r="C319" s="11" t="str">
        <f aca="false">INDEX(PRODUTOS!$H$4:$H$63,MATCH($A319,PRODUTOS!$B$4:$B$63,0))</f>
        <v>1 kg</v>
      </c>
      <c r="D319" s="11" t="s">
        <v>334</v>
      </c>
      <c r="E319" s="16" t="str">
        <f aca="false">$A319&amp;"."&amp;$D319&amp;".jpg"</f>
        <v>7898968541290.AP01.jpg</v>
      </c>
      <c r="F319" s="11" t="str">
        <f aca="false">IF(INDEX(PRODUTOS!$I$4:$I$63,MATCH($A319,PRODUTOS!$B$4:$B$63,0))="B",INDEX(MODELOS!$F$3:$F$19,MATCH($D319,MODELOS!$A$3:$A$19,0)),INDEX(MODELOS!$B$3:$B$19,MATCH($D319,MODELOS!$A$3:$A$19,0)))</f>
        <v>A+ · Módulo 1 · Banner</v>
      </c>
      <c r="G319" s="11" t="str">
        <f aca="false">IF(INDEX(PRODUTOS!$F$4:$F$63,MATCH($A319,PRODUTOS!$B$4:$B$63,0))="Ração",IF(INDEX(PRODUTOS!$I$4:$I$63,MATCH($A319,PRODUTOS!$B$4:$B$63,0))="B",INDEX(MODELOS!$G$3:$G$19,MATCH($D319,MODELOS!$A$3:$A$19,0)),INDEX(MODELOS!$C$3:$C$19,MATCH($D319,MODELOS!$A$3:$A$19,0))),IF(INDEX(PRODUTOS!$I$4:$I$63,MATCH($A319,PRODUTOS!$B$4:$B$63,0))="B",INDEX(MODELOS!$H$3:$H$19,MATCH($D319,MODELOS!$A$3:$A$19,0)),INDEX(MODELOS!$D$3:$D$19,MATCH($D319,MODELOS!$A$3:$A$19,0))))</f>
        <v>Embalagem + pet + ingredientes, com o nome da linha</v>
      </c>
      <c r="H319" s="11" t="str">
        <f aca="false">IF(INDEX(PRODUTOS!$I$4:$I$63,MATCH($A319,PRODUTOS!$B$4:$B$63,0))="B",INDEX(MODELOS!$I$3:$I$19,MATCH($D319,MODELOS!$A$3:$A$19,0)),INDEX(MODELOS!$E$3:$E$19,MATCH($D319,MODELOS!$A$3:$A$19,0)))</f>
        <v>970 × 600</v>
      </c>
      <c r="I319" s="11" t="str">
        <f aca="false">INDEX(MODELOS!$J$3:$J$19,MATCH($D319,MODELOS!$A$3:$A$19,0))</f>
        <v>Conforme modelo</v>
      </c>
      <c r="J319" s="11" t="str">
        <f aca="false">IF(LEFT($D319,2)&lt;&gt;"AP",IF($I319="SIM","SIM","RECOMENDADA"),IF(INDEX(PRODUTOS!$J$4:$J$63,MATCH($A319,PRODUTOS!$B$4:$B$63,0))&lt;&gt;"","NÃO (usa o A+ do EAN "&amp;INDEX(PRODUTOS!$J$4:$J$63,MATCH($A319,PRODUTOS!$B$4:$B$63,0))&amp;")",IF(AND(INDEX(PRODUTOS!$I$4:$I$63,MATCH($A319,PRODUTOS!$B$4:$B$63,0))="B",$D319="AP07"),"NÃO (modelo B)","SIM")))</f>
        <v>NÃO (usa o A+ do EAN 7898968541313)</v>
      </c>
      <c r="K319" s="13" t="s">
        <v>325</v>
      </c>
      <c r="L319" s="13"/>
    </row>
    <row r="320" customFormat="false" ht="15" hidden="false" customHeight="false" outlineLevel="0" collapsed="false">
      <c r="A320" s="15" t="s">
        <v>123</v>
      </c>
      <c r="B320" s="11" t="str">
        <f aca="false">INDEX(PRODUTOS!$E$4:$E$63,MATCH($A320,PRODUTOS!$B$4:$B$63,0))</f>
        <v>Ração Seca Natural Dots para Cães Filhotes - Pacote 1 kg</v>
      </c>
      <c r="C320" s="11" t="str">
        <f aca="false">INDEX(PRODUTOS!$H$4:$H$63,MATCH($A320,PRODUTOS!$B$4:$B$63,0))</f>
        <v>1 kg</v>
      </c>
      <c r="D320" s="11" t="s">
        <v>335</v>
      </c>
      <c r="E320" s="16" t="str">
        <f aca="false">$A320&amp;"."&amp;$D320&amp;".jpg"</f>
        <v>7898968541290.AP02.jpg</v>
      </c>
      <c r="F320" s="11" t="str">
        <f aca="false">IF(INDEX(PRODUTOS!$I$4:$I$63,MATCH($A320,PRODUTOS!$B$4:$B$63,0))="B",INDEX(MODELOS!$F$3:$F$19,MATCH($D320,MODELOS!$A$3:$A$19,0)),INDEX(MODELOS!$B$3:$B$19,MATCH($D320,MODELOS!$A$3:$A$19,0)))</f>
        <v>A+ · Módulo 2 · Texto sobreposto</v>
      </c>
      <c r="G320" s="11" t="str">
        <f aca="false">IF(INDEX(PRODUTOS!$F$4:$F$63,MATCH($A320,PRODUTOS!$B$4:$B$63,0))="Ração",IF(INDEX(PRODUTOS!$I$4:$I$63,MATCH($A320,PRODUTOS!$B$4:$B$63,0))="B",INDEX(MODELOS!$G$3:$G$19,MATCH($D320,MODELOS!$A$3:$A$19,0)),INDEX(MODELOS!$C$3:$C$19,MATCH($D320,MODELOS!$A$3:$A$19,0))),IF(INDEX(PRODUTOS!$I$4:$I$63,MATCH($A320,PRODUTOS!$B$4:$B$63,0))="B",INDEX(MODELOS!$H$3:$H$19,MATCH($D320,MODELOS!$A$3:$A$19,0)),INDEX(MODELOS!$D$3:$D$19,MATCH($D320,MODELOS!$A$3:$A$19,0))))</f>
        <v>Principal diferencial; deixar o lado direito limpo</v>
      </c>
      <c r="H320" s="11" t="str">
        <f aca="false">IF(INDEX(PRODUTOS!$I$4:$I$63,MATCH($A320,PRODUTOS!$B$4:$B$63,0))="B",INDEX(MODELOS!$I$3:$I$19,MATCH($D320,MODELOS!$A$3:$A$19,0)),INDEX(MODELOS!$E$3:$E$19,MATCH($D320,MODELOS!$A$3:$A$19,0)))</f>
        <v>970 × 300</v>
      </c>
      <c r="I320" s="11" t="str">
        <f aca="false">INDEX(MODELOS!$J$3:$J$19,MATCH($D320,MODELOS!$A$3:$A$19,0))</f>
        <v>Conforme modelo</v>
      </c>
      <c r="J320" s="11" t="str">
        <f aca="false">IF(LEFT($D320,2)&lt;&gt;"AP",IF($I320="SIM","SIM","RECOMENDADA"),IF(INDEX(PRODUTOS!$J$4:$J$63,MATCH($A320,PRODUTOS!$B$4:$B$63,0))&lt;&gt;"","NÃO (usa o A+ do EAN "&amp;INDEX(PRODUTOS!$J$4:$J$63,MATCH($A320,PRODUTOS!$B$4:$B$63,0))&amp;")",IF(AND(INDEX(PRODUTOS!$I$4:$I$63,MATCH($A320,PRODUTOS!$B$4:$B$63,0))="B",$D320="AP07"),"NÃO (modelo B)","SIM")))</f>
        <v>NÃO (usa o A+ do EAN 7898968541313)</v>
      </c>
      <c r="K320" s="13" t="s">
        <v>325</v>
      </c>
      <c r="L320" s="13"/>
    </row>
    <row r="321" customFormat="false" ht="15" hidden="false" customHeight="false" outlineLevel="0" collapsed="false">
      <c r="A321" s="15" t="s">
        <v>123</v>
      </c>
      <c r="B321" s="11" t="str">
        <f aca="false">INDEX(PRODUTOS!$E$4:$E$63,MATCH($A321,PRODUTOS!$B$4:$B$63,0))</f>
        <v>Ração Seca Natural Dots para Cães Filhotes - Pacote 1 kg</v>
      </c>
      <c r="C321" s="11" t="str">
        <f aca="false">INDEX(PRODUTOS!$H$4:$H$63,MATCH($A321,PRODUTOS!$B$4:$B$63,0))</f>
        <v>1 kg</v>
      </c>
      <c r="D321" s="11" t="s">
        <v>336</v>
      </c>
      <c r="E321" s="16" t="str">
        <f aca="false">$A321&amp;"."&amp;$D321&amp;".jpg"</f>
        <v>7898968541290.AP03.jpg</v>
      </c>
      <c r="F321" s="11" t="str">
        <f aca="false">IF(INDEX(PRODUTOS!$I$4:$I$63,MATCH($A321,PRODUTOS!$B$4:$B$63,0))="B",INDEX(MODELOS!$F$3:$F$19,MATCH($D321,MODELOS!$A$3:$A$19,0)),INDEX(MODELOS!$B$3:$B$19,MATCH($D321,MODELOS!$A$3:$A$19,0)))</f>
        <v>A+ · Módulo 3 · Benefício 1 de 4</v>
      </c>
      <c r="G321" s="11" t="str">
        <f aca="false">IF(INDEX(PRODUTOS!$F$4:$F$63,MATCH($A321,PRODUTOS!$B$4:$B$63,0))="Ração",IF(INDEX(PRODUTOS!$I$4:$I$63,MATCH($A321,PRODUTOS!$B$4:$B$63,0))="B",INDEX(MODELOS!$G$3:$G$19,MATCH($D321,MODELOS!$A$3:$A$19,0)),INDEX(MODELOS!$C$3:$C$19,MATCH($D321,MODELOS!$A$3:$A$19,0))),IF(INDEX(PRODUTOS!$I$4:$I$63,MATCH($A321,PRODUTOS!$B$4:$B$63,0))="B",INDEX(MODELOS!$H$3:$H$19,MATCH($D321,MODELOS!$A$3:$A$19,0)),INDEX(MODELOS!$D$3:$D$19,MATCH($D321,MODELOS!$A$3:$A$19,0))))</f>
        <v>Foto/ilustração do benefício 1</v>
      </c>
      <c r="H321" s="11" t="str">
        <f aca="false">IF(INDEX(PRODUTOS!$I$4:$I$63,MATCH($A321,PRODUTOS!$B$4:$B$63,0))="B",INDEX(MODELOS!$I$3:$I$19,MATCH($D321,MODELOS!$A$3:$A$19,0)),INDEX(MODELOS!$E$3:$E$19,MATCH($D321,MODELOS!$A$3:$A$19,0)))</f>
        <v>220 × 200</v>
      </c>
      <c r="I321" s="11" t="str">
        <f aca="false">INDEX(MODELOS!$J$3:$J$19,MATCH($D321,MODELOS!$A$3:$A$19,0))</f>
        <v>Conforme modelo</v>
      </c>
      <c r="J321" s="11" t="str">
        <f aca="false">IF(LEFT($D321,2)&lt;&gt;"AP",IF($I321="SIM","SIM","RECOMENDADA"),IF(INDEX(PRODUTOS!$J$4:$J$63,MATCH($A321,PRODUTOS!$B$4:$B$63,0))&lt;&gt;"","NÃO (usa o A+ do EAN "&amp;INDEX(PRODUTOS!$J$4:$J$63,MATCH($A321,PRODUTOS!$B$4:$B$63,0))&amp;")",IF(AND(INDEX(PRODUTOS!$I$4:$I$63,MATCH($A321,PRODUTOS!$B$4:$B$63,0))="B",$D321="AP07"),"NÃO (modelo B)","SIM")))</f>
        <v>NÃO (usa o A+ do EAN 7898968541313)</v>
      </c>
      <c r="K321" s="13" t="s">
        <v>325</v>
      </c>
      <c r="L321" s="13"/>
    </row>
    <row r="322" customFormat="false" ht="15" hidden="false" customHeight="false" outlineLevel="0" collapsed="false">
      <c r="A322" s="15" t="s">
        <v>123</v>
      </c>
      <c r="B322" s="11" t="str">
        <f aca="false">INDEX(PRODUTOS!$E$4:$E$63,MATCH($A322,PRODUTOS!$B$4:$B$63,0))</f>
        <v>Ração Seca Natural Dots para Cães Filhotes - Pacote 1 kg</v>
      </c>
      <c r="C322" s="11" t="str">
        <f aca="false">INDEX(PRODUTOS!$H$4:$H$63,MATCH($A322,PRODUTOS!$B$4:$B$63,0))</f>
        <v>1 kg</v>
      </c>
      <c r="D322" s="11" t="s">
        <v>337</v>
      </c>
      <c r="E322" s="16" t="str">
        <f aca="false">$A322&amp;"."&amp;$D322&amp;".jpg"</f>
        <v>7898968541290.AP04.jpg</v>
      </c>
      <c r="F322" s="11" t="str">
        <f aca="false">IF(INDEX(PRODUTOS!$I$4:$I$63,MATCH($A322,PRODUTOS!$B$4:$B$63,0))="B",INDEX(MODELOS!$F$3:$F$19,MATCH($D322,MODELOS!$A$3:$A$19,0)),INDEX(MODELOS!$B$3:$B$19,MATCH($D322,MODELOS!$A$3:$A$19,0)))</f>
        <v>A+ · Módulo 3 · Benefício 2 de 4</v>
      </c>
      <c r="G322" s="11" t="str">
        <f aca="false">IF(INDEX(PRODUTOS!$F$4:$F$63,MATCH($A322,PRODUTOS!$B$4:$B$63,0))="Ração",IF(INDEX(PRODUTOS!$I$4:$I$63,MATCH($A322,PRODUTOS!$B$4:$B$63,0))="B",INDEX(MODELOS!$G$3:$G$19,MATCH($D322,MODELOS!$A$3:$A$19,0)),INDEX(MODELOS!$C$3:$C$19,MATCH($D322,MODELOS!$A$3:$A$19,0))),IF(INDEX(PRODUTOS!$I$4:$I$63,MATCH($A322,PRODUTOS!$B$4:$B$63,0))="B",INDEX(MODELOS!$H$3:$H$19,MATCH($D322,MODELOS!$A$3:$A$19,0)),INDEX(MODELOS!$D$3:$D$19,MATCH($D322,MODELOS!$A$3:$A$19,0))))</f>
        <v>Foto/ilustração do benefício 2</v>
      </c>
      <c r="H322" s="11" t="str">
        <f aca="false">IF(INDEX(PRODUTOS!$I$4:$I$63,MATCH($A322,PRODUTOS!$B$4:$B$63,0))="B",INDEX(MODELOS!$I$3:$I$19,MATCH($D322,MODELOS!$A$3:$A$19,0)),INDEX(MODELOS!$E$3:$E$19,MATCH($D322,MODELOS!$A$3:$A$19,0)))</f>
        <v>220 × 200</v>
      </c>
      <c r="I322" s="11" t="str">
        <f aca="false">INDEX(MODELOS!$J$3:$J$19,MATCH($D322,MODELOS!$A$3:$A$19,0))</f>
        <v>Conforme modelo</v>
      </c>
      <c r="J322" s="11" t="str">
        <f aca="false">IF(LEFT($D322,2)&lt;&gt;"AP",IF($I322="SIM","SIM","RECOMENDADA"),IF(INDEX(PRODUTOS!$J$4:$J$63,MATCH($A322,PRODUTOS!$B$4:$B$63,0))&lt;&gt;"","NÃO (usa o A+ do EAN "&amp;INDEX(PRODUTOS!$J$4:$J$63,MATCH($A322,PRODUTOS!$B$4:$B$63,0))&amp;")",IF(AND(INDEX(PRODUTOS!$I$4:$I$63,MATCH($A322,PRODUTOS!$B$4:$B$63,0))="B",$D322="AP07"),"NÃO (modelo B)","SIM")))</f>
        <v>NÃO (usa o A+ do EAN 7898968541313)</v>
      </c>
      <c r="K322" s="13" t="s">
        <v>325</v>
      </c>
      <c r="L322" s="13"/>
    </row>
    <row r="323" customFormat="false" ht="15" hidden="false" customHeight="false" outlineLevel="0" collapsed="false">
      <c r="A323" s="15" t="s">
        <v>123</v>
      </c>
      <c r="B323" s="11" t="str">
        <f aca="false">INDEX(PRODUTOS!$E$4:$E$63,MATCH($A323,PRODUTOS!$B$4:$B$63,0))</f>
        <v>Ração Seca Natural Dots para Cães Filhotes - Pacote 1 kg</v>
      </c>
      <c r="C323" s="11" t="str">
        <f aca="false">INDEX(PRODUTOS!$H$4:$H$63,MATCH($A323,PRODUTOS!$B$4:$B$63,0))</f>
        <v>1 kg</v>
      </c>
      <c r="D323" s="11" t="s">
        <v>338</v>
      </c>
      <c r="E323" s="16" t="str">
        <f aca="false">$A323&amp;"."&amp;$D323&amp;".jpg"</f>
        <v>7898968541290.AP05.jpg</v>
      </c>
      <c r="F323" s="11" t="str">
        <f aca="false">IF(INDEX(PRODUTOS!$I$4:$I$63,MATCH($A323,PRODUTOS!$B$4:$B$63,0))="B",INDEX(MODELOS!$F$3:$F$19,MATCH($D323,MODELOS!$A$3:$A$19,0)),INDEX(MODELOS!$B$3:$B$19,MATCH($D323,MODELOS!$A$3:$A$19,0)))</f>
        <v>A+ · Módulo 3 · Benefício 3 de 4</v>
      </c>
      <c r="G323" s="11" t="str">
        <f aca="false">IF(INDEX(PRODUTOS!$F$4:$F$63,MATCH($A323,PRODUTOS!$B$4:$B$63,0))="Ração",IF(INDEX(PRODUTOS!$I$4:$I$63,MATCH($A323,PRODUTOS!$B$4:$B$63,0))="B",INDEX(MODELOS!$G$3:$G$19,MATCH($D323,MODELOS!$A$3:$A$19,0)),INDEX(MODELOS!$C$3:$C$19,MATCH($D323,MODELOS!$A$3:$A$19,0))),IF(INDEX(PRODUTOS!$I$4:$I$63,MATCH($A323,PRODUTOS!$B$4:$B$63,0))="B",INDEX(MODELOS!$H$3:$H$19,MATCH($D323,MODELOS!$A$3:$A$19,0)),INDEX(MODELOS!$D$3:$D$19,MATCH($D323,MODELOS!$A$3:$A$19,0))))</f>
        <v>Foto/ilustração do benefício 3</v>
      </c>
      <c r="H323" s="11" t="str">
        <f aca="false">IF(INDEX(PRODUTOS!$I$4:$I$63,MATCH($A323,PRODUTOS!$B$4:$B$63,0))="B",INDEX(MODELOS!$I$3:$I$19,MATCH($D323,MODELOS!$A$3:$A$19,0)),INDEX(MODELOS!$E$3:$E$19,MATCH($D323,MODELOS!$A$3:$A$19,0)))</f>
        <v>220 × 200</v>
      </c>
      <c r="I323" s="11" t="str">
        <f aca="false">INDEX(MODELOS!$J$3:$J$19,MATCH($D323,MODELOS!$A$3:$A$19,0))</f>
        <v>Conforme modelo</v>
      </c>
      <c r="J323" s="11" t="str">
        <f aca="false">IF(LEFT($D323,2)&lt;&gt;"AP",IF($I323="SIM","SIM","RECOMENDADA"),IF(INDEX(PRODUTOS!$J$4:$J$63,MATCH($A323,PRODUTOS!$B$4:$B$63,0))&lt;&gt;"","NÃO (usa o A+ do EAN "&amp;INDEX(PRODUTOS!$J$4:$J$63,MATCH($A323,PRODUTOS!$B$4:$B$63,0))&amp;")",IF(AND(INDEX(PRODUTOS!$I$4:$I$63,MATCH($A323,PRODUTOS!$B$4:$B$63,0))="B",$D323="AP07"),"NÃO (modelo B)","SIM")))</f>
        <v>NÃO (usa o A+ do EAN 7898968541313)</v>
      </c>
      <c r="K323" s="13" t="s">
        <v>325</v>
      </c>
      <c r="L323" s="13"/>
    </row>
    <row r="324" customFormat="false" ht="15" hidden="false" customHeight="false" outlineLevel="0" collapsed="false">
      <c r="A324" s="15" t="s">
        <v>123</v>
      </c>
      <c r="B324" s="11" t="str">
        <f aca="false">INDEX(PRODUTOS!$E$4:$E$63,MATCH($A324,PRODUTOS!$B$4:$B$63,0))</f>
        <v>Ração Seca Natural Dots para Cães Filhotes - Pacote 1 kg</v>
      </c>
      <c r="C324" s="11" t="str">
        <f aca="false">INDEX(PRODUTOS!$H$4:$H$63,MATCH($A324,PRODUTOS!$B$4:$B$63,0))</f>
        <v>1 kg</v>
      </c>
      <c r="D324" s="11" t="s">
        <v>339</v>
      </c>
      <c r="E324" s="16" t="str">
        <f aca="false">$A324&amp;"."&amp;$D324&amp;".jpg"</f>
        <v>7898968541290.AP06.jpg</v>
      </c>
      <c r="F324" s="11" t="str">
        <f aca="false">IF(INDEX(PRODUTOS!$I$4:$I$63,MATCH($A324,PRODUTOS!$B$4:$B$63,0))="B",INDEX(MODELOS!$F$3:$F$19,MATCH($D324,MODELOS!$A$3:$A$19,0)),INDEX(MODELOS!$B$3:$B$19,MATCH($D324,MODELOS!$A$3:$A$19,0)))</f>
        <v>A+ · Módulo 3 · Benefício 4 de 4</v>
      </c>
      <c r="G324" s="11" t="str">
        <f aca="false">IF(INDEX(PRODUTOS!$F$4:$F$63,MATCH($A324,PRODUTOS!$B$4:$B$63,0))="Ração",IF(INDEX(PRODUTOS!$I$4:$I$63,MATCH($A324,PRODUTOS!$B$4:$B$63,0))="B",INDEX(MODELOS!$G$3:$G$19,MATCH($D324,MODELOS!$A$3:$A$19,0)),INDEX(MODELOS!$C$3:$C$19,MATCH($D324,MODELOS!$A$3:$A$19,0))),IF(INDEX(PRODUTOS!$I$4:$I$63,MATCH($A324,PRODUTOS!$B$4:$B$63,0))="B",INDEX(MODELOS!$H$3:$H$19,MATCH($D324,MODELOS!$A$3:$A$19,0)),INDEX(MODELOS!$D$3:$D$19,MATCH($D324,MODELOS!$A$3:$A$19,0))))</f>
        <v>Foto/ilustração do benefício 4</v>
      </c>
      <c r="H324" s="11" t="str">
        <f aca="false">IF(INDEX(PRODUTOS!$I$4:$I$63,MATCH($A324,PRODUTOS!$B$4:$B$63,0))="B",INDEX(MODELOS!$I$3:$I$19,MATCH($D324,MODELOS!$A$3:$A$19,0)),INDEX(MODELOS!$E$3:$E$19,MATCH($D324,MODELOS!$A$3:$A$19,0)))</f>
        <v>220 × 200</v>
      </c>
      <c r="I324" s="11" t="str">
        <f aca="false">INDEX(MODELOS!$J$3:$J$19,MATCH($D324,MODELOS!$A$3:$A$19,0))</f>
        <v>Conforme modelo</v>
      </c>
      <c r="J324" s="11" t="str">
        <f aca="false">IF(LEFT($D324,2)&lt;&gt;"AP",IF($I324="SIM","SIM","RECOMENDADA"),IF(INDEX(PRODUTOS!$J$4:$J$63,MATCH($A324,PRODUTOS!$B$4:$B$63,0))&lt;&gt;"","NÃO (usa o A+ do EAN "&amp;INDEX(PRODUTOS!$J$4:$J$63,MATCH($A324,PRODUTOS!$B$4:$B$63,0))&amp;")",IF(AND(INDEX(PRODUTOS!$I$4:$I$63,MATCH($A324,PRODUTOS!$B$4:$B$63,0))="B",$D324="AP07"),"NÃO (modelo B)","SIM")))</f>
        <v>NÃO (usa o A+ do EAN 7898968541313)</v>
      </c>
      <c r="K324" s="13" t="s">
        <v>325</v>
      </c>
      <c r="L324" s="13"/>
    </row>
    <row r="325" customFormat="false" ht="15" hidden="false" customHeight="false" outlineLevel="0" collapsed="false">
      <c r="A325" s="15" t="s">
        <v>123</v>
      </c>
      <c r="B325" s="11" t="str">
        <f aca="false">INDEX(PRODUTOS!$E$4:$E$63,MATCH($A325,PRODUTOS!$B$4:$B$63,0))</f>
        <v>Ração Seca Natural Dots para Cães Filhotes - Pacote 1 kg</v>
      </c>
      <c r="C325" s="11" t="str">
        <f aca="false">INDEX(PRODUTOS!$H$4:$H$63,MATCH($A325,PRODUTOS!$B$4:$B$63,0))</f>
        <v>1 kg</v>
      </c>
      <c r="D325" s="11" t="s">
        <v>340</v>
      </c>
      <c r="E325" s="16" t="str">
        <f aca="false">$A325&amp;"."&amp;$D325&amp;".jpg"</f>
        <v>7898968541290.AP07.jpg</v>
      </c>
      <c r="F325" s="11" t="str">
        <f aca="false">IF(INDEX(PRODUTOS!$I$4:$I$63,MATCH($A325,PRODUTOS!$B$4:$B$63,0))="B",INDEX(MODELOS!$F$3:$F$19,MATCH($D325,MODELOS!$A$3:$A$19,0)),INDEX(MODELOS!$B$3:$B$19,MATCH($D325,MODELOS!$A$3:$A$19,0)))</f>
        <v>A+ · Módulo 4 · Especificações</v>
      </c>
      <c r="G325" s="11" t="str">
        <f aca="false">IF(INDEX(PRODUTOS!$F$4:$F$63,MATCH($A325,PRODUTOS!$B$4:$B$63,0))="Ração",IF(INDEX(PRODUTOS!$I$4:$I$63,MATCH($A325,PRODUTOS!$B$4:$B$63,0))="B",INDEX(MODELOS!$G$3:$G$19,MATCH($D325,MODELOS!$A$3:$A$19,0)),INDEX(MODELOS!$C$3:$C$19,MATCH($D325,MODELOS!$A$3:$A$19,0))),IF(INDEX(PRODUTOS!$I$4:$I$63,MATCH($A325,PRODUTOS!$B$4:$B$63,0))="B",INDEX(MODELOS!$H$3:$H$19,MATCH($D325,MODELOS!$A$3:$A$19,0)),INDEX(MODELOS!$D$3:$D$19,MATCH($D325,MODELOS!$A$3:$A$19,0))))</f>
        <v>Grão ou pacote em destaque</v>
      </c>
      <c r="H325" s="11" t="str">
        <f aca="false">IF(INDEX(PRODUTOS!$I$4:$I$63,MATCH($A325,PRODUTOS!$B$4:$B$63,0))="B",INDEX(MODELOS!$I$3:$I$19,MATCH($D325,MODELOS!$A$3:$A$19,0)),INDEX(MODELOS!$E$3:$E$19,MATCH($D325,MODELOS!$A$3:$A$19,0)))</f>
        <v>300 × 300</v>
      </c>
      <c r="I325" s="11" t="str">
        <f aca="false">INDEX(MODELOS!$J$3:$J$19,MATCH($D325,MODELOS!$A$3:$A$19,0))</f>
        <v>Conforme modelo</v>
      </c>
      <c r="J325" s="11" t="str">
        <f aca="false">IF(LEFT($D325,2)&lt;&gt;"AP",IF($I325="SIM","SIM","RECOMENDADA"),IF(INDEX(PRODUTOS!$J$4:$J$63,MATCH($A325,PRODUTOS!$B$4:$B$63,0))&lt;&gt;"","NÃO (usa o A+ do EAN "&amp;INDEX(PRODUTOS!$J$4:$J$63,MATCH($A325,PRODUTOS!$B$4:$B$63,0))&amp;")",IF(AND(INDEX(PRODUTOS!$I$4:$I$63,MATCH($A325,PRODUTOS!$B$4:$B$63,0))="B",$D325="AP07"),"NÃO (modelo B)","SIM")))</f>
        <v>NÃO (usa o A+ do EAN 7898968541313)</v>
      </c>
      <c r="K325" s="13" t="s">
        <v>325</v>
      </c>
      <c r="L325" s="13"/>
    </row>
    <row r="326" customFormat="false" ht="15" hidden="false" customHeight="false" outlineLevel="0" collapsed="false">
      <c r="A326" s="15" t="s">
        <v>123</v>
      </c>
      <c r="B326" s="11" t="str">
        <f aca="false">INDEX(PRODUTOS!$E$4:$E$63,MATCH($A326,PRODUTOS!$B$4:$B$63,0))</f>
        <v>Ração Seca Natural Dots para Cães Filhotes - Pacote 1 kg</v>
      </c>
      <c r="C326" s="11" t="str">
        <f aca="false">INDEX(PRODUTOS!$H$4:$H$63,MATCH($A326,PRODUTOS!$B$4:$B$63,0))</f>
        <v>1 kg</v>
      </c>
      <c r="D326" s="11" t="s">
        <v>341</v>
      </c>
      <c r="E326" s="16" t="str">
        <f aca="false">$A326&amp;"."&amp;$D326&amp;".jpg"</f>
        <v>7898968541290.COMP.jpg</v>
      </c>
      <c r="F326" s="11" t="str">
        <f aca="false">IF(INDEX(PRODUTOS!$I$4:$I$63,MATCH($A326,PRODUTOS!$B$4:$B$63,0))="B",INDEX(MODELOS!$F$3:$F$19,MATCH($D326,MODELOS!$A$3:$A$19,0)),INDEX(MODELOS!$B$3:$B$19,MATCH($D326,MODELOS!$A$3:$A$19,0)))</f>
        <v>A+ · Tabela comparativa</v>
      </c>
      <c r="G326" s="11" t="str">
        <f aca="false">IF(INDEX(PRODUTOS!$F$4:$F$63,MATCH($A326,PRODUTOS!$B$4:$B$63,0))="Ração",IF(INDEX(PRODUTOS!$I$4:$I$63,MATCH($A326,PRODUTOS!$B$4:$B$63,0))="B",INDEX(MODELOS!$G$3:$G$19,MATCH($D326,MODELOS!$A$3:$A$19,0)),INDEX(MODELOS!$C$3:$C$19,MATCH($D326,MODELOS!$A$3:$A$19,0))),IF(INDEX(PRODUTOS!$I$4:$I$63,MATCH($A326,PRODUTOS!$B$4:$B$63,0))="B",INDEX(MODELOS!$H$3:$H$19,MATCH($D326,MODELOS!$A$3:$A$19,0)),INDEX(MODELOS!$D$3:$D$19,MATCH($D326,MODELOS!$A$3:$A$19,0))))</f>
        <v>Pacote na vertical, sem fundo colorido</v>
      </c>
      <c r="H326" s="11" t="str">
        <f aca="false">IF(INDEX(PRODUTOS!$I$4:$I$63,MATCH($A326,PRODUTOS!$B$4:$B$63,0))="B",INDEX(MODELOS!$I$3:$I$19,MATCH($D326,MODELOS!$A$3:$A$19,0)),INDEX(MODELOS!$E$3:$E$19,MATCH($D326,MODELOS!$A$3:$A$19,0)))</f>
        <v>150 × 300</v>
      </c>
      <c r="I326" s="11" t="str">
        <f aca="false">INDEX(MODELOS!$J$3:$J$19,MATCH($D326,MODELOS!$A$3:$A$19,0))</f>
        <v>SIM</v>
      </c>
      <c r="J326" s="11" t="str">
        <f aca="false">IF(LEFT($D326,2)&lt;&gt;"AP",IF($I326="SIM","SIM","RECOMENDADA"),IF(INDEX(PRODUTOS!$J$4:$J$63,MATCH($A326,PRODUTOS!$B$4:$B$63,0))&lt;&gt;"","NÃO (usa o A+ do EAN "&amp;INDEX(PRODUTOS!$J$4:$J$63,MATCH($A326,PRODUTOS!$B$4:$B$63,0))&amp;")",IF(AND(INDEX(PRODUTOS!$I$4:$I$63,MATCH($A326,PRODUTOS!$B$4:$B$63,0))="B",$D326="AP07"),"NÃO (modelo B)","SIM")))</f>
        <v>SIM</v>
      </c>
      <c r="K326" s="13" t="s">
        <v>325</v>
      </c>
      <c r="L326" s="13"/>
    </row>
    <row r="327" customFormat="false" ht="15" hidden="false" customHeight="false" outlineLevel="0" collapsed="false">
      <c r="A327" s="15" t="s">
        <v>127</v>
      </c>
      <c r="B327" s="11" t="str">
        <f aca="false">INDEX(PRODUTOS!$E$4:$E$63,MATCH($A327,PRODUTOS!$B$4:$B$63,0))</f>
        <v>Ração Seca Natural Dots para Cães Sênior - Pacote 15 kg</v>
      </c>
      <c r="C327" s="11" t="str">
        <f aca="false">INDEX(PRODUTOS!$H$4:$H$63,MATCH($A327,PRODUTOS!$B$4:$B$63,0))</f>
        <v>15 kg</v>
      </c>
      <c r="D327" s="11" t="s">
        <v>324</v>
      </c>
      <c r="E327" s="16" t="str">
        <f aca="false">$A327&amp;"."&amp;$D327&amp;".jpg"</f>
        <v>7898968541276.MAIN.jpg</v>
      </c>
      <c r="F327" s="11" t="str">
        <f aca="false">IF(INDEX(PRODUTOS!$I$4:$I$63,MATCH($A327,PRODUTOS!$B$4:$B$63,0))="B",INDEX(MODELOS!$F$3:$F$19,MATCH($D327,MODELOS!$A$3:$A$19,0)),INDEX(MODELOS!$B$3:$B$19,MATCH($D327,MODELOS!$A$3:$A$19,0)))</f>
        <v>Capa (posição 1)</v>
      </c>
      <c r="G327" s="11" t="str">
        <f aca="false">IF(INDEX(PRODUTOS!$F$4:$F$63,MATCH($A327,PRODUTOS!$B$4:$B$63,0))="Ração",IF(INDEX(PRODUTOS!$I$4:$I$63,MATCH($A327,PRODUTOS!$B$4:$B$63,0))="B",INDEX(MODELOS!$G$3:$G$19,MATCH($D327,MODELOS!$A$3:$A$19,0)),INDEX(MODELOS!$C$3:$C$19,MATCH($D327,MODELOS!$A$3:$A$19,0))),IF(INDEX(PRODUTOS!$I$4:$I$63,MATCH($A327,PRODUTOS!$B$4:$B$63,0))="B",INDEX(MODELOS!$H$3:$H$19,MATCH($D327,MODELOS!$A$3:$A$19,0)),INDEX(MODELOS!$D$3:$D$19,MATCH($D327,MODELOS!$A$3:$A$19,0))))</f>
        <v>Embalagem de frente, fundo branco puro, 85% da área, nada adicionado</v>
      </c>
      <c r="H327" s="11" t="str">
        <f aca="false">IF(INDEX(PRODUTOS!$I$4:$I$63,MATCH($A327,PRODUTOS!$B$4:$B$63,0))="B",INDEX(MODELOS!$I$3:$I$19,MATCH($D327,MODELOS!$A$3:$A$19,0)),INDEX(MODELOS!$E$3:$E$19,MATCH($D327,MODELOS!$A$3:$A$19,0)))</f>
        <v>2000 × 2000</v>
      </c>
      <c r="I327" s="11" t="str">
        <f aca="false">INDEX(MODELOS!$J$3:$J$19,MATCH($D327,MODELOS!$A$3:$A$19,0))</f>
        <v>SIM</v>
      </c>
      <c r="J327" s="11" t="str">
        <f aca="false">IF(LEFT($D327,2)&lt;&gt;"AP",IF($I327="SIM","SIM","RECOMENDADA"),IF(INDEX(PRODUTOS!$J$4:$J$63,MATCH($A327,PRODUTOS!$B$4:$B$63,0))&lt;&gt;"","NÃO (usa o A+ do EAN "&amp;INDEX(PRODUTOS!$J$4:$J$63,MATCH($A327,PRODUTOS!$B$4:$B$63,0))&amp;")",IF(AND(INDEX(PRODUTOS!$I$4:$I$63,MATCH($A327,PRODUTOS!$B$4:$B$63,0))="B",$D327="AP07"),"NÃO (modelo B)","SIM")))</f>
        <v>SIM</v>
      </c>
      <c r="K327" s="13" t="s">
        <v>325</v>
      </c>
      <c r="L327" s="13"/>
    </row>
    <row r="328" customFormat="false" ht="15" hidden="false" customHeight="false" outlineLevel="0" collapsed="false">
      <c r="A328" s="15" t="s">
        <v>127</v>
      </c>
      <c r="B328" s="11" t="str">
        <f aca="false">INDEX(PRODUTOS!$E$4:$E$63,MATCH($A328,PRODUTOS!$B$4:$B$63,0))</f>
        <v>Ração Seca Natural Dots para Cães Sênior - Pacote 15 kg</v>
      </c>
      <c r="C328" s="11" t="str">
        <f aca="false">INDEX(PRODUTOS!$H$4:$H$63,MATCH($A328,PRODUTOS!$B$4:$B$63,0))</f>
        <v>15 kg</v>
      </c>
      <c r="D328" s="11" t="s">
        <v>326</v>
      </c>
      <c r="E328" s="16" t="str">
        <f aca="false">$A328&amp;"."&amp;$D328&amp;".jpg"</f>
        <v>7898968541276.PT01.jpg</v>
      </c>
      <c r="F328" s="11" t="str">
        <f aca="false">IF(INDEX(PRODUTOS!$I$4:$I$63,MATCH($A328,PRODUTOS!$B$4:$B$63,0))="B",INDEX(MODELOS!$F$3:$F$19,MATCH($D328,MODELOS!$A$3:$A$19,0)),INDEX(MODELOS!$B$3:$B$19,MATCH($D328,MODELOS!$A$3:$A$19,0)))</f>
        <v>Galeria · posição 2</v>
      </c>
      <c r="G328" s="11" t="str">
        <f aca="false">IF(INDEX(PRODUTOS!$F$4:$F$63,MATCH($A328,PRODUTOS!$B$4:$B$63,0))="Ração",IF(INDEX(PRODUTOS!$I$4:$I$63,MATCH($A328,PRODUTOS!$B$4:$B$63,0))="B",INDEX(MODELOS!$G$3:$G$19,MATCH($D328,MODELOS!$A$3:$A$19,0)),INDEX(MODELOS!$C$3:$C$19,MATCH($D328,MODELOS!$A$3:$A$19,0))),IF(INDEX(PRODUTOS!$I$4:$I$63,MATCH($A328,PRODUTOS!$B$4:$B$63,0))="B",INDEX(MODELOS!$H$3:$H$19,MATCH($D328,MODELOS!$A$3:$A$19,0)),INDEX(MODELOS!$D$3:$D$19,MATCH($D328,MODELOS!$A$3:$A$19,0))))</f>
        <v>Grande diferencial da linha (número ou promessa forte + grão e ingrediente)</v>
      </c>
      <c r="H328" s="11" t="str">
        <f aca="false">IF(INDEX(PRODUTOS!$I$4:$I$63,MATCH($A328,PRODUTOS!$B$4:$B$63,0))="B",INDEX(MODELOS!$I$3:$I$19,MATCH($D328,MODELOS!$A$3:$A$19,0)),INDEX(MODELOS!$E$3:$E$19,MATCH($D328,MODELOS!$A$3:$A$19,0)))</f>
        <v>2000 × 2000</v>
      </c>
      <c r="I328" s="11" t="str">
        <f aca="false">INDEX(MODELOS!$J$3:$J$19,MATCH($D328,MODELOS!$A$3:$A$19,0))</f>
        <v>SIM</v>
      </c>
      <c r="J328" s="11" t="str">
        <f aca="false">IF(LEFT($D328,2)&lt;&gt;"AP",IF($I328="SIM","SIM","RECOMENDADA"),IF(INDEX(PRODUTOS!$J$4:$J$63,MATCH($A328,PRODUTOS!$B$4:$B$63,0))&lt;&gt;"","NÃO (usa o A+ do EAN "&amp;INDEX(PRODUTOS!$J$4:$J$63,MATCH($A328,PRODUTOS!$B$4:$B$63,0))&amp;")",IF(AND(INDEX(PRODUTOS!$I$4:$I$63,MATCH($A328,PRODUTOS!$B$4:$B$63,0))="B",$D328="AP07"),"NÃO (modelo B)","SIM")))</f>
        <v>SIM</v>
      </c>
      <c r="K328" s="13" t="s">
        <v>325</v>
      </c>
      <c r="L328" s="13"/>
    </row>
    <row r="329" customFormat="false" ht="15" hidden="false" customHeight="false" outlineLevel="0" collapsed="false">
      <c r="A329" s="15" t="s">
        <v>127</v>
      </c>
      <c r="B329" s="11" t="str">
        <f aca="false">INDEX(PRODUTOS!$E$4:$E$63,MATCH($A329,PRODUTOS!$B$4:$B$63,0))</f>
        <v>Ração Seca Natural Dots para Cães Sênior - Pacote 15 kg</v>
      </c>
      <c r="C329" s="11" t="str">
        <f aca="false">INDEX(PRODUTOS!$H$4:$H$63,MATCH($A329,PRODUTOS!$B$4:$B$63,0))</f>
        <v>15 kg</v>
      </c>
      <c r="D329" s="11" t="s">
        <v>327</v>
      </c>
      <c r="E329" s="16" t="str">
        <f aca="false">$A329&amp;"."&amp;$D329&amp;".jpg"</f>
        <v>7898968541276.PT02.jpg</v>
      </c>
      <c r="F329" s="11" t="str">
        <f aca="false">IF(INDEX(PRODUTOS!$I$4:$I$63,MATCH($A329,PRODUTOS!$B$4:$B$63,0))="B",INDEX(MODELOS!$F$3:$F$19,MATCH($D329,MODELOS!$A$3:$A$19,0)),INDEX(MODELOS!$B$3:$B$19,MATCH($D329,MODELOS!$A$3:$A$19,0)))</f>
        <v>Galeria · posição 3</v>
      </c>
      <c r="G329" s="11" t="str">
        <f aca="false">IF(INDEX(PRODUTOS!$F$4:$F$63,MATCH($A329,PRODUTOS!$B$4:$B$63,0))="Ração",IF(INDEX(PRODUTOS!$I$4:$I$63,MATCH($A329,PRODUTOS!$B$4:$B$63,0))="B",INDEX(MODELOS!$G$3:$G$19,MATCH($D329,MODELOS!$A$3:$A$19,0)),INDEX(MODELOS!$C$3:$C$19,MATCH($D329,MODELOS!$A$3:$A$19,0))),IF(INDEX(PRODUTOS!$I$4:$I$63,MATCH($A329,PRODUTOS!$B$4:$B$63,0))="B",INDEX(MODELOS!$H$3:$H$19,MATCH($D329,MODELOS!$A$3:$A$19,0)),INDEX(MODELOS!$D$3:$D$19,MATCH($D329,MODELOS!$A$3:$A$19,0))))</f>
        <v>Benefícios com ícones (4 a 6, impressos na embalagem) + ingrediente</v>
      </c>
      <c r="H329" s="11" t="str">
        <f aca="false">IF(INDEX(PRODUTOS!$I$4:$I$63,MATCH($A329,PRODUTOS!$B$4:$B$63,0))="B",INDEX(MODELOS!$I$3:$I$19,MATCH($D329,MODELOS!$A$3:$A$19,0)),INDEX(MODELOS!$E$3:$E$19,MATCH($D329,MODELOS!$A$3:$A$19,0)))</f>
        <v>2000 × 2000</v>
      </c>
      <c r="I329" s="11" t="str">
        <f aca="false">INDEX(MODELOS!$J$3:$J$19,MATCH($D329,MODELOS!$A$3:$A$19,0))</f>
        <v>SIM</v>
      </c>
      <c r="J329" s="11" t="str">
        <f aca="false">IF(LEFT($D329,2)&lt;&gt;"AP",IF($I329="SIM","SIM","RECOMENDADA"),IF(INDEX(PRODUTOS!$J$4:$J$63,MATCH($A329,PRODUTOS!$B$4:$B$63,0))&lt;&gt;"","NÃO (usa o A+ do EAN "&amp;INDEX(PRODUTOS!$J$4:$J$63,MATCH($A329,PRODUTOS!$B$4:$B$63,0))&amp;")",IF(AND(INDEX(PRODUTOS!$I$4:$I$63,MATCH($A329,PRODUTOS!$B$4:$B$63,0))="B",$D329="AP07"),"NÃO (modelo B)","SIM")))</f>
        <v>SIM</v>
      </c>
      <c r="K329" s="13" t="s">
        <v>325</v>
      </c>
      <c r="L329" s="13"/>
    </row>
    <row r="330" customFormat="false" ht="15" hidden="false" customHeight="false" outlineLevel="0" collapsed="false">
      <c r="A330" s="15" t="s">
        <v>127</v>
      </c>
      <c r="B330" s="11" t="str">
        <f aca="false">INDEX(PRODUTOS!$E$4:$E$63,MATCH($A330,PRODUTOS!$B$4:$B$63,0))</f>
        <v>Ração Seca Natural Dots para Cães Sênior - Pacote 15 kg</v>
      </c>
      <c r="C330" s="11" t="str">
        <f aca="false">INDEX(PRODUTOS!$H$4:$H$63,MATCH($A330,PRODUTOS!$B$4:$B$63,0))</f>
        <v>15 kg</v>
      </c>
      <c r="D330" s="11" t="s">
        <v>328</v>
      </c>
      <c r="E330" s="16" t="str">
        <f aca="false">$A330&amp;"."&amp;$D330&amp;".jpg"</f>
        <v>7898968541276.PT03.jpg</v>
      </c>
      <c r="F330" s="11" t="str">
        <f aca="false">IF(INDEX(PRODUTOS!$I$4:$I$63,MATCH($A330,PRODUTOS!$B$4:$B$63,0))="B",INDEX(MODELOS!$F$3:$F$19,MATCH($D330,MODELOS!$A$3:$A$19,0)),INDEX(MODELOS!$B$3:$B$19,MATCH($D330,MODELOS!$A$3:$A$19,0)))</f>
        <v>Galeria · posição 4</v>
      </c>
      <c r="G330" s="11" t="str">
        <f aca="false">IF(INDEX(PRODUTOS!$F$4:$F$63,MATCH($A330,PRODUTOS!$B$4:$B$63,0))="Ração",IF(INDEX(PRODUTOS!$I$4:$I$63,MATCH($A330,PRODUTOS!$B$4:$B$63,0))="B",INDEX(MODELOS!$G$3:$G$19,MATCH($D330,MODELOS!$A$3:$A$19,0)),INDEX(MODELOS!$C$3:$C$19,MATCH($D330,MODELOS!$A$3:$A$19,0))),IF(INDEX(PRODUTOS!$I$4:$I$63,MATCH($A330,PRODUTOS!$B$4:$B$63,0))="B",INDEX(MODELOS!$H$3:$H$19,MATCH($D330,MODELOS!$A$3:$A$19,0)),INDEX(MODELOS!$D$3:$D$19,MATCH($D330,MODELOS!$A$3:$A$19,0))))</f>
        <v>Formato e tamanho do grão, com medida em mm e referência de tamanho</v>
      </c>
      <c r="H330" s="11" t="str">
        <f aca="false">IF(INDEX(PRODUTOS!$I$4:$I$63,MATCH($A330,PRODUTOS!$B$4:$B$63,0))="B",INDEX(MODELOS!$I$3:$I$19,MATCH($D330,MODELOS!$A$3:$A$19,0)),INDEX(MODELOS!$E$3:$E$19,MATCH($D330,MODELOS!$A$3:$A$19,0)))</f>
        <v>2000 × 2000</v>
      </c>
      <c r="I330" s="11" t="str">
        <f aca="false">INDEX(MODELOS!$J$3:$J$19,MATCH($D330,MODELOS!$A$3:$A$19,0))</f>
        <v>SIM</v>
      </c>
      <c r="J330" s="11" t="str">
        <f aca="false">IF(LEFT($D330,2)&lt;&gt;"AP",IF($I330="SIM","SIM","RECOMENDADA"),IF(INDEX(PRODUTOS!$J$4:$J$63,MATCH($A330,PRODUTOS!$B$4:$B$63,0))&lt;&gt;"","NÃO (usa o A+ do EAN "&amp;INDEX(PRODUTOS!$J$4:$J$63,MATCH($A330,PRODUTOS!$B$4:$B$63,0))&amp;")",IF(AND(INDEX(PRODUTOS!$I$4:$I$63,MATCH($A330,PRODUTOS!$B$4:$B$63,0))="B",$D330="AP07"),"NÃO (modelo B)","SIM")))</f>
        <v>SIM</v>
      </c>
      <c r="K330" s="13" t="s">
        <v>325</v>
      </c>
      <c r="L330" s="13"/>
    </row>
    <row r="331" customFormat="false" ht="15" hidden="false" customHeight="false" outlineLevel="0" collapsed="false">
      <c r="A331" s="15" t="s">
        <v>127</v>
      </c>
      <c r="B331" s="11" t="str">
        <f aca="false">INDEX(PRODUTOS!$E$4:$E$63,MATCH($A331,PRODUTOS!$B$4:$B$63,0))</f>
        <v>Ração Seca Natural Dots para Cães Sênior - Pacote 15 kg</v>
      </c>
      <c r="C331" s="11" t="str">
        <f aca="false">INDEX(PRODUTOS!$H$4:$H$63,MATCH($A331,PRODUTOS!$B$4:$B$63,0))</f>
        <v>15 kg</v>
      </c>
      <c r="D331" s="11" t="s">
        <v>329</v>
      </c>
      <c r="E331" s="16" t="str">
        <f aca="false">$A331&amp;"."&amp;$D331&amp;".jpg"</f>
        <v>7898968541276.PT04.jpg</v>
      </c>
      <c r="F331" s="11" t="str">
        <f aca="false">IF(INDEX(PRODUTOS!$I$4:$I$63,MATCH($A331,PRODUTOS!$B$4:$B$63,0))="B",INDEX(MODELOS!$F$3:$F$19,MATCH($D331,MODELOS!$A$3:$A$19,0)),INDEX(MODELOS!$B$3:$B$19,MATCH($D331,MODELOS!$A$3:$A$19,0)))</f>
        <v>Galeria · posição 5</v>
      </c>
      <c r="G331" s="11" t="str">
        <f aca="false">IF(INDEX(PRODUTOS!$F$4:$F$63,MATCH($A331,PRODUTOS!$B$4:$B$63,0))="Ração",IF(INDEX(PRODUTOS!$I$4:$I$63,MATCH($A331,PRODUTOS!$B$4:$B$63,0))="B",INDEX(MODELOS!$G$3:$G$19,MATCH($D331,MODELOS!$A$3:$A$19,0)),INDEX(MODELOS!$C$3:$C$19,MATCH($D331,MODELOS!$A$3:$A$19,0))),IF(INDEX(PRODUTOS!$I$4:$I$63,MATCH($A331,PRODUTOS!$B$4:$B$63,0))="B",INDEX(MODELOS!$H$3:$H$19,MATCH($D331,MODELOS!$A$3:$A$19,0)),INDEX(MODELOS!$D$3:$D$19,MATCH($D331,MODELOS!$A$3:$A$19,0))))</f>
        <v>Quantidade diária por peso do cão/gato (números idênticos à embalagem)</v>
      </c>
      <c r="H331" s="11" t="str">
        <f aca="false">IF(INDEX(PRODUTOS!$I$4:$I$63,MATCH($A331,PRODUTOS!$B$4:$B$63,0))="B",INDEX(MODELOS!$I$3:$I$19,MATCH($D331,MODELOS!$A$3:$A$19,0)),INDEX(MODELOS!$E$3:$E$19,MATCH($D331,MODELOS!$A$3:$A$19,0)))</f>
        <v>2000 × 2000</v>
      </c>
      <c r="I331" s="11" t="str">
        <f aca="false">INDEX(MODELOS!$J$3:$J$19,MATCH($D331,MODELOS!$A$3:$A$19,0))</f>
        <v>SIM</v>
      </c>
      <c r="J331" s="11" t="str">
        <f aca="false">IF(LEFT($D331,2)&lt;&gt;"AP",IF($I331="SIM","SIM","RECOMENDADA"),IF(INDEX(PRODUTOS!$J$4:$J$63,MATCH($A331,PRODUTOS!$B$4:$B$63,0))&lt;&gt;"","NÃO (usa o A+ do EAN "&amp;INDEX(PRODUTOS!$J$4:$J$63,MATCH($A331,PRODUTOS!$B$4:$B$63,0))&amp;")",IF(AND(INDEX(PRODUTOS!$I$4:$I$63,MATCH($A331,PRODUTOS!$B$4:$B$63,0))="B",$D331="AP07"),"NÃO (modelo B)","SIM")))</f>
        <v>SIM</v>
      </c>
      <c r="K331" s="13" t="s">
        <v>325</v>
      </c>
      <c r="L331" s="13"/>
    </row>
    <row r="332" customFormat="false" ht="15" hidden="false" customHeight="false" outlineLevel="0" collapsed="false">
      <c r="A332" s="15" t="s">
        <v>127</v>
      </c>
      <c r="B332" s="11" t="str">
        <f aca="false">INDEX(PRODUTOS!$E$4:$E$63,MATCH($A332,PRODUTOS!$B$4:$B$63,0))</f>
        <v>Ração Seca Natural Dots para Cães Sênior - Pacote 15 kg</v>
      </c>
      <c r="C332" s="11" t="str">
        <f aca="false">INDEX(PRODUTOS!$H$4:$H$63,MATCH($A332,PRODUTOS!$B$4:$B$63,0))</f>
        <v>15 kg</v>
      </c>
      <c r="D332" s="11" t="s">
        <v>330</v>
      </c>
      <c r="E332" s="16" t="str">
        <f aca="false">$A332&amp;"."&amp;$D332&amp;".jpg"</f>
        <v>7898968541276.PT05.jpg</v>
      </c>
      <c r="F332" s="11" t="str">
        <f aca="false">IF(INDEX(PRODUTOS!$I$4:$I$63,MATCH($A332,PRODUTOS!$B$4:$B$63,0))="B",INDEX(MODELOS!$F$3:$F$19,MATCH($D332,MODELOS!$A$3:$A$19,0)),INDEX(MODELOS!$B$3:$B$19,MATCH($D332,MODELOS!$A$3:$A$19,0)))</f>
        <v>Galeria · posição 6</v>
      </c>
      <c r="G332" s="11" t="str">
        <f aca="false">IF(INDEX(PRODUTOS!$F$4:$F$63,MATCH($A332,PRODUTOS!$B$4:$B$63,0))="Ração",IF(INDEX(PRODUTOS!$I$4:$I$63,MATCH($A332,PRODUTOS!$B$4:$B$63,0))="B",INDEX(MODELOS!$G$3:$G$19,MATCH($D332,MODELOS!$A$3:$A$19,0)),INDEX(MODELOS!$C$3:$C$19,MATCH($D332,MODELOS!$A$3:$A$19,0))),IF(INDEX(PRODUTOS!$I$4:$I$63,MATCH($A332,PRODUTOS!$B$4:$B$63,0))="B",INDEX(MODELOS!$H$3:$H$19,MATCH($D332,MODELOS!$A$3:$A$19,0)),INDEX(MODELOS!$D$3:$D$19,MATCH($D332,MODELOS!$A$3:$A$19,0))))</f>
        <v>Transição alimentar dia a dia (igual ao verso da embalagem)</v>
      </c>
      <c r="H332" s="11" t="str">
        <f aca="false">IF(INDEX(PRODUTOS!$I$4:$I$63,MATCH($A332,PRODUTOS!$B$4:$B$63,0))="B",INDEX(MODELOS!$I$3:$I$19,MATCH($D332,MODELOS!$A$3:$A$19,0)),INDEX(MODELOS!$E$3:$E$19,MATCH($D332,MODELOS!$A$3:$A$19,0)))</f>
        <v>2000 × 2000</v>
      </c>
      <c r="I332" s="11" t="str">
        <f aca="false">INDEX(MODELOS!$J$3:$J$19,MATCH($D332,MODELOS!$A$3:$A$19,0))</f>
        <v>Recomendada</v>
      </c>
      <c r="J332" s="11" t="str">
        <f aca="false">IF(LEFT($D332,2)&lt;&gt;"AP",IF($I332="SIM","SIM","RECOMENDADA"),IF(INDEX(PRODUTOS!$J$4:$J$63,MATCH($A332,PRODUTOS!$B$4:$B$63,0))&lt;&gt;"","NÃO (usa o A+ do EAN "&amp;INDEX(PRODUTOS!$J$4:$J$63,MATCH($A332,PRODUTOS!$B$4:$B$63,0))&amp;")",IF(AND(INDEX(PRODUTOS!$I$4:$I$63,MATCH($A332,PRODUTOS!$B$4:$B$63,0))="B",$D332="AP07"),"NÃO (modelo B)","SIM")))</f>
        <v>RECOMENDADA</v>
      </c>
      <c r="K332" s="13" t="s">
        <v>325</v>
      </c>
      <c r="L332" s="13"/>
    </row>
    <row r="333" customFormat="false" ht="15" hidden="false" customHeight="false" outlineLevel="0" collapsed="false">
      <c r="A333" s="15" t="s">
        <v>127</v>
      </c>
      <c r="B333" s="11" t="str">
        <f aca="false">INDEX(PRODUTOS!$E$4:$E$63,MATCH($A333,PRODUTOS!$B$4:$B$63,0))</f>
        <v>Ração Seca Natural Dots para Cães Sênior - Pacote 15 kg</v>
      </c>
      <c r="C333" s="11" t="str">
        <f aca="false">INDEX(PRODUTOS!$H$4:$H$63,MATCH($A333,PRODUTOS!$B$4:$B$63,0))</f>
        <v>15 kg</v>
      </c>
      <c r="D333" s="11" t="s">
        <v>331</v>
      </c>
      <c r="E333" s="16" t="str">
        <f aca="false">$A333&amp;"."&amp;$D333&amp;".jpg"</f>
        <v>7898968541276.PT06.jpg</v>
      </c>
      <c r="F333" s="11" t="str">
        <f aca="false">IF(INDEX(PRODUTOS!$I$4:$I$63,MATCH($A333,PRODUTOS!$B$4:$B$63,0))="B",INDEX(MODELOS!$F$3:$F$19,MATCH($D333,MODELOS!$A$3:$A$19,0)),INDEX(MODELOS!$B$3:$B$19,MATCH($D333,MODELOS!$A$3:$A$19,0)))</f>
        <v>Galeria · posição 7</v>
      </c>
      <c r="G333" s="11" t="str">
        <f aca="false">IF(INDEX(PRODUTOS!$F$4:$F$63,MATCH($A333,PRODUTOS!$B$4:$B$63,0))="Ração",IF(INDEX(PRODUTOS!$I$4:$I$63,MATCH($A333,PRODUTOS!$B$4:$B$63,0))="B",INDEX(MODELOS!$G$3:$G$19,MATCH($D333,MODELOS!$A$3:$A$19,0)),INDEX(MODELOS!$C$3:$C$19,MATCH($D333,MODELOS!$A$3:$A$19,0))),IF(INDEX(PRODUTOS!$I$4:$I$63,MATCH($A333,PRODUTOS!$B$4:$B$63,0))="B",INDEX(MODELOS!$H$3:$H$19,MATCH($D333,MODELOS!$A$3:$A$19,0)),INDEX(MODELOS!$D$3:$D$19,MATCH($D333,MODELOS!$A$3:$A$19,0))))</f>
        <v>Composição e níveis de garantia em letra grande</v>
      </c>
      <c r="H333" s="11" t="str">
        <f aca="false">IF(INDEX(PRODUTOS!$I$4:$I$63,MATCH($A333,PRODUTOS!$B$4:$B$63,0))="B",INDEX(MODELOS!$I$3:$I$19,MATCH($D333,MODELOS!$A$3:$A$19,0)),INDEX(MODELOS!$E$3:$E$19,MATCH($D333,MODELOS!$A$3:$A$19,0)))</f>
        <v>2000 × 2000</v>
      </c>
      <c r="I333" s="11" t="str">
        <f aca="false">INDEX(MODELOS!$J$3:$J$19,MATCH($D333,MODELOS!$A$3:$A$19,0))</f>
        <v>SIM</v>
      </c>
      <c r="J333" s="11" t="str">
        <f aca="false">IF(LEFT($D333,2)&lt;&gt;"AP",IF($I333="SIM","SIM","RECOMENDADA"),IF(INDEX(PRODUTOS!$J$4:$J$63,MATCH($A333,PRODUTOS!$B$4:$B$63,0))&lt;&gt;"","NÃO (usa o A+ do EAN "&amp;INDEX(PRODUTOS!$J$4:$J$63,MATCH($A333,PRODUTOS!$B$4:$B$63,0))&amp;")",IF(AND(INDEX(PRODUTOS!$I$4:$I$63,MATCH($A333,PRODUTOS!$B$4:$B$63,0))="B",$D333="AP07"),"NÃO (modelo B)","SIM")))</f>
        <v>SIM</v>
      </c>
      <c r="K333" s="13" t="s">
        <v>325</v>
      </c>
      <c r="L333" s="13"/>
    </row>
    <row r="334" customFormat="false" ht="15" hidden="false" customHeight="false" outlineLevel="0" collapsed="false">
      <c r="A334" s="15" t="s">
        <v>127</v>
      </c>
      <c r="B334" s="11" t="str">
        <f aca="false">INDEX(PRODUTOS!$E$4:$E$63,MATCH($A334,PRODUTOS!$B$4:$B$63,0))</f>
        <v>Ração Seca Natural Dots para Cães Sênior - Pacote 15 kg</v>
      </c>
      <c r="C334" s="11" t="str">
        <f aca="false">INDEX(PRODUTOS!$H$4:$H$63,MATCH($A334,PRODUTOS!$B$4:$B$63,0))</f>
        <v>15 kg</v>
      </c>
      <c r="D334" s="11" t="s">
        <v>332</v>
      </c>
      <c r="E334" s="16" t="str">
        <f aca="false">$A334&amp;"."&amp;$D334&amp;".jpg"</f>
        <v>7898968541276.PT07.jpg</v>
      </c>
      <c r="F334" s="11" t="str">
        <f aca="false">IF(INDEX(PRODUTOS!$I$4:$I$63,MATCH($A334,PRODUTOS!$B$4:$B$63,0))="B",INDEX(MODELOS!$F$3:$F$19,MATCH($D334,MODELOS!$A$3:$A$19,0)),INDEX(MODELOS!$B$3:$B$19,MATCH($D334,MODELOS!$A$3:$A$19,0)))</f>
        <v>Galeria · posição 8</v>
      </c>
      <c r="G334" s="11" t="str">
        <f aca="false">IF(INDEX(PRODUTOS!$F$4:$F$63,MATCH($A334,PRODUTOS!$B$4:$B$63,0))="Ração",IF(INDEX(PRODUTOS!$I$4:$I$63,MATCH($A334,PRODUTOS!$B$4:$B$63,0))="B",INDEX(MODELOS!$G$3:$G$19,MATCH($D334,MODELOS!$A$3:$A$19,0)),INDEX(MODELOS!$C$3:$C$19,MATCH($D334,MODELOS!$A$3:$A$19,0))),IF(INDEX(PRODUTOS!$I$4:$I$63,MATCH($A334,PRODUTOS!$B$4:$B$63,0))="B",INDEX(MODELOS!$H$3:$H$19,MATCH($D334,MODELOS!$A$3:$A$19,0)),INDEX(MODELOS!$D$3:$D$19,MATCH($D334,MODELOS!$A$3:$A$19,0))))</f>
        <v>Emocional / momento de uso (pet do porte certo, pote cheio)</v>
      </c>
      <c r="H334" s="11" t="str">
        <f aca="false">IF(INDEX(PRODUTOS!$I$4:$I$63,MATCH($A334,PRODUTOS!$B$4:$B$63,0))="B",INDEX(MODELOS!$I$3:$I$19,MATCH($D334,MODELOS!$A$3:$A$19,0)),INDEX(MODELOS!$E$3:$E$19,MATCH($D334,MODELOS!$A$3:$A$19,0)))</f>
        <v>2000 × 2000</v>
      </c>
      <c r="I334" s="11" t="str">
        <f aca="false">INDEX(MODELOS!$J$3:$J$19,MATCH($D334,MODELOS!$A$3:$A$19,0))</f>
        <v>Recomendada</v>
      </c>
      <c r="J334" s="11" t="str">
        <f aca="false">IF(LEFT($D334,2)&lt;&gt;"AP",IF($I334="SIM","SIM","RECOMENDADA"),IF(INDEX(PRODUTOS!$J$4:$J$63,MATCH($A334,PRODUTOS!$B$4:$B$63,0))&lt;&gt;"","NÃO (usa o A+ do EAN "&amp;INDEX(PRODUTOS!$J$4:$J$63,MATCH($A334,PRODUTOS!$B$4:$B$63,0))&amp;")",IF(AND(INDEX(PRODUTOS!$I$4:$I$63,MATCH($A334,PRODUTOS!$B$4:$B$63,0))="B",$D334="AP07"),"NÃO (modelo B)","SIM")))</f>
        <v>RECOMENDADA</v>
      </c>
      <c r="K334" s="13" t="s">
        <v>325</v>
      </c>
      <c r="L334" s="13"/>
    </row>
    <row r="335" customFormat="false" ht="15" hidden="false" customHeight="false" outlineLevel="0" collapsed="false">
      <c r="A335" s="15" t="s">
        <v>127</v>
      </c>
      <c r="B335" s="11" t="str">
        <f aca="false">INDEX(PRODUTOS!$E$4:$E$63,MATCH($A335,PRODUTOS!$B$4:$B$63,0))</f>
        <v>Ração Seca Natural Dots para Cães Sênior - Pacote 15 kg</v>
      </c>
      <c r="C335" s="11" t="str">
        <f aca="false">INDEX(PRODUTOS!$H$4:$H$63,MATCH($A335,PRODUTOS!$B$4:$B$63,0))</f>
        <v>15 kg</v>
      </c>
      <c r="D335" s="11" t="s">
        <v>333</v>
      </c>
      <c r="E335" s="16" t="str">
        <f aca="false">$A335&amp;"."&amp;$D335&amp;".jpg"</f>
        <v>7898968541276.PT08.jpg</v>
      </c>
      <c r="F335" s="11" t="str">
        <f aca="false">IF(INDEX(PRODUTOS!$I$4:$I$63,MATCH($A335,PRODUTOS!$B$4:$B$63,0))="B",INDEX(MODELOS!$F$3:$F$19,MATCH($D335,MODELOS!$A$3:$A$19,0)),INDEX(MODELOS!$B$3:$B$19,MATCH($D335,MODELOS!$A$3:$A$19,0)))</f>
        <v>Galeria · posição 9</v>
      </c>
      <c r="G335" s="11" t="str">
        <f aca="false">IF(INDEX(PRODUTOS!$F$4:$F$63,MATCH($A335,PRODUTOS!$B$4:$B$63,0))="Ração",IF(INDEX(PRODUTOS!$I$4:$I$63,MATCH($A335,PRODUTOS!$B$4:$B$63,0))="B",INDEX(MODELOS!$G$3:$G$19,MATCH($D335,MODELOS!$A$3:$A$19,0)),INDEX(MODELOS!$C$3:$C$19,MATCH($D335,MODELOS!$A$3:$A$19,0))),IF(INDEX(PRODUTOS!$I$4:$I$63,MATCH($A335,PRODUTOS!$B$4:$B$63,0))="B",INDEX(MODELOS!$H$3:$H$19,MATCH($D335,MODELOS!$A$3:$A$19,0)),INDEX(MODELOS!$D$3:$D$19,MATCH($D335,MODELOS!$A$3:$A$19,0))))</f>
        <v>Linha da marca ou embalagem anterior × nova</v>
      </c>
      <c r="H335" s="11" t="str">
        <f aca="false">IF(INDEX(PRODUTOS!$I$4:$I$63,MATCH($A335,PRODUTOS!$B$4:$B$63,0))="B",INDEX(MODELOS!$I$3:$I$19,MATCH($D335,MODELOS!$A$3:$A$19,0)),INDEX(MODELOS!$E$3:$E$19,MATCH($D335,MODELOS!$A$3:$A$19,0)))</f>
        <v>2000 × 2000</v>
      </c>
      <c r="I335" s="11" t="str">
        <f aca="false">INDEX(MODELOS!$J$3:$J$19,MATCH($D335,MODELOS!$A$3:$A$19,0))</f>
        <v>Recomendada</v>
      </c>
      <c r="J335" s="11" t="str">
        <f aca="false">IF(LEFT($D335,2)&lt;&gt;"AP",IF($I335="SIM","SIM","RECOMENDADA"),IF(INDEX(PRODUTOS!$J$4:$J$63,MATCH($A335,PRODUTOS!$B$4:$B$63,0))&lt;&gt;"","NÃO (usa o A+ do EAN "&amp;INDEX(PRODUTOS!$J$4:$J$63,MATCH($A335,PRODUTOS!$B$4:$B$63,0))&amp;")",IF(AND(INDEX(PRODUTOS!$I$4:$I$63,MATCH($A335,PRODUTOS!$B$4:$B$63,0))="B",$D335="AP07"),"NÃO (modelo B)","SIM")))</f>
        <v>RECOMENDADA</v>
      </c>
      <c r="K335" s="13" t="s">
        <v>325</v>
      </c>
      <c r="L335" s="13"/>
    </row>
    <row r="336" customFormat="false" ht="15" hidden="false" customHeight="false" outlineLevel="0" collapsed="false">
      <c r="A336" s="15" t="s">
        <v>127</v>
      </c>
      <c r="B336" s="11" t="str">
        <f aca="false">INDEX(PRODUTOS!$E$4:$E$63,MATCH($A336,PRODUTOS!$B$4:$B$63,0))</f>
        <v>Ração Seca Natural Dots para Cães Sênior - Pacote 15 kg</v>
      </c>
      <c r="C336" s="11" t="str">
        <f aca="false">INDEX(PRODUTOS!$H$4:$H$63,MATCH($A336,PRODUTOS!$B$4:$B$63,0))</f>
        <v>15 kg</v>
      </c>
      <c r="D336" s="11" t="s">
        <v>334</v>
      </c>
      <c r="E336" s="16" t="str">
        <f aca="false">$A336&amp;"."&amp;$D336&amp;".jpg"</f>
        <v>7898968541276.AP01.jpg</v>
      </c>
      <c r="F336" s="11" t="str">
        <f aca="false">IF(INDEX(PRODUTOS!$I$4:$I$63,MATCH($A336,PRODUTOS!$B$4:$B$63,0))="B",INDEX(MODELOS!$F$3:$F$19,MATCH($D336,MODELOS!$A$3:$A$19,0)),INDEX(MODELOS!$B$3:$B$19,MATCH($D336,MODELOS!$A$3:$A$19,0)))</f>
        <v>A+ · Módulo 1 · Banner</v>
      </c>
      <c r="G336" s="11" t="str">
        <f aca="false">IF(INDEX(PRODUTOS!$F$4:$F$63,MATCH($A336,PRODUTOS!$B$4:$B$63,0))="Ração",IF(INDEX(PRODUTOS!$I$4:$I$63,MATCH($A336,PRODUTOS!$B$4:$B$63,0))="B",INDEX(MODELOS!$G$3:$G$19,MATCH($D336,MODELOS!$A$3:$A$19,0)),INDEX(MODELOS!$C$3:$C$19,MATCH($D336,MODELOS!$A$3:$A$19,0))),IF(INDEX(PRODUTOS!$I$4:$I$63,MATCH($A336,PRODUTOS!$B$4:$B$63,0))="B",INDEX(MODELOS!$H$3:$H$19,MATCH($D336,MODELOS!$A$3:$A$19,0)),INDEX(MODELOS!$D$3:$D$19,MATCH($D336,MODELOS!$A$3:$A$19,0))))</f>
        <v>Embalagem + pet + ingredientes, com o nome da linha</v>
      </c>
      <c r="H336" s="11" t="str">
        <f aca="false">IF(INDEX(PRODUTOS!$I$4:$I$63,MATCH($A336,PRODUTOS!$B$4:$B$63,0))="B",INDEX(MODELOS!$I$3:$I$19,MATCH($D336,MODELOS!$A$3:$A$19,0)),INDEX(MODELOS!$E$3:$E$19,MATCH($D336,MODELOS!$A$3:$A$19,0)))</f>
        <v>970 × 600</v>
      </c>
      <c r="I336" s="11" t="str">
        <f aca="false">INDEX(MODELOS!$J$3:$J$19,MATCH($D336,MODELOS!$A$3:$A$19,0))</f>
        <v>Conforme modelo</v>
      </c>
      <c r="J336" s="11" t="str">
        <f aca="false">IF(LEFT($D336,2)&lt;&gt;"AP",IF($I336="SIM","SIM","RECOMENDADA"),IF(INDEX(PRODUTOS!$J$4:$J$63,MATCH($A336,PRODUTOS!$B$4:$B$63,0))&lt;&gt;"","NÃO (usa o A+ do EAN "&amp;INDEX(PRODUTOS!$J$4:$J$63,MATCH($A336,PRODUTOS!$B$4:$B$63,0))&amp;")",IF(AND(INDEX(PRODUTOS!$I$4:$I$63,MATCH($A336,PRODUTOS!$B$4:$B$63,0))="B",$D336="AP07"),"NÃO (modelo B)","SIM")))</f>
        <v>SIM</v>
      </c>
      <c r="K336" s="13" t="s">
        <v>325</v>
      </c>
      <c r="L336" s="13"/>
    </row>
    <row r="337" customFormat="false" ht="15" hidden="false" customHeight="false" outlineLevel="0" collapsed="false">
      <c r="A337" s="15" t="s">
        <v>127</v>
      </c>
      <c r="B337" s="11" t="str">
        <f aca="false">INDEX(PRODUTOS!$E$4:$E$63,MATCH($A337,PRODUTOS!$B$4:$B$63,0))</f>
        <v>Ração Seca Natural Dots para Cães Sênior - Pacote 15 kg</v>
      </c>
      <c r="C337" s="11" t="str">
        <f aca="false">INDEX(PRODUTOS!$H$4:$H$63,MATCH($A337,PRODUTOS!$B$4:$B$63,0))</f>
        <v>15 kg</v>
      </c>
      <c r="D337" s="11" t="s">
        <v>335</v>
      </c>
      <c r="E337" s="16" t="str">
        <f aca="false">$A337&amp;"."&amp;$D337&amp;".jpg"</f>
        <v>7898968541276.AP02.jpg</v>
      </c>
      <c r="F337" s="11" t="str">
        <f aca="false">IF(INDEX(PRODUTOS!$I$4:$I$63,MATCH($A337,PRODUTOS!$B$4:$B$63,0))="B",INDEX(MODELOS!$F$3:$F$19,MATCH($D337,MODELOS!$A$3:$A$19,0)),INDEX(MODELOS!$B$3:$B$19,MATCH($D337,MODELOS!$A$3:$A$19,0)))</f>
        <v>A+ · Módulo 2 · Texto sobreposto</v>
      </c>
      <c r="G337" s="11" t="str">
        <f aca="false">IF(INDEX(PRODUTOS!$F$4:$F$63,MATCH($A337,PRODUTOS!$B$4:$B$63,0))="Ração",IF(INDEX(PRODUTOS!$I$4:$I$63,MATCH($A337,PRODUTOS!$B$4:$B$63,0))="B",INDEX(MODELOS!$G$3:$G$19,MATCH($D337,MODELOS!$A$3:$A$19,0)),INDEX(MODELOS!$C$3:$C$19,MATCH($D337,MODELOS!$A$3:$A$19,0))),IF(INDEX(PRODUTOS!$I$4:$I$63,MATCH($A337,PRODUTOS!$B$4:$B$63,0))="B",INDEX(MODELOS!$H$3:$H$19,MATCH($D337,MODELOS!$A$3:$A$19,0)),INDEX(MODELOS!$D$3:$D$19,MATCH($D337,MODELOS!$A$3:$A$19,0))))</f>
        <v>Principal diferencial; deixar o lado direito limpo</v>
      </c>
      <c r="H337" s="11" t="str">
        <f aca="false">IF(INDEX(PRODUTOS!$I$4:$I$63,MATCH($A337,PRODUTOS!$B$4:$B$63,0))="B",INDEX(MODELOS!$I$3:$I$19,MATCH($D337,MODELOS!$A$3:$A$19,0)),INDEX(MODELOS!$E$3:$E$19,MATCH($D337,MODELOS!$A$3:$A$19,0)))</f>
        <v>970 × 300</v>
      </c>
      <c r="I337" s="11" t="str">
        <f aca="false">INDEX(MODELOS!$J$3:$J$19,MATCH($D337,MODELOS!$A$3:$A$19,0))</f>
        <v>Conforme modelo</v>
      </c>
      <c r="J337" s="11" t="str">
        <f aca="false">IF(LEFT($D337,2)&lt;&gt;"AP",IF($I337="SIM","SIM","RECOMENDADA"),IF(INDEX(PRODUTOS!$J$4:$J$63,MATCH($A337,PRODUTOS!$B$4:$B$63,0))&lt;&gt;"","NÃO (usa o A+ do EAN "&amp;INDEX(PRODUTOS!$J$4:$J$63,MATCH($A337,PRODUTOS!$B$4:$B$63,0))&amp;")",IF(AND(INDEX(PRODUTOS!$I$4:$I$63,MATCH($A337,PRODUTOS!$B$4:$B$63,0))="B",$D337="AP07"),"NÃO (modelo B)","SIM")))</f>
        <v>SIM</v>
      </c>
      <c r="K337" s="13" t="s">
        <v>325</v>
      </c>
      <c r="L337" s="13"/>
    </row>
    <row r="338" customFormat="false" ht="15" hidden="false" customHeight="false" outlineLevel="0" collapsed="false">
      <c r="A338" s="15" t="s">
        <v>127</v>
      </c>
      <c r="B338" s="11" t="str">
        <f aca="false">INDEX(PRODUTOS!$E$4:$E$63,MATCH($A338,PRODUTOS!$B$4:$B$63,0))</f>
        <v>Ração Seca Natural Dots para Cães Sênior - Pacote 15 kg</v>
      </c>
      <c r="C338" s="11" t="str">
        <f aca="false">INDEX(PRODUTOS!$H$4:$H$63,MATCH($A338,PRODUTOS!$B$4:$B$63,0))</f>
        <v>15 kg</v>
      </c>
      <c r="D338" s="11" t="s">
        <v>336</v>
      </c>
      <c r="E338" s="16" t="str">
        <f aca="false">$A338&amp;"."&amp;$D338&amp;".jpg"</f>
        <v>7898968541276.AP03.jpg</v>
      </c>
      <c r="F338" s="11" t="str">
        <f aca="false">IF(INDEX(PRODUTOS!$I$4:$I$63,MATCH($A338,PRODUTOS!$B$4:$B$63,0))="B",INDEX(MODELOS!$F$3:$F$19,MATCH($D338,MODELOS!$A$3:$A$19,0)),INDEX(MODELOS!$B$3:$B$19,MATCH($D338,MODELOS!$A$3:$A$19,0)))</f>
        <v>A+ · Módulo 3 · Benefício 1 de 4</v>
      </c>
      <c r="G338" s="11" t="str">
        <f aca="false">IF(INDEX(PRODUTOS!$F$4:$F$63,MATCH($A338,PRODUTOS!$B$4:$B$63,0))="Ração",IF(INDEX(PRODUTOS!$I$4:$I$63,MATCH($A338,PRODUTOS!$B$4:$B$63,0))="B",INDEX(MODELOS!$G$3:$G$19,MATCH($D338,MODELOS!$A$3:$A$19,0)),INDEX(MODELOS!$C$3:$C$19,MATCH($D338,MODELOS!$A$3:$A$19,0))),IF(INDEX(PRODUTOS!$I$4:$I$63,MATCH($A338,PRODUTOS!$B$4:$B$63,0))="B",INDEX(MODELOS!$H$3:$H$19,MATCH($D338,MODELOS!$A$3:$A$19,0)),INDEX(MODELOS!$D$3:$D$19,MATCH($D338,MODELOS!$A$3:$A$19,0))))</f>
        <v>Foto/ilustração do benefício 1</v>
      </c>
      <c r="H338" s="11" t="str">
        <f aca="false">IF(INDEX(PRODUTOS!$I$4:$I$63,MATCH($A338,PRODUTOS!$B$4:$B$63,0))="B",INDEX(MODELOS!$I$3:$I$19,MATCH($D338,MODELOS!$A$3:$A$19,0)),INDEX(MODELOS!$E$3:$E$19,MATCH($D338,MODELOS!$A$3:$A$19,0)))</f>
        <v>220 × 200</v>
      </c>
      <c r="I338" s="11" t="str">
        <f aca="false">INDEX(MODELOS!$J$3:$J$19,MATCH($D338,MODELOS!$A$3:$A$19,0))</f>
        <v>Conforme modelo</v>
      </c>
      <c r="J338" s="11" t="str">
        <f aca="false">IF(LEFT($D338,2)&lt;&gt;"AP",IF($I338="SIM","SIM","RECOMENDADA"),IF(INDEX(PRODUTOS!$J$4:$J$63,MATCH($A338,PRODUTOS!$B$4:$B$63,0))&lt;&gt;"","NÃO (usa o A+ do EAN "&amp;INDEX(PRODUTOS!$J$4:$J$63,MATCH($A338,PRODUTOS!$B$4:$B$63,0))&amp;")",IF(AND(INDEX(PRODUTOS!$I$4:$I$63,MATCH($A338,PRODUTOS!$B$4:$B$63,0))="B",$D338="AP07"),"NÃO (modelo B)","SIM")))</f>
        <v>SIM</v>
      </c>
      <c r="K338" s="13" t="s">
        <v>325</v>
      </c>
      <c r="L338" s="13"/>
    </row>
    <row r="339" customFormat="false" ht="15" hidden="false" customHeight="false" outlineLevel="0" collapsed="false">
      <c r="A339" s="15" t="s">
        <v>127</v>
      </c>
      <c r="B339" s="11" t="str">
        <f aca="false">INDEX(PRODUTOS!$E$4:$E$63,MATCH($A339,PRODUTOS!$B$4:$B$63,0))</f>
        <v>Ração Seca Natural Dots para Cães Sênior - Pacote 15 kg</v>
      </c>
      <c r="C339" s="11" t="str">
        <f aca="false">INDEX(PRODUTOS!$H$4:$H$63,MATCH($A339,PRODUTOS!$B$4:$B$63,0))</f>
        <v>15 kg</v>
      </c>
      <c r="D339" s="11" t="s">
        <v>337</v>
      </c>
      <c r="E339" s="16" t="str">
        <f aca="false">$A339&amp;"."&amp;$D339&amp;".jpg"</f>
        <v>7898968541276.AP04.jpg</v>
      </c>
      <c r="F339" s="11" t="str">
        <f aca="false">IF(INDEX(PRODUTOS!$I$4:$I$63,MATCH($A339,PRODUTOS!$B$4:$B$63,0))="B",INDEX(MODELOS!$F$3:$F$19,MATCH($D339,MODELOS!$A$3:$A$19,0)),INDEX(MODELOS!$B$3:$B$19,MATCH($D339,MODELOS!$A$3:$A$19,0)))</f>
        <v>A+ · Módulo 3 · Benefício 2 de 4</v>
      </c>
      <c r="G339" s="11" t="str">
        <f aca="false">IF(INDEX(PRODUTOS!$F$4:$F$63,MATCH($A339,PRODUTOS!$B$4:$B$63,0))="Ração",IF(INDEX(PRODUTOS!$I$4:$I$63,MATCH($A339,PRODUTOS!$B$4:$B$63,0))="B",INDEX(MODELOS!$G$3:$G$19,MATCH($D339,MODELOS!$A$3:$A$19,0)),INDEX(MODELOS!$C$3:$C$19,MATCH($D339,MODELOS!$A$3:$A$19,0))),IF(INDEX(PRODUTOS!$I$4:$I$63,MATCH($A339,PRODUTOS!$B$4:$B$63,0))="B",INDEX(MODELOS!$H$3:$H$19,MATCH($D339,MODELOS!$A$3:$A$19,0)),INDEX(MODELOS!$D$3:$D$19,MATCH($D339,MODELOS!$A$3:$A$19,0))))</f>
        <v>Foto/ilustração do benefício 2</v>
      </c>
      <c r="H339" s="11" t="str">
        <f aca="false">IF(INDEX(PRODUTOS!$I$4:$I$63,MATCH($A339,PRODUTOS!$B$4:$B$63,0))="B",INDEX(MODELOS!$I$3:$I$19,MATCH($D339,MODELOS!$A$3:$A$19,0)),INDEX(MODELOS!$E$3:$E$19,MATCH($D339,MODELOS!$A$3:$A$19,0)))</f>
        <v>220 × 200</v>
      </c>
      <c r="I339" s="11" t="str">
        <f aca="false">INDEX(MODELOS!$J$3:$J$19,MATCH($D339,MODELOS!$A$3:$A$19,0))</f>
        <v>Conforme modelo</v>
      </c>
      <c r="J339" s="11" t="str">
        <f aca="false">IF(LEFT($D339,2)&lt;&gt;"AP",IF($I339="SIM","SIM","RECOMENDADA"),IF(INDEX(PRODUTOS!$J$4:$J$63,MATCH($A339,PRODUTOS!$B$4:$B$63,0))&lt;&gt;"","NÃO (usa o A+ do EAN "&amp;INDEX(PRODUTOS!$J$4:$J$63,MATCH($A339,PRODUTOS!$B$4:$B$63,0))&amp;")",IF(AND(INDEX(PRODUTOS!$I$4:$I$63,MATCH($A339,PRODUTOS!$B$4:$B$63,0))="B",$D339="AP07"),"NÃO (modelo B)","SIM")))</f>
        <v>SIM</v>
      </c>
      <c r="K339" s="13" t="s">
        <v>325</v>
      </c>
      <c r="L339" s="13"/>
    </row>
    <row r="340" customFormat="false" ht="15" hidden="false" customHeight="false" outlineLevel="0" collapsed="false">
      <c r="A340" s="15" t="s">
        <v>127</v>
      </c>
      <c r="B340" s="11" t="str">
        <f aca="false">INDEX(PRODUTOS!$E$4:$E$63,MATCH($A340,PRODUTOS!$B$4:$B$63,0))</f>
        <v>Ração Seca Natural Dots para Cães Sênior - Pacote 15 kg</v>
      </c>
      <c r="C340" s="11" t="str">
        <f aca="false">INDEX(PRODUTOS!$H$4:$H$63,MATCH($A340,PRODUTOS!$B$4:$B$63,0))</f>
        <v>15 kg</v>
      </c>
      <c r="D340" s="11" t="s">
        <v>338</v>
      </c>
      <c r="E340" s="16" t="str">
        <f aca="false">$A340&amp;"."&amp;$D340&amp;".jpg"</f>
        <v>7898968541276.AP05.jpg</v>
      </c>
      <c r="F340" s="11" t="str">
        <f aca="false">IF(INDEX(PRODUTOS!$I$4:$I$63,MATCH($A340,PRODUTOS!$B$4:$B$63,0))="B",INDEX(MODELOS!$F$3:$F$19,MATCH($D340,MODELOS!$A$3:$A$19,0)),INDEX(MODELOS!$B$3:$B$19,MATCH($D340,MODELOS!$A$3:$A$19,0)))</f>
        <v>A+ · Módulo 3 · Benefício 3 de 4</v>
      </c>
      <c r="G340" s="11" t="str">
        <f aca="false">IF(INDEX(PRODUTOS!$F$4:$F$63,MATCH($A340,PRODUTOS!$B$4:$B$63,0))="Ração",IF(INDEX(PRODUTOS!$I$4:$I$63,MATCH($A340,PRODUTOS!$B$4:$B$63,0))="B",INDEX(MODELOS!$G$3:$G$19,MATCH($D340,MODELOS!$A$3:$A$19,0)),INDEX(MODELOS!$C$3:$C$19,MATCH($D340,MODELOS!$A$3:$A$19,0))),IF(INDEX(PRODUTOS!$I$4:$I$63,MATCH($A340,PRODUTOS!$B$4:$B$63,0))="B",INDEX(MODELOS!$H$3:$H$19,MATCH($D340,MODELOS!$A$3:$A$19,0)),INDEX(MODELOS!$D$3:$D$19,MATCH($D340,MODELOS!$A$3:$A$19,0))))</f>
        <v>Foto/ilustração do benefício 3</v>
      </c>
      <c r="H340" s="11" t="str">
        <f aca="false">IF(INDEX(PRODUTOS!$I$4:$I$63,MATCH($A340,PRODUTOS!$B$4:$B$63,0))="B",INDEX(MODELOS!$I$3:$I$19,MATCH($D340,MODELOS!$A$3:$A$19,0)),INDEX(MODELOS!$E$3:$E$19,MATCH($D340,MODELOS!$A$3:$A$19,0)))</f>
        <v>220 × 200</v>
      </c>
      <c r="I340" s="11" t="str">
        <f aca="false">INDEX(MODELOS!$J$3:$J$19,MATCH($D340,MODELOS!$A$3:$A$19,0))</f>
        <v>Conforme modelo</v>
      </c>
      <c r="J340" s="11" t="str">
        <f aca="false">IF(LEFT($D340,2)&lt;&gt;"AP",IF($I340="SIM","SIM","RECOMENDADA"),IF(INDEX(PRODUTOS!$J$4:$J$63,MATCH($A340,PRODUTOS!$B$4:$B$63,0))&lt;&gt;"","NÃO (usa o A+ do EAN "&amp;INDEX(PRODUTOS!$J$4:$J$63,MATCH($A340,PRODUTOS!$B$4:$B$63,0))&amp;")",IF(AND(INDEX(PRODUTOS!$I$4:$I$63,MATCH($A340,PRODUTOS!$B$4:$B$63,0))="B",$D340="AP07"),"NÃO (modelo B)","SIM")))</f>
        <v>SIM</v>
      </c>
      <c r="K340" s="13" t="s">
        <v>325</v>
      </c>
      <c r="L340" s="13"/>
    </row>
    <row r="341" customFormat="false" ht="15" hidden="false" customHeight="false" outlineLevel="0" collapsed="false">
      <c r="A341" s="15" t="s">
        <v>127</v>
      </c>
      <c r="B341" s="11" t="str">
        <f aca="false">INDEX(PRODUTOS!$E$4:$E$63,MATCH($A341,PRODUTOS!$B$4:$B$63,0))</f>
        <v>Ração Seca Natural Dots para Cães Sênior - Pacote 15 kg</v>
      </c>
      <c r="C341" s="11" t="str">
        <f aca="false">INDEX(PRODUTOS!$H$4:$H$63,MATCH($A341,PRODUTOS!$B$4:$B$63,0))</f>
        <v>15 kg</v>
      </c>
      <c r="D341" s="11" t="s">
        <v>339</v>
      </c>
      <c r="E341" s="16" t="str">
        <f aca="false">$A341&amp;"."&amp;$D341&amp;".jpg"</f>
        <v>7898968541276.AP06.jpg</v>
      </c>
      <c r="F341" s="11" t="str">
        <f aca="false">IF(INDEX(PRODUTOS!$I$4:$I$63,MATCH($A341,PRODUTOS!$B$4:$B$63,0))="B",INDEX(MODELOS!$F$3:$F$19,MATCH($D341,MODELOS!$A$3:$A$19,0)),INDEX(MODELOS!$B$3:$B$19,MATCH($D341,MODELOS!$A$3:$A$19,0)))</f>
        <v>A+ · Módulo 3 · Benefício 4 de 4</v>
      </c>
      <c r="G341" s="11" t="str">
        <f aca="false">IF(INDEX(PRODUTOS!$F$4:$F$63,MATCH($A341,PRODUTOS!$B$4:$B$63,0))="Ração",IF(INDEX(PRODUTOS!$I$4:$I$63,MATCH($A341,PRODUTOS!$B$4:$B$63,0))="B",INDEX(MODELOS!$G$3:$G$19,MATCH($D341,MODELOS!$A$3:$A$19,0)),INDEX(MODELOS!$C$3:$C$19,MATCH($D341,MODELOS!$A$3:$A$19,0))),IF(INDEX(PRODUTOS!$I$4:$I$63,MATCH($A341,PRODUTOS!$B$4:$B$63,0))="B",INDEX(MODELOS!$H$3:$H$19,MATCH($D341,MODELOS!$A$3:$A$19,0)),INDEX(MODELOS!$D$3:$D$19,MATCH($D341,MODELOS!$A$3:$A$19,0))))</f>
        <v>Foto/ilustração do benefício 4</v>
      </c>
      <c r="H341" s="11" t="str">
        <f aca="false">IF(INDEX(PRODUTOS!$I$4:$I$63,MATCH($A341,PRODUTOS!$B$4:$B$63,0))="B",INDEX(MODELOS!$I$3:$I$19,MATCH($D341,MODELOS!$A$3:$A$19,0)),INDEX(MODELOS!$E$3:$E$19,MATCH($D341,MODELOS!$A$3:$A$19,0)))</f>
        <v>220 × 200</v>
      </c>
      <c r="I341" s="11" t="str">
        <f aca="false">INDEX(MODELOS!$J$3:$J$19,MATCH($D341,MODELOS!$A$3:$A$19,0))</f>
        <v>Conforme modelo</v>
      </c>
      <c r="J341" s="11" t="str">
        <f aca="false">IF(LEFT($D341,2)&lt;&gt;"AP",IF($I341="SIM","SIM","RECOMENDADA"),IF(INDEX(PRODUTOS!$J$4:$J$63,MATCH($A341,PRODUTOS!$B$4:$B$63,0))&lt;&gt;"","NÃO (usa o A+ do EAN "&amp;INDEX(PRODUTOS!$J$4:$J$63,MATCH($A341,PRODUTOS!$B$4:$B$63,0))&amp;")",IF(AND(INDEX(PRODUTOS!$I$4:$I$63,MATCH($A341,PRODUTOS!$B$4:$B$63,0))="B",$D341="AP07"),"NÃO (modelo B)","SIM")))</f>
        <v>SIM</v>
      </c>
      <c r="K341" s="13" t="s">
        <v>325</v>
      </c>
      <c r="L341" s="13"/>
    </row>
    <row r="342" customFormat="false" ht="15" hidden="false" customHeight="false" outlineLevel="0" collapsed="false">
      <c r="A342" s="15" t="s">
        <v>127</v>
      </c>
      <c r="B342" s="11" t="str">
        <f aca="false">INDEX(PRODUTOS!$E$4:$E$63,MATCH($A342,PRODUTOS!$B$4:$B$63,0))</f>
        <v>Ração Seca Natural Dots para Cães Sênior - Pacote 15 kg</v>
      </c>
      <c r="C342" s="11" t="str">
        <f aca="false">INDEX(PRODUTOS!$H$4:$H$63,MATCH($A342,PRODUTOS!$B$4:$B$63,0))</f>
        <v>15 kg</v>
      </c>
      <c r="D342" s="11" t="s">
        <v>340</v>
      </c>
      <c r="E342" s="16" t="str">
        <f aca="false">$A342&amp;"."&amp;$D342&amp;".jpg"</f>
        <v>7898968541276.AP07.jpg</v>
      </c>
      <c r="F342" s="11" t="str">
        <f aca="false">IF(INDEX(PRODUTOS!$I$4:$I$63,MATCH($A342,PRODUTOS!$B$4:$B$63,0))="B",INDEX(MODELOS!$F$3:$F$19,MATCH($D342,MODELOS!$A$3:$A$19,0)),INDEX(MODELOS!$B$3:$B$19,MATCH($D342,MODELOS!$A$3:$A$19,0)))</f>
        <v>A+ · Módulo 4 · Especificações</v>
      </c>
      <c r="G342" s="11" t="str">
        <f aca="false">IF(INDEX(PRODUTOS!$F$4:$F$63,MATCH($A342,PRODUTOS!$B$4:$B$63,0))="Ração",IF(INDEX(PRODUTOS!$I$4:$I$63,MATCH($A342,PRODUTOS!$B$4:$B$63,0))="B",INDEX(MODELOS!$G$3:$G$19,MATCH($D342,MODELOS!$A$3:$A$19,0)),INDEX(MODELOS!$C$3:$C$19,MATCH($D342,MODELOS!$A$3:$A$19,0))),IF(INDEX(PRODUTOS!$I$4:$I$63,MATCH($A342,PRODUTOS!$B$4:$B$63,0))="B",INDEX(MODELOS!$H$3:$H$19,MATCH($D342,MODELOS!$A$3:$A$19,0)),INDEX(MODELOS!$D$3:$D$19,MATCH($D342,MODELOS!$A$3:$A$19,0))))</f>
        <v>Grão ou pacote em destaque</v>
      </c>
      <c r="H342" s="11" t="str">
        <f aca="false">IF(INDEX(PRODUTOS!$I$4:$I$63,MATCH($A342,PRODUTOS!$B$4:$B$63,0))="B",INDEX(MODELOS!$I$3:$I$19,MATCH($D342,MODELOS!$A$3:$A$19,0)),INDEX(MODELOS!$E$3:$E$19,MATCH($D342,MODELOS!$A$3:$A$19,0)))</f>
        <v>300 × 300</v>
      </c>
      <c r="I342" s="11" t="str">
        <f aca="false">INDEX(MODELOS!$J$3:$J$19,MATCH($D342,MODELOS!$A$3:$A$19,0))</f>
        <v>Conforme modelo</v>
      </c>
      <c r="J342" s="11" t="str">
        <f aca="false">IF(LEFT($D342,2)&lt;&gt;"AP",IF($I342="SIM","SIM","RECOMENDADA"),IF(INDEX(PRODUTOS!$J$4:$J$63,MATCH($A342,PRODUTOS!$B$4:$B$63,0))&lt;&gt;"","NÃO (usa o A+ do EAN "&amp;INDEX(PRODUTOS!$J$4:$J$63,MATCH($A342,PRODUTOS!$B$4:$B$63,0))&amp;")",IF(AND(INDEX(PRODUTOS!$I$4:$I$63,MATCH($A342,PRODUTOS!$B$4:$B$63,0))="B",$D342="AP07"),"NÃO (modelo B)","SIM")))</f>
        <v>SIM</v>
      </c>
      <c r="K342" s="13" t="s">
        <v>325</v>
      </c>
      <c r="L342" s="13"/>
    </row>
    <row r="343" customFormat="false" ht="15" hidden="false" customHeight="false" outlineLevel="0" collapsed="false">
      <c r="A343" s="15" t="s">
        <v>127</v>
      </c>
      <c r="B343" s="11" t="str">
        <f aca="false">INDEX(PRODUTOS!$E$4:$E$63,MATCH($A343,PRODUTOS!$B$4:$B$63,0))</f>
        <v>Ração Seca Natural Dots para Cães Sênior - Pacote 15 kg</v>
      </c>
      <c r="C343" s="11" t="str">
        <f aca="false">INDEX(PRODUTOS!$H$4:$H$63,MATCH($A343,PRODUTOS!$B$4:$B$63,0))</f>
        <v>15 kg</v>
      </c>
      <c r="D343" s="11" t="s">
        <v>341</v>
      </c>
      <c r="E343" s="16" t="str">
        <f aca="false">$A343&amp;"."&amp;$D343&amp;".jpg"</f>
        <v>7898968541276.COMP.jpg</v>
      </c>
      <c r="F343" s="11" t="str">
        <f aca="false">IF(INDEX(PRODUTOS!$I$4:$I$63,MATCH($A343,PRODUTOS!$B$4:$B$63,0))="B",INDEX(MODELOS!$F$3:$F$19,MATCH($D343,MODELOS!$A$3:$A$19,0)),INDEX(MODELOS!$B$3:$B$19,MATCH($D343,MODELOS!$A$3:$A$19,0)))</f>
        <v>A+ · Tabela comparativa</v>
      </c>
      <c r="G343" s="11" t="str">
        <f aca="false">IF(INDEX(PRODUTOS!$F$4:$F$63,MATCH($A343,PRODUTOS!$B$4:$B$63,0))="Ração",IF(INDEX(PRODUTOS!$I$4:$I$63,MATCH($A343,PRODUTOS!$B$4:$B$63,0))="B",INDEX(MODELOS!$G$3:$G$19,MATCH($D343,MODELOS!$A$3:$A$19,0)),INDEX(MODELOS!$C$3:$C$19,MATCH($D343,MODELOS!$A$3:$A$19,0))),IF(INDEX(PRODUTOS!$I$4:$I$63,MATCH($A343,PRODUTOS!$B$4:$B$63,0))="B",INDEX(MODELOS!$H$3:$H$19,MATCH($D343,MODELOS!$A$3:$A$19,0)),INDEX(MODELOS!$D$3:$D$19,MATCH($D343,MODELOS!$A$3:$A$19,0))))</f>
        <v>Pacote na vertical, sem fundo colorido</v>
      </c>
      <c r="H343" s="11" t="str">
        <f aca="false">IF(INDEX(PRODUTOS!$I$4:$I$63,MATCH($A343,PRODUTOS!$B$4:$B$63,0))="B",INDEX(MODELOS!$I$3:$I$19,MATCH($D343,MODELOS!$A$3:$A$19,0)),INDEX(MODELOS!$E$3:$E$19,MATCH($D343,MODELOS!$A$3:$A$19,0)))</f>
        <v>150 × 300</v>
      </c>
      <c r="I343" s="11" t="str">
        <f aca="false">INDEX(MODELOS!$J$3:$J$19,MATCH($D343,MODELOS!$A$3:$A$19,0))</f>
        <v>SIM</v>
      </c>
      <c r="J343" s="11" t="str">
        <f aca="false">IF(LEFT($D343,2)&lt;&gt;"AP",IF($I343="SIM","SIM","RECOMENDADA"),IF(INDEX(PRODUTOS!$J$4:$J$63,MATCH($A343,PRODUTOS!$B$4:$B$63,0))&lt;&gt;"","NÃO (usa o A+ do EAN "&amp;INDEX(PRODUTOS!$J$4:$J$63,MATCH($A343,PRODUTOS!$B$4:$B$63,0))&amp;")",IF(AND(INDEX(PRODUTOS!$I$4:$I$63,MATCH($A343,PRODUTOS!$B$4:$B$63,0))="B",$D343="AP07"),"NÃO (modelo B)","SIM")))</f>
        <v>SIM</v>
      </c>
      <c r="K343" s="13" t="s">
        <v>325</v>
      </c>
      <c r="L343" s="13"/>
    </row>
    <row r="344" customFormat="false" ht="15" hidden="false" customHeight="false" outlineLevel="0" collapsed="false">
      <c r="A344" s="15" t="s">
        <v>132</v>
      </c>
      <c r="B344" s="11" t="str">
        <f aca="false">INDEX(PRODUTOS!$E$4:$E$63,MATCH($A344,PRODUTOS!$B$4:$B$63,0))</f>
        <v>Ração Seca Natural Dots para Cães Sênior - Pacote 1 kg</v>
      </c>
      <c r="C344" s="11" t="str">
        <f aca="false">INDEX(PRODUTOS!$H$4:$H$63,MATCH($A344,PRODUTOS!$B$4:$B$63,0))</f>
        <v>1 kg</v>
      </c>
      <c r="D344" s="11" t="s">
        <v>324</v>
      </c>
      <c r="E344" s="16" t="str">
        <f aca="false">$A344&amp;"."&amp;$D344&amp;".jpg"</f>
        <v>7908591300154.MAIN.jpg</v>
      </c>
      <c r="F344" s="11" t="str">
        <f aca="false">IF(INDEX(PRODUTOS!$I$4:$I$63,MATCH($A344,PRODUTOS!$B$4:$B$63,0))="B",INDEX(MODELOS!$F$3:$F$19,MATCH($D344,MODELOS!$A$3:$A$19,0)),INDEX(MODELOS!$B$3:$B$19,MATCH($D344,MODELOS!$A$3:$A$19,0)))</f>
        <v>Capa (posição 1)</v>
      </c>
      <c r="G344" s="11" t="str">
        <f aca="false">IF(INDEX(PRODUTOS!$F$4:$F$63,MATCH($A344,PRODUTOS!$B$4:$B$63,0))="Ração",IF(INDEX(PRODUTOS!$I$4:$I$63,MATCH($A344,PRODUTOS!$B$4:$B$63,0))="B",INDEX(MODELOS!$G$3:$G$19,MATCH($D344,MODELOS!$A$3:$A$19,0)),INDEX(MODELOS!$C$3:$C$19,MATCH($D344,MODELOS!$A$3:$A$19,0))),IF(INDEX(PRODUTOS!$I$4:$I$63,MATCH($A344,PRODUTOS!$B$4:$B$63,0))="B",INDEX(MODELOS!$H$3:$H$19,MATCH($D344,MODELOS!$A$3:$A$19,0)),INDEX(MODELOS!$D$3:$D$19,MATCH($D344,MODELOS!$A$3:$A$19,0))))</f>
        <v>Embalagem de frente, fundo branco puro, 85% da área, nada adicionado</v>
      </c>
      <c r="H344" s="11" t="str">
        <f aca="false">IF(INDEX(PRODUTOS!$I$4:$I$63,MATCH($A344,PRODUTOS!$B$4:$B$63,0))="B",INDEX(MODELOS!$I$3:$I$19,MATCH($D344,MODELOS!$A$3:$A$19,0)),INDEX(MODELOS!$E$3:$E$19,MATCH($D344,MODELOS!$A$3:$A$19,0)))</f>
        <v>2000 × 2000</v>
      </c>
      <c r="I344" s="11" t="str">
        <f aca="false">INDEX(MODELOS!$J$3:$J$19,MATCH($D344,MODELOS!$A$3:$A$19,0))</f>
        <v>SIM</v>
      </c>
      <c r="J344" s="11" t="str">
        <f aca="false">IF(LEFT($D344,2)&lt;&gt;"AP",IF($I344="SIM","SIM","RECOMENDADA"),IF(INDEX(PRODUTOS!$J$4:$J$63,MATCH($A344,PRODUTOS!$B$4:$B$63,0))&lt;&gt;"","NÃO (usa o A+ do EAN "&amp;INDEX(PRODUTOS!$J$4:$J$63,MATCH($A344,PRODUTOS!$B$4:$B$63,0))&amp;")",IF(AND(INDEX(PRODUTOS!$I$4:$I$63,MATCH($A344,PRODUTOS!$B$4:$B$63,0))="B",$D344="AP07"),"NÃO (modelo B)","SIM")))</f>
        <v>SIM</v>
      </c>
      <c r="K344" s="13" t="s">
        <v>325</v>
      </c>
      <c r="L344" s="13"/>
    </row>
    <row r="345" customFormat="false" ht="15" hidden="false" customHeight="false" outlineLevel="0" collapsed="false">
      <c r="A345" s="15" t="s">
        <v>132</v>
      </c>
      <c r="B345" s="11" t="str">
        <f aca="false">INDEX(PRODUTOS!$E$4:$E$63,MATCH($A345,PRODUTOS!$B$4:$B$63,0))</f>
        <v>Ração Seca Natural Dots para Cães Sênior - Pacote 1 kg</v>
      </c>
      <c r="C345" s="11" t="str">
        <f aca="false">INDEX(PRODUTOS!$H$4:$H$63,MATCH($A345,PRODUTOS!$B$4:$B$63,0))</f>
        <v>1 kg</v>
      </c>
      <c r="D345" s="11" t="s">
        <v>326</v>
      </c>
      <c r="E345" s="16" t="str">
        <f aca="false">$A345&amp;"."&amp;$D345&amp;".jpg"</f>
        <v>7908591300154.PT01.jpg</v>
      </c>
      <c r="F345" s="11" t="str">
        <f aca="false">IF(INDEX(PRODUTOS!$I$4:$I$63,MATCH($A345,PRODUTOS!$B$4:$B$63,0))="B",INDEX(MODELOS!$F$3:$F$19,MATCH($D345,MODELOS!$A$3:$A$19,0)),INDEX(MODELOS!$B$3:$B$19,MATCH($D345,MODELOS!$A$3:$A$19,0)))</f>
        <v>Galeria · posição 2</v>
      </c>
      <c r="G345" s="11" t="str">
        <f aca="false">IF(INDEX(PRODUTOS!$F$4:$F$63,MATCH($A345,PRODUTOS!$B$4:$B$63,0))="Ração",IF(INDEX(PRODUTOS!$I$4:$I$63,MATCH($A345,PRODUTOS!$B$4:$B$63,0))="B",INDEX(MODELOS!$G$3:$G$19,MATCH($D345,MODELOS!$A$3:$A$19,0)),INDEX(MODELOS!$C$3:$C$19,MATCH($D345,MODELOS!$A$3:$A$19,0))),IF(INDEX(PRODUTOS!$I$4:$I$63,MATCH($A345,PRODUTOS!$B$4:$B$63,0))="B",INDEX(MODELOS!$H$3:$H$19,MATCH($D345,MODELOS!$A$3:$A$19,0)),INDEX(MODELOS!$D$3:$D$19,MATCH($D345,MODELOS!$A$3:$A$19,0))))</f>
        <v>Grande diferencial da linha (número ou promessa forte + grão e ingrediente)</v>
      </c>
      <c r="H345" s="11" t="str">
        <f aca="false">IF(INDEX(PRODUTOS!$I$4:$I$63,MATCH($A345,PRODUTOS!$B$4:$B$63,0))="B",INDEX(MODELOS!$I$3:$I$19,MATCH($D345,MODELOS!$A$3:$A$19,0)),INDEX(MODELOS!$E$3:$E$19,MATCH($D345,MODELOS!$A$3:$A$19,0)))</f>
        <v>2000 × 2000</v>
      </c>
      <c r="I345" s="11" t="str">
        <f aca="false">INDEX(MODELOS!$J$3:$J$19,MATCH($D345,MODELOS!$A$3:$A$19,0))</f>
        <v>SIM</v>
      </c>
      <c r="J345" s="11" t="str">
        <f aca="false">IF(LEFT($D345,2)&lt;&gt;"AP",IF($I345="SIM","SIM","RECOMENDADA"),IF(INDEX(PRODUTOS!$J$4:$J$63,MATCH($A345,PRODUTOS!$B$4:$B$63,0))&lt;&gt;"","NÃO (usa o A+ do EAN "&amp;INDEX(PRODUTOS!$J$4:$J$63,MATCH($A345,PRODUTOS!$B$4:$B$63,0))&amp;")",IF(AND(INDEX(PRODUTOS!$I$4:$I$63,MATCH($A345,PRODUTOS!$B$4:$B$63,0))="B",$D345="AP07"),"NÃO (modelo B)","SIM")))</f>
        <v>SIM</v>
      </c>
      <c r="K345" s="13" t="s">
        <v>325</v>
      </c>
      <c r="L345" s="13"/>
    </row>
    <row r="346" customFormat="false" ht="15" hidden="false" customHeight="false" outlineLevel="0" collapsed="false">
      <c r="A346" s="15" t="s">
        <v>132</v>
      </c>
      <c r="B346" s="11" t="str">
        <f aca="false">INDEX(PRODUTOS!$E$4:$E$63,MATCH($A346,PRODUTOS!$B$4:$B$63,0))</f>
        <v>Ração Seca Natural Dots para Cães Sênior - Pacote 1 kg</v>
      </c>
      <c r="C346" s="11" t="str">
        <f aca="false">INDEX(PRODUTOS!$H$4:$H$63,MATCH($A346,PRODUTOS!$B$4:$B$63,0))</f>
        <v>1 kg</v>
      </c>
      <c r="D346" s="11" t="s">
        <v>327</v>
      </c>
      <c r="E346" s="16" t="str">
        <f aca="false">$A346&amp;"."&amp;$D346&amp;".jpg"</f>
        <v>7908591300154.PT02.jpg</v>
      </c>
      <c r="F346" s="11" t="str">
        <f aca="false">IF(INDEX(PRODUTOS!$I$4:$I$63,MATCH($A346,PRODUTOS!$B$4:$B$63,0))="B",INDEX(MODELOS!$F$3:$F$19,MATCH($D346,MODELOS!$A$3:$A$19,0)),INDEX(MODELOS!$B$3:$B$19,MATCH($D346,MODELOS!$A$3:$A$19,0)))</f>
        <v>Galeria · posição 3</v>
      </c>
      <c r="G346" s="11" t="str">
        <f aca="false">IF(INDEX(PRODUTOS!$F$4:$F$63,MATCH($A346,PRODUTOS!$B$4:$B$63,0))="Ração",IF(INDEX(PRODUTOS!$I$4:$I$63,MATCH($A346,PRODUTOS!$B$4:$B$63,0))="B",INDEX(MODELOS!$G$3:$G$19,MATCH($D346,MODELOS!$A$3:$A$19,0)),INDEX(MODELOS!$C$3:$C$19,MATCH($D346,MODELOS!$A$3:$A$19,0))),IF(INDEX(PRODUTOS!$I$4:$I$63,MATCH($A346,PRODUTOS!$B$4:$B$63,0))="B",INDEX(MODELOS!$H$3:$H$19,MATCH($D346,MODELOS!$A$3:$A$19,0)),INDEX(MODELOS!$D$3:$D$19,MATCH($D346,MODELOS!$A$3:$A$19,0))))</f>
        <v>Benefícios com ícones (4 a 6, impressos na embalagem) + ingrediente</v>
      </c>
      <c r="H346" s="11" t="str">
        <f aca="false">IF(INDEX(PRODUTOS!$I$4:$I$63,MATCH($A346,PRODUTOS!$B$4:$B$63,0))="B",INDEX(MODELOS!$I$3:$I$19,MATCH($D346,MODELOS!$A$3:$A$19,0)),INDEX(MODELOS!$E$3:$E$19,MATCH($D346,MODELOS!$A$3:$A$19,0)))</f>
        <v>2000 × 2000</v>
      </c>
      <c r="I346" s="11" t="str">
        <f aca="false">INDEX(MODELOS!$J$3:$J$19,MATCH($D346,MODELOS!$A$3:$A$19,0))</f>
        <v>SIM</v>
      </c>
      <c r="J346" s="11" t="str">
        <f aca="false">IF(LEFT($D346,2)&lt;&gt;"AP",IF($I346="SIM","SIM","RECOMENDADA"),IF(INDEX(PRODUTOS!$J$4:$J$63,MATCH($A346,PRODUTOS!$B$4:$B$63,0))&lt;&gt;"","NÃO (usa o A+ do EAN "&amp;INDEX(PRODUTOS!$J$4:$J$63,MATCH($A346,PRODUTOS!$B$4:$B$63,0))&amp;")",IF(AND(INDEX(PRODUTOS!$I$4:$I$63,MATCH($A346,PRODUTOS!$B$4:$B$63,0))="B",$D346="AP07"),"NÃO (modelo B)","SIM")))</f>
        <v>SIM</v>
      </c>
      <c r="K346" s="13" t="s">
        <v>325</v>
      </c>
      <c r="L346" s="13"/>
    </row>
    <row r="347" customFormat="false" ht="15" hidden="false" customHeight="false" outlineLevel="0" collapsed="false">
      <c r="A347" s="15" t="s">
        <v>132</v>
      </c>
      <c r="B347" s="11" t="str">
        <f aca="false">INDEX(PRODUTOS!$E$4:$E$63,MATCH($A347,PRODUTOS!$B$4:$B$63,0))</f>
        <v>Ração Seca Natural Dots para Cães Sênior - Pacote 1 kg</v>
      </c>
      <c r="C347" s="11" t="str">
        <f aca="false">INDEX(PRODUTOS!$H$4:$H$63,MATCH($A347,PRODUTOS!$B$4:$B$63,0))</f>
        <v>1 kg</v>
      </c>
      <c r="D347" s="11" t="s">
        <v>328</v>
      </c>
      <c r="E347" s="16" t="str">
        <f aca="false">$A347&amp;"."&amp;$D347&amp;".jpg"</f>
        <v>7908591300154.PT03.jpg</v>
      </c>
      <c r="F347" s="11" t="str">
        <f aca="false">IF(INDEX(PRODUTOS!$I$4:$I$63,MATCH($A347,PRODUTOS!$B$4:$B$63,0))="B",INDEX(MODELOS!$F$3:$F$19,MATCH($D347,MODELOS!$A$3:$A$19,0)),INDEX(MODELOS!$B$3:$B$19,MATCH($D347,MODELOS!$A$3:$A$19,0)))</f>
        <v>Galeria · posição 4</v>
      </c>
      <c r="G347" s="11" t="str">
        <f aca="false">IF(INDEX(PRODUTOS!$F$4:$F$63,MATCH($A347,PRODUTOS!$B$4:$B$63,0))="Ração",IF(INDEX(PRODUTOS!$I$4:$I$63,MATCH($A347,PRODUTOS!$B$4:$B$63,0))="B",INDEX(MODELOS!$G$3:$G$19,MATCH($D347,MODELOS!$A$3:$A$19,0)),INDEX(MODELOS!$C$3:$C$19,MATCH($D347,MODELOS!$A$3:$A$19,0))),IF(INDEX(PRODUTOS!$I$4:$I$63,MATCH($A347,PRODUTOS!$B$4:$B$63,0))="B",INDEX(MODELOS!$H$3:$H$19,MATCH($D347,MODELOS!$A$3:$A$19,0)),INDEX(MODELOS!$D$3:$D$19,MATCH($D347,MODELOS!$A$3:$A$19,0))))</f>
        <v>Formato e tamanho do grão, com medida em mm e referência de tamanho</v>
      </c>
      <c r="H347" s="11" t="str">
        <f aca="false">IF(INDEX(PRODUTOS!$I$4:$I$63,MATCH($A347,PRODUTOS!$B$4:$B$63,0))="B",INDEX(MODELOS!$I$3:$I$19,MATCH($D347,MODELOS!$A$3:$A$19,0)),INDEX(MODELOS!$E$3:$E$19,MATCH($D347,MODELOS!$A$3:$A$19,0)))</f>
        <v>2000 × 2000</v>
      </c>
      <c r="I347" s="11" t="str">
        <f aca="false">INDEX(MODELOS!$J$3:$J$19,MATCH($D347,MODELOS!$A$3:$A$19,0))</f>
        <v>SIM</v>
      </c>
      <c r="J347" s="11" t="str">
        <f aca="false">IF(LEFT($D347,2)&lt;&gt;"AP",IF($I347="SIM","SIM","RECOMENDADA"),IF(INDEX(PRODUTOS!$J$4:$J$63,MATCH($A347,PRODUTOS!$B$4:$B$63,0))&lt;&gt;"","NÃO (usa o A+ do EAN "&amp;INDEX(PRODUTOS!$J$4:$J$63,MATCH($A347,PRODUTOS!$B$4:$B$63,0))&amp;")",IF(AND(INDEX(PRODUTOS!$I$4:$I$63,MATCH($A347,PRODUTOS!$B$4:$B$63,0))="B",$D347="AP07"),"NÃO (modelo B)","SIM")))</f>
        <v>SIM</v>
      </c>
      <c r="K347" s="13" t="s">
        <v>325</v>
      </c>
      <c r="L347" s="13"/>
    </row>
    <row r="348" customFormat="false" ht="15" hidden="false" customHeight="false" outlineLevel="0" collapsed="false">
      <c r="A348" s="15" t="s">
        <v>132</v>
      </c>
      <c r="B348" s="11" t="str">
        <f aca="false">INDEX(PRODUTOS!$E$4:$E$63,MATCH($A348,PRODUTOS!$B$4:$B$63,0))</f>
        <v>Ração Seca Natural Dots para Cães Sênior - Pacote 1 kg</v>
      </c>
      <c r="C348" s="11" t="str">
        <f aca="false">INDEX(PRODUTOS!$H$4:$H$63,MATCH($A348,PRODUTOS!$B$4:$B$63,0))</f>
        <v>1 kg</v>
      </c>
      <c r="D348" s="11" t="s">
        <v>329</v>
      </c>
      <c r="E348" s="16" t="str">
        <f aca="false">$A348&amp;"."&amp;$D348&amp;".jpg"</f>
        <v>7908591300154.PT04.jpg</v>
      </c>
      <c r="F348" s="11" t="str">
        <f aca="false">IF(INDEX(PRODUTOS!$I$4:$I$63,MATCH($A348,PRODUTOS!$B$4:$B$63,0))="B",INDEX(MODELOS!$F$3:$F$19,MATCH($D348,MODELOS!$A$3:$A$19,0)),INDEX(MODELOS!$B$3:$B$19,MATCH($D348,MODELOS!$A$3:$A$19,0)))</f>
        <v>Galeria · posição 5</v>
      </c>
      <c r="G348" s="11" t="str">
        <f aca="false">IF(INDEX(PRODUTOS!$F$4:$F$63,MATCH($A348,PRODUTOS!$B$4:$B$63,0))="Ração",IF(INDEX(PRODUTOS!$I$4:$I$63,MATCH($A348,PRODUTOS!$B$4:$B$63,0))="B",INDEX(MODELOS!$G$3:$G$19,MATCH($D348,MODELOS!$A$3:$A$19,0)),INDEX(MODELOS!$C$3:$C$19,MATCH($D348,MODELOS!$A$3:$A$19,0))),IF(INDEX(PRODUTOS!$I$4:$I$63,MATCH($A348,PRODUTOS!$B$4:$B$63,0))="B",INDEX(MODELOS!$H$3:$H$19,MATCH($D348,MODELOS!$A$3:$A$19,0)),INDEX(MODELOS!$D$3:$D$19,MATCH($D348,MODELOS!$A$3:$A$19,0))))</f>
        <v>Quantidade diária por peso do cão/gato (números idênticos à embalagem)</v>
      </c>
      <c r="H348" s="11" t="str">
        <f aca="false">IF(INDEX(PRODUTOS!$I$4:$I$63,MATCH($A348,PRODUTOS!$B$4:$B$63,0))="B",INDEX(MODELOS!$I$3:$I$19,MATCH($D348,MODELOS!$A$3:$A$19,0)),INDEX(MODELOS!$E$3:$E$19,MATCH($D348,MODELOS!$A$3:$A$19,0)))</f>
        <v>2000 × 2000</v>
      </c>
      <c r="I348" s="11" t="str">
        <f aca="false">INDEX(MODELOS!$J$3:$J$19,MATCH($D348,MODELOS!$A$3:$A$19,0))</f>
        <v>SIM</v>
      </c>
      <c r="J348" s="11" t="str">
        <f aca="false">IF(LEFT($D348,2)&lt;&gt;"AP",IF($I348="SIM","SIM","RECOMENDADA"),IF(INDEX(PRODUTOS!$J$4:$J$63,MATCH($A348,PRODUTOS!$B$4:$B$63,0))&lt;&gt;"","NÃO (usa o A+ do EAN "&amp;INDEX(PRODUTOS!$J$4:$J$63,MATCH($A348,PRODUTOS!$B$4:$B$63,0))&amp;")",IF(AND(INDEX(PRODUTOS!$I$4:$I$63,MATCH($A348,PRODUTOS!$B$4:$B$63,0))="B",$D348="AP07"),"NÃO (modelo B)","SIM")))</f>
        <v>SIM</v>
      </c>
      <c r="K348" s="13" t="s">
        <v>325</v>
      </c>
      <c r="L348" s="13"/>
    </row>
    <row r="349" customFormat="false" ht="15" hidden="false" customHeight="false" outlineLevel="0" collapsed="false">
      <c r="A349" s="15" t="s">
        <v>132</v>
      </c>
      <c r="B349" s="11" t="str">
        <f aca="false">INDEX(PRODUTOS!$E$4:$E$63,MATCH($A349,PRODUTOS!$B$4:$B$63,0))</f>
        <v>Ração Seca Natural Dots para Cães Sênior - Pacote 1 kg</v>
      </c>
      <c r="C349" s="11" t="str">
        <f aca="false">INDEX(PRODUTOS!$H$4:$H$63,MATCH($A349,PRODUTOS!$B$4:$B$63,0))</f>
        <v>1 kg</v>
      </c>
      <c r="D349" s="11" t="s">
        <v>330</v>
      </c>
      <c r="E349" s="16" t="str">
        <f aca="false">$A349&amp;"."&amp;$D349&amp;".jpg"</f>
        <v>7908591300154.PT05.jpg</v>
      </c>
      <c r="F349" s="11" t="str">
        <f aca="false">IF(INDEX(PRODUTOS!$I$4:$I$63,MATCH($A349,PRODUTOS!$B$4:$B$63,0))="B",INDEX(MODELOS!$F$3:$F$19,MATCH($D349,MODELOS!$A$3:$A$19,0)),INDEX(MODELOS!$B$3:$B$19,MATCH($D349,MODELOS!$A$3:$A$19,0)))</f>
        <v>Galeria · posição 6</v>
      </c>
      <c r="G349" s="11" t="str">
        <f aca="false">IF(INDEX(PRODUTOS!$F$4:$F$63,MATCH($A349,PRODUTOS!$B$4:$B$63,0))="Ração",IF(INDEX(PRODUTOS!$I$4:$I$63,MATCH($A349,PRODUTOS!$B$4:$B$63,0))="B",INDEX(MODELOS!$G$3:$G$19,MATCH($D349,MODELOS!$A$3:$A$19,0)),INDEX(MODELOS!$C$3:$C$19,MATCH($D349,MODELOS!$A$3:$A$19,0))),IF(INDEX(PRODUTOS!$I$4:$I$63,MATCH($A349,PRODUTOS!$B$4:$B$63,0))="B",INDEX(MODELOS!$H$3:$H$19,MATCH($D349,MODELOS!$A$3:$A$19,0)),INDEX(MODELOS!$D$3:$D$19,MATCH($D349,MODELOS!$A$3:$A$19,0))))</f>
        <v>Transição alimentar dia a dia (igual ao verso da embalagem)</v>
      </c>
      <c r="H349" s="11" t="str">
        <f aca="false">IF(INDEX(PRODUTOS!$I$4:$I$63,MATCH($A349,PRODUTOS!$B$4:$B$63,0))="B",INDEX(MODELOS!$I$3:$I$19,MATCH($D349,MODELOS!$A$3:$A$19,0)),INDEX(MODELOS!$E$3:$E$19,MATCH($D349,MODELOS!$A$3:$A$19,0)))</f>
        <v>2000 × 2000</v>
      </c>
      <c r="I349" s="11" t="str">
        <f aca="false">INDEX(MODELOS!$J$3:$J$19,MATCH($D349,MODELOS!$A$3:$A$19,0))</f>
        <v>Recomendada</v>
      </c>
      <c r="J349" s="11" t="str">
        <f aca="false">IF(LEFT($D349,2)&lt;&gt;"AP",IF($I349="SIM","SIM","RECOMENDADA"),IF(INDEX(PRODUTOS!$J$4:$J$63,MATCH($A349,PRODUTOS!$B$4:$B$63,0))&lt;&gt;"","NÃO (usa o A+ do EAN "&amp;INDEX(PRODUTOS!$J$4:$J$63,MATCH($A349,PRODUTOS!$B$4:$B$63,0))&amp;")",IF(AND(INDEX(PRODUTOS!$I$4:$I$63,MATCH($A349,PRODUTOS!$B$4:$B$63,0))="B",$D349="AP07"),"NÃO (modelo B)","SIM")))</f>
        <v>RECOMENDADA</v>
      </c>
      <c r="K349" s="13" t="s">
        <v>325</v>
      </c>
      <c r="L349" s="13"/>
    </row>
    <row r="350" customFormat="false" ht="15" hidden="false" customHeight="false" outlineLevel="0" collapsed="false">
      <c r="A350" s="15" t="s">
        <v>132</v>
      </c>
      <c r="B350" s="11" t="str">
        <f aca="false">INDEX(PRODUTOS!$E$4:$E$63,MATCH($A350,PRODUTOS!$B$4:$B$63,0))</f>
        <v>Ração Seca Natural Dots para Cães Sênior - Pacote 1 kg</v>
      </c>
      <c r="C350" s="11" t="str">
        <f aca="false">INDEX(PRODUTOS!$H$4:$H$63,MATCH($A350,PRODUTOS!$B$4:$B$63,0))</f>
        <v>1 kg</v>
      </c>
      <c r="D350" s="11" t="s">
        <v>331</v>
      </c>
      <c r="E350" s="16" t="str">
        <f aca="false">$A350&amp;"."&amp;$D350&amp;".jpg"</f>
        <v>7908591300154.PT06.jpg</v>
      </c>
      <c r="F350" s="11" t="str">
        <f aca="false">IF(INDEX(PRODUTOS!$I$4:$I$63,MATCH($A350,PRODUTOS!$B$4:$B$63,0))="B",INDEX(MODELOS!$F$3:$F$19,MATCH($D350,MODELOS!$A$3:$A$19,0)),INDEX(MODELOS!$B$3:$B$19,MATCH($D350,MODELOS!$A$3:$A$19,0)))</f>
        <v>Galeria · posição 7</v>
      </c>
      <c r="G350" s="11" t="str">
        <f aca="false">IF(INDEX(PRODUTOS!$F$4:$F$63,MATCH($A350,PRODUTOS!$B$4:$B$63,0))="Ração",IF(INDEX(PRODUTOS!$I$4:$I$63,MATCH($A350,PRODUTOS!$B$4:$B$63,0))="B",INDEX(MODELOS!$G$3:$G$19,MATCH($D350,MODELOS!$A$3:$A$19,0)),INDEX(MODELOS!$C$3:$C$19,MATCH($D350,MODELOS!$A$3:$A$19,0))),IF(INDEX(PRODUTOS!$I$4:$I$63,MATCH($A350,PRODUTOS!$B$4:$B$63,0))="B",INDEX(MODELOS!$H$3:$H$19,MATCH($D350,MODELOS!$A$3:$A$19,0)),INDEX(MODELOS!$D$3:$D$19,MATCH($D350,MODELOS!$A$3:$A$19,0))))</f>
        <v>Composição e níveis de garantia em letra grande</v>
      </c>
      <c r="H350" s="11" t="str">
        <f aca="false">IF(INDEX(PRODUTOS!$I$4:$I$63,MATCH($A350,PRODUTOS!$B$4:$B$63,0))="B",INDEX(MODELOS!$I$3:$I$19,MATCH($D350,MODELOS!$A$3:$A$19,0)),INDEX(MODELOS!$E$3:$E$19,MATCH($D350,MODELOS!$A$3:$A$19,0)))</f>
        <v>2000 × 2000</v>
      </c>
      <c r="I350" s="11" t="str">
        <f aca="false">INDEX(MODELOS!$J$3:$J$19,MATCH($D350,MODELOS!$A$3:$A$19,0))</f>
        <v>SIM</v>
      </c>
      <c r="J350" s="11" t="str">
        <f aca="false">IF(LEFT($D350,2)&lt;&gt;"AP",IF($I350="SIM","SIM","RECOMENDADA"),IF(INDEX(PRODUTOS!$J$4:$J$63,MATCH($A350,PRODUTOS!$B$4:$B$63,0))&lt;&gt;"","NÃO (usa o A+ do EAN "&amp;INDEX(PRODUTOS!$J$4:$J$63,MATCH($A350,PRODUTOS!$B$4:$B$63,0))&amp;")",IF(AND(INDEX(PRODUTOS!$I$4:$I$63,MATCH($A350,PRODUTOS!$B$4:$B$63,0))="B",$D350="AP07"),"NÃO (modelo B)","SIM")))</f>
        <v>SIM</v>
      </c>
      <c r="K350" s="13" t="s">
        <v>325</v>
      </c>
      <c r="L350" s="13"/>
    </row>
    <row r="351" customFormat="false" ht="15" hidden="false" customHeight="false" outlineLevel="0" collapsed="false">
      <c r="A351" s="15" t="s">
        <v>132</v>
      </c>
      <c r="B351" s="11" t="str">
        <f aca="false">INDEX(PRODUTOS!$E$4:$E$63,MATCH($A351,PRODUTOS!$B$4:$B$63,0))</f>
        <v>Ração Seca Natural Dots para Cães Sênior - Pacote 1 kg</v>
      </c>
      <c r="C351" s="11" t="str">
        <f aca="false">INDEX(PRODUTOS!$H$4:$H$63,MATCH($A351,PRODUTOS!$B$4:$B$63,0))</f>
        <v>1 kg</v>
      </c>
      <c r="D351" s="11" t="s">
        <v>332</v>
      </c>
      <c r="E351" s="16" t="str">
        <f aca="false">$A351&amp;"."&amp;$D351&amp;".jpg"</f>
        <v>7908591300154.PT07.jpg</v>
      </c>
      <c r="F351" s="11" t="str">
        <f aca="false">IF(INDEX(PRODUTOS!$I$4:$I$63,MATCH($A351,PRODUTOS!$B$4:$B$63,0))="B",INDEX(MODELOS!$F$3:$F$19,MATCH($D351,MODELOS!$A$3:$A$19,0)),INDEX(MODELOS!$B$3:$B$19,MATCH($D351,MODELOS!$A$3:$A$19,0)))</f>
        <v>Galeria · posição 8</v>
      </c>
      <c r="G351" s="11" t="str">
        <f aca="false">IF(INDEX(PRODUTOS!$F$4:$F$63,MATCH($A351,PRODUTOS!$B$4:$B$63,0))="Ração",IF(INDEX(PRODUTOS!$I$4:$I$63,MATCH($A351,PRODUTOS!$B$4:$B$63,0))="B",INDEX(MODELOS!$G$3:$G$19,MATCH($D351,MODELOS!$A$3:$A$19,0)),INDEX(MODELOS!$C$3:$C$19,MATCH($D351,MODELOS!$A$3:$A$19,0))),IF(INDEX(PRODUTOS!$I$4:$I$63,MATCH($A351,PRODUTOS!$B$4:$B$63,0))="B",INDEX(MODELOS!$H$3:$H$19,MATCH($D351,MODELOS!$A$3:$A$19,0)),INDEX(MODELOS!$D$3:$D$19,MATCH($D351,MODELOS!$A$3:$A$19,0))))</f>
        <v>Emocional / momento de uso (pet do porte certo, pote cheio)</v>
      </c>
      <c r="H351" s="11" t="str">
        <f aca="false">IF(INDEX(PRODUTOS!$I$4:$I$63,MATCH($A351,PRODUTOS!$B$4:$B$63,0))="B",INDEX(MODELOS!$I$3:$I$19,MATCH($D351,MODELOS!$A$3:$A$19,0)),INDEX(MODELOS!$E$3:$E$19,MATCH($D351,MODELOS!$A$3:$A$19,0)))</f>
        <v>2000 × 2000</v>
      </c>
      <c r="I351" s="11" t="str">
        <f aca="false">INDEX(MODELOS!$J$3:$J$19,MATCH($D351,MODELOS!$A$3:$A$19,0))</f>
        <v>Recomendada</v>
      </c>
      <c r="J351" s="11" t="str">
        <f aca="false">IF(LEFT($D351,2)&lt;&gt;"AP",IF($I351="SIM","SIM","RECOMENDADA"),IF(INDEX(PRODUTOS!$J$4:$J$63,MATCH($A351,PRODUTOS!$B$4:$B$63,0))&lt;&gt;"","NÃO (usa o A+ do EAN "&amp;INDEX(PRODUTOS!$J$4:$J$63,MATCH($A351,PRODUTOS!$B$4:$B$63,0))&amp;")",IF(AND(INDEX(PRODUTOS!$I$4:$I$63,MATCH($A351,PRODUTOS!$B$4:$B$63,0))="B",$D351="AP07"),"NÃO (modelo B)","SIM")))</f>
        <v>RECOMENDADA</v>
      </c>
      <c r="K351" s="13" t="s">
        <v>325</v>
      </c>
      <c r="L351" s="13"/>
    </row>
    <row r="352" customFormat="false" ht="15" hidden="false" customHeight="false" outlineLevel="0" collapsed="false">
      <c r="A352" s="15" t="s">
        <v>132</v>
      </c>
      <c r="B352" s="11" t="str">
        <f aca="false">INDEX(PRODUTOS!$E$4:$E$63,MATCH($A352,PRODUTOS!$B$4:$B$63,0))</f>
        <v>Ração Seca Natural Dots para Cães Sênior - Pacote 1 kg</v>
      </c>
      <c r="C352" s="11" t="str">
        <f aca="false">INDEX(PRODUTOS!$H$4:$H$63,MATCH($A352,PRODUTOS!$B$4:$B$63,0))</f>
        <v>1 kg</v>
      </c>
      <c r="D352" s="11" t="s">
        <v>333</v>
      </c>
      <c r="E352" s="16" t="str">
        <f aca="false">$A352&amp;"."&amp;$D352&amp;".jpg"</f>
        <v>7908591300154.PT08.jpg</v>
      </c>
      <c r="F352" s="11" t="str">
        <f aca="false">IF(INDEX(PRODUTOS!$I$4:$I$63,MATCH($A352,PRODUTOS!$B$4:$B$63,0))="B",INDEX(MODELOS!$F$3:$F$19,MATCH($D352,MODELOS!$A$3:$A$19,0)),INDEX(MODELOS!$B$3:$B$19,MATCH($D352,MODELOS!$A$3:$A$19,0)))</f>
        <v>Galeria · posição 9</v>
      </c>
      <c r="G352" s="11" t="str">
        <f aca="false">IF(INDEX(PRODUTOS!$F$4:$F$63,MATCH($A352,PRODUTOS!$B$4:$B$63,0))="Ração",IF(INDEX(PRODUTOS!$I$4:$I$63,MATCH($A352,PRODUTOS!$B$4:$B$63,0))="B",INDEX(MODELOS!$G$3:$G$19,MATCH($D352,MODELOS!$A$3:$A$19,0)),INDEX(MODELOS!$C$3:$C$19,MATCH($D352,MODELOS!$A$3:$A$19,0))),IF(INDEX(PRODUTOS!$I$4:$I$63,MATCH($A352,PRODUTOS!$B$4:$B$63,0))="B",INDEX(MODELOS!$H$3:$H$19,MATCH($D352,MODELOS!$A$3:$A$19,0)),INDEX(MODELOS!$D$3:$D$19,MATCH($D352,MODELOS!$A$3:$A$19,0))))</f>
        <v>Linha da marca ou embalagem anterior × nova</v>
      </c>
      <c r="H352" s="11" t="str">
        <f aca="false">IF(INDEX(PRODUTOS!$I$4:$I$63,MATCH($A352,PRODUTOS!$B$4:$B$63,0))="B",INDEX(MODELOS!$I$3:$I$19,MATCH($D352,MODELOS!$A$3:$A$19,0)),INDEX(MODELOS!$E$3:$E$19,MATCH($D352,MODELOS!$A$3:$A$19,0)))</f>
        <v>2000 × 2000</v>
      </c>
      <c r="I352" s="11" t="str">
        <f aca="false">INDEX(MODELOS!$J$3:$J$19,MATCH($D352,MODELOS!$A$3:$A$19,0))</f>
        <v>Recomendada</v>
      </c>
      <c r="J352" s="11" t="str">
        <f aca="false">IF(LEFT($D352,2)&lt;&gt;"AP",IF($I352="SIM","SIM","RECOMENDADA"),IF(INDEX(PRODUTOS!$J$4:$J$63,MATCH($A352,PRODUTOS!$B$4:$B$63,0))&lt;&gt;"","NÃO (usa o A+ do EAN "&amp;INDEX(PRODUTOS!$J$4:$J$63,MATCH($A352,PRODUTOS!$B$4:$B$63,0))&amp;")",IF(AND(INDEX(PRODUTOS!$I$4:$I$63,MATCH($A352,PRODUTOS!$B$4:$B$63,0))="B",$D352="AP07"),"NÃO (modelo B)","SIM")))</f>
        <v>RECOMENDADA</v>
      </c>
      <c r="K352" s="13" t="s">
        <v>325</v>
      </c>
      <c r="L352" s="13"/>
    </row>
    <row r="353" customFormat="false" ht="15" hidden="false" customHeight="false" outlineLevel="0" collapsed="false">
      <c r="A353" s="15" t="s">
        <v>132</v>
      </c>
      <c r="B353" s="11" t="str">
        <f aca="false">INDEX(PRODUTOS!$E$4:$E$63,MATCH($A353,PRODUTOS!$B$4:$B$63,0))</f>
        <v>Ração Seca Natural Dots para Cães Sênior - Pacote 1 kg</v>
      </c>
      <c r="C353" s="11" t="str">
        <f aca="false">INDEX(PRODUTOS!$H$4:$H$63,MATCH($A353,PRODUTOS!$B$4:$B$63,0))</f>
        <v>1 kg</v>
      </c>
      <c r="D353" s="11" t="s">
        <v>334</v>
      </c>
      <c r="E353" s="16" t="str">
        <f aca="false">$A353&amp;"."&amp;$D353&amp;".jpg"</f>
        <v>7908591300154.AP01.jpg</v>
      </c>
      <c r="F353" s="11" t="str">
        <f aca="false">IF(INDEX(PRODUTOS!$I$4:$I$63,MATCH($A353,PRODUTOS!$B$4:$B$63,0))="B",INDEX(MODELOS!$F$3:$F$19,MATCH($D353,MODELOS!$A$3:$A$19,0)),INDEX(MODELOS!$B$3:$B$19,MATCH($D353,MODELOS!$A$3:$A$19,0)))</f>
        <v>A+ · Módulo 1 · Banner</v>
      </c>
      <c r="G353" s="11" t="str">
        <f aca="false">IF(INDEX(PRODUTOS!$F$4:$F$63,MATCH($A353,PRODUTOS!$B$4:$B$63,0))="Ração",IF(INDEX(PRODUTOS!$I$4:$I$63,MATCH($A353,PRODUTOS!$B$4:$B$63,0))="B",INDEX(MODELOS!$G$3:$G$19,MATCH($D353,MODELOS!$A$3:$A$19,0)),INDEX(MODELOS!$C$3:$C$19,MATCH($D353,MODELOS!$A$3:$A$19,0))),IF(INDEX(PRODUTOS!$I$4:$I$63,MATCH($A353,PRODUTOS!$B$4:$B$63,0))="B",INDEX(MODELOS!$H$3:$H$19,MATCH($D353,MODELOS!$A$3:$A$19,0)),INDEX(MODELOS!$D$3:$D$19,MATCH($D353,MODELOS!$A$3:$A$19,0))))</f>
        <v>Embalagem + pet + ingredientes, com o nome da linha</v>
      </c>
      <c r="H353" s="11" t="str">
        <f aca="false">IF(INDEX(PRODUTOS!$I$4:$I$63,MATCH($A353,PRODUTOS!$B$4:$B$63,0))="B",INDEX(MODELOS!$I$3:$I$19,MATCH($D353,MODELOS!$A$3:$A$19,0)),INDEX(MODELOS!$E$3:$E$19,MATCH($D353,MODELOS!$A$3:$A$19,0)))</f>
        <v>970 × 600</v>
      </c>
      <c r="I353" s="11" t="str">
        <f aca="false">INDEX(MODELOS!$J$3:$J$19,MATCH($D353,MODELOS!$A$3:$A$19,0))</f>
        <v>Conforme modelo</v>
      </c>
      <c r="J353" s="11" t="str">
        <f aca="false">IF(LEFT($D353,2)&lt;&gt;"AP",IF($I353="SIM","SIM","RECOMENDADA"),IF(INDEX(PRODUTOS!$J$4:$J$63,MATCH($A353,PRODUTOS!$B$4:$B$63,0))&lt;&gt;"","NÃO (usa o A+ do EAN "&amp;INDEX(PRODUTOS!$J$4:$J$63,MATCH($A353,PRODUTOS!$B$4:$B$63,0))&amp;")",IF(AND(INDEX(PRODUTOS!$I$4:$I$63,MATCH($A353,PRODUTOS!$B$4:$B$63,0))="B",$D353="AP07"),"NÃO (modelo B)","SIM")))</f>
        <v>NÃO (usa o A+ do EAN 7898968541276)</v>
      </c>
      <c r="K353" s="13" t="s">
        <v>325</v>
      </c>
      <c r="L353" s="13"/>
    </row>
    <row r="354" customFormat="false" ht="15" hidden="false" customHeight="false" outlineLevel="0" collapsed="false">
      <c r="A354" s="15" t="s">
        <v>132</v>
      </c>
      <c r="B354" s="11" t="str">
        <f aca="false">INDEX(PRODUTOS!$E$4:$E$63,MATCH($A354,PRODUTOS!$B$4:$B$63,0))</f>
        <v>Ração Seca Natural Dots para Cães Sênior - Pacote 1 kg</v>
      </c>
      <c r="C354" s="11" t="str">
        <f aca="false">INDEX(PRODUTOS!$H$4:$H$63,MATCH($A354,PRODUTOS!$B$4:$B$63,0))</f>
        <v>1 kg</v>
      </c>
      <c r="D354" s="11" t="s">
        <v>335</v>
      </c>
      <c r="E354" s="16" t="str">
        <f aca="false">$A354&amp;"."&amp;$D354&amp;".jpg"</f>
        <v>7908591300154.AP02.jpg</v>
      </c>
      <c r="F354" s="11" t="str">
        <f aca="false">IF(INDEX(PRODUTOS!$I$4:$I$63,MATCH($A354,PRODUTOS!$B$4:$B$63,0))="B",INDEX(MODELOS!$F$3:$F$19,MATCH($D354,MODELOS!$A$3:$A$19,0)),INDEX(MODELOS!$B$3:$B$19,MATCH($D354,MODELOS!$A$3:$A$19,0)))</f>
        <v>A+ · Módulo 2 · Texto sobreposto</v>
      </c>
      <c r="G354" s="11" t="str">
        <f aca="false">IF(INDEX(PRODUTOS!$F$4:$F$63,MATCH($A354,PRODUTOS!$B$4:$B$63,0))="Ração",IF(INDEX(PRODUTOS!$I$4:$I$63,MATCH($A354,PRODUTOS!$B$4:$B$63,0))="B",INDEX(MODELOS!$G$3:$G$19,MATCH($D354,MODELOS!$A$3:$A$19,0)),INDEX(MODELOS!$C$3:$C$19,MATCH($D354,MODELOS!$A$3:$A$19,0))),IF(INDEX(PRODUTOS!$I$4:$I$63,MATCH($A354,PRODUTOS!$B$4:$B$63,0))="B",INDEX(MODELOS!$H$3:$H$19,MATCH($D354,MODELOS!$A$3:$A$19,0)),INDEX(MODELOS!$D$3:$D$19,MATCH($D354,MODELOS!$A$3:$A$19,0))))</f>
        <v>Principal diferencial; deixar o lado direito limpo</v>
      </c>
      <c r="H354" s="11" t="str">
        <f aca="false">IF(INDEX(PRODUTOS!$I$4:$I$63,MATCH($A354,PRODUTOS!$B$4:$B$63,0))="B",INDEX(MODELOS!$I$3:$I$19,MATCH($D354,MODELOS!$A$3:$A$19,0)),INDEX(MODELOS!$E$3:$E$19,MATCH($D354,MODELOS!$A$3:$A$19,0)))</f>
        <v>970 × 300</v>
      </c>
      <c r="I354" s="11" t="str">
        <f aca="false">INDEX(MODELOS!$J$3:$J$19,MATCH($D354,MODELOS!$A$3:$A$19,0))</f>
        <v>Conforme modelo</v>
      </c>
      <c r="J354" s="11" t="str">
        <f aca="false">IF(LEFT($D354,2)&lt;&gt;"AP",IF($I354="SIM","SIM","RECOMENDADA"),IF(INDEX(PRODUTOS!$J$4:$J$63,MATCH($A354,PRODUTOS!$B$4:$B$63,0))&lt;&gt;"","NÃO (usa o A+ do EAN "&amp;INDEX(PRODUTOS!$J$4:$J$63,MATCH($A354,PRODUTOS!$B$4:$B$63,0))&amp;")",IF(AND(INDEX(PRODUTOS!$I$4:$I$63,MATCH($A354,PRODUTOS!$B$4:$B$63,0))="B",$D354="AP07"),"NÃO (modelo B)","SIM")))</f>
        <v>NÃO (usa o A+ do EAN 7898968541276)</v>
      </c>
      <c r="K354" s="13" t="s">
        <v>325</v>
      </c>
      <c r="L354" s="13"/>
    </row>
    <row r="355" customFormat="false" ht="15" hidden="false" customHeight="false" outlineLevel="0" collapsed="false">
      <c r="A355" s="15" t="s">
        <v>132</v>
      </c>
      <c r="B355" s="11" t="str">
        <f aca="false">INDEX(PRODUTOS!$E$4:$E$63,MATCH($A355,PRODUTOS!$B$4:$B$63,0))</f>
        <v>Ração Seca Natural Dots para Cães Sênior - Pacote 1 kg</v>
      </c>
      <c r="C355" s="11" t="str">
        <f aca="false">INDEX(PRODUTOS!$H$4:$H$63,MATCH($A355,PRODUTOS!$B$4:$B$63,0))</f>
        <v>1 kg</v>
      </c>
      <c r="D355" s="11" t="s">
        <v>336</v>
      </c>
      <c r="E355" s="16" t="str">
        <f aca="false">$A355&amp;"."&amp;$D355&amp;".jpg"</f>
        <v>7908591300154.AP03.jpg</v>
      </c>
      <c r="F355" s="11" t="str">
        <f aca="false">IF(INDEX(PRODUTOS!$I$4:$I$63,MATCH($A355,PRODUTOS!$B$4:$B$63,0))="B",INDEX(MODELOS!$F$3:$F$19,MATCH($D355,MODELOS!$A$3:$A$19,0)),INDEX(MODELOS!$B$3:$B$19,MATCH($D355,MODELOS!$A$3:$A$19,0)))</f>
        <v>A+ · Módulo 3 · Benefício 1 de 4</v>
      </c>
      <c r="G355" s="11" t="str">
        <f aca="false">IF(INDEX(PRODUTOS!$F$4:$F$63,MATCH($A355,PRODUTOS!$B$4:$B$63,0))="Ração",IF(INDEX(PRODUTOS!$I$4:$I$63,MATCH($A355,PRODUTOS!$B$4:$B$63,0))="B",INDEX(MODELOS!$G$3:$G$19,MATCH($D355,MODELOS!$A$3:$A$19,0)),INDEX(MODELOS!$C$3:$C$19,MATCH($D355,MODELOS!$A$3:$A$19,0))),IF(INDEX(PRODUTOS!$I$4:$I$63,MATCH($A355,PRODUTOS!$B$4:$B$63,0))="B",INDEX(MODELOS!$H$3:$H$19,MATCH($D355,MODELOS!$A$3:$A$19,0)),INDEX(MODELOS!$D$3:$D$19,MATCH($D355,MODELOS!$A$3:$A$19,0))))</f>
        <v>Foto/ilustração do benefício 1</v>
      </c>
      <c r="H355" s="11" t="str">
        <f aca="false">IF(INDEX(PRODUTOS!$I$4:$I$63,MATCH($A355,PRODUTOS!$B$4:$B$63,0))="B",INDEX(MODELOS!$I$3:$I$19,MATCH($D355,MODELOS!$A$3:$A$19,0)),INDEX(MODELOS!$E$3:$E$19,MATCH($D355,MODELOS!$A$3:$A$19,0)))</f>
        <v>220 × 200</v>
      </c>
      <c r="I355" s="11" t="str">
        <f aca="false">INDEX(MODELOS!$J$3:$J$19,MATCH($D355,MODELOS!$A$3:$A$19,0))</f>
        <v>Conforme modelo</v>
      </c>
      <c r="J355" s="11" t="str">
        <f aca="false">IF(LEFT($D355,2)&lt;&gt;"AP",IF($I355="SIM","SIM","RECOMENDADA"),IF(INDEX(PRODUTOS!$J$4:$J$63,MATCH($A355,PRODUTOS!$B$4:$B$63,0))&lt;&gt;"","NÃO (usa o A+ do EAN "&amp;INDEX(PRODUTOS!$J$4:$J$63,MATCH($A355,PRODUTOS!$B$4:$B$63,0))&amp;")",IF(AND(INDEX(PRODUTOS!$I$4:$I$63,MATCH($A355,PRODUTOS!$B$4:$B$63,0))="B",$D355="AP07"),"NÃO (modelo B)","SIM")))</f>
        <v>NÃO (usa o A+ do EAN 7898968541276)</v>
      </c>
      <c r="K355" s="13" t="s">
        <v>325</v>
      </c>
      <c r="L355" s="13"/>
    </row>
    <row r="356" customFormat="false" ht="15" hidden="false" customHeight="false" outlineLevel="0" collapsed="false">
      <c r="A356" s="15" t="s">
        <v>132</v>
      </c>
      <c r="B356" s="11" t="str">
        <f aca="false">INDEX(PRODUTOS!$E$4:$E$63,MATCH($A356,PRODUTOS!$B$4:$B$63,0))</f>
        <v>Ração Seca Natural Dots para Cães Sênior - Pacote 1 kg</v>
      </c>
      <c r="C356" s="11" t="str">
        <f aca="false">INDEX(PRODUTOS!$H$4:$H$63,MATCH($A356,PRODUTOS!$B$4:$B$63,0))</f>
        <v>1 kg</v>
      </c>
      <c r="D356" s="11" t="s">
        <v>337</v>
      </c>
      <c r="E356" s="16" t="str">
        <f aca="false">$A356&amp;"."&amp;$D356&amp;".jpg"</f>
        <v>7908591300154.AP04.jpg</v>
      </c>
      <c r="F356" s="11" t="str">
        <f aca="false">IF(INDEX(PRODUTOS!$I$4:$I$63,MATCH($A356,PRODUTOS!$B$4:$B$63,0))="B",INDEX(MODELOS!$F$3:$F$19,MATCH($D356,MODELOS!$A$3:$A$19,0)),INDEX(MODELOS!$B$3:$B$19,MATCH($D356,MODELOS!$A$3:$A$19,0)))</f>
        <v>A+ · Módulo 3 · Benefício 2 de 4</v>
      </c>
      <c r="G356" s="11" t="str">
        <f aca="false">IF(INDEX(PRODUTOS!$F$4:$F$63,MATCH($A356,PRODUTOS!$B$4:$B$63,0))="Ração",IF(INDEX(PRODUTOS!$I$4:$I$63,MATCH($A356,PRODUTOS!$B$4:$B$63,0))="B",INDEX(MODELOS!$G$3:$G$19,MATCH($D356,MODELOS!$A$3:$A$19,0)),INDEX(MODELOS!$C$3:$C$19,MATCH($D356,MODELOS!$A$3:$A$19,0))),IF(INDEX(PRODUTOS!$I$4:$I$63,MATCH($A356,PRODUTOS!$B$4:$B$63,0))="B",INDEX(MODELOS!$H$3:$H$19,MATCH($D356,MODELOS!$A$3:$A$19,0)),INDEX(MODELOS!$D$3:$D$19,MATCH($D356,MODELOS!$A$3:$A$19,0))))</f>
        <v>Foto/ilustração do benefício 2</v>
      </c>
      <c r="H356" s="11" t="str">
        <f aca="false">IF(INDEX(PRODUTOS!$I$4:$I$63,MATCH($A356,PRODUTOS!$B$4:$B$63,0))="B",INDEX(MODELOS!$I$3:$I$19,MATCH($D356,MODELOS!$A$3:$A$19,0)),INDEX(MODELOS!$E$3:$E$19,MATCH($D356,MODELOS!$A$3:$A$19,0)))</f>
        <v>220 × 200</v>
      </c>
      <c r="I356" s="11" t="str">
        <f aca="false">INDEX(MODELOS!$J$3:$J$19,MATCH($D356,MODELOS!$A$3:$A$19,0))</f>
        <v>Conforme modelo</v>
      </c>
      <c r="J356" s="11" t="str">
        <f aca="false">IF(LEFT($D356,2)&lt;&gt;"AP",IF($I356="SIM","SIM","RECOMENDADA"),IF(INDEX(PRODUTOS!$J$4:$J$63,MATCH($A356,PRODUTOS!$B$4:$B$63,0))&lt;&gt;"","NÃO (usa o A+ do EAN "&amp;INDEX(PRODUTOS!$J$4:$J$63,MATCH($A356,PRODUTOS!$B$4:$B$63,0))&amp;")",IF(AND(INDEX(PRODUTOS!$I$4:$I$63,MATCH($A356,PRODUTOS!$B$4:$B$63,0))="B",$D356="AP07"),"NÃO (modelo B)","SIM")))</f>
        <v>NÃO (usa o A+ do EAN 7898968541276)</v>
      </c>
      <c r="K356" s="13" t="s">
        <v>325</v>
      </c>
      <c r="L356" s="13"/>
    </row>
    <row r="357" customFormat="false" ht="15" hidden="false" customHeight="false" outlineLevel="0" collapsed="false">
      <c r="A357" s="15" t="s">
        <v>132</v>
      </c>
      <c r="B357" s="11" t="str">
        <f aca="false">INDEX(PRODUTOS!$E$4:$E$63,MATCH($A357,PRODUTOS!$B$4:$B$63,0))</f>
        <v>Ração Seca Natural Dots para Cães Sênior - Pacote 1 kg</v>
      </c>
      <c r="C357" s="11" t="str">
        <f aca="false">INDEX(PRODUTOS!$H$4:$H$63,MATCH($A357,PRODUTOS!$B$4:$B$63,0))</f>
        <v>1 kg</v>
      </c>
      <c r="D357" s="11" t="s">
        <v>338</v>
      </c>
      <c r="E357" s="16" t="str">
        <f aca="false">$A357&amp;"."&amp;$D357&amp;".jpg"</f>
        <v>7908591300154.AP05.jpg</v>
      </c>
      <c r="F357" s="11" t="str">
        <f aca="false">IF(INDEX(PRODUTOS!$I$4:$I$63,MATCH($A357,PRODUTOS!$B$4:$B$63,0))="B",INDEX(MODELOS!$F$3:$F$19,MATCH($D357,MODELOS!$A$3:$A$19,0)),INDEX(MODELOS!$B$3:$B$19,MATCH($D357,MODELOS!$A$3:$A$19,0)))</f>
        <v>A+ · Módulo 3 · Benefício 3 de 4</v>
      </c>
      <c r="G357" s="11" t="str">
        <f aca="false">IF(INDEX(PRODUTOS!$F$4:$F$63,MATCH($A357,PRODUTOS!$B$4:$B$63,0))="Ração",IF(INDEX(PRODUTOS!$I$4:$I$63,MATCH($A357,PRODUTOS!$B$4:$B$63,0))="B",INDEX(MODELOS!$G$3:$G$19,MATCH($D357,MODELOS!$A$3:$A$19,0)),INDEX(MODELOS!$C$3:$C$19,MATCH($D357,MODELOS!$A$3:$A$19,0))),IF(INDEX(PRODUTOS!$I$4:$I$63,MATCH($A357,PRODUTOS!$B$4:$B$63,0))="B",INDEX(MODELOS!$H$3:$H$19,MATCH($D357,MODELOS!$A$3:$A$19,0)),INDEX(MODELOS!$D$3:$D$19,MATCH($D357,MODELOS!$A$3:$A$19,0))))</f>
        <v>Foto/ilustração do benefício 3</v>
      </c>
      <c r="H357" s="11" t="str">
        <f aca="false">IF(INDEX(PRODUTOS!$I$4:$I$63,MATCH($A357,PRODUTOS!$B$4:$B$63,0))="B",INDEX(MODELOS!$I$3:$I$19,MATCH($D357,MODELOS!$A$3:$A$19,0)),INDEX(MODELOS!$E$3:$E$19,MATCH($D357,MODELOS!$A$3:$A$19,0)))</f>
        <v>220 × 200</v>
      </c>
      <c r="I357" s="11" t="str">
        <f aca="false">INDEX(MODELOS!$J$3:$J$19,MATCH($D357,MODELOS!$A$3:$A$19,0))</f>
        <v>Conforme modelo</v>
      </c>
      <c r="J357" s="11" t="str">
        <f aca="false">IF(LEFT($D357,2)&lt;&gt;"AP",IF($I357="SIM","SIM","RECOMENDADA"),IF(INDEX(PRODUTOS!$J$4:$J$63,MATCH($A357,PRODUTOS!$B$4:$B$63,0))&lt;&gt;"","NÃO (usa o A+ do EAN "&amp;INDEX(PRODUTOS!$J$4:$J$63,MATCH($A357,PRODUTOS!$B$4:$B$63,0))&amp;")",IF(AND(INDEX(PRODUTOS!$I$4:$I$63,MATCH($A357,PRODUTOS!$B$4:$B$63,0))="B",$D357="AP07"),"NÃO (modelo B)","SIM")))</f>
        <v>NÃO (usa o A+ do EAN 7898968541276)</v>
      </c>
      <c r="K357" s="13" t="s">
        <v>325</v>
      </c>
      <c r="L357" s="13"/>
    </row>
    <row r="358" customFormat="false" ht="15" hidden="false" customHeight="false" outlineLevel="0" collapsed="false">
      <c r="A358" s="15" t="s">
        <v>132</v>
      </c>
      <c r="B358" s="11" t="str">
        <f aca="false">INDEX(PRODUTOS!$E$4:$E$63,MATCH($A358,PRODUTOS!$B$4:$B$63,0))</f>
        <v>Ração Seca Natural Dots para Cães Sênior - Pacote 1 kg</v>
      </c>
      <c r="C358" s="11" t="str">
        <f aca="false">INDEX(PRODUTOS!$H$4:$H$63,MATCH($A358,PRODUTOS!$B$4:$B$63,0))</f>
        <v>1 kg</v>
      </c>
      <c r="D358" s="11" t="s">
        <v>339</v>
      </c>
      <c r="E358" s="16" t="str">
        <f aca="false">$A358&amp;"."&amp;$D358&amp;".jpg"</f>
        <v>7908591300154.AP06.jpg</v>
      </c>
      <c r="F358" s="11" t="str">
        <f aca="false">IF(INDEX(PRODUTOS!$I$4:$I$63,MATCH($A358,PRODUTOS!$B$4:$B$63,0))="B",INDEX(MODELOS!$F$3:$F$19,MATCH($D358,MODELOS!$A$3:$A$19,0)),INDEX(MODELOS!$B$3:$B$19,MATCH($D358,MODELOS!$A$3:$A$19,0)))</f>
        <v>A+ · Módulo 3 · Benefício 4 de 4</v>
      </c>
      <c r="G358" s="11" t="str">
        <f aca="false">IF(INDEX(PRODUTOS!$F$4:$F$63,MATCH($A358,PRODUTOS!$B$4:$B$63,0))="Ração",IF(INDEX(PRODUTOS!$I$4:$I$63,MATCH($A358,PRODUTOS!$B$4:$B$63,0))="B",INDEX(MODELOS!$G$3:$G$19,MATCH($D358,MODELOS!$A$3:$A$19,0)),INDEX(MODELOS!$C$3:$C$19,MATCH($D358,MODELOS!$A$3:$A$19,0))),IF(INDEX(PRODUTOS!$I$4:$I$63,MATCH($A358,PRODUTOS!$B$4:$B$63,0))="B",INDEX(MODELOS!$H$3:$H$19,MATCH($D358,MODELOS!$A$3:$A$19,0)),INDEX(MODELOS!$D$3:$D$19,MATCH($D358,MODELOS!$A$3:$A$19,0))))</f>
        <v>Foto/ilustração do benefício 4</v>
      </c>
      <c r="H358" s="11" t="str">
        <f aca="false">IF(INDEX(PRODUTOS!$I$4:$I$63,MATCH($A358,PRODUTOS!$B$4:$B$63,0))="B",INDEX(MODELOS!$I$3:$I$19,MATCH($D358,MODELOS!$A$3:$A$19,0)),INDEX(MODELOS!$E$3:$E$19,MATCH($D358,MODELOS!$A$3:$A$19,0)))</f>
        <v>220 × 200</v>
      </c>
      <c r="I358" s="11" t="str">
        <f aca="false">INDEX(MODELOS!$J$3:$J$19,MATCH($D358,MODELOS!$A$3:$A$19,0))</f>
        <v>Conforme modelo</v>
      </c>
      <c r="J358" s="11" t="str">
        <f aca="false">IF(LEFT($D358,2)&lt;&gt;"AP",IF($I358="SIM","SIM","RECOMENDADA"),IF(INDEX(PRODUTOS!$J$4:$J$63,MATCH($A358,PRODUTOS!$B$4:$B$63,0))&lt;&gt;"","NÃO (usa o A+ do EAN "&amp;INDEX(PRODUTOS!$J$4:$J$63,MATCH($A358,PRODUTOS!$B$4:$B$63,0))&amp;")",IF(AND(INDEX(PRODUTOS!$I$4:$I$63,MATCH($A358,PRODUTOS!$B$4:$B$63,0))="B",$D358="AP07"),"NÃO (modelo B)","SIM")))</f>
        <v>NÃO (usa o A+ do EAN 7898968541276)</v>
      </c>
      <c r="K358" s="13" t="s">
        <v>325</v>
      </c>
      <c r="L358" s="13"/>
    </row>
    <row r="359" customFormat="false" ht="15" hidden="false" customHeight="false" outlineLevel="0" collapsed="false">
      <c r="A359" s="15" t="s">
        <v>132</v>
      </c>
      <c r="B359" s="11" t="str">
        <f aca="false">INDEX(PRODUTOS!$E$4:$E$63,MATCH($A359,PRODUTOS!$B$4:$B$63,0))</f>
        <v>Ração Seca Natural Dots para Cães Sênior - Pacote 1 kg</v>
      </c>
      <c r="C359" s="11" t="str">
        <f aca="false">INDEX(PRODUTOS!$H$4:$H$63,MATCH($A359,PRODUTOS!$B$4:$B$63,0))</f>
        <v>1 kg</v>
      </c>
      <c r="D359" s="11" t="s">
        <v>340</v>
      </c>
      <c r="E359" s="16" t="str">
        <f aca="false">$A359&amp;"."&amp;$D359&amp;".jpg"</f>
        <v>7908591300154.AP07.jpg</v>
      </c>
      <c r="F359" s="11" t="str">
        <f aca="false">IF(INDEX(PRODUTOS!$I$4:$I$63,MATCH($A359,PRODUTOS!$B$4:$B$63,0))="B",INDEX(MODELOS!$F$3:$F$19,MATCH($D359,MODELOS!$A$3:$A$19,0)),INDEX(MODELOS!$B$3:$B$19,MATCH($D359,MODELOS!$A$3:$A$19,0)))</f>
        <v>A+ · Módulo 4 · Especificações</v>
      </c>
      <c r="G359" s="11" t="str">
        <f aca="false">IF(INDEX(PRODUTOS!$F$4:$F$63,MATCH($A359,PRODUTOS!$B$4:$B$63,0))="Ração",IF(INDEX(PRODUTOS!$I$4:$I$63,MATCH($A359,PRODUTOS!$B$4:$B$63,0))="B",INDEX(MODELOS!$G$3:$G$19,MATCH($D359,MODELOS!$A$3:$A$19,0)),INDEX(MODELOS!$C$3:$C$19,MATCH($D359,MODELOS!$A$3:$A$19,0))),IF(INDEX(PRODUTOS!$I$4:$I$63,MATCH($A359,PRODUTOS!$B$4:$B$63,0))="B",INDEX(MODELOS!$H$3:$H$19,MATCH($D359,MODELOS!$A$3:$A$19,0)),INDEX(MODELOS!$D$3:$D$19,MATCH($D359,MODELOS!$A$3:$A$19,0))))</f>
        <v>Grão ou pacote em destaque</v>
      </c>
      <c r="H359" s="11" t="str">
        <f aca="false">IF(INDEX(PRODUTOS!$I$4:$I$63,MATCH($A359,PRODUTOS!$B$4:$B$63,0))="B",INDEX(MODELOS!$I$3:$I$19,MATCH($D359,MODELOS!$A$3:$A$19,0)),INDEX(MODELOS!$E$3:$E$19,MATCH($D359,MODELOS!$A$3:$A$19,0)))</f>
        <v>300 × 300</v>
      </c>
      <c r="I359" s="11" t="str">
        <f aca="false">INDEX(MODELOS!$J$3:$J$19,MATCH($D359,MODELOS!$A$3:$A$19,0))</f>
        <v>Conforme modelo</v>
      </c>
      <c r="J359" s="11" t="str">
        <f aca="false">IF(LEFT($D359,2)&lt;&gt;"AP",IF($I359="SIM","SIM","RECOMENDADA"),IF(INDEX(PRODUTOS!$J$4:$J$63,MATCH($A359,PRODUTOS!$B$4:$B$63,0))&lt;&gt;"","NÃO (usa o A+ do EAN "&amp;INDEX(PRODUTOS!$J$4:$J$63,MATCH($A359,PRODUTOS!$B$4:$B$63,0))&amp;")",IF(AND(INDEX(PRODUTOS!$I$4:$I$63,MATCH($A359,PRODUTOS!$B$4:$B$63,0))="B",$D359="AP07"),"NÃO (modelo B)","SIM")))</f>
        <v>NÃO (usa o A+ do EAN 7898968541276)</v>
      </c>
      <c r="K359" s="13" t="s">
        <v>325</v>
      </c>
      <c r="L359" s="13"/>
    </row>
    <row r="360" customFormat="false" ht="15" hidden="false" customHeight="false" outlineLevel="0" collapsed="false">
      <c r="A360" s="15" t="s">
        <v>132</v>
      </c>
      <c r="B360" s="11" t="str">
        <f aca="false">INDEX(PRODUTOS!$E$4:$E$63,MATCH($A360,PRODUTOS!$B$4:$B$63,0))</f>
        <v>Ração Seca Natural Dots para Cães Sênior - Pacote 1 kg</v>
      </c>
      <c r="C360" s="11" t="str">
        <f aca="false">INDEX(PRODUTOS!$H$4:$H$63,MATCH($A360,PRODUTOS!$B$4:$B$63,0))</f>
        <v>1 kg</v>
      </c>
      <c r="D360" s="11" t="s">
        <v>341</v>
      </c>
      <c r="E360" s="16" t="str">
        <f aca="false">$A360&amp;"."&amp;$D360&amp;".jpg"</f>
        <v>7908591300154.COMP.jpg</v>
      </c>
      <c r="F360" s="11" t="str">
        <f aca="false">IF(INDEX(PRODUTOS!$I$4:$I$63,MATCH($A360,PRODUTOS!$B$4:$B$63,0))="B",INDEX(MODELOS!$F$3:$F$19,MATCH($D360,MODELOS!$A$3:$A$19,0)),INDEX(MODELOS!$B$3:$B$19,MATCH($D360,MODELOS!$A$3:$A$19,0)))</f>
        <v>A+ · Tabela comparativa</v>
      </c>
      <c r="G360" s="11" t="str">
        <f aca="false">IF(INDEX(PRODUTOS!$F$4:$F$63,MATCH($A360,PRODUTOS!$B$4:$B$63,0))="Ração",IF(INDEX(PRODUTOS!$I$4:$I$63,MATCH($A360,PRODUTOS!$B$4:$B$63,0))="B",INDEX(MODELOS!$G$3:$G$19,MATCH($D360,MODELOS!$A$3:$A$19,0)),INDEX(MODELOS!$C$3:$C$19,MATCH($D360,MODELOS!$A$3:$A$19,0))),IF(INDEX(PRODUTOS!$I$4:$I$63,MATCH($A360,PRODUTOS!$B$4:$B$63,0))="B",INDEX(MODELOS!$H$3:$H$19,MATCH($D360,MODELOS!$A$3:$A$19,0)),INDEX(MODELOS!$D$3:$D$19,MATCH($D360,MODELOS!$A$3:$A$19,0))))</f>
        <v>Pacote na vertical, sem fundo colorido</v>
      </c>
      <c r="H360" s="11" t="str">
        <f aca="false">IF(INDEX(PRODUTOS!$I$4:$I$63,MATCH($A360,PRODUTOS!$B$4:$B$63,0))="B",INDEX(MODELOS!$I$3:$I$19,MATCH($D360,MODELOS!$A$3:$A$19,0)),INDEX(MODELOS!$E$3:$E$19,MATCH($D360,MODELOS!$A$3:$A$19,0)))</f>
        <v>150 × 300</v>
      </c>
      <c r="I360" s="11" t="str">
        <f aca="false">INDEX(MODELOS!$J$3:$J$19,MATCH($D360,MODELOS!$A$3:$A$19,0))</f>
        <v>SIM</v>
      </c>
      <c r="J360" s="11" t="str">
        <f aca="false">IF(LEFT($D360,2)&lt;&gt;"AP",IF($I360="SIM","SIM","RECOMENDADA"),IF(INDEX(PRODUTOS!$J$4:$J$63,MATCH($A360,PRODUTOS!$B$4:$B$63,0))&lt;&gt;"","NÃO (usa o A+ do EAN "&amp;INDEX(PRODUTOS!$J$4:$J$63,MATCH($A360,PRODUTOS!$B$4:$B$63,0))&amp;")",IF(AND(INDEX(PRODUTOS!$I$4:$I$63,MATCH($A360,PRODUTOS!$B$4:$B$63,0))="B",$D360="AP07"),"NÃO (modelo B)","SIM")))</f>
        <v>SIM</v>
      </c>
      <c r="K360" s="13" t="s">
        <v>325</v>
      </c>
      <c r="L360" s="13"/>
    </row>
    <row r="361" customFormat="false" ht="15" hidden="false" customHeight="false" outlineLevel="0" collapsed="false">
      <c r="A361" s="15" t="s">
        <v>136</v>
      </c>
      <c r="B361" s="11" t="str">
        <f aca="false">INDEX(PRODUTOS!$E$4:$E$63,MATCH($A361,PRODUTOS!$B$4:$B$63,0))</f>
        <v>Ração Seca Natural Dots para Cães de Raças Pequenas - Pacote 15 kg</v>
      </c>
      <c r="C361" s="11" t="str">
        <f aca="false">INDEX(PRODUTOS!$H$4:$H$63,MATCH($A361,PRODUTOS!$B$4:$B$63,0))</f>
        <v>15 kg</v>
      </c>
      <c r="D361" s="11" t="s">
        <v>324</v>
      </c>
      <c r="E361" s="16" t="str">
        <f aca="false">$A361&amp;"."&amp;$D361&amp;".jpg"</f>
        <v>7898968541344.MAIN.jpg</v>
      </c>
      <c r="F361" s="11" t="str">
        <f aca="false">IF(INDEX(PRODUTOS!$I$4:$I$63,MATCH($A361,PRODUTOS!$B$4:$B$63,0))="B",INDEX(MODELOS!$F$3:$F$19,MATCH($D361,MODELOS!$A$3:$A$19,0)),INDEX(MODELOS!$B$3:$B$19,MATCH($D361,MODELOS!$A$3:$A$19,0)))</f>
        <v>Capa (posição 1)</v>
      </c>
      <c r="G361" s="11" t="str">
        <f aca="false">IF(INDEX(PRODUTOS!$F$4:$F$63,MATCH($A361,PRODUTOS!$B$4:$B$63,0))="Ração",IF(INDEX(PRODUTOS!$I$4:$I$63,MATCH($A361,PRODUTOS!$B$4:$B$63,0))="B",INDEX(MODELOS!$G$3:$G$19,MATCH($D361,MODELOS!$A$3:$A$19,0)),INDEX(MODELOS!$C$3:$C$19,MATCH($D361,MODELOS!$A$3:$A$19,0))),IF(INDEX(PRODUTOS!$I$4:$I$63,MATCH($A361,PRODUTOS!$B$4:$B$63,0))="B",INDEX(MODELOS!$H$3:$H$19,MATCH($D361,MODELOS!$A$3:$A$19,0)),INDEX(MODELOS!$D$3:$D$19,MATCH($D361,MODELOS!$A$3:$A$19,0))))</f>
        <v>Embalagem de frente, fundo branco puro, 85% da área, nada adicionado</v>
      </c>
      <c r="H361" s="11" t="str">
        <f aca="false">IF(INDEX(PRODUTOS!$I$4:$I$63,MATCH($A361,PRODUTOS!$B$4:$B$63,0))="B",INDEX(MODELOS!$I$3:$I$19,MATCH($D361,MODELOS!$A$3:$A$19,0)),INDEX(MODELOS!$E$3:$E$19,MATCH($D361,MODELOS!$A$3:$A$19,0)))</f>
        <v>2000 × 2000</v>
      </c>
      <c r="I361" s="11" t="str">
        <f aca="false">INDEX(MODELOS!$J$3:$J$19,MATCH($D361,MODELOS!$A$3:$A$19,0))</f>
        <v>SIM</v>
      </c>
      <c r="J361" s="11" t="str">
        <f aca="false">IF(LEFT($D361,2)&lt;&gt;"AP",IF($I361="SIM","SIM","RECOMENDADA"),IF(INDEX(PRODUTOS!$J$4:$J$63,MATCH($A361,PRODUTOS!$B$4:$B$63,0))&lt;&gt;"","NÃO (usa o A+ do EAN "&amp;INDEX(PRODUTOS!$J$4:$J$63,MATCH($A361,PRODUTOS!$B$4:$B$63,0))&amp;")",IF(AND(INDEX(PRODUTOS!$I$4:$I$63,MATCH($A361,PRODUTOS!$B$4:$B$63,0))="B",$D361="AP07"),"NÃO (modelo B)","SIM")))</f>
        <v>SIM</v>
      </c>
      <c r="K361" s="13" t="s">
        <v>325</v>
      </c>
      <c r="L361" s="13"/>
    </row>
    <row r="362" customFormat="false" ht="15" hidden="false" customHeight="false" outlineLevel="0" collapsed="false">
      <c r="A362" s="15" t="s">
        <v>136</v>
      </c>
      <c r="B362" s="11" t="str">
        <f aca="false">INDEX(PRODUTOS!$E$4:$E$63,MATCH($A362,PRODUTOS!$B$4:$B$63,0))</f>
        <v>Ração Seca Natural Dots para Cães de Raças Pequenas - Pacote 15 kg</v>
      </c>
      <c r="C362" s="11" t="str">
        <f aca="false">INDEX(PRODUTOS!$H$4:$H$63,MATCH($A362,PRODUTOS!$B$4:$B$63,0))</f>
        <v>15 kg</v>
      </c>
      <c r="D362" s="11" t="s">
        <v>326</v>
      </c>
      <c r="E362" s="16" t="str">
        <f aca="false">$A362&amp;"."&amp;$D362&amp;".jpg"</f>
        <v>7898968541344.PT01.jpg</v>
      </c>
      <c r="F362" s="11" t="str">
        <f aca="false">IF(INDEX(PRODUTOS!$I$4:$I$63,MATCH($A362,PRODUTOS!$B$4:$B$63,0))="B",INDEX(MODELOS!$F$3:$F$19,MATCH($D362,MODELOS!$A$3:$A$19,0)),INDEX(MODELOS!$B$3:$B$19,MATCH($D362,MODELOS!$A$3:$A$19,0)))</f>
        <v>Galeria · posição 2</v>
      </c>
      <c r="G362" s="11" t="str">
        <f aca="false">IF(INDEX(PRODUTOS!$F$4:$F$63,MATCH($A362,PRODUTOS!$B$4:$B$63,0))="Ração",IF(INDEX(PRODUTOS!$I$4:$I$63,MATCH($A362,PRODUTOS!$B$4:$B$63,0))="B",INDEX(MODELOS!$G$3:$G$19,MATCH($D362,MODELOS!$A$3:$A$19,0)),INDEX(MODELOS!$C$3:$C$19,MATCH($D362,MODELOS!$A$3:$A$19,0))),IF(INDEX(PRODUTOS!$I$4:$I$63,MATCH($A362,PRODUTOS!$B$4:$B$63,0))="B",INDEX(MODELOS!$H$3:$H$19,MATCH($D362,MODELOS!$A$3:$A$19,0)),INDEX(MODELOS!$D$3:$D$19,MATCH($D362,MODELOS!$A$3:$A$19,0))))</f>
        <v>Grande diferencial da linha (número ou promessa forte + grão e ingrediente)</v>
      </c>
      <c r="H362" s="11" t="str">
        <f aca="false">IF(INDEX(PRODUTOS!$I$4:$I$63,MATCH($A362,PRODUTOS!$B$4:$B$63,0))="B",INDEX(MODELOS!$I$3:$I$19,MATCH($D362,MODELOS!$A$3:$A$19,0)),INDEX(MODELOS!$E$3:$E$19,MATCH($D362,MODELOS!$A$3:$A$19,0)))</f>
        <v>2000 × 2000</v>
      </c>
      <c r="I362" s="11" t="str">
        <f aca="false">INDEX(MODELOS!$J$3:$J$19,MATCH($D362,MODELOS!$A$3:$A$19,0))</f>
        <v>SIM</v>
      </c>
      <c r="J362" s="11" t="str">
        <f aca="false">IF(LEFT($D362,2)&lt;&gt;"AP",IF($I362="SIM","SIM","RECOMENDADA"),IF(INDEX(PRODUTOS!$J$4:$J$63,MATCH($A362,PRODUTOS!$B$4:$B$63,0))&lt;&gt;"","NÃO (usa o A+ do EAN "&amp;INDEX(PRODUTOS!$J$4:$J$63,MATCH($A362,PRODUTOS!$B$4:$B$63,0))&amp;")",IF(AND(INDEX(PRODUTOS!$I$4:$I$63,MATCH($A362,PRODUTOS!$B$4:$B$63,0))="B",$D362="AP07"),"NÃO (modelo B)","SIM")))</f>
        <v>SIM</v>
      </c>
      <c r="K362" s="13" t="s">
        <v>325</v>
      </c>
      <c r="L362" s="13"/>
    </row>
    <row r="363" customFormat="false" ht="15" hidden="false" customHeight="false" outlineLevel="0" collapsed="false">
      <c r="A363" s="15" t="s">
        <v>136</v>
      </c>
      <c r="B363" s="11" t="str">
        <f aca="false">INDEX(PRODUTOS!$E$4:$E$63,MATCH($A363,PRODUTOS!$B$4:$B$63,0))</f>
        <v>Ração Seca Natural Dots para Cães de Raças Pequenas - Pacote 15 kg</v>
      </c>
      <c r="C363" s="11" t="str">
        <f aca="false">INDEX(PRODUTOS!$H$4:$H$63,MATCH($A363,PRODUTOS!$B$4:$B$63,0))</f>
        <v>15 kg</v>
      </c>
      <c r="D363" s="11" t="s">
        <v>327</v>
      </c>
      <c r="E363" s="16" t="str">
        <f aca="false">$A363&amp;"."&amp;$D363&amp;".jpg"</f>
        <v>7898968541344.PT02.jpg</v>
      </c>
      <c r="F363" s="11" t="str">
        <f aca="false">IF(INDEX(PRODUTOS!$I$4:$I$63,MATCH($A363,PRODUTOS!$B$4:$B$63,0))="B",INDEX(MODELOS!$F$3:$F$19,MATCH($D363,MODELOS!$A$3:$A$19,0)),INDEX(MODELOS!$B$3:$B$19,MATCH($D363,MODELOS!$A$3:$A$19,0)))</f>
        <v>Galeria · posição 3</v>
      </c>
      <c r="G363" s="11" t="str">
        <f aca="false">IF(INDEX(PRODUTOS!$F$4:$F$63,MATCH($A363,PRODUTOS!$B$4:$B$63,0))="Ração",IF(INDEX(PRODUTOS!$I$4:$I$63,MATCH($A363,PRODUTOS!$B$4:$B$63,0))="B",INDEX(MODELOS!$G$3:$G$19,MATCH($D363,MODELOS!$A$3:$A$19,0)),INDEX(MODELOS!$C$3:$C$19,MATCH($D363,MODELOS!$A$3:$A$19,0))),IF(INDEX(PRODUTOS!$I$4:$I$63,MATCH($A363,PRODUTOS!$B$4:$B$63,0))="B",INDEX(MODELOS!$H$3:$H$19,MATCH($D363,MODELOS!$A$3:$A$19,0)),INDEX(MODELOS!$D$3:$D$19,MATCH($D363,MODELOS!$A$3:$A$19,0))))</f>
        <v>Benefícios com ícones (4 a 6, impressos na embalagem) + ingrediente</v>
      </c>
      <c r="H363" s="11" t="str">
        <f aca="false">IF(INDEX(PRODUTOS!$I$4:$I$63,MATCH($A363,PRODUTOS!$B$4:$B$63,0))="B",INDEX(MODELOS!$I$3:$I$19,MATCH($D363,MODELOS!$A$3:$A$19,0)),INDEX(MODELOS!$E$3:$E$19,MATCH($D363,MODELOS!$A$3:$A$19,0)))</f>
        <v>2000 × 2000</v>
      </c>
      <c r="I363" s="11" t="str">
        <f aca="false">INDEX(MODELOS!$J$3:$J$19,MATCH($D363,MODELOS!$A$3:$A$19,0))</f>
        <v>SIM</v>
      </c>
      <c r="J363" s="11" t="str">
        <f aca="false">IF(LEFT($D363,2)&lt;&gt;"AP",IF($I363="SIM","SIM","RECOMENDADA"),IF(INDEX(PRODUTOS!$J$4:$J$63,MATCH($A363,PRODUTOS!$B$4:$B$63,0))&lt;&gt;"","NÃO (usa o A+ do EAN "&amp;INDEX(PRODUTOS!$J$4:$J$63,MATCH($A363,PRODUTOS!$B$4:$B$63,0))&amp;")",IF(AND(INDEX(PRODUTOS!$I$4:$I$63,MATCH($A363,PRODUTOS!$B$4:$B$63,0))="B",$D363="AP07"),"NÃO (modelo B)","SIM")))</f>
        <v>SIM</v>
      </c>
      <c r="K363" s="13" t="s">
        <v>325</v>
      </c>
      <c r="L363" s="13"/>
    </row>
    <row r="364" customFormat="false" ht="15" hidden="false" customHeight="false" outlineLevel="0" collapsed="false">
      <c r="A364" s="15" t="s">
        <v>136</v>
      </c>
      <c r="B364" s="11" t="str">
        <f aca="false">INDEX(PRODUTOS!$E$4:$E$63,MATCH($A364,PRODUTOS!$B$4:$B$63,0))</f>
        <v>Ração Seca Natural Dots para Cães de Raças Pequenas - Pacote 15 kg</v>
      </c>
      <c r="C364" s="11" t="str">
        <f aca="false">INDEX(PRODUTOS!$H$4:$H$63,MATCH($A364,PRODUTOS!$B$4:$B$63,0))</f>
        <v>15 kg</v>
      </c>
      <c r="D364" s="11" t="s">
        <v>328</v>
      </c>
      <c r="E364" s="16" t="str">
        <f aca="false">$A364&amp;"."&amp;$D364&amp;".jpg"</f>
        <v>7898968541344.PT03.jpg</v>
      </c>
      <c r="F364" s="11" t="str">
        <f aca="false">IF(INDEX(PRODUTOS!$I$4:$I$63,MATCH($A364,PRODUTOS!$B$4:$B$63,0))="B",INDEX(MODELOS!$F$3:$F$19,MATCH($D364,MODELOS!$A$3:$A$19,0)),INDEX(MODELOS!$B$3:$B$19,MATCH($D364,MODELOS!$A$3:$A$19,0)))</f>
        <v>Galeria · posição 4</v>
      </c>
      <c r="G364" s="11" t="str">
        <f aca="false">IF(INDEX(PRODUTOS!$F$4:$F$63,MATCH($A364,PRODUTOS!$B$4:$B$63,0))="Ração",IF(INDEX(PRODUTOS!$I$4:$I$63,MATCH($A364,PRODUTOS!$B$4:$B$63,0))="B",INDEX(MODELOS!$G$3:$G$19,MATCH($D364,MODELOS!$A$3:$A$19,0)),INDEX(MODELOS!$C$3:$C$19,MATCH($D364,MODELOS!$A$3:$A$19,0))),IF(INDEX(PRODUTOS!$I$4:$I$63,MATCH($A364,PRODUTOS!$B$4:$B$63,0))="B",INDEX(MODELOS!$H$3:$H$19,MATCH($D364,MODELOS!$A$3:$A$19,0)),INDEX(MODELOS!$D$3:$D$19,MATCH($D364,MODELOS!$A$3:$A$19,0))))</f>
        <v>Formato e tamanho do grão, com medida em mm e referência de tamanho</v>
      </c>
      <c r="H364" s="11" t="str">
        <f aca="false">IF(INDEX(PRODUTOS!$I$4:$I$63,MATCH($A364,PRODUTOS!$B$4:$B$63,0))="B",INDEX(MODELOS!$I$3:$I$19,MATCH($D364,MODELOS!$A$3:$A$19,0)),INDEX(MODELOS!$E$3:$E$19,MATCH($D364,MODELOS!$A$3:$A$19,0)))</f>
        <v>2000 × 2000</v>
      </c>
      <c r="I364" s="11" t="str">
        <f aca="false">INDEX(MODELOS!$J$3:$J$19,MATCH($D364,MODELOS!$A$3:$A$19,0))</f>
        <v>SIM</v>
      </c>
      <c r="J364" s="11" t="str">
        <f aca="false">IF(LEFT($D364,2)&lt;&gt;"AP",IF($I364="SIM","SIM","RECOMENDADA"),IF(INDEX(PRODUTOS!$J$4:$J$63,MATCH($A364,PRODUTOS!$B$4:$B$63,0))&lt;&gt;"","NÃO (usa o A+ do EAN "&amp;INDEX(PRODUTOS!$J$4:$J$63,MATCH($A364,PRODUTOS!$B$4:$B$63,0))&amp;")",IF(AND(INDEX(PRODUTOS!$I$4:$I$63,MATCH($A364,PRODUTOS!$B$4:$B$63,0))="B",$D364="AP07"),"NÃO (modelo B)","SIM")))</f>
        <v>SIM</v>
      </c>
      <c r="K364" s="13" t="s">
        <v>325</v>
      </c>
      <c r="L364" s="13"/>
    </row>
    <row r="365" customFormat="false" ht="15" hidden="false" customHeight="false" outlineLevel="0" collapsed="false">
      <c r="A365" s="15" t="s">
        <v>136</v>
      </c>
      <c r="B365" s="11" t="str">
        <f aca="false">INDEX(PRODUTOS!$E$4:$E$63,MATCH($A365,PRODUTOS!$B$4:$B$63,0))</f>
        <v>Ração Seca Natural Dots para Cães de Raças Pequenas - Pacote 15 kg</v>
      </c>
      <c r="C365" s="11" t="str">
        <f aca="false">INDEX(PRODUTOS!$H$4:$H$63,MATCH($A365,PRODUTOS!$B$4:$B$63,0))</f>
        <v>15 kg</v>
      </c>
      <c r="D365" s="11" t="s">
        <v>329</v>
      </c>
      <c r="E365" s="16" t="str">
        <f aca="false">$A365&amp;"."&amp;$D365&amp;".jpg"</f>
        <v>7898968541344.PT04.jpg</v>
      </c>
      <c r="F365" s="11" t="str">
        <f aca="false">IF(INDEX(PRODUTOS!$I$4:$I$63,MATCH($A365,PRODUTOS!$B$4:$B$63,0))="B",INDEX(MODELOS!$F$3:$F$19,MATCH($D365,MODELOS!$A$3:$A$19,0)),INDEX(MODELOS!$B$3:$B$19,MATCH($D365,MODELOS!$A$3:$A$19,0)))</f>
        <v>Galeria · posição 5</v>
      </c>
      <c r="G365" s="11" t="str">
        <f aca="false">IF(INDEX(PRODUTOS!$F$4:$F$63,MATCH($A365,PRODUTOS!$B$4:$B$63,0))="Ração",IF(INDEX(PRODUTOS!$I$4:$I$63,MATCH($A365,PRODUTOS!$B$4:$B$63,0))="B",INDEX(MODELOS!$G$3:$G$19,MATCH($D365,MODELOS!$A$3:$A$19,0)),INDEX(MODELOS!$C$3:$C$19,MATCH($D365,MODELOS!$A$3:$A$19,0))),IF(INDEX(PRODUTOS!$I$4:$I$63,MATCH($A365,PRODUTOS!$B$4:$B$63,0))="B",INDEX(MODELOS!$H$3:$H$19,MATCH($D365,MODELOS!$A$3:$A$19,0)),INDEX(MODELOS!$D$3:$D$19,MATCH($D365,MODELOS!$A$3:$A$19,0))))</f>
        <v>Quantidade diária por peso do cão/gato (números idênticos à embalagem)</v>
      </c>
      <c r="H365" s="11" t="str">
        <f aca="false">IF(INDEX(PRODUTOS!$I$4:$I$63,MATCH($A365,PRODUTOS!$B$4:$B$63,0))="B",INDEX(MODELOS!$I$3:$I$19,MATCH($D365,MODELOS!$A$3:$A$19,0)),INDEX(MODELOS!$E$3:$E$19,MATCH($D365,MODELOS!$A$3:$A$19,0)))</f>
        <v>2000 × 2000</v>
      </c>
      <c r="I365" s="11" t="str">
        <f aca="false">INDEX(MODELOS!$J$3:$J$19,MATCH($D365,MODELOS!$A$3:$A$19,0))</f>
        <v>SIM</v>
      </c>
      <c r="J365" s="11" t="str">
        <f aca="false">IF(LEFT($D365,2)&lt;&gt;"AP",IF($I365="SIM","SIM","RECOMENDADA"),IF(INDEX(PRODUTOS!$J$4:$J$63,MATCH($A365,PRODUTOS!$B$4:$B$63,0))&lt;&gt;"","NÃO (usa o A+ do EAN "&amp;INDEX(PRODUTOS!$J$4:$J$63,MATCH($A365,PRODUTOS!$B$4:$B$63,0))&amp;")",IF(AND(INDEX(PRODUTOS!$I$4:$I$63,MATCH($A365,PRODUTOS!$B$4:$B$63,0))="B",$D365="AP07"),"NÃO (modelo B)","SIM")))</f>
        <v>SIM</v>
      </c>
      <c r="K365" s="13" t="s">
        <v>325</v>
      </c>
      <c r="L365" s="13"/>
    </row>
    <row r="366" customFormat="false" ht="15" hidden="false" customHeight="false" outlineLevel="0" collapsed="false">
      <c r="A366" s="15" t="s">
        <v>136</v>
      </c>
      <c r="B366" s="11" t="str">
        <f aca="false">INDEX(PRODUTOS!$E$4:$E$63,MATCH($A366,PRODUTOS!$B$4:$B$63,0))</f>
        <v>Ração Seca Natural Dots para Cães de Raças Pequenas - Pacote 15 kg</v>
      </c>
      <c r="C366" s="11" t="str">
        <f aca="false">INDEX(PRODUTOS!$H$4:$H$63,MATCH($A366,PRODUTOS!$B$4:$B$63,0))</f>
        <v>15 kg</v>
      </c>
      <c r="D366" s="11" t="s">
        <v>330</v>
      </c>
      <c r="E366" s="16" t="str">
        <f aca="false">$A366&amp;"."&amp;$D366&amp;".jpg"</f>
        <v>7898968541344.PT05.jpg</v>
      </c>
      <c r="F366" s="11" t="str">
        <f aca="false">IF(INDEX(PRODUTOS!$I$4:$I$63,MATCH($A366,PRODUTOS!$B$4:$B$63,0))="B",INDEX(MODELOS!$F$3:$F$19,MATCH($D366,MODELOS!$A$3:$A$19,0)),INDEX(MODELOS!$B$3:$B$19,MATCH($D366,MODELOS!$A$3:$A$19,0)))</f>
        <v>Galeria · posição 6</v>
      </c>
      <c r="G366" s="11" t="str">
        <f aca="false">IF(INDEX(PRODUTOS!$F$4:$F$63,MATCH($A366,PRODUTOS!$B$4:$B$63,0))="Ração",IF(INDEX(PRODUTOS!$I$4:$I$63,MATCH($A366,PRODUTOS!$B$4:$B$63,0))="B",INDEX(MODELOS!$G$3:$G$19,MATCH($D366,MODELOS!$A$3:$A$19,0)),INDEX(MODELOS!$C$3:$C$19,MATCH($D366,MODELOS!$A$3:$A$19,0))),IF(INDEX(PRODUTOS!$I$4:$I$63,MATCH($A366,PRODUTOS!$B$4:$B$63,0))="B",INDEX(MODELOS!$H$3:$H$19,MATCH($D366,MODELOS!$A$3:$A$19,0)),INDEX(MODELOS!$D$3:$D$19,MATCH($D366,MODELOS!$A$3:$A$19,0))))</f>
        <v>Transição alimentar dia a dia (igual ao verso da embalagem)</v>
      </c>
      <c r="H366" s="11" t="str">
        <f aca="false">IF(INDEX(PRODUTOS!$I$4:$I$63,MATCH($A366,PRODUTOS!$B$4:$B$63,0))="B",INDEX(MODELOS!$I$3:$I$19,MATCH($D366,MODELOS!$A$3:$A$19,0)),INDEX(MODELOS!$E$3:$E$19,MATCH($D366,MODELOS!$A$3:$A$19,0)))</f>
        <v>2000 × 2000</v>
      </c>
      <c r="I366" s="11" t="str">
        <f aca="false">INDEX(MODELOS!$J$3:$J$19,MATCH($D366,MODELOS!$A$3:$A$19,0))</f>
        <v>Recomendada</v>
      </c>
      <c r="J366" s="11" t="str">
        <f aca="false">IF(LEFT($D366,2)&lt;&gt;"AP",IF($I366="SIM","SIM","RECOMENDADA"),IF(INDEX(PRODUTOS!$J$4:$J$63,MATCH($A366,PRODUTOS!$B$4:$B$63,0))&lt;&gt;"","NÃO (usa o A+ do EAN "&amp;INDEX(PRODUTOS!$J$4:$J$63,MATCH($A366,PRODUTOS!$B$4:$B$63,0))&amp;")",IF(AND(INDEX(PRODUTOS!$I$4:$I$63,MATCH($A366,PRODUTOS!$B$4:$B$63,0))="B",$D366="AP07"),"NÃO (modelo B)","SIM")))</f>
        <v>RECOMENDADA</v>
      </c>
      <c r="K366" s="13" t="s">
        <v>325</v>
      </c>
      <c r="L366" s="13"/>
    </row>
    <row r="367" customFormat="false" ht="15" hidden="false" customHeight="false" outlineLevel="0" collapsed="false">
      <c r="A367" s="15" t="s">
        <v>136</v>
      </c>
      <c r="B367" s="11" t="str">
        <f aca="false">INDEX(PRODUTOS!$E$4:$E$63,MATCH($A367,PRODUTOS!$B$4:$B$63,0))</f>
        <v>Ração Seca Natural Dots para Cães de Raças Pequenas - Pacote 15 kg</v>
      </c>
      <c r="C367" s="11" t="str">
        <f aca="false">INDEX(PRODUTOS!$H$4:$H$63,MATCH($A367,PRODUTOS!$B$4:$B$63,0))</f>
        <v>15 kg</v>
      </c>
      <c r="D367" s="11" t="s">
        <v>331</v>
      </c>
      <c r="E367" s="16" t="str">
        <f aca="false">$A367&amp;"."&amp;$D367&amp;".jpg"</f>
        <v>7898968541344.PT06.jpg</v>
      </c>
      <c r="F367" s="11" t="str">
        <f aca="false">IF(INDEX(PRODUTOS!$I$4:$I$63,MATCH($A367,PRODUTOS!$B$4:$B$63,0))="B",INDEX(MODELOS!$F$3:$F$19,MATCH($D367,MODELOS!$A$3:$A$19,0)),INDEX(MODELOS!$B$3:$B$19,MATCH($D367,MODELOS!$A$3:$A$19,0)))</f>
        <v>Galeria · posição 7</v>
      </c>
      <c r="G367" s="11" t="str">
        <f aca="false">IF(INDEX(PRODUTOS!$F$4:$F$63,MATCH($A367,PRODUTOS!$B$4:$B$63,0))="Ração",IF(INDEX(PRODUTOS!$I$4:$I$63,MATCH($A367,PRODUTOS!$B$4:$B$63,0))="B",INDEX(MODELOS!$G$3:$G$19,MATCH($D367,MODELOS!$A$3:$A$19,0)),INDEX(MODELOS!$C$3:$C$19,MATCH($D367,MODELOS!$A$3:$A$19,0))),IF(INDEX(PRODUTOS!$I$4:$I$63,MATCH($A367,PRODUTOS!$B$4:$B$63,0))="B",INDEX(MODELOS!$H$3:$H$19,MATCH($D367,MODELOS!$A$3:$A$19,0)),INDEX(MODELOS!$D$3:$D$19,MATCH($D367,MODELOS!$A$3:$A$19,0))))</f>
        <v>Composição e níveis de garantia em letra grande</v>
      </c>
      <c r="H367" s="11" t="str">
        <f aca="false">IF(INDEX(PRODUTOS!$I$4:$I$63,MATCH($A367,PRODUTOS!$B$4:$B$63,0))="B",INDEX(MODELOS!$I$3:$I$19,MATCH($D367,MODELOS!$A$3:$A$19,0)),INDEX(MODELOS!$E$3:$E$19,MATCH($D367,MODELOS!$A$3:$A$19,0)))</f>
        <v>2000 × 2000</v>
      </c>
      <c r="I367" s="11" t="str">
        <f aca="false">INDEX(MODELOS!$J$3:$J$19,MATCH($D367,MODELOS!$A$3:$A$19,0))</f>
        <v>SIM</v>
      </c>
      <c r="J367" s="11" t="str">
        <f aca="false">IF(LEFT($D367,2)&lt;&gt;"AP",IF($I367="SIM","SIM","RECOMENDADA"),IF(INDEX(PRODUTOS!$J$4:$J$63,MATCH($A367,PRODUTOS!$B$4:$B$63,0))&lt;&gt;"","NÃO (usa o A+ do EAN "&amp;INDEX(PRODUTOS!$J$4:$J$63,MATCH($A367,PRODUTOS!$B$4:$B$63,0))&amp;")",IF(AND(INDEX(PRODUTOS!$I$4:$I$63,MATCH($A367,PRODUTOS!$B$4:$B$63,0))="B",$D367="AP07"),"NÃO (modelo B)","SIM")))</f>
        <v>SIM</v>
      </c>
      <c r="K367" s="13" t="s">
        <v>325</v>
      </c>
      <c r="L367" s="13"/>
    </row>
    <row r="368" customFormat="false" ht="15" hidden="false" customHeight="false" outlineLevel="0" collapsed="false">
      <c r="A368" s="15" t="s">
        <v>136</v>
      </c>
      <c r="B368" s="11" t="str">
        <f aca="false">INDEX(PRODUTOS!$E$4:$E$63,MATCH($A368,PRODUTOS!$B$4:$B$63,0))</f>
        <v>Ração Seca Natural Dots para Cães de Raças Pequenas - Pacote 15 kg</v>
      </c>
      <c r="C368" s="11" t="str">
        <f aca="false">INDEX(PRODUTOS!$H$4:$H$63,MATCH($A368,PRODUTOS!$B$4:$B$63,0))</f>
        <v>15 kg</v>
      </c>
      <c r="D368" s="11" t="s">
        <v>332</v>
      </c>
      <c r="E368" s="16" t="str">
        <f aca="false">$A368&amp;"."&amp;$D368&amp;".jpg"</f>
        <v>7898968541344.PT07.jpg</v>
      </c>
      <c r="F368" s="11" t="str">
        <f aca="false">IF(INDEX(PRODUTOS!$I$4:$I$63,MATCH($A368,PRODUTOS!$B$4:$B$63,0))="B",INDEX(MODELOS!$F$3:$F$19,MATCH($D368,MODELOS!$A$3:$A$19,0)),INDEX(MODELOS!$B$3:$B$19,MATCH($D368,MODELOS!$A$3:$A$19,0)))</f>
        <v>Galeria · posição 8</v>
      </c>
      <c r="G368" s="11" t="str">
        <f aca="false">IF(INDEX(PRODUTOS!$F$4:$F$63,MATCH($A368,PRODUTOS!$B$4:$B$63,0))="Ração",IF(INDEX(PRODUTOS!$I$4:$I$63,MATCH($A368,PRODUTOS!$B$4:$B$63,0))="B",INDEX(MODELOS!$G$3:$G$19,MATCH($D368,MODELOS!$A$3:$A$19,0)),INDEX(MODELOS!$C$3:$C$19,MATCH($D368,MODELOS!$A$3:$A$19,0))),IF(INDEX(PRODUTOS!$I$4:$I$63,MATCH($A368,PRODUTOS!$B$4:$B$63,0))="B",INDEX(MODELOS!$H$3:$H$19,MATCH($D368,MODELOS!$A$3:$A$19,0)),INDEX(MODELOS!$D$3:$D$19,MATCH($D368,MODELOS!$A$3:$A$19,0))))</f>
        <v>Emocional / momento de uso (pet do porte certo, pote cheio)</v>
      </c>
      <c r="H368" s="11" t="str">
        <f aca="false">IF(INDEX(PRODUTOS!$I$4:$I$63,MATCH($A368,PRODUTOS!$B$4:$B$63,0))="B",INDEX(MODELOS!$I$3:$I$19,MATCH($D368,MODELOS!$A$3:$A$19,0)),INDEX(MODELOS!$E$3:$E$19,MATCH($D368,MODELOS!$A$3:$A$19,0)))</f>
        <v>2000 × 2000</v>
      </c>
      <c r="I368" s="11" t="str">
        <f aca="false">INDEX(MODELOS!$J$3:$J$19,MATCH($D368,MODELOS!$A$3:$A$19,0))</f>
        <v>Recomendada</v>
      </c>
      <c r="J368" s="11" t="str">
        <f aca="false">IF(LEFT($D368,2)&lt;&gt;"AP",IF($I368="SIM","SIM","RECOMENDADA"),IF(INDEX(PRODUTOS!$J$4:$J$63,MATCH($A368,PRODUTOS!$B$4:$B$63,0))&lt;&gt;"","NÃO (usa o A+ do EAN "&amp;INDEX(PRODUTOS!$J$4:$J$63,MATCH($A368,PRODUTOS!$B$4:$B$63,0))&amp;")",IF(AND(INDEX(PRODUTOS!$I$4:$I$63,MATCH($A368,PRODUTOS!$B$4:$B$63,0))="B",$D368="AP07"),"NÃO (modelo B)","SIM")))</f>
        <v>RECOMENDADA</v>
      </c>
      <c r="K368" s="13" t="s">
        <v>325</v>
      </c>
      <c r="L368" s="13"/>
    </row>
    <row r="369" customFormat="false" ht="15" hidden="false" customHeight="false" outlineLevel="0" collapsed="false">
      <c r="A369" s="15" t="s">
        <v>136</v>
      </c>
      <c r="B369" s="11" t="str">
        <f aca="false">INDEX(PRODUTOS!$E$4:$E$63,MATCH($A369,PRODUTOS!$B$4:$B$63,0))</f>
        <v>Ração Seca Natural Dots para Cães de Raças Pequenas - Pacote 15 kg</v>
      </c>
      <c r="C369" s="11" t="str">
        <f aca="false">INDEX(PRODUTOS!$H$4:$H$63,MATCH($A369,PRODUTOS!$B$4:$B$63,0))</f>
        <v>15 kg</v>
      </c>
      <c r="D369" s="11" t="s">
        <v>333</v>
      </c>
      <c r="E369" s="16" t="str">
        <f aca="false">$A369&amp;"."&amp;$D369&amp;".jpg"</f>
        <v>7898968541344.PT08.jpg</v>
      </c>
      <c r="F369" s="11" t="str">
        <f aca="false">IF(INDEX(PRODUTOS!$I$4:$I$63,MATCH($A369,PRODUTOS!$B$4:$B$63,0))="B",INDEX(MODELOS!$F$3:$F$19,MATCH($D369,MODELOS!$A$3:$A$19,0)),INDEX(MODELOS!$B$3:$B$19,MATCH($D369,MODELOS!$A$3:$A$19,0)))</f>
        <v>Galeria · posição 9</v>
      </c>
      <c r="G369" s="11" t="str">
        <f aca="false">IF(INDEX(PRODUTOS!$F$4:$F$63,MATCH($A369,PRODUTOS!$B$4:$B$63,0))="Ração",IF(INDEX(PRODUTOS!$I$4:$I$63,MATCH($A369,PRODUTOS!$B$4:$B$63,0))="B",INDEX(MODELOS!$G$3:$G$19,MATCH($D369,MODELOS!$A$3:$A$19,0)),INDEX(MODELOS!$C$3:$C$19,MATCH($D369,MODELOS!$A$3:$A$19,0))),IF(INDEX(PRODUTOS!$I$4:$I$63,MATCH($A369,PRODUTOS!$B$4:$B$63,0))="B",INDEX(MODELOS!$H$3:$H$19,MATCH($D369,MODELOS!$A$3:$A$19,0)),INDEX(MODELOS!$D$3:$D$19,MATCH($D369,MODELOS!$A$3:$A$19,0))))</f>
        <v>Linha da marca ou embalagem anterior × nova</v>
      </c>
      <c r="H369" s="11" t="str">
        <f aca="false">IF(INDEX(PRODUTOS!$I$4:$I$63,MATCH($A369,PRODUTOS!$B$4:$B$63,0))="B",INDEX(MODELOS!$I$3:$I$19,MATCH($D369,MODELOS!$A$3:$A$19,0)),INDEX(MODELOS!$E$3:$E$19,MATCH($D369,MODELOS!$A$3:$A$19,0)))</f>
        <v>2000 × 2000</v>
      </c>
      <c r="I369" s="11" t="str">
        <f aca="false">INDEX(MODELOS!$J$3:$J$19,MATCH($D369,MODELOS!$A$3:$A$19,0))</f>
        <v>Recomendada</v>
      </c>
      <c r="J369" s="11" t="str">
        <f aca="false">IF(LEFT($D369,2)&lt;&gt;"AP",IF($I369="SIM","SIM","RECOMENDADA"),IF(INDEX(PRODUTOS!$J$4:$J$63,MATCH($A369,PRODUTOS!$B$4:$B$63,0))&lt;&gt;"","NÃO (usa o A+ do EAN "&amp;INDEX(PRODUTOS!$J$4:$J$63,MATCH($A369,PRODUTOS!$B$4:$B$63,0))&amp;")",IF(AND(INDEX(PRODUTOS!$I$4:$I$63,MATCH($A369,PRODUTOS!$B$4:$B$63,0))="B",$D369="AP07"),"NÃO (modelo B)","SIM")))</f>
        <v>RECOMENDADA</v>
      </c>
      <c r="K369" s="13" t="s">
        <v>325</v>
      </c>
      <c r="L369" s="13"/>
    </row>
    <row r="370" customFormat="false" ht="15" hidden="false" customHeight="false" outlineLevel="0" collapsed="false">
      <c r="A370" s="15" t="s">
        <v>136</v>
      </c>
      <c r="B370" s="11" t="str">
        <f aca="false">INDEX(PRODUTOS!$E$4:$E$63,MATCH($A370,PRODUTOS!$B$4:$B$63,0))</f>
        <v>Ração Seca Natural Dots para Cães de Raças Pequenas - Pacote 15 kg</v>
      </c>
      <c r="C370" s="11" t="str">
        <f aca="false">INDEX(PRODUTOS!$H$4:$H$63,MATCH($A370,PRODUTOS!$B$4:$B$63,0))</f>
        <v>15 kg</v>
      </c>
      <c r="D370" s="11" t="s">
        <v>334</v>
      </c>
      <c r="E370" s="16" t="str">
        <f aca="false">$A370&amp;"."&amp;$D370&amp;".jpg"</f>
        <v>7898968541344.AP01.jpg</v>
      </c>
      <c r="F370" s="11" t="str">
        <f aca="false">IF(INDEX(PRODUTOS!$I$4:$I$63,MATCH($A370,PRODUTOS!$B$4:$B$63,0))="B",INDEX(MODELOS!$F$3:$F$19,MATCH($D370,MODELOS!$A$3:$A$19,0)),INDEX(MODELOS!$B$3:$B$19,MATCH($D370,MODELOS!$A$3:$A$19,0)))</f>
        <v>A+ · Módulo 1 · Banner</v>
      </c>
      <c r="G370" s="11" t="str">
        <f aca="false">IF(INDEX(PRODUTOS!$F$4:$F$63,MATCH($A370,PRODUTOS!$B$4:$B$63,0))="Ração",IF(INDEX(PRODUTOS!$I$4:$I$63,MATCH($A370,PRODUTOS!$B$4:$B$63,0))="B",INDEX(MODELOS!$G$3:$G$19,MATCH($D370,MODELOS!$A$3:$A$19,0)),INDEX(MODELOS!$C$3:$C$19,MATCH($D370,MODELOS!$A$3:$A$19,0))),IF(INDEX(PRODUTOS!$I$4:$I$63,MATCH($A370,PRODUTOS!$B$4:$B$63,0))="B",INDEX(MODELOS!$H$3:$H$19,MATCH($D370,MODELOS!$A$3:$A$19,0)),INDEX(MODELOS!$D$3:$D$19,MATCH($D370,MODELOS!$A$3:$A$19,0))))</f>
        <v>Embalagem + pet + ingredientes, com o nome da linha</v>
      </c>
      <c r="H370" s="11" t="str">
        <f aca="false">IF(INDEX(PRODUTOS!$I$4:$I$63,MATCH($A370,PRODUTOS!$B$4:$B$63,0))="B",INDEX(MODELOS!$I$3:$I$19,MATCH($D370,MODELOS!$A$3:$A$19,0)),INDEX(MODELOS!$E$3:$E$19,MATCH($D370,MODELOS!$A$3:$A$19,0)))</f>
        <v>970 × 600</v>
      </c>
      <c r="I370" s="11" t="str">
        <f aca="false">INDEX(MODELOS!$J$3:$J$19,MATCH($D370,MODELOS!$A$3:$A$19,0))</f>
        <v>Conforme modelo</v>
      </c>
      <c r="J370" s="11" t="str">
        <f aca="false">IF(LEFT($D370,2)&lt;&gt;"AP",IF($I370="SIM","SIM","RECOMENDADA"),IF(INDEX(PRODUTOS!$J$4:$J$63,MATCH($A370,PRODUTOS!$B$4:$B$63,0))&lt;&gt;"","NÃO (usa o A+ do EAN "&amp;INDEX(PRODUTOS!$J$4:$J$63,MATCH($A370,PRODUTOS!$B$4:$B$63,0))&amp;")",IF(AND(INDEX(PRODUTOS!$I$4:$I$63,MATCH($A370,PRODUTOS!$B$4:$B$63,0))="B",$D370="AP07"),"NÃO (modelo B)","SIM")))</f>
        <v>SIM</v>
      </c>
      <c r="K370" s="13" t="s">
        <v>325</v>
      </c>
      <c r="L370" s="13"/>
    </row>
    <row r="371" customFormat="false" ht="15" hidden="false" customHeight="false" outlineLevel="0" collapsed="false">
      <c r="A371" s="15" t="s">
        <v>136</v>
      </c>
      <c r="B371" s="11" t="str">
        <f aca="false">INDEX(PRODUTOS!$E$4:$E$63,MATCH($A371,PRODUTOS!$B$4:$B$63,0))</f>
        <v>Ração Seca Natural Dots para Cães de Raças Pequenas - Pacote 15 kg</v>
      </c>
      <c r="C371" s="11" t="str">
        <f aca="false">INDEX(PRODUTOS!$H$4:$H$63,MATCH($A371,PRODUTOS!$B$4:$B$63,0))</f>
        <v>15 kg</v>
      </c>
      <c r="D371" s="11" t="s">
        <v>335</v>
      </c>
      <c r="E371" s="16" t="str">
        <f aca="false">$A371&amp;"."&amp;$D371&amp;".jpg"</f>
        <v>7898968541344.AP02.jpg</v>
      </c>
      <c r="F371" s="11" t="str">
        <f aca="false">IF(INDEX(PRODUTOS!$I$4:$I$63,MATCH($A371,PRODUTOS!$B$4:$B$63,0))="B",INDEX(MODELOS!$F$3:$F$19,MATCH($D371,MODELOS!$A$3:$A$19,0)),INDEX(MODELOS!$B$3:$B$19,MATCH($D371,MODELOS!$A$3:$A$19,0)))</f>
        <v>A+ · Módulo 2 · Texto sobreposto</v>
      </c>
      <c r="G371" s="11" t="str">
        <f aca="false">IF(INDEX(PRODUTOS!$F$4:$F$63,MATCH($A371,PRODUTOS!$B$4:$B$63,0))="Ração",IF(INDEX(PRODUTOS!$I$4:$I$63,MATCH($A371,PRODUTOS!$B$4:$B$63,0))="B",INDEX(MODELOS!$G$3:$G$19,MATCH($D371,MODELOS!$A$3:$A$19,0)),INDEX(MODELOS!$C$3:$C$19,MATCH($D371,MODELOS!$A$3:$A$19,0))),IF(INDEX(PRODUTOS!$I$4:$I$63,MATCH($A371,PRODUTOS!$B$4:$B$63,0))="B",INDEX(MODELOS!$H$3:$H$19,MATCH($D371,MODELOS!$A$3:$A$19,0)),INDEX(MODELOS!$D$3:$D$19,MATCH($D371,MODELOS!$A$3:$A$19,0))))</f>
        <v>Principal diferencial; deixar o lado direito limpo</v>
      </c>
      <c r="H371" s="11" t="str">
        <f aca="false">IF(INDEX(PRODUTOS!$I$4:$I$63,MATCH($A371,PRODUTOS!$B$4:$B$63,0))="B",INDEX(MODELOS!$I$3:$I$19,MATCH($D371,MODELOS!$A$3:$A$19,0)),INDEX(MODELOS!$E$3:$E$19,MATCH($D371,MODELOS!$A$3:$A$19,0)))</f>
        <v>970 × 300</v>
      </c>
      <c r="I371" s="11" t="str">
        <f aca="false">INDEX(MODELOS!$J$3:$J$19,MATCH($D371,MODELOS!$A$3:$A$19,0))</f>
        <v>Conforme modelo</v>
      </c>
      <c r="J371" s="11" t="str">
        <f aca="false">IF(LEFT($D371,2)&lt;&gt;"AP",IF($I371="SIM","SIM","RECOMENDADA"),IF(INDEX(PRODUTOS!$J$4:$J$63,MATCH($A371,PRODUTOS!$B$4:$B$63,0))&lt;&gt;"","NÃO (usa o A+ do EAN "&amp;INDEX(PRODUTOS!$J$4:$J$63,MATCH($A371,PRODUTOS!$B$4:$B$63,0))&amp;")",IF(AND(INDEX(PRODUTOS!$I$4:$I$63,MATCH($A371,PRODUTOS!$B$4:$B$63,0))="B",$D371="AP07"),"NÃO (modelo B)","SIM")))</f>
        <v>SIM</v>
      </c>
      <c r="K371" s="13" t="s">
        <v>325</v>
      </c>
      <c r="L371" s="13"/>
    </row>
    <row r="372" customFormat="false" ht="15" hidden="false" customHeight="false" outlineLevel="0" collapsed="false">
      <c r="A372" s="15" t="s">
        <v>136</v>
      </c>
      <c r="B372" s="11" t="str">
        <f aca="false">INDEX(PRODUTOS!$E$4:$E$63,MATCH($A372,PRODUTOS!$B$4:$B$63,0))</f>
        <v>Ração Seca Natural Dots para Cães de Raças Pequenas - Pacote 15 kg</v>
      </c>
      <c r="C372" s="11" t="str">
        <f aca="false">INDEX(PRODUTOS!$H$4:$H$63,MATCH($A372,PRODUTOS!$B$4:$B$63,0))</f>
        <v>15 kg</v>
      </c>
      <c r="D372" s="11" t="s">
        <v>336</v>
      </c>
      <c r="E372" s="16" t="str">
        <f aca="false">$A372&amp;"."&amp;$D372&amp;".jpg"</f>
        <v>7898968541344.AP03.jpg</v>
      </c>
      <c r="F372" s="11" t="str">
        <f aca="false">IF(INDEX(PRODUTOS!$I$4:$I$63,MATCH($A372,PRODUTOS!$B$4:$B$63,0))="B",INDEX(MODELOS!$F$3:$F$19,MATCH($D372,MODELOS!$A$3:$A$19,0)),INDEX(MODELOS!$B$3:$B$19,MATCH($D372,MODELOS!$A$3:$A$19,0)))</f>
        <v>A+ · Módulo 3 · Benefício 1 de 4</v>
      </c>
      <c r="G372" s="11" t="str">
        <f aca="false">IF(INDEX(PRODUTOS!$F$4:$F$63,MATCH($A372,PRODUTOS!$B$4:$B$63,0))="Ração",IF(INDEX(PRODUTOS!$I$4:$I$63,MATCH($A372,PRODUTOS!$B$4:$B$63,0))="B",INDEX(MODELOS!$G$3:$G$19,MATCH($D372,MODELOS!$A$3:$A$19,0)),INDEX(MODELOS!$C$3:$C$19,MATCH($D372,MODELOS!$A$3:$A$19,0))),IF(INDEX(PRODUTOS!$I$4:$I$63,MATCH($A372,PRODUTOS!$B$4:$B$63,0))="B",INDEX(MODELOS!$H$3:$H$19,MATCH($D372,MODELOS!$A$3:$A$19,0)),INDEX(MODELOS!$D$3:$D$19,MATCH($D372,MODELOS!$A$3:$A$19,0))))</f>
        <v>Foto/ilustração do benefício 1</v>
      </c>
      <c r="H372" s="11" t="str">
        <f aca="false">IF(INDEX(PRODUTOS!$I$4:$I$63,MATCH($A372,PRODUTOS!$B$4:$B$63,0))="B",INDEX(MODELOS!$I$3:$I$19,MATCH($D372,MODELOS!$A$3:$A$19,0)),INDEX(MODELOS!$E$3:$E$19,MATCH($D372,MODELOS!$A$3:$A$19,0)))</f>
        <v>220 × 200</v>
      </c>
      <c r="I372" s="11" t="str">
        <f aca="false">INDEX(MODELOS!$J$3:$J$19,MATCH($D372,MODELOS!$A$3:$A$19,0))</f>
        <v>Conforme modelo</v>
      </c>
      <c r="J372" s="11" t="str">
        <f aca="false">IF(LEFT($D372,2)&lt;&gt;"AP",IF($I372="SIM","SIM","RECOMENDADA"),IF(INDEX(PRODUTOS!$J$4:$J$63,MATCH($A372,PRODUTOS!$B$4:$B$63,0))&lt;&gt;"","NÃO (usa o A+ do EAN "&amp;INDEX(PRODUTOS!$J$4:$J$63,MATCH($A372,PRODUTOS!$B$4:$B$63,0))&amp;")",IF(AND(INDEX(PRODUTOS!$I$4:$I$63,MATCH($A372,PRODUTOS!$B$4:$B$63,0))="B",$D372="AP07"),"NÃO (modelo B)","SIM")))</f>
        <v>SIM</v>
      </c>
      <c r="K372" s="13" t="s">
        <v>325</v>
      </c>
      <c r="L372" s="13"/>
    </row>
    <row r="373" customFormat="false" ht="15" hidden="false" customHeight="false" outlineLevel="0" collapsed="false">
      <c r="A373" s="15" t="s">
        <v>136</v>
      </c>
      <c r="B373" s="11" t="str">
        <f aca="false">INDEX(PRODUTOS!$E$4:$E$63,MATCH($A373,PRODUTOS!$B$4:$B$63,0))</f>
        <v>Ração Seca Natural Dots para Cães de Raças Pequenas - Pacote 15 kg</v>
      </c>
      <c r="C373" s="11" t="str">
        <f aca="false">INDEX(PRODUTOS!$H$4:$H$63,MATCH($A373,PRODUTOS!$B$4:$B$63,0))</f>
        <v>15 kg</v>
      </c>
      <c r="D373" s="11" t="s">
        <v>337</v>
      </c>
      <c r="E373" s="16" t="str">
        <f aca="false">$A373&amp;"."&amp;$D373&amp;".jpg"</f>
        <v>7898968541344.AP04.jpg</v>
      </c>
      <c r="F373" s="11" t="str">
        <f aca="false">IF(INDEX(PRODUTOS!$I$4:$I$63,MATCH($A373,PRODUTOS!$B$4:$B$63,0))="B",INDEX(MODELOS!$F$3:$F$19,MATCH($D373,MODELOS!$A$3:$A$19,0)),INDEX(MODELOS!$B$3:$B$19,MATCH($D373,MODELOS!$A$3:$A$19,0)))</f>
        <v>A+ · Módulo 3 · Benefício 2 de 4</v>
      </c>
      <c r="G373" s="11" t="str">
        <f aca="false">IF(INDEX(PRODUTOS!$F$4:$F$63,MATCH($A373,PRODUTOS!$B$4:$B$63,0))="Ração",IF(INDEX(PRODUTOS!$I$4:$I$63,MATCH($A373,PRODUTOS!$B$4:$B$63,0))="B",INDEX(MODELOS!$G$3:$G$19,MATCH($D373,MODELOS!$A$3:$A$19,0)),INDEX(MODELOS!$C$3:$C$19,MATCH($D373,MODELOS!$A$3:$A$19,0))),IF(INDEX(PRODUTOS!$I$4:$I$63,MATCH($A373,PRODUTOS!$B$4:$B$63,0))="B",INDEX(MODELOS!$H$3:$H$19,MATCH($D373,MODELOS!$A$3:$A$19,0)),INDEX(MODELOS!$D$3:$D$19,MATCH($D373,MODELOS!$A$3:$A$19,0))))</f>
        <v>Foto/ilustração do benefício 2</v>
      </c>
      <c r="H373" s="11" t="str">
        <f aca="false">IF(INDEX(PRODUTOS!$I$4:$I$63,MATCH($A373,PRODUTOS!$B$4:$B$63,0))="B",INDEX(MODELOS!$I$3:$I$19,MATCH($D373,MODELOS!$A$3:$A$19,0)),INDEX(MODELOS!$E$3:$E$19,MATCH($D373,MODELOS!$A$3:$A$19,0)))</f>
        <v>220 × 200</v>
      </c>
      <c r="I373" s="11" t="str">
        <f aca="false">INDEX(MODELOS!$J$3:$J$19,MATCH($D373,MODELOS!$A$3:$A$19,0))</f>
        <v>Conforme modelo</v>
      </c>
      <c r="J373" s="11" t="str">
        <f aca="false">IF(LEFT($D373,2)&lt;&gt;"AP",IF($I373="SIM","SIM","RECOMENDADA"),IF(INDEX(PRODUTOS!$J$4:$J$63,MATCH($A373,PRODUTOS!$B$4:$B$63,0))&lt;&gt;"","NÃO (usa o A+ do EAN "&amp;INDEX(PRODUTOS!$J$4:$J$63,MATCH($A373,PRODUTOS!$B$4:$B$63,0))&amp;")",IF(AND(INDEX(PRODUTOS!$I$4:$I$63,MATCH($A373,PRODUTOS!$B$4:$B$63,0))="B",$D373="AP07"),"NÃO (modelo B)","SIM")))</f>
        <v>SIM</v>
      </c>
      <c r="K373" s="13" t="s">
        <v>325</v>
      </c>
      <c r="L373" s="13"/>
    </row>
    <row r="374" customFormat="false" ht="15" hidden="false" customHeight="false" outlineLevel="0" collapsed="false">
      <c r="A374" s="15" t="s">
        <v>136</v>
      </c>
      <c r="B374" s="11" t="str">
        <f aca="false">INDEX(PRODUTOS!$E$4:$E$63,MATCH($A374,PRODUTOS!$B$4:$B$63,0))</f>
        <v>Ração Seca Natural Dots para Cães de Raças Pequenas - Pacote 15 kg</v>
      </c>
      <c r="C374" s="11" t="str">
        <f aca="false">INDEX(PRODUTOS!$H$4:$H$63,MATCH($A374,PRODUTOS!$B$4:$B$63,0))</f>
        <v>15 kg</v>
      </c>
      <c r="D374" s="11" t="s">
        <v>338</v>
      </c>
      <c r="E374" s="16" t="str">
        <f aca="false">$A374&amp;"."&amp;$D374&amp;".jpg"</f>
        <v>7898968541344.AP05.jpg</v>
      </c>
      <c r="F374" s="11" t="str">
        <f aca="false">IF(INDEX(PRODUTOS!$I$4:$I$63,MATCH($A374,PRODUTOS!$B$4:$B$63,0))="B",INDEX(MODELOS!$F$3:$F$19,MATCH($D374,MODELOS!$A$3:$A$19,0)),INDEX(MODELOS!$B$3:$B$19,MATCH($D374,MODELOS!$A$3:$A$19,0)))</f>
        <v>A+ · Módulo 3 · Benefício 3 de 4</v>
      </c>
      <c r="G374" s="11" t="str">
        <f aca="false">IF(INDEX(PRODUTOS!$F$4:$F$63,MATCH($A374,PRODUTOS!$B$4:$B$63,0))="Ração",IF(INDEX(PRODUTOS!$I$4:$I$63,MATCH($A374,PRODUTOS!$B$4:$B$63,0))="B",INDEX(MODELOS!$G$3:$G$19,MATCH($D374,MODELOS!$A$3:$A$19,0)),INDEX(MODELOS!$C$3:$C$19,MATCH($D374,MODELOS!$A$3:$A$19,0))),IF(INDEX(PRODUTOS!$I$4:$I$63,MATCH($A374,PRODUTOS!$B$4:$B$63,0))="B",INDEX(MODELOS!$H$3:$H$19,MATCH($D374,MODELOS!$A$3:$A$19,0)),INDEX(MODELOS!$D$3:$D$19,MATCH($D374,MODELOS!$A$3:$A$19,0))))</f>
        <v>Foto/ilustração do benefício 3</v>
      </c>
      <c r="H374" s="11" t="str">
        <f aca="false">IF(INDEX(PRODUTOS!$I$4:$I$63,MATCH($A374,PRODUTOS!$B$4:$B$63,0))="B",INDEX(MODELOS!$I$3:$I$19,MATCH($D374,MODELOS!$A$3:$A$19,0)),INDEX(MODELOS!$E$3:$E$19,MATCH($D374,MODELOS!$A$3:$A$19,0)))</f>
        <v>220 × 200</v>
      </c>
      <c r="I374" s="11" t="str">
        <f aca="false">INDEX(MODELOS!$J$3:$J$19,MATCH($D374,MODELOS!$A$3:$A$19,0))</f>
        <v>Conforme modelo</v>
      </c>
      <c r="J374" s="11" t="str">
        <f aca="false">IF(LEFT($D374,2)&lt;&gt;"AP",IF($I374="SIM","SIM","RECOMENDADA"),IF(INDEX(PRODUTOS!$J$4:$J$63,MATCH($A374,PRODUTOS!$B$4:$B$63,0))&lt;&gt;"","NÃO (usa o A+ do EAN "&amp;INDEX(PRODUTOS!$J$4:$J$63,MATCH($A374,PRODUTOS!$B$4:$B$63,0))&amp;")",IF(AND(INDEX(PRODUTOS!$I$4:$I$63,MATCH($A374,PRODUTOS!$B$4:$B$63,0))="B",$D374="AP07"),"NÃO (modelo B)","SIM")))</f>
        <v>SIM</v>
      </c>
      <c r="K374" s="13" t="s">
        <v>325</v>
      </c>
      <c r="L374" s="13"/>
    </row>
    <row r="375" customFormat="false" ht="15" hidden="false" customHeight="false" outlineLevel="0" collapsed="false">
      <c r="A375" s="15" t="s">
        <v>136</v>
      </c>
      <c r="B375" s="11" t="str">
        <f aca="false">INDEX(PRODUTOS!$E$4:$E$63,MATCH($A375,PRODUTOS!$B$4:$B$63,0))</f>
        <v>Ração Seca Natural Dots para Cães de Raças Pequenas - Pacote 15 kg</v>
      </c>
      <c r="C375" s="11" t="str">
        <f aca="false">INDEX(PRODUTOS!$H$4:$H$63,MATCH($A375,PRODUTOS!$B$4:$B$63,0))</f>
        <v>15 kg</v>
      </c>
      <c r="D375" s="11" t="s">
        <v>339</v>
      </c>
      <c r="E375" s="16" t="str">
        <f aca="false">$A375&amp;"."&amp;$D375&amp;".jpg"</f>
        <v>7898968541344.AP06.jpg</v>
      </c>
      <c r="F375" s="11" t="str">
        <f aca="false">IF(INDEX(PRODUTOS!$I$4:$I$63,MATCH($A375,PRODUTOS!$B$4:$B$63,0))="B",INDEX(MODELOS!$F$3:$F$19,MATCH($D375,MODELOS!$A$3:$A$19,0)),INDEX(MODELOS!$B$3:$B$19,MATCH($D375,MODELOS!$A$3:$A$19,0)))</f>
        <v>A+ · Módulo 3 · Benefício 4 de 4</v>
      </c>
      <c r="G375" s="11" t="str">
        <f aca="false">IF(INDEX(PRODUTOS!$F$4:$F$63,MATCH($A375,PRODUTOS!$B$4:$B$63,0))="Ração",IF(INDEX(PRODUTOS!$I$4:$I$63,MATCH($A375,PRODUTOS!$B$4:$B$63,0))="B",INDEX(MODELOS!$G$3:$G$19,MATCH($D375,MODELOS!$A$3:$A$19,0)),INDEX(MODELOS!$C$3:$C$19,MATCH($D375,MODELOS!$A$3:$A$19,0))),IF(INDEX(PRODUTOS!$I$4:$I$63,MATCH($A375,PRODUTOS!$B$4:$B$63,0))="B",INDEX(MODELOS!$H$3:$H$19,MATCH($D375,MODELOS!$A$3:$A$19,0)),INDEX(MODELOS!$D$3:$D$19,MATCH($D375,MODELOS!$A$3:$A$19,0))))</f>
        <v>Foto/ilustração do benefício 4</v>
      </c>
      <c r="H375" s="11" t="str">
        <f aca="false">IF(INDEX(PRODUTOS!$I$4:$I$63,MATCH($A375,PRODUTOS!$B$4:$B$63,0))="B",INDEX(MODELOS!$I$3:$I$19,MATCH($D375,MODELOS!$A$3:$A$19,0)),INDEX(MODELOS!$E$3:$E$19,MATCH($D375,MODELOS!$A$3:$A$19,0)))</f>
        <v>220 × 200</v>
      </c>
      <c r="I375" s="11" t="str">
        <f aca="false">INDEX(MODELOS!$J$3:$J$19,MATCH($D375,MODELOS!$A$3:$A$19,0))</f>
        <v>Conforme modelo</v>
      </c>
      <c r="J375" s="11" t="str">
        <f aca="false">IF(LEFT($D375,2)&lt;&gt;"AP",IF($I375="SIM","SIM","RECOMENDADA"),IF(INDEX(PRODUTOS!$J$4:$J$63,MATCH($A375,PRODUTOS!$B$4:$B$63,0))&lt;&gt;"","NÃO (usa o A+ do EAN "&amp;INDEX(PRODUTOS!$J$4:$J$63,MATCH($A375,PRODUTOS!$B$4:$B$63,0))&amp;")",IF(AND(INDEX(PRODUTOS!$I$4:$I$63,MATCH($A375,PRODUTOS!$B$4:$B$63,0))="B",$D375="AP07"),"NÃO (modelo B)","SIM")))</f>
        <v>SIM</v>
      </c>
      <c r="K375" s="13" t="s">
        <v>325</v>
      </c>
      <c r="L375" s="13"/>
    </row>
    <row r="376" customFormat="false" ht="15" hidden="false" customHeight="false" outlineLevel="0" collapsed="false">
      <c r="A376" s="15" t="s">
        <v>136</v>
      </c>
      <c r="B376" s="11" t="str">
        <f aca="false">INDEX(PRODUTOS!$E$4:$E$63,MATCH($A376,PRODUTOS!$B$4:$B$63,0))</f>
        <v>Ração Seca Natural Dots para Cães de Raças Pequenas - Pacote 15 kg</v>
      </c>
      <c r="C376" s="11" t="str">
        <f aca="false">INDEX(PRODUTOS!$H$4:$H$63,MATCH($A376,PRODUTOS!$B$4:$B$63,0))</f>
        <v>15 kg</v>
      </c>
      <c r="D376" s="11" t="s">
        <v>340</v>
      </c>
      <c r="E376" s="16" t="str">
        <f aca="false">$A376&amp;"."&amp;$D376&amp;".jpg"</f>
        <v>7898968541344.AP07.jpg</v>
      </c>
      <c r="F376" s="11" t="str">
        <f aca="false">IF(INDEX(PRODUTOS!$I$4:$I$63,MATCH($A376,PRODUTOS!$B$4:$B$63,0))="B",INDEX(MODELOS!$F$3:$F$19,MATCH($D376,MODELOS!$A$3:$A$19,0)),INDEX(MODELOS!$B$3:$B$19,MATCH($D376,MODELOS!$A$3:$A$19,0)))</f>
        <v>A+ · Módulo 4 · Especificações</v>
      </c>
      <c r="G376" s="11" t="str">
        <f aca="false">IF(INDEX(PRODUTOS!$F$4:$F$63,MATCH($A376,PRODUTOS!$B$4:$B$63,0))="Ração",IF(INDEX(PRODUTOS!$I$4:$I$63,MATCH($A376,PRODUTOS!$B$4:$B$63,0))="B",INDEX(MODELOS!$G$3:$G$19,MATCH($D376,MODELOS!$A$3:$A$19,0)),INDEX(MODELOS!$C$3:$C$19,MATCH($D376,MODELOS!$A$3:$A$19,0))),IF(INDEX(PRODUTOS!$I$4:$I$63,MATCH($A376,PRODUTOS!$B$4:$B$63,0))="B",INDEX(MODELOS!$H$3:$H$19,MATCH($D376,MODELOS!$A$3:$A$19,0)),INDEX(MODELOS!$D$3:$D$19,MATCH($D376,MODELOS!$A$3:$A$19,0))))</f>
        <v>Grão ou pacote em destaque</v>
      </c>
      <c r="H376" s="11" t="str">
        <f aca="false">IF(INDEX(PRODUTOS!$I$4:$I$63,MATCH($A376,PRODUTOS!$B$4:$B$63,0))="B",INDEX(MODELOS!$I$3:$I$19,MATCH($D376,MODELOS!$A$3:$A$19,0)),INDEX(MODELOS!$E$3:$E$19,MATCH($D376,MODELOS!$A$3:$A$19,0)))</f>
        <v>300 × 300</v>
      </c>
      <c r="I376" s="11" t="str">
        <f aca="false">INDEX(MODELOS!$J$3:$J$19,MATCH($D376,MODELOS!$A$3:$A$19,0))</f>
        <v>Conforme modelo</v>
      </c>
      <c r="J376" s="11" t="str">
        <f aca="false">IF(LEFT($D376,2)&lt;&gt;"AP",IF($I376="SIM","SIM","RECOMENDADA"),IF(INDEX(PRODUTOS!$J$4:$J$63,MATCH($A376,PRODUTOS!$B$4:$B$63,0))&lt;&gt;"","NÃO (usa o A+ do EAN "&amp;INDEX(PRODUTOS!$J$4:$J$63,MATCH($A376,PRODUTOS!$B$4:$B$63,0))&amp;")",IF(AND(INDEX(PRODUTOS!$I$4:$I$63,MATCH($A376,PRODUTOS!$B$4:$B$63,0))="B",$D376="AP07"),"NÃO (modelo B)","SIM")))</f>
        <v>SIM</v>
      </c>
      <c r="K376" s="13" t="s">
        <v>325</v>
      </c>
      <c r="L376" s="13"/>
    </row>
    <row r="377" customFormat="false" ht="15" hidden="false" customHeight="false" outlineLevel="0" collapsed="false">
      <c r="A377" s="15" t="s">
        <v>136</v>
      </c>
      <c r="B377" s="11" t="str">
        <f aca="false">INDEX(PRODUTOS!$E$4:$E$63,MATCH($A377,PRODUTOS!$B$4:$B$63,0))</f>
        <v>Ração Seca Natural Dots para Cães de Raças Pequenas - Pacote 15 kg</v>
      </c>
      <c r="C377" s="11" t="str">
        <f aca="false">INDEX(PRODUTOS!$H$4:$H$63,MATCH($A377,PRODUTOS!$B$4:$B$63,0))</f>
        <v>15 kg</v>
      </c>
      <c r="D377" s="11" t="s">
        <v>341</v>
      </c>
      <c r="E377" s="16" t="str">
        <f aca="false">$A377&amp;"."&amp;$D377&amp;".jpg"</f>
        <v>7898968541344.COMP.jpg</v>
      </c>
      <c r="F377" s="11" t="str">
        <f aca="false">IF(INDEX(PRODUTOS!$I$4:$I$63,MATCH($A377,PRODUTOS!$B$4:$B$63,0))="B",INDEX(MODELOS!$F$3:$F$19,MATCH($D377,MODELOS!$A$3:$A$19,0)),INDEX(MODELOS!$B$3:$B$19,MATCH($D377,MODELOS!$A$3:$A$19,0)))</f>
        <v>A+ · Tabela comparativa</v>
      </c>
      <c r="G377" s="11" t="str">
        <f aca="false">IF(INDEX(PRODUTOS!$F$4:$F$63,MATCH($A377,PRODUTOS!$B$4:$B$63,0))="Ração",IF(INDEX(PRODUTOS!$I$4:$I$63,MATCH($A377,PRODUTOS!$B$4:$B$63,0))="B",INDEX(MODELOS!$G$3:$G$19,MATCH($D377,MODELOS!$A$3:$A$19,0)),INDEX(MODELOS!$C$3:$C$19,MATCH($D377,MODELOS!$A$3:$A$19,0))),IF(INDEX(PRODUTOS!$I$4:$I$63,MATCH($A377,PRODUTOS!$B$4:$B$63,0))="B",INDEX(MODELOS!$H$3:$H$19,MATCH($D377,MODELOS!$A$3:$A$19,0)),INDEX(MODELOS!$D$3:$D$19,MATCH($D377,MODELOS!$A$3:$A$19,0))))</f>
        <v>Pacote na vertical, sem fundo colorido</v>
      </c>
      <c r="H377" s="11" t="str">
        <f aca="false">IF(INDEX(PRODUTOS!$I$4:$I$63,MATCH($A377,PRODUTOS!$B$4:$B$63,0))="B",INDEX(MODELOS!$I$3:$I$19,MATCH($D377,MODELOS!$A$3:$A$19,0)),INDEX(MODELOS!$E$3:$E$19,MATCH($D377,MODELOS!$A$3:$A$19,0)))</f>
        <v>150 × 300</v>
      </c>
      <c r="I377" s="11" t="str">
        <f aca="false">INDEX(MODELOS!$J$3:$J$19,MATCH($D377,MODELOS!$A$3:$A$19,0))</f>
        <v>SIM</v>
      </c>
      <c r="J377" s="11" t="str">
        <f aca="false">IF(LEFT($D377,2)&lt;&gt;"AP",IF($I377="SIM","SIM","RECOMENDADA"),IF(INDEX(PRODUTOS!$J$4:$J$63,MATCH($A377,PRODUTOS!$B$4:$B$63,0))&lt;&gt;"","NÃO (usa o A+ do EAN "&amp;INDEX(PRODUTOS!$J$4:$J$63,MATCH($A377,PRODUTOS!$B$4:$B$63,0))&amp;")",IF(AND(INDEX(PRODUTOS!$I$4:$I$63,MATCH($A377,PRODUTOS!$B$4:$B$63,0))="B",$D377="AP07"),"NÃO (modelo B)","SIM")))</f>
        <v>SIM</v>
      </c>
      <c r="K377" s="13" t="s">
        <v>325</v>
      </c>
      <c r="L377" s="13"/>
    </row>
    <row r="378" customFormat="false" ht="15" hidden="false" customHeight="false" outlineLevel="0" collapsed="false">
      <c r="A378" s="15" t="s">
        <v>141</v>
      </c>
      <c r="B378" s="11" t="str">
        <f aca="false">INDEX(PRODUTOS!$E$4:$E$63,MATCH($A378,PRODUTOS!$B$4:$B$63,0))</f>
        <v>Ração Seca Natural Dots para Cães de Raças Pequenas - Pacote 1 kg</v>
      </c>
      <c r="C378" s="11" t="str">
        <f aca="false">INDEX(PRODUTOS!$H$4:$H$63,MATCH($A378,PRODUTOS!$B$4:$B$63,0))</f>
        <v>1 kg</v>
      </c>
      <c r="D378" s="11" t="s">
        <v>324</v>
      </c>
      <c r="E378" s="16" t="str">
        <f aca="false">$A378&amp;"."&amp;$D378&amp;".jpg"</f>
        <v>7898968541320.MAIN.jpg</v>
      </c>
      <c r="F378" s="11" t="str">
        <f aca="false">IF(INDEX(PRODUTOS!$I$4:$I$63,MATCH($A378,PRODUTOS!$B$4:$B$63,0))="B",INDEX(MODELOS!$F$3:$F$19,MATCH($D378,MODELOS!$A$3:$A$19,0)),INDEX(MODELOS!$B$3:$B$19,MATCH($D378,MODELOS!$A$3:$A$19,0)))</f>
        <v>Capa (posição 1)</v>
      </c>
      <c r="G378" s="11" t="str">
        <f aca="false">IF(INDEX(PRODUTOS!$F$4:$F$63,MATCH($A378,PRODUTOS!$B$4:$B$63,0))="Ração",IF(INDEX(PRODUTOS!$I$4:$I$63,MATCH($A378,PRODUTOS!$B$4:$B$63,0))="B",INDEX(MODELOS!$G$3:$G$19,MATCH($D378,MODELOS!$A$3:$A$19,0)),INDEX(MODELOS!$C$3:$C$19,MATCH($D378,MODELOS!$A$3:$A$19,0))),IF(INDEX(PRODUTOS!$I$4:$I$63,MATCH($A378,PRODUTOS!$B$4:$B$63,0))="B",INDEX(MODELOS!$H$3:$H$19,MATCH($D378,MODELOS!$A$3:$A$19,0)),INDEX(MODELOS!$D$3:$D$19,MATCH($D378,MODELOS!$A$3:$A$19,0))))</f>
        <v>Embalagem de frente, fundo branco puro, 85% da área, nada adicionado</v>
      </c>
      <c r="H378" s="11" t="str">
        <f aca="false">IF(INDEX(PRODUTOS!$I$4:$I$63,MATCH($A378,PRODUTOS!$B$4:$B$63,0))="B",INDEX(MODELOS!$I$3:$I$19,MATCH($D378,MODELOS!$A$3:$A$19,0)),INDEX(MODELOS!$E$3:$E$19,MATCH($D378,MODELOS!$A$3:$A$19,0)))</f>
        <v>2000 × 2000</v>
      </c>
      <c r="I378" s="11" t="str">
        <f aca="false">INDEX(MODELOS!$J$3:$J$19,MATCH($D378,MODELOS!$A$3:$A$19,0))</f>
        <v>SIM</v>
      </c>
      <c r="J378" s="11" t="str">
        <f aca="false">IF(LEFT($D378,2)&lt;&gt;"AP",IF($I378="SIM","SIM","RECOMENDADA"),IF(INDEX(PRODUTOS!$J$4:$J$63,MATCH($A378,PRODUTOS!$B$4:$B$63,0))&lt;&gt;"","NÃO (usa o A+ do EAN "&amp;INDEX(PRODUTOS!$J$4:$J$63,MATCH($A378,PRODUTOS!$B$4:$B$63,0))&amp;")",IF(AND(INDEX(PRODUTOS!$I$4:$I$63,MATCH($A378,PRODUTOS!$B$4:$B$63,0))="B",$D378="AP07"),"NÃO (modelo B)","SIM")))</f>
        <v>SIM</v>
      </c>
      <c r="K378" s="13" t="s">
        <v>325</v>
      </c>
      <c r="L378" s="13"/>
    </row>
    <row r="379" customFormat="false" ht="15" hidden="false" customHeight="false" outlineLevel="0" collapsed="false">
      <c r="A379" s="15" t="s">
        <v>141</v>
      </c>
      <c r="B379" s="11" t="str">
        <f aca="false">INDEX(PRODUTOS!$E$4:$E$63,MATCH($A379,PRODUTOS!$B$4:$B$63,0))</f>
        <v>Ração Seca Natural Dots para Cães de Raças Pequenas - Pacote 1 kg</v>
      </c>
      <c r="C379" s="11" t="str">
        <f aca="false">INDEX(PRODUTOS!$H$4:$H$63,MATCH($A379,PRODUTOS!$B$4:$B$63,0))</f>
        <v>1 kg</v>
      </c>
      <c r="D379" s="11" t="s">
        <v>326</v>
      </c>
      <c r="E379" s="16" t="str">
        <f aca="false">$A379&amp;"."&amp;$D379&amp;".jpg"</f>
        <v>7898968541320.PT01.jpg</v>
      </c>
      <c r="F379" s="11" t="str">
        <f aca="false">IF(INDEX(PRODUTOS!$I$4:$I$63,MATCH($A379,PRODUTOS!$B$4:$B$63,0))="B",INDEX(MODELOS!$F$3:$F$19,MATCH($D379,MODELOS!$A$3:$A$19,0)),INDEX(MODELOS!$B$3:$B$19,MATCH($D379,MODELOS!$A$3:$A$19,0)))</f>
        <v>Galeria · posição 2</v>
      </c>
      <c r="G379" s="11" t="str">
        <f aca="false">IF(INDEX(PRODUTOS!$F$4:$F$63,MATCH($A379,PRODUTOS!$B$4:$B$63,0))="Ração",IF(INDEX(PRODUTOS!$I$4:$I$63,MATCH($A379,PRODUTOS!$B$4:$B$63,0))="B",INDEX(MODELOS!$G$3:$G$19,MATCH($D379,MODELOS!$A$3:$A$19,0)),INDEX(MODELOS!$C$3:$C$19,MATCH($D379,MODELOS!$A$3:$A$19,0))),IF(INDEX(PRODUTOS!$I$4:$I$63,MATCH($A379,PRODUTOS!$B$4:$B$63,0))="B",INDEX(MODELOS!$H$3:$H$19,MATCH($D379,MODELOS!$A$3:$A$19,0)),INDEX(MODELOS!$D$3:$D$19,MATCH($D379,MODELOS!$A$3:$A$19,0))))</f>
        <v>Grande diferencial da linha (número ou promessa forte + grão e ingrediente)</v>
      </c>
      <c r="H379" s="11" t="str">
        <f aca="false">IF(INDEX(PRODUTOS!$I$4:$I$63,MATCH($A379,PRODUTOS!$B$4:$B$63,0))="B",INDEX(MODELOS!$I$3:$I$19,MATCH($D379,MODELOS!$A$3:$A$19,0)),INDEX(MODELOS!$E$3:$E$19,MATCH($D379,MODELOS!$A$3:$A$19,0)))</f>
        <v>2000 × 2000</v>
      </c>
      <c r="I379" s="11" t="str">
        <f aca="false">INDEX(MODELOS!$J$3:$J$19,MATCH($D379,MODELOS!$A$3:$A$19,0))</f>
        <v>SIM</v>
      </c>
      <c r="J379" s="11" t="str">
        <f aca="false">IF(LEFT($D379,2)&lt;&gt;"AP",IF($I379="SIM","SIM","RECOMENDADA"),IF(INDEX(PRODUTOS!$J$4:$J$63,MATCH($A379,PRODUTOS!$B$4:$B$63,0))&lt;&gt;"","NÃO (usa o A+ do EAN "&amp;INDEX(PRODUTOS!$J$4:$J$63,MATCH($A379,PRODUTOS!$B$4:$B$63,0))&amp;")",IF(AND(INDEX(PRODUTOS!$I$4:$I$63,MATCH($A379,PRODUTOS!$B$4:$B$63,0))="B",$D379="AP07"),"NÃO (modelo B)","SIM")))</f>
        <v>SIM</v>
      </c>
      <c r="K379" s="13" t="s">
        <v>325</v>
      </c>
      <c r="L379" s="13"/>
    </row>
    <row r="380" customFormat="false" ht="15" hidden="false" customHeight="false" outlineLevel="0" collapsed="false">
      <c r="A380" s="15" t="s">
        <v>141</v>
      </c>
      <c r="B380" s="11" t="str">
        <f aca="false">INDEX(PRODUTOS!$E$4:$E$63,MATCH($A380,PRODUTOS!$B$4:$B$63,0))</f>
        <v>Ração Seca Natural Dots para Cães de Raças Pequenas - Pacote 1 kg</v>
      </c>
      <c r="C380" s="11" t="str">
        <f aca="false">INDEX(PRODUTOS!$H$4:$H$63,MATCH($A380,PRODUTOS!$B$4:$B$63,0))</f>
        <v>1 kg</v>
      </c>
      <c r="D380" s="11" t="s">
        <v>327</v>
      </c>
      <c r="E380" s="16" t="str">
        <f aca="false">$A380&amp;"."&amp;$D380&amp;".jpg"</f>
        <v>7898968541320.PT02.jpg</v>
      </c>
      <c r="F380" s="11" t="str">
        <f aca="false">IF(INDEX(PRODUTOS!$I$4:$I$63,MATCH($A380,PRODUTOS!$B$4:$B$63,0))="B",INDEX(MODELOS!$F$3:$F$19,MATCH($D380,MODELOS!$A$3:$A$19,0)),INDEX(MODELOS!$B$3:$B$19,MATCH($D380,MODELOS!$A$3:$A$19,0)))</f>
        <v>Galeria · posição 3</v>
      </c>
      <c r="G380" s="11" t="str">
        <f aca="false">IF(INDEX(PRODUTOS!$F$4:$F$63,MATCH($A380,PRODUTOS!$B$4:$B$63,0))="Ração",IF(INDEX(PRODUTOS!$I$4:$I$63,MATCH($A380,PRODUTOS!$B$4:$B$63,0))="B",INDEX(MODELOS!$G$3:$G$19,MATCH($D380,MODELOS!$A$3:$A$19,0)),INDEX(MODELOS!$C$3:$C$19,MATCH($D380,MODELOS!$A$3:$A$19,0))),IF(INDEX(PRODUTOS!$I$4:$I$63,MATCH($A380,PRODUTOS!$B$4:$B$63,0))="B",INDEX(MODELOS!$H$3:$H$19,MATCH($D380,MODELOS!$A$3:$A$19,0)),INDEX(MODELOS!$D$3:$D$19,MATCH($D380,MODELOS!$A$3:$A$19,0))))</f>
        <v>Benefícios com ícones (4 a 6, impressos na embalagem) + ingrediente</v>
      </c>
      <c r="H380" s="11" t="str">
        <f aca="false">IF(INDEX(PRODUTOS!$I$4:$I$63,MATCH($A380,PRODUTOS!$B$4:$B$63,0))="B",INDEX(MODELOS!$I$3:$I$19,MATCH($D380,MODELOS!$A$3:$A$19,0)),INDEX(MODELOS!$E$3:$E$19,MATCH($D380,MODELOS!$A$3:$A$19,0)))</f>
        <v>2000 × 2000</v>
      </c>
      <c r="I380" s="11" t="str">
        <f aca="false">INDEX(MODELOS!$J$3:$J$19,MATCH($D380,MODELOS!$A$3:$A$19,0))</f>
        <v>SIM</v>
      </c>
      <c r="J380" s="11" t="str">
        <f aca="false">IF(LEFT($D380,2)&lt;&gt;"AP",IF($I380="SIM","SIM","RECOMENDADA"),IF(INDEX(PRODUTOS!$J$4:$J$63,MATCH($A380,PRODUTOS!$B$4:$B$63,0))&lt;&gt;"","NÃO (usa o A+ do EAN "&amp;INDEX(PRODUTOS!$J$4:$J$63,MATCH($A380,PRODUTOS!$B$4:$B$63,0))&amp;")",IF(AND(INDEX(PRODUTOS!$I$4:$I$63,MATCH($A380,PRODUTOS!$B$4:$B$63,0))="B",$D380="AP07"),"NÃO (modelo B)","SIM")))</f>
        <v>SIM</v>
      </c>
      <c r="K380" s="13" t="s">
        <v>325</v>
      </c>
      <c r="L380" s="13"/>
    </row>
    <row r="381" customFormat="false" ht="15" hidden="false" customHeight="false" outlineLevel="0" collapsed="false">
      <c r="A381" s="15" t="s">
        <v>141</v>
      </c>
      <c r="B381" s="11" t="str">
        <f aca="false">INDEX(PRODUTOS!$E$4:$E$63,MATCH($A381,PRODUTOS!$B$4:$B$63,0))</f>
        <v>Ração Seca Natural Dots para Cães de Raças Pequenas - Pacote 1 kg</v>
      </c>
      <c r="C381" s="11" t="str">
        <f aca="false">INDEX(PRODUTOS!$H$4:$H$63,MATCH($A381,PRODUTOS!$B$4:$B$63,0))</f>
        <v>1 kg</v>
      </c>
      <c r="D381" s="11" t="s">
        <v>328</v>
      </c>
      <c r="E381" s="16" t="str">
        <f aca="false">$A381&amp;"."&amp;$D381&amp;".jpg"</f>
        <v>7898968541320.PT03.jpg</v>
      </c>
      <c r="F381" s="11" t="str">
        <f aca="false">IF(INDEX(PRODUTOS!$I$4:$I$63,MATCH($A381,PRODUTOS!$B$4:$B$63,0))="B",INDEX(MODELOS!$F$3:$F$19,MATCH($D381,MODELOS!$A$3:$A$19,0)),INDEX(MODELOS!$B$3:$B$19,MATCH($D381,MODELOS!$A$3:$A$19,0)))</f>
        <v>Galeria · posição 4</v>
      </c>
      <c r="G381" s="11" t="str">
        <f aca="false">IF(INDEX(PRODUTOS!$F$4:$F$63,MATCH($A381,PRODUTOS!$B$4:$B$63,0))="Ração",IF(INDEX(PRODUTOS!$I$4:$I$63,MATCH($A381,PRODUTOS!$B$4:$B$63,0))="B",INDEX(MODELOS!$G$3:$G$19,MATCH($D381,MODELOS!$A$3:$A$19,0)),INDEX(MODELOS!$C$3:$C$19,MATCH($D381,MODELOS!$A$3:$A$19,0))),IF(INDEX(PRODUTOS!$I$4:$I$63,MATCH($A381,PRODUTOS!$B$4:$B$63,0))="B",INDEX(MODELOS!$H$3:$H$19,MATCH($D381,MODELOS!$A$3:$A$19,0)),INDEX(MODELOS!$D$3:$D$19,MATCH($D381,MODELOS!$A$3:$A$19,0))))</f>
        <v>Formato e tamanho do grão, com medida em mm e referência de tamanho</v>
      </c>
      <c r="H381" s="11" t="str">
        <f aca="false">IF(INDEX(PRODUTOS!$I$4:$I$63,MATCH($A381,PRODUTOS!$B$4:$B$63,0))="B",INDEX(MODELOS!$I$3:$I$19,MATCH($D381,MODELOS!$A$3:$A$19,0)),INDEX(MODELOS!$E$3:$E$19,MATCH($D381,MODELOS!$A$3:$A$19,0)))</f>
        <v>2000 × 2000</v>
      </c>
      <c r="I381" s="11" t="str">
        <f aca="false">INDEX(MODELOS!$J$3:$J$19,MATCH($D381,MODELOS!$A$3:$A$19,0))</f>
        <v>SIM</v>
      </c>
      <c r="J381" s="11" t="str">
        <f aca="false">IF(LEFT($D381,2)&lt;&gt;"AP",IF($I381="SIM","SIM","RECOMENDADA"),IF(INDEX(PRODUTOS!$J$4:$J$63,MATCH($A381,PRODUTOS!$B$4:$B$63,0))&lt;&gt;"","NÃO (usa o A+ do EAN "&amp;INDEX(PRODUTOS!$J$4:$J$63,MATCH($A381,PRODUTOS!$B$4:$B$63,0))&amp;")",IF(AND(INDEX(PRODUTOS!$I$4:$I$63,MATCH($A381,PRODUTOS!$B$4:$B$63,0))="B",$D381="AP07"),"NÃO (modelo B)","SIM")))</f>
        <v>SIM</v>
      </c>
      <c r="K381" s="13" t="s">
        <v>325</v>
      </c>
      <c r="L381" s="13"/>
    </row>
    <row r="382" customFormat="false" ht="15" hidden="false" customHeight="false" outlineLevel="0" collapsed="false">
      <c r="A382" s="15" t="s">
        <v>141</v>
      </c>
      <c r="B382" s="11" t="str">
        <f aca="false">INDEX(PRODUTOS!$E$4:$E$63,MATCH($A382,PRODUTOS!$B$4:$B$63,0))</f>
        <v>Ração Seca Natural Dots para Cães de Raças Pequenas - Pacote 1 kg</v>
      </c>
      <c r="C382" s="11" t="str">
        <f aca="false">INDEX(PRODUTOS!$H$4:$H$63,MATCH($A382,PRODUTOS!$B$4:$B$63,0))</f>
        <v>1 kg</v>
      </c>
      <c r="D382" s="11" t="s">
        <v>329</v>
      </c>
      <c r="E382" s="16" t="str">
        <f aca="false">$A382&amp;"."&amp;$D382&amp;".jpg"</f>
        <v>7898968541320.PT04.jpg</v>
      </c>
      <c r="F382" s="11" t="str">
        <f aca="false">IF(INDEX(PRODUTOS!$I$4:$I$63,MATCH($A382,PRODUTOS!$B$4:$B$63,0))="B",INDEX(MODELOS!$F$3:$F$19,MATCH($D382,MODELOS!$A$3:$A$19,0)),INDEX(MODELOS!$B$3:$B$19,MATCH($D382,MODELOS!$A$3:$A$19,0)))</f>
        <v>Galeria · posição 5</v>
      </c>
      <c r="G382" s="11" t="str">
        <f aca="false">IF(INDEX(PRODUTOS!$F$4:$F$63,MATCH($A382,PRODUTOS!$B$4:$B$63,0))="Ração",IF(INDEX(PRODUTOS!$I$4:$I$63,MATCH($A382,PRODUTOS!$B$4:$B$63,0))="B",INDEX(MODELOS!$G$3:$G$19,MATCH($D382,MODELOS!$A$3:$A$19,0)),INDEX(MODELOS!$C$3:$C$19,MATCH($D382,MODELOS!$A$3:$A$19,0))),IF(INDEX(PRODUTOS!$I$4:$I$63,MATCH($A382,PRODUTOS!$B$4:$B$63,0))="B",INDEX(MODELOS!$H$3:$H$19,MATCH($D382,MODELOS!$A$3:$A$19,0)),INDEX(MODELOS!$D$3:$D$19,MATCH($D382,MODELOS!$A$3:$A$19,0))))</f>
        <v>Quantidade diária por peso do cão/gato (números idênticos à embalagem)</v>
      </c>
      <c r="H382" s="11" t="str">
        <f aca="false">IF(INDEX(PRODUTOS!$I$4:$I$63,MATCH($A382,PRODUTOS!$B$4:$B$63,0))="B",INDEX(MODELOS!$I$3:$I$19,MATCH($D382,MODELOS!$A$3:$A$19,0)),INDEX(MODELOS!$E$3:$E$19,MATCH($D382,MODELOS!$A$3:$A$19,0)))</f>
        <v>2000 × 2000</v>
      </c>
      <c r="I382" s="11" t="str">
        <f aca="false">INDEX(MODELOS!$J$3:$J$19,MATCH($D382,MODELOS!$A$3:$A$19,0))</f>
        <v>SIM</v>
      </c>
      <c r="J382" s="11" t="str">
        <f aca="false">IF(LEFT($D382,2)&lt;&gt;"AP",IF($I382="SIM","SIM","RECOMENDADA"),IF(INDEX(PRODUTOS!$J$4:$J$63,MATCH($A382,PRODUTOS!$B$4:$B$63,0))&lt;&gt;"","NÃO (usa o A+ do EAN "&amp;INDEX(PRODUTOS!$J$4:$J$63,MATCH($A382,PRODUTOS!$B$4:$B$63,0))&amp;")",IF(AND(INDEX(PRODUTOS!$I$4:$I$63,MATCH($A382,PRODUTOS!$B$4:$B$63,0))="B",$D382="AP07"),"NÃO (modelo B)","SIM")))</f>
        <v>SIM</v>
      </c>
      <c r="K382" s="13" t="s">
        <v>325</v>
      </c>
      <c r="L382" s="13"/>
    </row>
    <row r="383" customFormat="false" ht="15" hidden="false" customHeight="false" outlineLevel="0" collapsed="false">
      <c r="A383" s="15" t="s">
        <v>141</v>
      </c>
      <c r="B383" s="11" t="str">
        <f aca="false">INDEX(PRODUTOS!$E$4:$E$63,MATCH($A383,PRODUTOS!$B$4:$B$63,0))</f>
        <v>Ração Seca Natural Dots para Cães de Raças Pequenas - Pacote 1 kg</v>
      </c>
      <c r="C383" s="11" t="str">
        <f aca="false">INDEX(PRODUTOS!$H$4:$H$63,MATCH($A383,PRODUTOS!$B$4:$B$63,0))</f>
        <v>1 kg</v>
      </c>
      <c r="D383" s="11" t="s">
        <v>330</v>
      </c>
      <c r="E383" s="16" t="str">
        <f aca="false">$A383&amp;"."&amp;$D383&amp;".jpg"</f>
        <v>7898968541320.PT05.jpg</v>
      </c>
      <c r="F383" s="11" t="str">
        <f aca="false">IF(INDEX(PRODUTOS!$I$4:$I$63,MATCH($A383,PRODUTOS!$B$4:$B$63,0))="B",INDEX(MODELOS!$F$3:$F$19,MATCH($D383,MODELOS!$A$3:$A$19,0)),INDEX(MODELOS!$B$3:$B$19,MATCH($D383,MODELOS!$A$3:$A$19,0)))</f>
        <v>Galeria · posição 6</v>
      </c>
      <c r="G383" s="11" t="str">
        <f aca="false">IF(INDEX(PRODUTOS!$F$4:$F$63,MATCH($A383,PRODUTOS!$B$4:$B$63,0))="Ração",IF(INDEX(PRODUTOS!$I$4:$I$63,MATCH($A383,PRODUTOS!$B$4:$B$63,0))="B",INDEX(MODELOS!$G$3:$G$19,MATCH($D383,MODELOS!$A$3:$A$19,0)),INDEX(MODELOS!$C$3:$C$19,MATCH($D383,MODELOS!$A$3:$A$19,0))),IF(INDEX(PRODUTOS!$I$4:$I$63,MATCH($A383,PRODUTOS!$B$4:$B$63,0))="B",INDEX(MODELOS!$H$3:$H$19,MATCH($D383,MODELOS!$A$3:$A$19,0)),INDEX(MODELOS!$D$3:$D$19,MATCH($D383,MODELOS!$A$3:$A$19,0))))</f>
        <v>Transição alimentar dia a dia (igual ao verso da embalagem)</v>
      </c>
      <c r="H383" s="11" t="str">
        <f aca="false">IF(INDEX(PRODUTOS!$I$4:$I$63,MATCH($A383,PRODUTOS!$B$4:$B$63,0))="B",INDEX(MODELOS!$I$3:$I$19,MATCH($D383,MODELOS!$A$3:$A$19,0)),INDEX(MODELOS!$E$3:$E$19,MATCH($D383,MODELOS!$A$3:$A$19,0)))</f>
        <v>2000 × 2000</v>
      </c>
      <c r="I383" s="11" t="str">
        <f aca="false">INDEX(MODELOS!$J$3:$J$19,MATCH($D383,MODELOS!$A$3:$A$19,0))</f>
        <v>Recomendada</v>
      </c>
      <c r="J383" s="11" t="str">
        <f aca="false">IF(LEFT($D383,2)&lt;&gt;"AP",IF($I383="SIM","SIM","RECOMENDADA"),IF(INDEX(PRODUTOS!$J$4:$J$63,MATCH($A383,PRODUTOS!$B$4:$B$63,0))&lt;&gt;"","NÃO (usa o A+ do EAN "&amp;INDEX(PRODUTOS!$J$4:$J$63,MATCH($A383,PRODUTOS!$B$4:$B$63,0))&amp;")",IF(AND(INDEX(PRODUTOS!$I$4:$I$63,MATCH($A383,PRODUTOS!$B$4:$B$63,0))="B",$D383="AP07"),"NÃO (modelo B)","SIM")))</f>
        <v>RECOMENDADA</v>
      </c>
      <c r="K383" s="13" t="s">
        <v>325</v>
      </c>
      <c r="L383" s="13"/>
    </row>
    <row r="384" customFormat="false" ht="15" hidden="false" customHeight="false" outlineLevel="0" collapsed="false">
      <c r="A384" s="15" t="s">
        <v>141</v>
      </c>
      <c r="B384" s="11" t="str">
        <f aca="false">INDEX(PRODUTOS!$E$4:$E$63,MATCH($A384,PRODUTOS!$B$4:$B$63,0))</f>
        <v>Ração Seca Natural Dots para Cães de Raças Pequenas - Pacote 1 kg</v>
      </c>
      <c r="C384" s="11" t="str">
        <f aca="false">INDEX(PRODUTOS!$H$4:$H$63,MATCH($A384,PRODUTOS!$B$4:$B$63,0))</f>
        <v>1 kg</v>
      </c>
      <c r="D384" s="11" t="s">
        <v>331</v>
      </c>
      <c r="E384" s="16" t="str">
        <f aca="false">$A384&amp;"."&amp;$D384&amp;".jpg"</f>
        <v>7898968541320.PT06.jpg</v>
      </c>
      <c r="F384" s="11" t="str">
        <f aca="false">IF(INDEX(PRODUTOS!$I$4:$I$63,MATCH($A384,PRODUTOS!$B$4:$B$63,0))="B",INDEX(MODELOS!$F$3:$F$19,MATCH($D384,MODELOS!$A$3:$A$19,0)),INDEX(MODELOS!$B$3:$B$19,MATCH($D384,MODELOS!$A$3:$A$19,0)))</f>
        <v>Galeria · posição 7</v>
      </c>
      <c r="G384" s="11" t="str">
        <f aca="false">IF(INDEX(PRODUTOS!$F$4:$F$63,MATCH($A384,PRODUTOS!$B$4:$B$63,0))="Ração",IF(INDEX(PRODUTOS!$I$4:$I$63,MATCH($A384,PRODUTOS!$B$4:$B$63,0))="B",INDEX(MODELOS!$G$3:$G$19,MATCH($D384,MODELOS!$A$3:$A$19,0)),INDEX(MODELOS!$C$3:$C$19,MATCH($D384,MODELOS!$A$3:$A$19,0))),IF(INDEX(PRODUTOS!$I$4:$I$63,MATCH($A384,PRODUTOS!$B$4:$B$63,0))="B",INDEX(MODELOS!$H$3:$H$19,MATCH($D384,MODELOS!$A$3:$A$19,0)),INDEX(MODELOS!$D$3:$D$19,MATCH($D384,MODELOS!$A$3:$A$19,0))))</f>
        <v>Composição e níveis de garantia em letra grande</v>
      </c>
      <c r="H384" s="11" t="str">
        <f aca="false">IF(INDEX(PRODUTOS!$I$4:$I$63,MATCH($A384,PRODUTOS!$B$4:$B$63,0))="B",INDEX(MODELOS!$I$3:$I$19,MATCH($D384,MODELOS!$A$3:$A$19,0)),INDEX(MODELOS!$E$3:$E$19,MATCH($D384,MODELOS!$A$3:$A$19,0)))</f>
        <v>2000 × 2000</v>
      </c>
      <c r="I384" s="11" t="str">
        <f aca="false">INDEX(MODELOS!$J$3:$J$19,MATCH($D384,MODELOS!$A$3:$A$19,0))</f>
        <v>SIM</v>
      </c>
      <c r="J384" s="11" t="str">
        <f aca="false">IF(LEFT($D384,2)&lt;&gt;"AP",IF($I384="SIM","SIM","RECOMENDADA"),IF(INDEX(PRODUTOS!$J$4:$J$63,MATCH($A384,PRODUTOS!$B$4:$B$63,0))&lt;&gt;"","NÃO (usa o A+ do EAN "&amp;INDEX(PRODUTOS!$J$4:$J$63,MATCH($A384,PRODUTOS!$B$4:$B$63,0))&amp;")",IF(AND(INDEX(PRODUTOS!$I$4:$I$63,MATCH($A384,PRODUTOS!$B$4:$B$63,0))="B",$D384="AP07"),"NÃO (modelo B)","SIM")))</f>
        <v>SIM</v>
      </c>
      <c r="K384" s="13" t="s">
        <v>325</v>
      </c>
      <c r="L384" s="13"/>
    </row>
    <row r="385" customFormat="false" ht="15" hidden="false" customHeight="false" outlineLevel="0" collapsed="false">
      <c r="A385" s="15" t="s">
        <v>141</v>
      </c>
      <c r="B385" s="11" t="str">
        <f aca="false">INDEX(PRODUTOS!$E$4:$E$63,MATCH($A385,PRODUTOS!$B$4:$B$63,0))</f>
        <v>Ração Seca Natural Dots para Cães de Raças Pequenas - Pacote 1 kg</v>
      </c>
      <c r="C385" s="11" t="str">
        <f aca="false">INDEX(PRODUTOS!$H$4:$H$63,MATCH($A385,PRODUTOS!$B$4:$B$63,0))</f>
        <v>1 kg</v>
      </c>
      <c r="D385" s="11" t="s">
        <v>332</v>
      </c>
      <c r="E385" s="16" t="str">
        <f aca="false">$A385&amp;"."&amp;$D385&amp;".jpg"</f>
        <v>7898968541320.PT07.jpg</v>
      </c>
      <c r="F385" s="11" t="str">
        <f aca="false">IF(INDEX(PRODUTOS!$I$4:$I$63,MATCH($A385,PRODUTOS!$B$4:$B$63,0))="B",INDEX(MODELOS!$F$3:$F$19,MATCH($D385,MODELOS!$A$3:$A$19,0)),INDEX(MODELOS!$B$3:$B$19,MATCH($D385,MODELOS!$A$3:$A$19,0)))</f>
        <v>Galeria · posição 8</v>
      </c>
      <c r="G385" s="11" t="str">
        <f aca="false">IF(INDEX(PRODUTOS!$F$4:$F$63,MATCH($A385,PRODUTOS!$B$4:$B$63,0))="Ração",IF(INDEX(PRODUTOS!$I$4:$I$63,MATCH($A385,PRODUTOS!$B$4:$B$63,0))="B",INDEX(MODELOS!$G$3:$G$19,MATCH($D385,MODELOS!$A$3:$A$19,0)),INDEX(MODELOS!$C$3:$C$19,MATCH($D385,MODELOS!$A$3:$A$19,0))),IF(INDEX(PRODUTOS!$I$4:$I$63,MATCH($A385,PRODUTOS!$B$4:$B$63,0))="B",INDEX(MODELOS!$H$3:$H$19,MATCH($D385,MODELOS!$A$3:$A$19,0)),INDEX(MODELOS!$D$3:$D$19,MATCH($D385,MODELOS!$A$3:$A$19,0))))</f>
        <v>Emocional / momento de uso (pet do porte certo, pote cheio)</v>
      </c>
      <c r="H385" s="11" t="str">
        <f aca="false">IF(INDEX(PRODUTOS!$I$4:$I$63,MATCH($A385,PRODUTOS!$B$4:$B$63,0))="B",INDEX(MODELOS!$I$3:$I$19,MATCH($D385,MODELOS!$A$3:$A$19,0)),INDEX(MODELOS!$E$3:$E$19,MATCH($D385,MODELOS!$A$3:$A$19,0)))</f>
        <v>2000 × 2000</v>
      </c>
      <c r="I385" s="11" t="str">
        <f aca="false">INDEX(MODELOS!$J$3:$J$19,MATCH($D385,MODELOS!$A$3:$A$19,0))</f>
        <v>Recomendada</v>
      </c>
      <c r="J385" s="11" t="str">
        <f aca="false">IF(LEFT($D385,2)&lt;&gt;"AP",IF($I385="SIM","SIM","RECOMENDADA"),IF(INDEX(PRODUTOS!$J$4:$J$63,MATCH($A385,PRODUTOS!$B$4:$B$63,0))&lt;&gt;"","NÃO (usa o A+ do EAN "&amp;INDEX(PRODUTOS!$J$4:$J$63,MATCH($A385,PRODUTOS!$B$4:$B$63,0))&amp;")",IF(AND(INDEX(PRODUTOS!$I$4:$I$63,MATCH($A385,PRODUTOS!$B$4:$B$63,0))="B",$D385="AP07"),"NÃO (modelo B)","SIM")))</f>
        <v>RECOMENDADA</v>
      </c>
      <c r="K385" s="13" t="s">
        <v>325</v>
      </c>
      <c r="L385" s="13"/>
    </row>
    <row r="386" customFormat="false" ht="15" hidden="false" customHeight="false" outlineLevel="0" collapsed="false">
      <c r="A386" s="15" t="s">
        <v>141</v>
      </c>
      <c r="B386" s="11" t="str">
        <f aca="false">INDEX(PRODUTOS!$E$4:$E$63,MATCH($A386,PRODUTOS!$B$4:$B$63,0))</f>
        <v>Ração Seca Natural Dots para Cães de Raças Pequenas - Pacote 1 kg</v>
      </c>
      <c r="C386" s="11" t="str">
        <f aca="false">INDEX(PRODUTOS!$H$4:$H$63,MATCH($A386,PRODUTOS!$B$4:$B$63,0))</f>
        <v>1 kg</v>
      </c>
      <c r="D386" s="11" t="s">
        <v>333</v>
      </c>
      <c r="E386" s="16" t="str">
        <f aca="false">$A386&amp;"."&amp;$D386&amp;".jpg"</f>
        <v>7898968541320.PT08.jpg</v>
      </c>
      <c r="F386" s="11" t="str">
        <f aca="false">IF(INDEX(PRODUTOS!$I$4:$I$63,MATCH($A386,PRODUTOS!$B$4:$B$63,0))="B",INDEX(MODELOS!$F$3:$F$19,MATCH($D386,MODELOS!$A$3:$A$19,0)),INDEX(MODELOS!$B$3:$B$19,MATCH($D386,MODELOS!$A$3:$A$19,0)))</f>
        <v>Galeria · posição 9</v>
      </c>
      <c r="G386" s="11" t="str">
        <f aca="false">IF(INDEX(PRODUTOS!$F$4:$F$63,MATCH($A386,PRODUTOS!$B$4:$B$63,0))="Ração",IF(INDEX(PRODUTOS!$I$4:$I$63,MATCH($A386,PRODUTOS!$B$4:$B$63,0))="B",INDEX(MODELOS!$G$3:$G$19,MATCH($D386,MODELOS!$A$3:$A$19,0)),INDEX(MODELOS!$C$3:$C$19,MATCH($D386,MODELOS!$A$3:$A$19,0))),IF(INDEX(PRODUTOS!$I$4:$I$63,MATCH($A386,PRODUTOS!$B$4:$B$63,0))="B",INDEX(MODELOS!$H$3:$H$19,MATCH($D386,MODELOS!$A$3:$A$19,0)),INDEX(MODELOS!$D$3:$D$19,MATCH($D386,MODELOS!$A$3:$A$19,0))))</f>
        <v>Linha da marca ou embalagem anterior × nova</v>
      </c>
      <c r="H386" s="11" t="str">
        <f aca="false">IF(INDEX(PRODUTOS!$I$4:$I$63,MATCH($A386,PRODUTOS!$B$4:$B$63,0))="B",INDEX(MODELOS!$I$3:$I$19,MATCH($D386,MODELOS!$A$3:$A$19,0)),INDEX(MODELOS!$E$3:$E$19,MATCH($D386,MODELOS!$A$3:$A$19,0)))</f>
        <v>2000 × 2000</v>
      </c>
      <c r="I386" s="11" t="str">
        <f aca="false">INDEX(MODELOS!$J$3:$J$19,MATCH($D386,MODELOS!$A$3:$A$19,0))</f>
        <v>Recomendada</v>
      </c>
      <c r="J386" s="11" t="str">
        <f aca="false">IF(LEFT($D386,2)&lt;&gt;"AP",IF($I386="SIM","SIM","RECOMENDADA"),IF(INDEX(PRODUTOS!$J$4:$J$63,MATCH($A386,PRODUTOS!$B$4:$B$63,0))&lt;&gt;"","NÃO (usa o A+ do EAN "&amp;INDEX(PRODUTOS!$J$4:$J$63,MATCH($A386,PRODUTOS!$B$4:$B$63,0))&amp;")",IF(AND(INDEX(PRODUTOS!$I$4:$I$63,MATCH($A386,PRODUTOS!$B$4:$B$63,0))="B",$D386="AP07"),"NÃO (modelo B)","SIM")))</f>
        <v>RECOMENDADA</v>
      </c>
      <c r="K386" s="13" t="s">
        <v>325</v>
      </c>
      <c r="L386" s="13"/>
    </row>
    <row r="387" customFormat="false" ht="15" hidden="false" customHeight="false" outlineLevel="0" collapsed="false">
      <c r="A387" s="15" t="s">
        <v>141</v>
      </c>
      <c r="B387" s="11" t="str">
        <f aca="false">INDEX(PRODUTOS!$E$4:$E$63,MATCH($A387,PRODUTOS!$B$4:$B$63,0))</f>
        <v>Ração Seca Natural Dots para Cães de Raças Pequenas - Pacote 1 kg</v>
      </c>
      <c r="C387" s="11" t="str">
        <f aca="false">INDEX(PRODUTOS!$H$4:$H$63,MATCH($A387,PRODUTOS!$B$4:$B$63,0))</f>
        <v>1 kg</v>
      </c>
      <c r="D387" s="11" t="s">
        <v>334</v>
      </c>
      <c r="E387" s="16" t="str">
        <f aca="false">$A387&amp;"."&amp;$D387&amp;".jpg"</f>
        <v>7898968541320.AP01.jpg</v>
      </c>
      <c r="F387" s="11" t="str">
        <f aca="false">IF(INDEX(PRODUTOS!$I$4:$I$63,MATCH($A387,PRODUTOS!$B$4:$B$63,0))="B",INDEX(MODELOS!$F$3:$F$19,MATCH($D387,MODELOS!$A$3:$A$19,0)),INDEX(MODELOS!$B$3:$B$19,MATCH($D387,MODELOS!$A$3:$A$19,0)))</f>
        <v>A+ · Módulo 1 · Banner</v>
      </c>
      <c r="G387" s="11" t="str">
        <f aca="false">IF(INDEX(PRODUTOS!$F$4:$F$63,MATCH($A387,PRODUTOS!$B$4:$B$63,0))="Ração",IF(INDEX(PRODUTOS!$I$4:$I$63,MATCH($A387,PRODUTOS!$B$4:$B$63,0))="B",INDEX(MODELOS!$G$3:$G$19,MATCH($D387,MODELOS!$A$3:$A$19,0)),INDEX(MODELOS!$C$3:$C$19,MATCH($D387,MODELOS!$A$3:$A$19,0))),IF(INDEX(PRODUTOS!$I$4:$I$63,MATCH($A387,PRODUTOS!$B$4:$B$63,0))="B",INDEX(MODELOS!$H$3:$H$19,MATCH($D387,MODELOS!$A$3:$A$19,0)),INDEX(MODELOS!$D$3:$D$19,MATCH($D387,MODELOS!$A$3:$A$19,0))))</f>
        <v>Embalagem + pet + ingredientes, com o nome da linha</v>
      </c>
      <c r="H387" s="11" t="str">
        <f aca="false">IF(INDEX(PRODUTOS!$I$4:$I$63,MATCH($A387,PRODUTOS!$B$4:$B$63,0))="B",INDEX(MODELOS!$I$3:$I$19,MATCH($D387,MODELOS!$A$3:$A$19,0)),INDEX(MODELOS!$E$3:$E$19,MATCH($D387,MODELOS!$A$3:$A$19,0)))</f>
        <v>970 × 600</v>
      </c>
      <c r="I387" s="11" t="str">
        <f aca="false">INDEX(MODELOS!$J$3:$J$19,MATCH($D387,MODELOS!$A$3:$A$19,0))</f>
        <v>Conforme modelo</v>
      </c>
      <c r="J387" s="11" t="str">
        <f aca="false">IF(LEFT($D387,2)&lt;&gt;"AP",IF($I387="SIM","SIM","RECOMENDADA"),IF(INDEX(PRODUTOS!$J$4:$J$63,MATCH($A387,PRODUTOS!$B$4:$B$63,0))&lt;&gt;"","NÃO (usa o A+ do EAN "&amp;INDEX(PRODUTOS!$J$4:$J$63,MATCH($A387,PRODUTOS!$B$4:$B$63,0))&amp;")",IF(AND(INDEX(PRODUTOS!$I$4:$I$63,MATCH($A387,PRODUTOS!$B$4:$B$63,0))="B",$D387="AP07"),"NÃO (modelo B)","SIM")))</f>
        <v>NÃO (usa o A+ do EAN 7898968541344)</v>
      </c>
      <c r="K387" s="13" t="s">
        <v>325</v>
      </c>
      <c r="L387" s="13"/>
    </row>
    <row r="388" customFormat="false" ht="15" hidden="false" customHeight="false" outlineLevel="0" collapsed="false">
      <c r="A388" s="15" t="s">
        <v>141</v>
      </c>
      <c r="B388" s="11" t="str">
        <f aca="false">INDEX(PRODUTOS!$E$4:$E$63,MATCH($A388,PRODUTOS!$B$4:$B$63,0))</f>
        <v>Ração Seca Natural Dots para Cães de Raças Pequenas - Pacote 1 kg</v>
      </c>
      <c r="C388" s="11" t="str">
        <f aca="false">INDEX(PRODUTOS!$H$4:$H$63,MATCH($A388,PRODUTOS!$B$4:$B$63,0))</f>
        <v>1 kg</v>
      </c>
      <c r="D388" s="11" t="s">
        <v>335</v>
      </c>
      <c r="E388" s="16" t="str">
        <f aca="false">$A388&amp;"."&amp;$D388&amp;".jpg"</f>
        <v>7898968541320.AP02.jpg</v>
      </c>
      <c r="F388" s="11" t="str">
        <f aca="false">IF(INDEX(PRODUTOS!$I$4:$I$63,MATCH($A388,PRODUTOS!$B$4:$B$63,0))="B",INDEX(MODELOS!$F$3:$F$19,MATCH($D388,MODELOS!$A$3:$A$19,0)),INDEX(MODELOS!$B$3:$B$19,MATCH($D388,MODELOS!$A$3:$A$19,0)))</f>
        <v>A+ · Módulo 2 · Texto sobreposto</v>
      </c>
      <c r="G388" s="11" t="str">
        <f aca="false">IF(INDEX(PRODUTOS!$F$4:$F$63,MATCH($A388,PRODUTOS!$B$4:$B$63,0))="Ração",IF(INDEX(PRODUTOS!$I$4:$I$63,MATCH($A388,PRODUTOS!$B$4:$B$63,0))="B",INDEX(MODELOS!$G$3:$G$19,MATCH($D388,MODELOS!$A$3:$A$19,0)),INDEX(MODELOS!$C$3:$C$19,MATCH($D388,MODELOS!$A$3:$A$19,0))),IF(INDEX(PRODUTOS!$I$4:$I$63,MATCH($A388,PRODUTOS!$B$4:$B$63,0))="B",INDEX(MODELOS!$H$3:$H$19,MATCH($D388,MODELOS!$A$3:$A$19,0)),INDEX(MODELOS!$D$3:$D$19,MATCH($D388,MODELOS!$A$3:$A$19,0))))</f>
        <v>Principal diferencial; deixar o lado direito limpo</v>
      </c>
      <c r="H388" s="11" t="str">
        <f aca="false">IF(INDEX(PRODUTOS!$I$4:$I$63,MATCH($A388,PRODUTOS!$B$4:$B$63,0))="B",INDEX(MODELOS!$I$3:$I$19,MATCH($D388,MODELOS!$A$3:$A$19,0)),INDEX(MODELOS!$E$3:$E$19,MATCH($D388,MODELOS!$A$3:$A$19,0)))</f>
        <v>970 × 300</v>
      </c>
      <c r="I388" s="11" t="str">
        <f aca="false">INDEX(MODELOS!$J$3:$J$19,MATCH($D388,MODELOS!$A$3:$A$19,0))</f>
        <v>Conforme modelo</v>
      </c>
      <c r="J388" s="11" t="str">
        <f aca="false">IF(LEFT($D388,2)&lt;&gt;"AP",IF($I388="SIM","SIM","RECOMENDADA"),IF(INDEX(PRODUTOS!$J$4:$J$63,MATCH($A388,PRODUTOS!$B$4:$B$63,0))&lt;&gt;"","NÃO (usa o A+ do EAN "&amp;INDEX(PRODUTOS!$J$4:$J$63,MATCH($A388,PRODUTOS!$B$4:$B$63,0))&amp;")",IF(AND(INDEX(PRODUTOS!$I$4:$I$63,MATCH($A388,PRODUTOS!$B$4:$B$63,0))="B",$D388="AP07"),"NÃO (modelo B)","SIM")))</f>
        <v>NÃO (usa o A+ do EAN 7898968541344)</v>
      </c>
      <c r="K388" s="13" t="s">
        <v>325</v>
      </c>
      <c r="L388" s="13"/>
    </row>
    <row r="389" customFormat="false" ht="15" hidden="false" customHeight="false" outlineLevel="0" collapsed="false">
      <c r="A389" s="15" t="s">
        <v>141</v>
      </c>
      <c r="B389" s="11" t="str">
        <f aca="false">INDEX(PRODUTOS!$E$4:$E$63,MATCH($A389,PRODUTOS!$B$4:$B$63,0))</f>
        <v>Ração Seca Natural Dots para Cães de Raças Pequenas - Pacote 1 kg</v>
      </c>
      <c r="C389" s="11" t="str">
        <f aca="false">INDEX(PRODUTOS!$H$4:$H$63,MATCH($A389,PRODUTOS!$B$4:$B$63,0))</f>
        <v>1 kg</v>
      </c>
      <c r="D389" s="11" t="s">
        <v>336</v>
      </c>
      <c r="E389" s="16" t="str">
        <f aca="false">$A389&amp;"."&amp;$D389&amp;".jpg"</f>
        <v>7898968541320.AP03.jpg</v>
      </c>
      <c r="F389" s="11" t="str">
        <f aca="false">IF(INDEX(PRODUTOS!$I$4:$I$63,MATCH($A389,PRODUTOS!$B$4:$B$63,0))="B",INDEX(MODELOS!$F$3:$F$19,MATCH($D389,MODELOS!$A$3:$A$19,0)),INDEX(MODELOS!$B$3:$B$19,MATCH($D389,MODELOS!$A$3:$A$19,0)))</f>
        <v>A+ · Módulo 3 · Benefício 1 de 4</v>
      </c>
      <c r="G389" s="11" t="str">
        <f aca="false">IF(INDEX(PRODUTOS!$F$4:$F$63,MATCH($A389,PRODUTOS!$B$4:$B$63,0))="Ração",IF(INDEX(PRODUTOS!$I$4:$I$63,MATCH($A389,PRODUTOS!$B$4:$B$63,0))="B",INDEX(MODELOS!$G$3:$G$19,MATCH($D389,MODELOS!$A$3:$A$19,0)),INDEX(MODELOS!$C$3:$C$19,MATCH($D389,MODELOS!$A$3:$A$19,0))),IF(INDEX(PRODUTOS!$I$4:$I$63,MATCH($A389,PRODUTOS!$B$4:$B$63,0))="B",INDEX(MODELOS!$H$3:$H$19,MATCH($D389,MODELOS!$A$3:$A$19,0)),INDEX(MODELOS!$D$3:$D$19,MATCH($D389,MODELOS!$A$3:$A$19,0))))</f>
        <v>Foto/ilustração do benefício 1</v>
      </c>
      <c r="H389" s="11" t="str">
        <f aca="false">IF(INDEX(PRODUTOS!$I$4:$I$63,MATCH($A389,PRODUTOS!$B$4:$B$63,0))="B",INDEX(MODELOS!$I$3:$I$19,MATCH($D389,MODELOS!$A$3:$A$19,0)),INDEX(MODELOS!$E$3:$E$19,MATCH($D389,MODELOS!$A$3:$A$19,0)))</f>
        <v>220 × 200</v>
      </c>
      <c r="I389" s="11" t="str">
        <f aca="false">INDEX(MODELOS!$J$3:$J$19,MATCH($D389,MODELOS!$A$3:$A$19,0))</f>
        <v>Conforme modelo</v>
      </c>
      <c r="J389" s="11" t="str">
        <f aca="false">IF(LEFT($D389,2)&lt;&gt;"AP",IF($I389="SIM","SIM","RECOMENDADA"),IF(INDEX(PRODUTOS!$J$4:$J$63,MATCH($A389,PRODUTOS!$B$4:$B$63,0))&lt;&gt;"","NÃO (usa o A+ do EAN "&amp;INDEX(PRODUTOS!$J$4:$J$63,MATCH($A389,PRODUTOS!$B$4:$B$63,0))&amp;")",IF(AND(INDEX(PRODUTOS!$I$4:$I$63,MATCH($A389,PRODUTOS!$B$4:$B$63,0))="B",$D389="AP07"),"NÃO (modelo B)","SIM")))</f>
        <v>NÃO (usa o A+ do EAN 7898968541344)</v>
      </c>
      <c r="K389" s="13" t="s">
        <v>325</v>
      </c>
      <c r="L389" s="13"/>
    </row>
    <row r="390" customFormat="false" ht="15" hidden="false" customHeight="false" outlineLevel="0" collapsed="false">
      <c r="A390" s="15" t="s">
        <v>141</v>
      </c>
      <c r="B390" s="11" t="str">
        <f aca="false">INDEX(PRODUTOS!$E$4:$E$63,MATCH($A390,PRODUTOS!$B$4:$B$63,0))</f>
        <v>Ração Seca Natural Dots para Cães de Raças Pequenas - Pacote 1 kg</v>
      </c>
      <c r="C390" s="11" t="str">
        <f aca="false">INDEX(PRODUTOS!$H$4:$H$63,MATCH($A390,PRODUTOS!$B$4:$B$63,0))</f>
        <v>1 kg</v>
      </c>
      <c r="D390" s="11" t="s">
        <v>337</v>
      </c>
      <c r="E390" s="16" t="str">
        <f aca="false">$A390&amp;"."&amp;$D390&amp;".jpg"</f>
        <v>7898968541320.AP04.jpg</v>
      </c>
      <c r="F390" s="11" t="str">
        <f aca="false">IF(INDEX(PRODUTOS!$I$4:$I$63,MATCH($A390,PRODUTOS!$B$4:$B$63,0))="B",INDEX(MODELOS!$F$3:$F$19,MATCH($D390,MODELOS!$A$3:$A$19,0)),INDEX(MODELOS!$B$3:$B$19,MATCH($D390,MODELOS!$A$3:$A$19,0)))</f>
        <v>A+ · Módulo 3 · Benefício 2 de 4</v>
      </c>
      <c r="G390" s="11" t="str">
        <f aca="false">IF(INDEX(PRODUTOS!$F$4:$F$63,MATCH($A390,PRODUTOS!$B$4:$B$63,0))="Ração",IF(INDEX(PRODUTOS!$I$4:$I$63,MATCH($A390,PRODUTOS!$B$4:$B$63,0))="B",INDEX(MODELOS!$G$3:$G$19,MATCH($D390,MODELOS!$A$3:$A$19,0)),INDEX(MODELOS!$C$3:$C$19,MATCH($D390,MODELOS!$A$3:$A$19,0))),IF(INDEX(PRODUTOS!$I$4:$I$63,MATCH($A390,PRODUTOS!$B$4:$B$63,0))="B",INDEX(MODELOS!$H$3:$H$19,MATCH($D390,MODELOS!$A$3:$A$19,0)),INDEX(MODELOS!$D$3:$D$19,MATCH($D390,MODELOS!$A$3:$A$19,0))))</f>
        <v>Foto/ilustração do benefício 2</v>
      </c>
      <c r="H390" s="11" t="str">
        <f aca="false">IF(INDEX(PRODUTOS!$I$4:$I$63,MATCH($A390,PRODUTOS!$B$4:$B$63,0))="B",INDEX(MODELOS!$I$3:$I$19,MATCH($D390,MODELOS!$A$3:$A$19,0)),INDEX(MODELOS!$E$3:$E$19,MATCH($D390,MODELOS!$A$3:$A$19,0)))</f>
        <v>220 × 200</v>
      </c>
      <c r="I390" s="11" t="str">
        <f aca="false">INDEX(MODELOS!$J$3:$J$19,MATCH($D390,MODELOS!$A$3:$A$19,0))</f>
        <v>Conforme modelo</v>
      </c>
      <c r="J390" s="11" t="str">
        <f aca="false">IF(LEFT($D390,2)&lt;&gt;"AP",IF($I390="SIM","SIM","RECOMENDADA"),IF(INDEX(PRODUTOS!$J$4:$J$63,MATCH($A390,PRODUTOS!$B$4:$B$63,0))&lt;&gt;"","NÃO (usa o A+ do EAN "&amp;INDEX(PRODUTOS!$J$4:$J$63,MATCH($A390,PRODUTOS!$B$4:$B$63,0))&amp;")",IF(AND(INDEX(PRODUTOS!$I$4:$I$63,MATCH($A390,PRODUTOS!$B$4:$B$63,0))="B",$D390="AP07"),"NÃO (modelo B)","SIM")))</f>
        <v>NÃO (usa o A+ do EAN 7898968541344)</v>
      </c>
      <c r="K390" s="13" t="s">
        <v>325</v>
      </c>
      <c r="L390" s="13"/>
    </row>
    <row r="391" customFormat="false" ht="15" hidden="false" customHeight="false" outlineLevel="0" collapsed="false">
      <c r="A391" s="15" t="s">
        <v>141</v>
      </c>
      <c r="B391" s="11" t="str">
        <f aca="false">INDEX(PRODUTOS!$E$4:$E$63,MATCH($A391,PRODUTOS!$B$4:$B$63,0))</f>
        <v>Ração Seca Natural Dots para Cães de Raças Pequenas - Pacote 1 kg</v>
      </c>
      <c r="C391" s="11" t="str">
        <f aca="false">INDEX(PRODUTOS!$H$4:$H$63,MATCH($A391,PRODUTOS!$B$4:$B$63,0))</f>
        <v>1 kg</v>
      </c>
      <c r="D391" s="11" t="s">
        <v>338</v>
      </c>
      <c r="E391" s="16" t="str">
        <f aca="false">$A391&amp;"."&amp;$D391&amp;".jpg"</f>
        <v>7898968541320.AP05.jpg</v>
      </c>
      <c r="F391" s="11" t="str">
        <f aca="false">IF(INDEX(PRODUTOS!$I$4:$I$63,MATCH($A391,PRODUTOS!$B$4:$B$63,0))="B",INDEX(MODELOS!$F$3:$F$19,MATCH($D391,MODELOS!$A$3:$A$19,0)),INDEX(MODELOS!$B$3:$B$19,MATCH($D391,MODELOS!$A$3:$A$19,0)))</f>
        <v>A+ · Módulo 3 · Benefício 3 de 4</v>
      </c>
      <c r="G391" s="11" t="str">
        <f aca="false">IF(INDEX(PRODUTOS!$F$4:$F$63,MATCH($A391,PRODUTOS!$B$4:$B$63,0))="Ração",IF(INDEX(PRODUTOS!$I$4:$I$63,MATCH($A391,PRODUTOS!$B$4:$B$63,0))="B",INDEX(MODELOS!$G$3:$G$19,MATCH($D391,MODELOS!$A$3:$A$19,0)),INDEX(MODELOS!$C$3:$C$19,MATCH($D391,MODELOS!$A$3:$A$19,0))),IF(INDEX(PRODUTOS!$I$4:$I$63,MATCH($A391,PRODUTOS!$B$4:$B$63,0))="B",INDEX(MODELOS!$H$3:$H$19,MATCH($D391,MODELOS!$A$3:$A$19,0)),INDEX(MODELOS!$D$3:$D$19,MATCH($D391,MODELOS!$A$3:$A$19,0))))</f>
        <v>Foto/ilustração do benefício 3</v>
      </c>
      <c r="H391" s="11" t="str">
        <f aca="false">IF(INDEX(PRODUTOS!$I$4:$I$63,MATCH($A391,PRODUTOS!$B$4:$B$63,0))="B",INDEX(MODELOS!$I$3:$I$19,MATCH($D391,MODELOS!$A$3:$A$19,0)),INDEX(MODELOS!$E$3:$E$19,MATCH($D391,MODELOS!$A$3:$A$19,0)))</f>
        <v>220 × 200</v>
      </c>
      <c r="I391" s="11" t="str">
        <f aca="false">INDEX(MODELOS!$J$3:$J$19,MATCH($D391,MODELOS!$A$3:$A$19,0))</f>
        <v>Conforme modelo</v>
      </c>
      <c r="J391" s="11" t="str">
        <f aca="false">IF(LEFT($D391,2)&lt;&gt;"AP",IF($I391="SIM","SIM","RECOMENDADA"),IF(INDEX(PRODUTOS!$J$4:$J$63,MATCH($A391,PRODUTOS!$B$4:$B$63,0))&lt;&gt;"","NÃO (usa o A+ do EAN "&amp;INDEX(PRODUTOS!$J$4:$J$63,MATCH($A391,PRODUTOS!$B$4:$B$63,0))&amp;")",IF(AND(INDEX(PRODUTOS!$I$4:$I$63,MATCH($A391,PRODUTOS!$B$4:$B$63,0))="B",$D391="AP07"),"NÃO (modelo B)","SIM")))</f>
        <v>NÃO (usa o A+ do EAN 7898968541344)</v>
      </c>
      <c r="K391" s="13" t="s">
        <v>325</v>
      </c>
      <c r="L391" s="13"/>
    </row>
    <row r="392" customFormat="false" ht="15" hidden="false" customHeight="false" outlineLevel="0" collapsed="false">
      <c r="A392" s="15" t="s">
        <v>141</v>
      </c>
      <c r="B392" s="11" t="str">
        <f aca="false">INDEX(PRODUTOS!$E$4:$E$63,MATCH($A392,PRODUTOS!$B$4:$B$63,0))</f>
        <v>Ração Seca Natural Dots para Cães de Raças Pequenas - Pacote 1 kg</v>
      </c>
      <c r="C392" s="11" t="str">
        <f aca="false">INDEX(PRODUTOS!$H$4:$H$63,MATCH($A392,PRODUTOS!$B$4:$B$63,0))</f>
        <v>1 kg</v>
      </c>
      <c r="D392" s="11" t="s">
        <v>339</v>
      </c>
      <c r="E392" s="16" t="str">
        <f aca="false">$A392&amp;"."&amp;$D392&amp;".jpg"</f>
        <v>7898968541320.AP06.jpg</v>
      </c>
      <c r="F392" s="11" t="str">
        <f aca="false">IF(INDEX(PRODUTOS!$I$4:$I$63,MATCH($A392,PRODUTOS!$B$4:$B$63,0))="B",INDEX(MODELOS!$F$3:$F$19,MATCH($D392,MODELOS!$A$3:$A$19,0)),INDEX(MODELOS!$B$3:$B$19,MATCH($D392,MODELOS!$A$3:$A$19,0)))</f>
        <v>A+ · Módulo 3 · Benefício 4 de 4</v>
      </c>
      <c r="G392" s="11" t="str">
        <f aca="false">IF(INDEX(PRODUTOS!$F$4:$F$63,MATCH($A392,PRODUTOS!$B$4:$B$63,0))="Ração",IF(INDEX(PRODUTOS!$I$4:$I$63,MATCH($A392,PRODUTOS!$B$4:$B$63,0))="B",INDEX(MODELOS!$G$3:$G$19,MATCH($D392,MODELOS!$A$3:$A$19,0)),INDEX(MODELOS!$C$3:$C$19,MATCH($D392,MODELOS!$A$3:$A$19,0))),IF(INDEX(PRODUTOS!$I$4:$I$63,MATCH($A392,PRODUTOS!$B$4:$B$63,0))="B",INDEX(MODELOS!$H$3:$H$19,MATCH($D392,MODELOS!$A$3:$A$19,0)),INDEX(MODELOS!$D$3:$D$19,MATCH($D392,MODELOS!$A$3:$A$19,0))))</f>
        <v>Foto/ilustração do benefício 4</v>
      </c>
      <c r="H392" s="11" t="str">
        <f aca="false">IF(INDEX(PRODUTOS!$I$4:$I$63,MATCH($A392,PRODUTOS!$B$4:$B$63,0))="B",INDEX(MODELOS!$I$3:$I$19,MATCH($D392,MODELOS!$A$3:$A$19,0)),INDEX(MODELOS!$E$3:$E$19,MATCH($D392,MODELOS!$A$3:$A$19,0)))</f>
        <v>220 × 200</v>
      </c>
      <c r="I392" s="11" t="str">
        <f aca="false">INDEX(MODELOS!$J$3:$J$19,MATCH($D392,MODELOS!$A$3:$A$19,0))</f>
        <v>Conforme modelo</v>
      </c>
      <c r="J392" s="11" t="str">
        <f aca="false">IF(LEFT($D392,2)&lt;&gt;"AP",IF($I392="SIM","SIM","RECOMENDADA"),IF(INDEX(PRODUTOS!$J$4:$J$63,MATCH($A392,PRODUTOS!$B$4:$B$63,0))&lt;&gt;"","NÃO (usa o A+ do EAN "&amp;INDEX(PRODUTOS!$J$4:$J$63,MATCH($A392,PRODUTOS!$B$4:$B$63,0))&amp;")",IF(AND(INDEX(PRODUTOS!$I$4:$I$63,MATCH($A392,PRODUTOS!$B$4:$B$63,0))="B",$D392="AP07"),"NÃO (modelo B)","SIM")))</f>
        <v>NÃO (usa o A+ do EAN 7898968541344)</v>
      </c>
      <c r="K392" s="13" t="s">
        <v>325</v>
      </c>
      <c r="L392" s="13"/>
    </row>
    <row r="393" customFormat="false" ht="15" hidden="false" customHeight="false" outlineLevel="0" collapsed="false">
      <c r="A393" s="15" t="s">
        <v>141</v>
      </c>
      <c r="B393" s="11" t="str">
        <f aca="false">INDEX(PRODUTOS!$E$4:$E$63,MATCH($A393,PRODUTOS!$B$4:$B$63,0))</f>
        <v>Ração Seca Natural Dots para Cães de Raças Pequenas - Pacote 1 kg</v>
      </c>
      <c r="C393" s="11" t="str">
        <f aca="false">INDEX(PRODUTOS!$H$4:$H$63,MATCH($A393,PRODUTOS!$B$4:$B$63,0))</f>
        <v>1 kg</v>
      </c>
      <c r="D393" s="11" t="s">
        <v>340</v>
      </c>
      <c r="E393" s="16" t="str">
        <f aca="false">$A393&amp;"."&amp;$D393&amp;".jpg"</f>
        <v>7898968541320.AP07.jpg</v>
      </c>
      <c r="F393" s="11" t="str">
        <f aca="false">IF(INDEX(PRODUTOS!$I$4:$I$63,MATCH($A393,PRODUTOS!$B$4:$B$63,0))="B",INDEX(MODELOS!$F$3:$F$19,MATCH($D393,MODELOS!$A$3:$A$19,0)),INDEX(MODELOS!$B$3:$B$19,MATCH($D393,MODELOS!$A$3:$A$19,0)))</f>
        <v>A+ · Módulo 4 · Especificações</v>
      </c>
      <c r="G393" s="11" t="str">
        <f aca="false">IF(INDEX(PRODUTOS!$F$4:$F$63,MATCH($A393,PRODUTOS!$B$4:$B$63,0))="Ração",IF(INDEX(PRODUTOS!$I$4:$I$63,MATCH($A393,PRODUTOS!$B$4:$B$63,0))="B",INDEX(MODELOS!$G$3:$G$19,MATCH($D393,MODELOS!$A$3:$A$19,0)),INDEX(MODELOS!$C$3:$C$19,MATCH($D393,MODELOS!$A$3:$A$19,0))),IF(INDEX(PRODUTOS!$I$4:$I$63,MATCH($A393,PRODUTOS!$B$4:$B$63,0))="B",INDEX(MODELOS!$H$3:$H$19,MATCH($D393,MODELOS!$A$3:$A$19,0)),INDEX(MODELOS!$D$3:$D$19,MATCH($D393,MODELOS!$A$3:$A$19,0))))</f>
        <v>Grão ou pacote em destaque</v>
      </c>
      <c r="H393" s="11" t="str">
        <f aca="false">IF(INDEX(PRODUTOS!$I$4:$I$63,MATCH($A393,PRODUTOS!$B$4:$B$63,0))="B",INDEX(MODELOS!$I$3:$I$19,MATCH($D393,MODELOS!$A$3:$A$19,0)),INDEX(MODELOS!$E$3:$E$19,MATCH($D393,MODELOS!$A$3:$A$19,0)))</f>
        <v>300 × 300</v>
      </c>
      <c r="I393" s="11" t="str">
        <f aca="false">INDEX(MODELOS!$J$3:$J$19,MATCH($D393,MODELOS!$A$3:$A$19,0))</f>
        <v>Conforme modelo</v>
      </c>
      <c r="J393" s="11" t="str">
        <f aca="false">IF(LEFT($D393,2)&lt;&gt;"AP",IF($I393="SIM","SIM","RECOMENDADA"),IF(INDEX(PRODUTOS!$J$4:$J$63,MATCH($A393,PRODUTOS!$B$4:$B$63,0))&lt;&gt;"","NÃO (usa o A+ do EAN "&amp;INDEX(PRODUTOS!$J$4:$J$63,MATCH($A393,PRODUTOS!$B$4:$B$63,0))&amp;")",IF(AND(INDEX(PRODUTOS!$I$4:$I$63,MATCH($A393,PRODUTOS!$B$4:$B$63,0))="B",$D393="AP07"),"NÃO (modelo B)","SIM")))</f>
        <v>NÃO (usa o A+ do EAN 7898968541344)</v>
      </c>
      <c r="K393" s="13" t="s">
        <v>325</v>
      </c>
      <c r="L393" s="13"/>
    </row>
    <row r="394" customFormat="false" ht="15" hidden="false" customHeight="false" outlineLevel="0" collapsed="false">
      <c r="A394" s="15" t="s">
        <v>141</v>
      </c>
      <c r="B394" s="11" t="str">
        <f aca="false">INDEX(PRODUTOS!$E$4:$E$63,MATCH($A394,PRODUTOS!$B$4:$B$63,0))</f>
        <v>Ração Seca Natural Dots para Cães de Raças Pequenas - Pacote 1 kg</v>
      </c>
      <c r="C394" s="11" t="str">
        <f aca="false">INDEX(PRODUTOS!$H$4:$H$63,MATCH($A394,PRODUTOS!$B$4:$B$63,0))</f>
        <v>1 kg</v>
      </c>
      <c r="D394" s="11" t="s">
        <v>341</v>
      </c>
      <c r="E394" s="16" t="str">
        <f aca="false">$A394&amp;"."&amp;$D394&amp;".jpg"</f>
        <v>7898968541320.COMP.jpg</v>
      </c>
      <c r="F394" s="11" t="str">
        <f aca="false">IF(INDEX(PRODUTOS!$I$4:$I$63,MATCH($A394,PRODUTOS!$B$4:$B$63,0))="B",INDEX(MODELOS!$F$3:$F$19,MATCH($D394,MODELOS!$A$3:$A$19,0)),INDEX(MODELOS!$B$3:$B$19,MATCH($D394,MODELOS!$A$3:$A$19,0)))</f>
        <v>A+ · Tabela comparativa</v>
      </c>
      <c r="G394" s="11" t="str">
        <f aca="false">IF(INDEX(PRODUTOS!$F$4:$F$63,MATCH($A394,PRODUTOS!$B$4:$B$63,0))="Ração",IF(INDEX(PRODUTOS!$I$4:$I$63,MATCH($A394,PRODUTOS!$B$4:$B$63,0))="B",INDEX(MODELOS!$G$3:$G$19,MATCH($D394,MODELOS!$A$3:$A$19,0)),INDEX(MODELOS!$C$3:$C$19,MATCH($D394,MODELOS!$A$3:$A$19,0))),IF(INDEX(PRODUTOS!$I$4:$I$63,MATCH($A394,PRODUTOS!$B$4:$B$63,0))="B",INDEX(MODELOS!$H$3:$H$19,MATCH($D394,MODELOS!$A$3:$A$19,0)),INDEX(MODELOS!$D$3:$D$19,MATCH($D394,MODELOS!$A$3:$A$19,0))))</f>
        <v>Pacote na vertical, sem fundo colorido</v>
      </c>
      <c r="H394" s="11" t="str">
        <f aca="false">IF(INDEX(PRODUTOS!$I$4:$I$63,MATCH($A394,PRODUTOS!$B$4:$B$63,0))="B",INDEX(MODELOS!$I$3:$I$19,MATCH($D394,MODELOS!$A$3:$A$19,0)),INDEX(MODELOS!$E$3:$E$19,MATCH($D394,MODELOS!$A$3:$A$19,0)))</f>
        <v>150 × 300</v>
      </c>
      <c r="I394" s="11" t="str">
        <f aca="false">INDEX(MODELOS!$J$3:$J$19,MATCH($D394,MODELOS!$A$3:$A$19,0))</f>
        <v>SIM</v>
      </c>
      <c r="J394" s="11" t="str">
        <f aca="false">IF(LEFT($D394,2)&lt;&gt;"AP",IF($I394="SIM","SIM","RECOMENDADA"),IF(INDEX(PRODUTOS!$J$4:$J$63,MATCH($A394,PRODUTOS!$B$4:$B$63,0))&lt;&gt;"","NÃO (usa o A+ do EAN "&amp;INDEX(PRODUTOS!$J$4:$J$63,MATCH($A394,PRODUTOS!$B$4:$B$63,0))&amp;")",IF(AND(INDEX(PRODUTOS!$I$4:$I$63,MATCH($A394,PRODUTOS!$B$4:$B$63,0))="B",$D394="AP07"),"NÃO (modelo B)","SIM")))</f>
        <v>SIM</v>
      </c>
      <c r="K394" s="13" t="s">
        <v>325</v>
      </c>
      <c r="L394" s="13"/>
    </row>
    <row r="395" customFormat="false" ht="15" hidden="false" customHeight="false" outlineLevel="0" collapsed="false">
      <c r="A395" s="15" t="s">
        <v>145</v>
      </c>
      <c r="B395" s="11" t="str">
        <f aca="false">INDEX(PRODUTOS!$E$4:$E$63,MATCH($A395,PRODUTOS!$B$4:$B$63,0))</f>
        <v>Ração Seca Natural Dots para Gatos Adultos - Pacote 11 kg</v>
      </c>
      <c r="C395" s="11" t="str">
        <f aca="false">INDEX(PRODUTOS!$H$4:$H$63,MATCH($A395,PRODUTOS!$B$4:$B$63,0))</f>
        <v>11 kg</v>
      </c>
      <c r="D395" s="11" t="s">
        <v>324</v>
      </c>
      <c r="E395" s="16" t="str">
        <f aca="false">$A395&amp;"."&amp;$D395&amp;".jpg"</f>
        <v>7898968541382.MAIN.jpg</v>
      </c>
      <c r="F395" s="11" t="str">
        <f aca="false">IF(INDEX(PRODUTOS!$I$4:$I$63,MATCH($A395,PRODUTOS!$B$4:$B$63,0))="B",INDEX(MODELOS!$F$3:$F$19,MATCH($D395,MODELOS!$A$3:$A$19,0)),INDEX(MODELOS!$B$3:$B$19,MATCH($D395,MODELOS!$A$3:$A$19,0)))</f>
        <v>Capa (posição 1)</v>
      </c>
      <c r="G395" s="11" t="str">
        <f aca="false">IF(INDEX(PRODUTOS!$F$4:$F$63,MATCH($A395,PRODUTOS!$B$4:$B$63,0))="Ração",IF(INDEX(PRODUTOS!$I$4:$I$63,MATCH($A395,PRODUTOS!$B$4:$B$63,0))="B",INDEX(MODELOS!$G$3:$G$19,MATCH($D395,MODELOS!$A$3:$A$19,0)),INDEX(MODELOS!$C$3:$C$19,MATCH($D395,MODELOS!$A$3:$A$19,0))),IF(INDEX(PRODUTOS!$I$4:$I$63,MATCH($A395,PRODUTOS!$B$4:$B$63,0))="B",INDEX(MODELOS!$H$3:$H$19,MATCH($D395,MODELOS!$A$3:$A$19,0)),INDEX(MODELOS!$D$3:$D$19,MATCH($D395,MODELOS!$A$3:$A$19,0))))</f>
        <v>Embalagem de frente, fundo branco puro, 85% da área, nada adicionado</v>
      </c>
      <c r="H395" s="11" t="str">
        <f aca="false">IF(INDEX(PRODUTOS!$I$4:$I$63,MATCH($A395,PRODUTOS!$B$4:$B$63,0))="B",INDEX(MODELOS!$I$3:$I$19,MATCH($D395,MODELOS!$A$3:$A$19,0)),INDEX(MODELOS!$E$3:$E$19,MATCH($D395,MODELOS!$A$3:$A$19,0)))</f>
        <v>2000 × 2000</v>
      </c>
      <c r="I395" s="11" t="str">
        <f aca="false">INDEX(MODELOS!$J$3:$J$19,MATCH($D395,MODELOS!$A$3:$A$19,0))</f>
        <v>SIM</v>
      </c>
      <c r="J395" s="11" t="str">
        <f aca="false">IF(LEFT($D395,2)&lt;&gt;"AP",IF($I395="SIM","SIM","RECOMENDADA"),IF(INDEX(PRODUTOS!$J$4:$J$63,MATCH($A395,PRODUTOS!$B$4:$B$63,0))&lt;&gt;"","NÃO (usa o A+ do EAN "&amp;INDEX(PRODUTOS!$J$4:$J$63,MATCH($A395,PRODUTOS!$B$4:$B$63,0))&amp;")",IF(AND(INDEX(PRODUTOS!$I$4:$I$63,MATCH($A395,PRODUTOS!$B$4:$B$63,0))="B",$D395="AP07"),"NÃO (modelo B)","SIM")))</f>
        <v>SIM</v>
      </c>
      <c r="K395" s="13" t="s">
        <v>325</v>
      </c>
      <c r="L395" s="13"/>
    </row>
    <row r="396" customFormat="false" ht="15" hidden="false" customHeight="false" outlineLevel="0" collapsed="false">
      <c r="A396" s="15" t="s">
        <v>145</v>
      </c>
      <c r="B396" s="11" t="str">
        <f aca="false">INDEX(PRODUTOS!$E$4:$E$63,MATCH($A396,PRODUTOS!$B$4:$B$63,0))</f>
        <v>Ração Seca Natural Dots para Gatos Adultos - Pacote 11 kg</v>
      </c>
      <c r="C396" s="11" t="str">
        <f aca="false">INDEX(PRODUTOS!$H$4:$H$63,MATCH($A396,PRODUTOS!$B$4:$B$63,0))</f>
        <v>11 kg</v>
      </c>
      <c r="D396" s="11" t="s">
        <v>326</v>
      </c>
      <c r="E396" s="16" t="str">
        <f aca="false">$A396&amp;"."&amp;$D396&amp;".jpg"</f>
        <v>7898968541382.PT01.jpg</v>
      </c>
      <c r="F396" s="11" t="str">
        <f aca="false">IF(INDEX(PRODUTOS!$I$4:$I$63,MATCH($A396,PRODUTOS!$B$4:$B$63,0))="B",INDEX(MODELOS!$F$3:$F$19,MATCH($D396,MODELOS!$A$3:$A$19,0)),INDEX(MODELOS!$B$3:$B$19,MATCH($D396,MODELOS!$A$3:$A$19,0)))</f>
        <v>Galeria · posição 2</v>
      </c>
      <c r="G396" s="11" t="str">
        <f aca="false">IF(INDEX(PRODUTOS!$F$4:$F$63,MATCH($A396,PRODUTOS!$B$4:$B$63,0))="Ração",IF(INDEX(PRODUTOS!$I$4:$I$63,MATCH($A396,PRODUTOS!$B$4:$B$63,0))="B",INDEX(MODELOS!$G$3:$G$19,MATCH($D396,MODELOS!$A$3:$A$19,0)),INDEX(MODELOS!$C$3:$C$19,MATCH($D396,MODELOS!$A$3:$A$19,0))),IF(INDEX(PRODUTOS!$I$4:$I$63,MATCH($A396,PRODUTOS!$B$4:$B$63,0))="B",INDEX(MODELOS!$H$3:$H$19,MATCH($D396,MODELOS!$A$3:$A$19,0)),INDEX(MODELOS!$D$3:$D$19,MATCH($D396,MODELOS!$A$3:$A$19,0))))</f>
        <v>Grande diferencial da linha (número ou promessa forte + grão e ingrediente)</v>
      </c>
      <c r="H396" s="11" t="str">
        <f aca="false">IF(INDEX(PRODUTOS!$I$4:$I$63,MATCH($A396,PRODUTOS!$B$4:$B$63,0))="B",INDEX(MODELOS!$I$3:$I$19,MATCH($D396,MODELOS!$A$3:$A$19,0)),INDEX(MODELOS!$E$3:$E$19,MATCH($D396,MODELOS!$A$3:$A$19,0)))</f>
        <v>2000 × 2000</v>
      </c>
      <c r="I396" s="11" t="str">
        <f aca="false">INDEX(MODELOS!$J$3:$J$19,MATCH($D396,MODELOS!$A$3:$A$19,0))</f>
        <v>SIM</v>
      </c>
      <c r="J396" s="11" t="str">
        <f aca="false">IF(LEFT($D396,2)&lt;&gt;"AP",IF($I396="SIM","SIM","RECOMENDADA"),IF(INDEX(PRODUTOS!$J$4:$J$63,MATCH($A396,PRODUTOS!$B$4:$B$63,0))&lt;&gt;"","NÃO (usa o A+ do EAN "&amp;INDEX(PRODUTOS!$J$4:$J$63,MATCH($A396,PRODUTOS!$B$4:$B$63,0))&amp;")",IF(AND(INDEX(PRODUTOS!$I$4:$I$63,MATCH($A396,PRODUTOS!$B$4:$B$63,0))="B",$D396="AP07"),"NÃO (modelo B)","SIM")))</f>
        <v>SIM</v>
      </c>
      <c r="K396" s="13" t="s">
        <v>325</v>
      </c>
      <c r="L396" s="13"/>
    </row>
    <row r="397" customFormat="false" ht="15" hidden="false" customHeight="false" outlineLevel="0" collapsed="false">
      <c r="A397" s="15" t="s">
        <v>145</v>
      </c>
      <c r="B397" s="11" t="str">
        <f aca="false">INDEX(PRODUTOS!$E$4:$E$63,MATCH($A397,PRODUTOS!$B$4:$B$63,0))</f>
        <v>Ração Seca Natural Dots para Gatos Adultos - Pacote 11 kg</v>
      </c>
      <c r="C397" s="11" t="str">
        <f aca="false">INDEX(PRODUTOS!$H$4:$H$63,MATCH($A397,PRODUTOS!$B$4:$B$63,0))</f>
        <v>11 kg</v>
      </c>
      <c r="D397" s="11" t="s">
        <v>327</v>
      </c>
      <c r="E397" s="16" t="str">
        <f aca="false">$A397&amp;"."&amp;$D397&amp;".jpg"</f>
        <v>7898968541382.PT02.jpg</v>
      </c>
      <c r="F397" s="11" t="str">
        <f aca="false">IF(INDEX(PRODUTOS!$I$4:$I$63,MATCH($A397,PRODUTOS!$B$4:$B$63,0))="B",INDEX(MODELOS!$F$3:$F$19,MATCH($D397,MODELOS!$A$3:$A$19,0)),INDEX(MODELOS!$B$3:$B$19,MATCH($D397,MODELOS!$A$3:$A$19,0)))</f>
        <v>Galeria · posição 3</v>
      </c>
      <c r="G397" s="11" t="str">
        <f aca="false">IF(INDEX(PRODUTOS!$F$4:$F$63,MATCH($A397,PRODUTOS!$B$4:$B$63,0))="Ração",IF(INDEX(PRODUTOS!$I$4:$I$63,MATCH($A397,PRODUTOS!$B$4:$B$63,0))="B",INDEX(MODELOS!$G$3:$G$19,MATCH($D397,MODELOS!$A$3:$A$19,0)),INDEX(MODELOS!$C$3:$C$19,MATCH($D397,MODELOS!$A$3:$A$19,0))),IF(INDEX(PRODUTOS!$I$4:$I$63,MATCH($A397,PRODUTOS!$B$4:$B$63,0))="B",INDEX(MODELOS!$H$3:$H$19,MATCH($D397,MODELOS!$A$3:$A$19,0)),INDEX(MODELOS!$D$3:$D$19,MATCH($D397,MODELOS!$A$3:$A$19,0))))</f>
        <v>Benefícios com ícones (4 a 6, impressos na embalagem) + ingrediente</v>
      </c>
      <c r="H397" s="11" t="str">
        <f aca="false">IF(INDEX(PRODUTOS!$I$4:$I$63,MATCH($A397,PRODUTOS!$B$4:$B$63,0))="B",INDEX(MODELOS!$I$3:$I$19,MATCH($D397,MODELOS!$A$3:$A$19,0)),INDEX(MODELOS!$E$3:$E$19,MATCH($D397,MODELOS!$A$3:$A$19,0)))</f>
        <v>2000 × 2000</v>
      </c>
      <c r="I397" s="11" t="str">
        <f aca="false">INDEX(MODELOS!$J$3:$J$19,MATCH($D397,MODELOS!$A$3:$A$19,0))</f>
        <v>SIM</v>
      </c>
      <c r="J397" s="11" t="str">
        <f aca="false">IF(LEFT($D397,2)&lt;&gt;"AP",IF($I397="SIM","SIM","RECOMENDADA"),IF(INDEX(PRODUTOS!$J$4:$J$63,MATCH($A397,PRODUTOS!$B$4:$B$63,0))&lt;&gt;"","NÃO (usa o A+ do EAN "&amp;INDEX(PRODUTOS!$J$4:$J$63,MATCH($A397,PRODUTOS!$B$4:$B$63,0))&amp;")",IF(AND(INDEX(PRODUTOS!$I$4:$I$63,MATCH($A397,PRODUTOS!$B$4:$B$63,0))="B",$D397="AP07"),"NÃO (modelo B)","SIM")))</f>
        <v>SIM</v>
      </c>
      <c r="K397" s="13" t="s">
        <v>325</v>
      </c>
      <c r="L397" s="13"/>
    </row>
    <row r="398" customFormat="false" ht="15" hidden="false" customHeight="false" outlineLevel="0" collapsed="false">
      <c r="A398" s="15" t="s">
        <v>145</v>
      </c>
      <c r="B398" s="11" t="str">
        <f aca="false">INDEX(PRODUTOS!$E$4:$E$63,MATCH($A398,PRODUTOS!$B$4:$B$63,0))</f>
        <v>Ração Seca Natural Dots para Gatos Adultos - Pacote 11 kg</v>
      </c>
      <c r="C398" s="11" t="str">
        <f aca="false">INDEX(PRODUTOS!$H$4:$H$63,MATCH($A398,PRODUTOS!$B$4:$B$63,0))</f>
        <v>11 kg</v>
      </c>
      <c r="D398" s="11" t="s">
        <v>328</v>
      </c>
      <c r="E398" s="16" t="str">
        <f aca="false">$A398&amp;"."&amp;$D398&amp;".jpg"</f>
        <v>7898968541382.PT03.jpg</v>
      </c>
      <c r="F398" s="11" t="str">
        <f aca="false">IF(INDEX(PRODUTOS!$I$4:$I$63,MATCH($A398,PRODUTOS!$B$4:$B$63,0))="B",INDEX(MODELOS!$F$3:$F$19,MATCH($D398,MODELOS!$A$3:$A$19,0)),INDEX(MODELOS!$B$3:$B$19,MATCH($D398,MODELOS!$A$3:$A$19,0)))</f>
        <v>Galeria · posição 4</v>
      </c>
      <c r="G398" s="11" t="str">
        <f aca="false">IF(INDEX(PRODUTOS!$F$4:$F$63,MATCH($A398,PRODUTOS!$B$4:$B$63,0))="Ração",IF(INDEX(PRODUTOS!$I$4:$I$63,MATCH($A398,PRODUTOS!$B$4:$B$63,0))="B",INDEX(MODELOS!$G$3:$G$19,MATCH($D398,MODELOS!$A$3:$A$19,0)),INDEX(MODELOS!$C$3:$C$19,MATCH($D398,MODELOS!$A$3:$A$19,0))),IF(INDEX(PRODUTOS!$I$4:$I$63,MATCH($A398,PRODUTOS!$B$4:$B$63,0))="B",INDEX(MODELOS!$H$3:$H$19,MATCH($D398,MODELOS!$A$3:$A$19,0)),INDEX(MODELOS!$D$3:$D$19,MATCH($D398,MODELOS!$A$3:$A$19,0))))</f>
        <v>Formato e tamanho do grão, com medida em mm e referência de tamanho</v>
      </c>
      <c r="H398" s="11" t="str">
        <f aca="false">IF(INDEX(PRODUTOS!$I$4:$I$63,MATCH($A398,PRODUTOS!$B$4:$B$63,0))="B",INDEX(MODELOS!$I$3:$I$19,MATCH($D398,MODELOS!$A$3:$A$19,0)),INDEX(MODELOS!$E$3:$E$19,MATCH($D398,MODELOS!$A$3:$A$19,0)))</f>
        <v>2000 × 2000</v>
      </c>
      <c r="I398" s="11" t="str">
        <f aca="false">INDEX(MODELOS!$J$3:$J$19,MATCH($D398,MODELOS!$A$3:$A$19,0))</f>
        <v>SIM</v>
      </c>
      <c r="J398" s="11" t="str">
        <f aca="false">IF(LEFT($D398,2)&lt;&gt;"AP",IF($I398="SIM","SIM","RECOMENDADA"),IF(INDEX(PRODUTOS!$J$4:$J$63,MATCH($A398,PRODUTOS!$B$4:$B$63,0))&lt;&gt;"","NÃO (usa o A+ do EAN "&amp;INDEX(PRODUTOS!$J$4:$J$63,MATCH($A398,PRODUTOS!$B$4:$B$63,0))&amp;")",IF(AND(INDEX(PRODUTOS!$I$4:$I$63,MATCH($A398,PRODUTOS!$B$4:$B$63,0))="B",$D398="AP07"),"NÃO (modelo B)","SIM")))</f>
        <v>SIM</v>
      </c>
      <c r="K398" s="13" t="s">
        <v>325</v>
      </c>
      <c r="L398" s="13"/>
    </row>
    <row r="399" customFormat="false" ht="15" hidden="false" customHeight="false" outlineLevel="0" collapsed="false">
      <c r="A399" s="15" t="s">
        <v>145</v>
      </c>
      <c r="B399" s="11" t="str">
        <f aca="false">INDEX(PRODUTOS!$E$4:$E$63,MATCH($A399,PRODUTOS!$B$4:$B$63,0))</f>
        <v>Ração Seca Natural Dots para Gatos Adultos - Pacote 11 kg</v>
      </c>
      <c r="C399" s="11" t="str">
        <f aca="false">INDEX(PRODUTOS!$H$4:$H$63,MATCH($A399,PRODUTOS!$B$4:$B$63,0))</f>
        <v>11 kg</v>
      </c>
      <c r="D399" s="11" t="s">
        <v>329</v>
      </c>
      <c r="E399" s="16" t="str">
        <f aca="false">$A399&amp;"."&amp;$D399&amp;".jpg"</f>
        <v>7898968541382.PT04.jpg</v>
      </c>
      <c r="F399" s="11" t="str">
        <f aca="false">IF(INDEX(PRODUTOS!$I$4:$I$63,MATCH($A399,PRODUTOS!$B$4:$B$63,0))="B",INDEX(MODELOS!$F$3:$F$19,MATCH($D399,MODELOS!$A$3:$A$19,0)),INDEX(MODELOS!$B$3:$B$19,MATCH($D399,MODELOS!$A$3:$A$19,0)))</f>
        <v>Galeria · posição 5</v>
      </c>
      <c r="G399" s="11" t="str">
        <f aca="false">IF(INDEX(PRODUTOS!$F$4:$F$63,MATCH($A399,PRODUTOS!$B$4:$B$63,0))="Ração",IF(INDEX(PRODUTOS!$I$4:$I$63,MATCH($A399,PRODUTOS!$B$4:$B$63,0))="B",INDEX(MODELOS!$G$3:$G$19,MATCH($D399,MODELOS!$A$3:$A$19,0)),INDEX(MODELOS!$C$3:$C$19,MATCH($D399,MODELOS!$A$3:$A$19,0))),IF(INDEX(PRODUTOS!$I$4:$I$63,MATCH($A399,PRODUTOS!$B$4:$B$63,0))="B",INDEX(MODELOS!$H$3:$H$19,MATCH($D399,MODELOS!$A$3:$A$19,0)),INDEX(MODELOS!$D$3:$D$19,MATCH($D399,MODELOS!$A$3:$A$19,0))))</f>
        <v>Quantidade diária por peso do cão/gato (números idênticos à embalagem)</v>
      </c>
      <c r="H399" s="11" t="str">
        <f aca="false">IF(INDEX(PRODUTOS!$I$4:$I$63,MATCH($A399,PRODUTOS!$B$4:$B$63,0))="B",INDEX(MODELOS!$I$3:$I$19,MATCH($D399,MODELOS!$A$3:$A$19,0)),INDEX(MODELOS!$E$3:$E$19,MATCH($D399,MODELOS!$A$3:$A$19,0)))</f>
        <v>2000 × 2000</v>
      </c>
      <c r="I399" s="11" t="str">
        <f aca="false">INDEX(MODELOS!$J$3:$J$19,MATCH($D399,MODELOS!$A$3:$A$19,0))</f>
        <v>SIM</v>
      </c>
      <c r="J399" s="11" t="str">
        <f aca="false">IF(LEFT($D399,2)&lt;&gt;"AP",IF($I399="SIM","SIM","RECOMENDADA"),IF(INDEX(PRODUTOS!$J$4:$J$63,MATCH($A399,PRODUTOS!$B$4:$B$63,0))&lt;&gt;"","NÃO (usa o A+ do EAN "&amp;INDEX(PRODUTOS!$J$4:$J$63,MATCH($A399,PRODUTOS!$B$4:$B$63,0))&amp;")",IF(AND(INDEX(PRODUTOS!$I$4:$I$63,MATCH($A399,PRODUTOS!$B$4:$B$63,0))="B",$D399="AP07"),"NÃO (modelo B)","SIM")))</f>
        <v>SIM</v>
      </c>
      <c r="K399" s="13" t="s">
        <v>325</v>
      </c>
      <c r="L399" s="13"/>
    </row>
    <row r="400" customFormat="false" ht="15" hidden="false" customHeight="false" outlineLevel="0" collapsed="false">
      <c r="A400" s="15" t="s">
        <v>145</v>
      </c>
      <c r="B400" s="11" t="str">
        <f aca="false">INDEX(PRODUTOS!$E$4:$E$63,MATCH($A400,PRODUTOS!$B$4:$B$63,0))</f>
        <v>Ração Seca Natural Dots para Gatos Adultos - Pacote 11 kg</v>
      </c>
      <c r="C400" s="11" t="str">
        <f aca="false">INDEX(PRODUTOS!$H$4:$H$63,MATCH($A400,PRODUTOS!$B$4:$B$63,0))</f>
        <v>11 kg</v>
      </c>
      <c r="D400" s="11" t="s">
        <v>330</v>
      </c>
      <c r="E400" s="16" t="str">
        <f aca="false">$A400&amp;"."&amp;$D400&amp;".jpg"</f>
        <v>7898968541382.PT05.jpg</v>
      </c>
      <c r="F400" s="11" t="str">
        <f aca="false">IF(INDEX(PRODUTOS!$I$4:$I$63,MATCH($A400,PRODUTOS!$B$4:$B$63,0))="B",INDEX(MODELOS!$F$3:$F$19,MATCH($D400,MODELOS!$A$3:$A$19,0)),INDEX(MODELOS!$B$3:$B$19,MATCH($D400,MODELOS!$A$3:$A$19,0)))</f>
        <v>Galeria · posição 6</v>
      </c>
      <c r="G400" s="11" t="str">
        <f aca="false">IF(INDEX(PRODUTOS!$F$4:$F$63,MATCH($A400,PRODUTOS!$B$4:$B$63,0))="Ração",IF(INDEX(PRODUTOS!$I$4:$I$63,MATCH($A400,PRODUTOS!$B$4:$B$63,0))="B",INDEX(MODELOS!$G$3:$G$19,MATCH($D400,MODELOS!$A$3:$A$19,0)),INDEX(MODELOS!$C$3:$C$19,MATCH($D400,MODELOS!$A$3:$A$19,0))),IF(INDEX(PRODUTOS!$I$4:$I$63,MATCH($A400,PRODUTOS!$B$4:$B$63,0))="B",INDEX(MODELOS!$H$3:$H$19,MATCH($D400,MODELOS!$A$3:$A$19,0)),INDEX(MODELOS!$D$3:$D$19,MATCH($D400,MODELOS!$A$3:$A$19,0))))</f>
        <v>Transição alimentar dia a dia (igual ao verso da embalagem)</v>
      </c>
      <c r="H400" s="11" t="str">
        <f aca="false">IF(INDEX(PRODUTOS!$I$4:$I$63,MATCH($A400,PRODUTOS!$B$4:$B$63,0))="B",INDEX(MODELOS!$I$3:$I$19,MATCH($D400,MODELOS!$A$3:$A$19,0)),INDEX(MODELOS!$E$3:$E$19,MATCH($D400,MODELOS!$A$3:$A$19,0)))</f>
        <v>2000 × 2000</v>
      </c>
      <c r="I400" s="11" t="str">
        <f aca="false">INDEX(MODELOS!$J$3:$J$19,MATCH($D400,MODELOS!$A$3:$A$19,0))</f>
        <v>Recomendada</v>
      </c>
      <c r="J400" s="11" t="str">
        <f aca="false">IF(LEFT($D400,2)&lt;&gt;"AP",IF($I400="SIM","SIM","RECOMENDADA"),IF(INDEX(PRODUTOS!$J$4:$J$63,MATCH($A400,PRODUTOS!$B$4:$B$63,0))&lt;&gt;"","NÃO (usa o A+ do EAN "&amp;INDEX(PRODUTOS!$J$4:$J$63,MATCH($A400,PRODUTOS!$B$4:$B$63,0))&amp;")",IF(AND(INDEX(PRODUTOS!$I$4:$I$63,MATCH($A400,PRODUTOS!$B$4:$B$63,0))="B",$D400="AP07"),"NÃO (modelo B)","SIM")))</f>
        <v>RECOMENDADA</v>
      </c>
      <c r="K400" s="13" t="s">
        <v>325</v>
      </c>
      <c r="L400" s="13"/>
    </row>
    <row r="401" customFormat="false" ht="15" hidden="false" customHeight="false" outlineLevel="0" collapsed="false">
      <c r="A401" s="15" t="s">
        <v>145</v>
      </c>
      <c r="B401" s="11" t="str">
        <f aca="false">INDEX(PRODUTOS!$E$4:$E$63,MATCH($A401,PRODUTOS!$B$4:$B$63,0))</f>
        <v>Ração Seca Natural Dots para Gatos Adultos - Pacote 11 kg</v>
      </c>
      <c r="C401" s="11" t="str">
        <f aca="false">INDEX(PRODUTOS!$H$4:$H$63,MATCH($A401,PRODUTOS!$B$4:$B$63,0))</f>
        <v>11 kg</v>
      </c>
      <c r="D401" s="11" t="s">
        <v>331</v>
      </c>
      <c r="E401" s="16" t="str">
        <f aca="false">$A401&amp;"."&amp;$D401&amp;".jpg"</f>
        <v>7898968541382.PT06.jpg</v>
      </c>
      <c r="F401" s="11" t="str">
        <f aca="false">IF(INDEX(PRODUTOS!$I$4:$I$63,MATCH($A401,PRODUTOS!$B$4:$B$63,0))="B",INDEX(MODELOS!$F$3:$F$19,MATCH($D401,MODELOS!$A$3:$A$19,0)),INDEX(MODELOS!$B$3:$B$19,MATCH($D401,MODELOS!$A$3:$A$19,0)))</f>
        <v>Galeria · posição 7</v>
      </c>
      <c r="G401" s="11" t="str">
        <f aca="false">IF(INDEX(PRODUTOS!$F$4:$F$63,MATCH($A401,PRODUTOS!$B$4:$B$63,0))="Ração",IF(INDEX(PRODUTOS!$I$4:$I$63,MATCH($A401,PRODUTOS!$B$4:$B$63,0))="B",INDEX(MODELOS!$G$3:$G$19,MATCH($D401,MODELOS!$A$3:$A$19,0)),INDEX(MODELOS!$C$3:$C$19,MATCH($D401,MODELOS!$A$3:$A$19,0))),IF(INDEX(PRODUTOS!$I$4:$I$63,MATCH($A401,PRODUTOS!$B$4:$B$63,0))="B",INDEX(MODELOS!$H$3:$H$19,MATCH($D401,MODELOS!$A$3:$A$19,0)),INDEX(MODELOS!$D$3:$D$19,MATCH($D401,MODELOS!$A$3:$A$19,0))))</f>
        <v>Composição e níveis de garantia em letra grande</v>
      </c>
      <c r="H401" s="11" t="str">
        <f aca="false">IF(INDEX(PRODUTOS!$I$4:$I$63,MATCH($A401,PRODUTOS!$B$4:$B$63,0))="B",INDEX(MODELOS!$I$3:$I$19,MATCH($D401,MODELOS!$A$3:$A$19,0)),INDEX(MODELOS!$E$3:$E$19,MATCH($D401,MODELOS!$A$3:$A$19,0)))</f>
        <v>2000 × 2000</v>
      </c>
      <c r="I401" s="11" t="str">
        <f aca="false">INDEX(MODELOS!$J$3:$J$19,MATCH($D401,MODELOS!$A$3:$A$19,0))</f>
        <v>SIM</v>
      </c>
      <c r="J401" s="11" t="str">
        <f aca="false">IF(LEFT($D401,2)&lt;&gt;"AP",IF($I401="SIM","SIM","RECOMENDADA"),IF(INDEX(PRODUTOS!$J$4:$J$63,MATCH($A401,PRODUTOS!$B$4:$B$63,0))&lt;&gt;"","NÃO (usa o A+ do EAN "&amp;INDEX(PRODUTOS!$J$4:$J$63,MATCH($A401,PRODUTOS!$B$4:$B$63,0))&amp;")",IF(AND(INDEX(PRODUTOS!$I$4:$I$63,MATCH($A401,PRODUTOS!$B$4:$B$63,0))="B",$D401="AP07"),"NÃO (modelo B)","SIM")))</f>
        <v>SIM</v>
      </c>
      <c r="K401" s="13" t="s">
        <v>325</v>
      </c>
      <c r="L401" s="13"/>
    </row>
    <row r="402" customFormat="false" ht="15" hidden="false" customHeight="false" outlineLevel="0" collapsed="false">
      <c r="A402" s="15" t="s">
        <v>145</v>
      </c>
      <c r="B402" s="11" t="str">
        <f aca="false">INDEX(PRODUTOS!$E$4:$E$63,MATCH($A402,PRODUTOS!$B$4:$B$63,0))</f>
        <v>Ração Seca Natural Dots para Gatos Adultos - Pacote 11 kg</v>
      </c>
      <c r="C402" s="11" t="str">
        <f aca="false">INDEX(PRODUTOS!$H$4:$H$63,MATCH($A402,PRODUTOS!$B$4:$B$63,0))</f>
        <v>11 kg</v>
      </c>
      <c r="D402" s="11" t="s">
        <v>332</v>
      </c>
      <c r="E402" s="16" t="str">
        <f aca="false">$A402&amp;"."&amp;$D402&amp;".jpg"</f>
        <v>7898968541382.PT07.jpg</v>
      </c>
      <c r="F402" s="11" t="str">
        <f aca="false">IF(INDEX(PRODUTOS!$I$4:$I$63,MATCH($A402,PRODUTOS!$B$4:$B$63,0))="B",INDEX(MODELOS!$F$3:$F$19,MATCH($D402,MODELOS!$A$3:$A$19,0)),INDEX(MODELOS!$B$3:$B$19,MATCH($D402,MODELOS!$A$3:$A$19,0)))</f>
        <v>Galeria · posição 8</v>
      </c>
      <c r="G402" s="11" t="str">
        <f aca="false">IF(INDEX(PRODUTOS!$F$4:$F$63,MATCH($A402,PRODUTOS!$B$4:$B$63,0))="Ração",IF(INDEX(PRODUTOS!$I$4:$I$63,MATCH($A402,PRODUTOS!$B$4:$B$63,0))="B",INDEX(MODELOS!$G$3:$G$19,MATCH($D402,MODELOS!$A$3:$A$19,0)),INDEX(MODELOS!$C$3:$C$19,MATCH($D402,MODELOS!$A$3:$A$19,0))),IF(INDEX(PRODUTOS!$I$4:$I$63,MATCH($A402,PRODUTOS!$B$4:$B$63,0))="B",INDEX(MODELOS!$H$3:$H$19,MATCH($D402,MODELOS!$A$3:$A$19,0)),INDEX(MODELOS!$D$3:$D$19,MATCH($D402,MODELOS!$A$3:$A$19,0))))</f>
        <v>Emocional / momento de uso (pet do porte certo, pote cheio)</v>
      </c>
      <c r="H402" s="11" t="str">
        <f aca="false">IF(INDEX(PRODUTOS!$I$4:$I$63,MATCH($A402,PRODUTOS!$B$4:$B$63,0))="B",INDEX(MODELOS!$I$3:$I$19,MATCH($D402,MODELOS!$A$3:$A$19,0)),INDEX(MODELOS!$E$3:$E$19,MATCH($D402,MODELOS!$A$3:$A$19,0)))</f>
        <v>2000 × 2000</v>
      </c>
      <c r="I402" s="11" t="str">
        <f aca="false">INDEX(MODELOS!$J$3:$J$19,MATCH($D402,MODELOS!$A$3:$A$19,0))</f>
        <v>Recomendada</v>
      </c>
      <c r="J402" s="11" t="str">
        <f aca="false">IF(LEFT($D402,2)&lt;&gt;"AP",IF($I402="SIM","SIM","RECOMENDADA"),IF(INDEX(PRODUTOS!$J$4:$J$63,MATCH($A402,PRODUTOS!$B$4:$B$63,0))&lt;&gt;"","NÃO (usa o A+ do EAN "&amp;INDEX(PRODUTOS!$J$4:$J$63,MATCH($A402,PRODUTOS!$B$4:$B$63,0))&amp;")",IF(AND(INDEX(PRODUTOS!$I$4:$I$63,MATCH($A402,PRODUTOS!$B$4:$B$63,0))="B",$D402="AP07"),"NÃO (modelo B)","SIM")))</f>
        <v>RECOMENDADA</v>
      </c>
      <c r="K402" s="13" t="s">
        <v>325</v>
      </c>
      <c r="L402" s="13"/>
    </row>
    <row r="403" customFormat="false" ht="15" hidden="false" customHeight="false" outlineLevel="0" collapsed="false">
      <c r="A403" s="15" t="s">
        <v>145</v>
      </c>
      <c r="B403" s="11" t="str">
        <f aca="false">INDEX(PRODUTOS!$E$4:$E$63,MATCH($A403,PRODUTOS!$B$4:$B$63,0))</f>
        <v>Ração Seca Natural Dots para Gatos Adultos - Pacote 11 kg</v>
      </c>
      <c r="C403" s="11" t="str">
        <f aca="false">INDEX(PRODUTOS!$H$4:$H$63,MATCH($A403,PRODUTOS!$B$4:$B$63,0))</f>
        <v>11 kg</v>
      </c>
      <c r="D403" s="11" t="s">
        <v>333</v>
      </c>
      <c r="E403" s="16" t="str">
        <f aca="false">$A403&amp;"."&amp;$D403&amp;".jpg"</f>
        <v>7898968541382.PT08.jpg</v>
      </c>
      <c r="F403" s="11" t="str">
        <f aca="false">IF(INDEX(PRODUTOS!$I$4:$I$63,MATCH($A403,PRODUTOS!$B$4:$B$63,0))="B",INDEX(MODELOS!$F$3:$F$19,MATCH($D403,MODELOS!$A$3:$A$19,0)),INDEX(MODELOS!$B$3:$B$19,MATCH($D403,MODELOS!$A$3:$A$19,0)))</f>
        <v>Galeria · posição 9</v>
      </c>
      <c r="G403" s="11" t="str">
        <f aca="false">IF(INDEX(PRODUTOS!$F$4:$F$63,MATCH($A403,PRODUTOS!$B$4:$B$63,0))="Ração",IF(INDEX(PRODUTOS!$I$4:$I$63,MATCH($A403,PRODUTOS!$B$4:$B$63,0))="B",INDEX(MODELOS!$G$3:$G$19,MATCH($D403,MODELOS!$A$3:$A$19,0)),INDEX(MODELOS!$C$3:$C$19,MATCH($D403,MODELOS!$A$3:$A$19,0))),IF(INDEX(PRODUTOS!$I$4:$I$63,MATCH($A403,PRODUTOS!$B$4:$B$63,0))="B",INDEX(MODELOS!$H$3:$H$19,MATCH($D403,MODELOS!$A$3:$A$19,0)),INDEX(MODELOS!$D$3:$D$19,MATCH($D403,MODELOS!$A$3:$A$19,0))))</f>
        <v>Linha da marca ou embalagem anterior × nova</v>
      </c>
      <c r="H403" s="11" t="str">
        <f aca="false">IF(INDEX(PRODUTOS!$I$4:$I$63,MATCH($A403,PRODUTOS!$B$4:$B$63,0))="B",INDEX(MODELOS!$I$3:$I$19,MATCH($D403,MODELOS!$A$3:$A$19,0)),INDEX(MODELOS!$E$3:$E$19,MATCH($D403,MODELOS!$A$3:$A$19,0)))</f>
        <v>2000 × 2000</v>
      </c>
      <c r="I403" s="11" t="str">
        <f aca="false">INDEX(MODELOS!$J$3:$J$19,MATCH($D403,MODELOS!$A$3:$A$19,0))</f>
        <v>Recomendada</v>
      </c>
      <c r="J403" s="11" t="str">
        <f aca="false">IF(LEFT($D403,2)&lt;&gt;"AP",IF($I403="SIM","SIM","RECOMENDADA"),IF(INDEX(PRODUTOS!$J$4:$J$63,MATCH($A403,PRODUTOS!$B$4:$B$63,0))&lt;&gt;"","NÃO (usa o A+ do EAN "&amp;INDEX(PRODUTOS!$J$4:$J$63,MATCH($A403,PRODUTOS!$B$4:$B$63,0))&amp;")",IF(AND(INDEX(PRODUTOS!$I$4:$I$63,MATCH($A403,PRODUTOS!$B$4:$B$63,0))="B",$D403="AP07"),"NÃO (modelo B)","SIM")))</f>
        <v>RECOMENDADA</v>
      </c>
      <c r="K403" s="13" t="s">
        <v>325</v>
      </c>
      <c r="L403" s="13"/>
    </row>
    <row r="404" customFormat="false" ht="15" hidden="false" customHeight="false" outlineLevel="0" collapsed="false">
      <c r="A404" s="15" t="s">
        <v>145</v>
      </c>
      <c r="B404" s="11" t="str">
        <f aca="false">INDEX(PRODUTOS!$E$4:$E$63,MATCH($A404,PRODUTOS!$B$4:$B$63,0))</f>
        <v>Ração Seca Natural Dots para Gatos Adultos - Pacote 11 kg</v>
      </c>
      <c r="C404" s="11" t="str">
        <f aca="false">INDEX(PRODUTOS!$H$4:$H$63,MATCH($A404,PRODUTOS!$B$4:$B$63,0))</f>
        <v>11 kg</v>
      </c>
      <c r="D404" s="11" t="s">
        <v>334</v>
      </c>
      <c r="E404" s="16" t="str">
        <f aca="false">$A404&amp;"."&amp;$D404&amp;".jpg"</f>
        <v>7898968541382.AP01.jpg</v>
      </c>
      <c r="F404" s="11" t="str">
        <f aca="false">IF(INDEX(PRODUTOS!$I$4:$I$63,MATCH($A404,PRODUTOS!$B$4:$B$63,0))="B",INDEX(MODELOS!$F$3:$F$19,MATCH($D404,MODELOS!$A$3:$A$19,0)),INDEX(MODELOS!$B$3:$B$19,MATCH($D404,MODELOS!$A$3:$A$19,0)))</f>
        <v>A+ · Módulo 1 · Banner</v>
      </c>
      <c r="G404" s="11" t="str">
        <f aca="false">IF(INDEX(PRODUTOS!$F$4:$F$63,MATCH($A404,PRODUTOS!$B$4:$B$63,0))="Ração",IF(INDEX(PRODUTOS!$I$4:$I$63,MATCH($A404,PRODUTOS!$B$4:$B$63,0))="B",INDEX(MODELOS!$G$3:$G$19,MATCH($D404,MODELOS!$A$3:$A$19,0)),INDEX(MODELOS!$C$3:$C$19,MATCH($D404,MODELOS!$A$3:$A$19,0))),IF(INDEX(PRODUTOS!$I$4:$I$63,MATCH($A404,PRODUTOS!$B$4:$B$63,0))="B",INDEX(MODELOS!$H$3:$H$19,MATCH($D404,MODELOS!$A$3:$A$19,0)),INDEX(MODELOS!$D$3:$D$19,MATCH($D404,MODELOS!$A$3:$A$19,0))))</f>
        <v>Embalagem + pet + ingredientes, com o nome da linha</v>
      </c>
      <c r="H404" s="11" t="str">
        <f aca="false">IF(INDEX(PRODUTOS!$I$4:$I$63,MATCH($A404,PRODUTOS!$B$4:$B$63,0))="B",INDEX(MODELOS!$I$3:$I$19,MATCH($D404,MODELOS!$A$3:$A$19,0)),INDEX(MODELOS!$E$3:$E$19,MATCH($D404,MODELOS!$A$3:$A$19,0)))</f>
        <v>970 × 600</v>
      </c>
      <c r="I404" s="11" t="str">
        <f aca="false">INDEX(MODELOS!$J$3:$J$19,MATCH($D404,MODELOS!$A$3:$A$19,0))</f>
        <v>Conforme modelo</v>
      </c>
      <c r="J404" s="11" t="str">
        <f aca="false">IF(LEFT($D404,2)&lt;&gt;"AP",IF($I404="SIM","SIM","RECOMENDADA"),IF(INDEX(PRODUTOS!$J$4:$J$63,MATCH($A404,PRODUTOS!$B$4:$B$63,0))&lt;&gt;"","NÃO (usa o A+ do EAN "&amp;INDEX(PRODUTOS!$J$4:$J$63,MATCH($A404,PRODUTOS!$B$4:$B$63,0))&amp;")",IF(AND(INDEX(PRODUTOS!$I$4:$I$63,MATCH($A404,PRODUTOS!$B$4:$B$63,0))="B",$D404="AP07"),"NÃO (modelo B)","SIM")))</f>
        <v>SIM</v>
      </c>
      <c r="K404" s="13" t="s">
        <v>325</v>
      </c>
      <c r="L404" s="13"/>
    </row>
    <row r="405" customFormat="false" ht="15" hidden="false" customHeight="false" outlineLevel="0" collapsed="false">
      <c r="A405" s="15" t="s">
        <v>145</v>
      </c>
      <c r="B405" s="11" t="str">
        <f aca="false">INDEX(PRODUTOS!$E$4:$E$63,MATCH($A405,PRODUTOS!$B$4:$B$63,0))</f>
        <v>Ração Seca Natural Dots para Gatos Adultos - Pacote 11 kg</v>
      </c>
      <c r="C405" s="11" t="str">
        <f aca="false">INDEX(PRODUTOS!$H$4:$H$63,MATCH($A405,PRODUTOS!$B$4:$B$63,0))</f>
        <v>11 kg</v>
      </c>
      <c r="D405" s="11" t="s">
        <v>335</v>
      </c>
      <c r="E405" s="16" t="str">
        <f aca="false">$A405&amp;"."&amp;$D405&amp;".jpg"</f>
        <v>7898968541382.AP02.jpg</v>
      </c>
      <c r="F405" s="11" t="str">
        <f aca="false">IF(INDEX(PRODUTOS!$I$4:$I$63,MATCH($A405,PRODUTOS!$B$4:$B$63,0))="B",INDEX(MODELOS!$F$3:$F$19,MATCH($D405,MODELOS!$A$3:$A$19,0)),INDEX(MODELOS!$B$3:$B$19,MATCH($D405,MODELOS!$A$3:$A$19,0)))</f>
        <v>A+ · Módulo 2 · Texto sobreposto</v>
      </c>
      <c r="G405" s="11" t="str">
        <f aca="false">IF(INDEX(PRODUTOS!$F$4:$F$63,MATCH($A405,PRODUTOS!$B$4:$B$63,0))="Ração",IF(INDEX(PRODUTOS!$I$4:$I$63,MATCH($A405,PRODUTOS!$B$4:$B$63,0))="B",INDEX(MODELOS!$G$3:$G$19,MATCH($D405,MODELOS!$A$3:$A$19,0)),INDEX(MODELOS!$C$3:$C$19,MATCH($D405,MODELOS!$A$3:$A$19,0))),IF(INDEX(PRODUTOS!$I$4:$I$63,MATCH($A405,PRODUTOS!$B$4:$B$63,0))="B",INDEX(MODELOS!$H$3:$H$19,MATCH($D405,MODELOS!$A$3:$A$19,0)),INDEX(MODELOS!$D$3:$D$19,MATCH($D405,MODELOS!$A$3:$A$19,0))))</f>
        <v>Principal diferencial; deixar o lado direito limpo</v>
      </c>
      <c r="H405" s="11" t="str">
        <f aca="false">IF(INDEX(PRODUTOS!$I$4:$I$63,MATCH($A405,PRODUTOS!$B$4:$B$63,0))="B",INDEX(MODELOS!$I$3:$I$19,MATCH($D405,MODELOS!$A$3:$A$19,0)),INDEX(MODELOS!$E$3:$E$19,MATCH($D405,MODELOS!$A$3:$A$19,0)))</f>
        <v>970 × 300</v>
      </c>
      <c r="I405" s="11" t="str">
        <f aca="false">INDEX(MODELOS!$J$3:$J$19,MATCH($D405,MODELOS!$A$3:$A$19,0))</f>
        <v>Conforme modelo</v>
      </c>
      <c r="J405" s="11" t="str">
        <f aca="false">IF(LEFT($D405,2)&lt;&gt;"AP",IF($I405="SIM","SIM","RECOMENDADA"),IF(INDEX(PRODUTOS!$J$4:$J$63,MATCH($A405,PRODUTOS!$B$4:$B$63,0))&lt;&gt;"","NÃO (usa o A+ do EAN "&amp;INDEX(PRODUTOS!$J$4:$J$63,MATCH($A405,PRODUTOS!$B$4:$B$63,0))&amp;")",IF(AND(INDEX(PRODUTOS!$I$4:$I$63,MATCH($A405,PRODUTOS!$B$4:$B$63,0))="B",$D405="AP07"),"NÃO (modelo B)","SIM")))</f>
        <v>SIM</v>
      </c>
      <c r="K405" s="13" t="s">
        <v>325</v>
      </c>
      <c r="L405" s="13"/>
    </row>
    <row r="406" customFormat="false" ht="15" hidden="false" customHeight="false" outlineLevel="0" collapsed="false">
      <c r="A406" s="15" t="s">
        <v>145</v>
      </c>
      <c r="B406" s="11" t="str">
        <f aca="false">INDEX(PRODUTOS!$E$4:$E$63,MATCH($A406,PRODUTOS!$B$4:$B$63,0))</f>
        <v>Ração Seca Natural Dots para Gatos Adultos - Pacote 11 kg</v>
      </c>
      <c r="C406" s="11" t="str">
        <f aca="false">INDEX(PRODUTOS!$H$4:$H$63,MATCH($A406,PRODUTOS!$B$4:$B$63,0))</f>
        <v>11 kg</v>
      </c>
      <c r="D406" s="11" t="s">
        <v>336</v>
      </c>
      <c r="E406" s="16" t="str">
        <f aca="false">$A406&amp;"."&amp;$D406&amp;".jpg"</f>
        <v>7898968541382.AP03.jpg</v>
      </c>
      <c r="F406" s="11" t="str">
        <f aca="false">IF(INDEX(PRODUTOS!$I$4:$I$63,MATCH($A406,PRODUTOS!$B$4:$B$63,0))="B",INDEX(MODELOS!$F$3:$F$19,MATCH($D406,MODELOS!$A$3:$A$19,0)),INDEX(MODELOS!$B$3:$B$19,MATCH($D406,MODELOS!$A$3:$A$19,0)))</f>
        <v>A+ · Módulo 3 · Benefício 1 de 4</v>
      </c>
      <c r="G406" s="11" t="str">
        <f aca="false">IF(INDEX(PRODUTOS!$F$4:$F$63,MATCH($A406,PRODUTOS!$B$4:$B$63,0))="Ração",IF(INDEX(PRODUTOS!$I$4:$I$63,MATCH($A406,PRODUTOS!$B$4:$B$63,0))="B",INDEX(MODELOS!$G$3:$G$19,MATCH($D406,MODELOS!$A$3:$A$19,0)),INDEX(MODELOS!$C$3:$C$19,MATCH($D406,MODELOS!$A$3:$A$19,0))),IF(INDEX(PRODUTOS!$I$4:$I$63,MATCH($A406,PRODUTOS!$B$4:$B$63,0))="B",INDEX(MODELOS!$H$3:$H$19,MATCH($D406,MODELOS!$A$3:$A$19,0)),INDEX(MODELOS!$D$3:$D$19,MATCH($D406,MODELOS!$A$3:$A$19,0))))</f>
        <v>Foto/ilustração do benefício 1</v>
      </c>
      <c r="H406" s="11" t="str">
        <f aca="false">IF(INDEX(PRODUTOS!$I$4:$I$63,MATCH($A406,PRODUTOS!$B$4:$B$63,0))="B",INDEX(MODELOS!$I$3:$I$19,MATCH($D406,MODELOS!$A$3:$A$19,0)),INDEX(MODELOS!$E$3:$E$19,MATCH($D406,MODELOS!$A$3:$A$19,0)))</f>
        <v>220 × 200</v>
      </c>
      <c r="I406" s="11" t="str">
        <f aca="false">INDEX(MODELOS!$J$3:$J$19,MATCH($D406,MODELOS!$A$3:$A$19,0))</f>
        <v>Conforme modelo</v>
      </c>
      <c r="J406" s="11" t="str">
        <f aca="false">IF(LEFT($D406,2)&lt;&gt;"AP",IF($I406="SIM","SIM","RECOMENDADA"),IF(INDEX(PRODUTOS!$J$4:$J$63,MATCH($A406,PRODUTOS!$B$4:$B$63,0))&lt;&gt;"","NÃO (usa o A+ do EAN "&amp;INDEX(PRODUTOS!$J$4:$J$63,MATCH($A406,PRODUTOS!$B$4:$B$63,0))&amp;")",IF(AND(INDEX(PRODUTOS!$I$4:$I$63,MATCH($A406,PRODUTOS!$B$4:$B$63,0))="B",$D406="AP07"),"NÃO (modelo B)","SIM")))</f>
        <v>SIM</v>
      </c>
      <c r="K406" s="13" t="s">
        <v>325</v>
      </c>
      <c r="L406" s="13"/>
    </row>
    <row r="407" customFormat="false" ht="15" hidden="false" customHeight="false" outlineLevel="0" collapsed="false">
      <c r="A407" s="15" t="s">
        <v>145</v>
      </c>
      <c r="B407" s="11" t="str">
        <f aca="false">INDEX(PRODUTOS!$E$4:$E$63,MATCH($A407,PRODUTOS!$B$4:$B$63,0))</f>
        <v>Ração Seca Natural Dots para Gatos Adultos - Pacote 11 kg</v>
      </c>
      <c r="C407" s="11" t="str">
        <f aca="false">INDEX(PRODUTOS!$H$4:$H$63,MATCH($A407,PRODUTOS!$B$4:$B$63,0))</f>
        <v>11 kg</v>
      </c>
      <c r="D407" s="11" t="s">
        <v>337</v>
      </c>
      <c r="E407" s="16" t="str">
        <f aca="false">$A407&amp;"."&amp;$D407&amp;".jpg"</f>
        <v>7898968541382.AP04.jpg</v>
      </c>
      <c r="F407" s="11" t="str">
        <f aca="false">IF(INDEX(PRODUTOS!$I$4:$I$63,MATCH($A407,PRODUTOS!$B$4:$B$63,0))="B",INDEX(MODELOS!$F$3:$F$19,MATCH($D407,MODELOS!$A$3:$A$19,0)),INDEX(MODELOS!$B$3:$B$19,MATCH($D407,MODELOS!$A$3:$A$19,0)))</f>
        <v>A+ · Módulo 3 · Benefício 2 de 4</v>
      </c>
      <c r="G407" s="11" t="str">
        <f aca="false">IF(INDEX(PRODUTOS!$F$4:$F$63,MATCH($A407,PRODUTOS!$B$4:$B$63,0))="Ração",IF(INDEX(PRODUTOS!$I$4:$I$63,MATCH($A407,PRODUTOS!$B$4:$B$63,0))="B",INDEX(MODELOS!$G$3:$G$19,MATCH($D407,MODELOS!$A$3:$A$19,0)),INDEX(MODELOS!$C$3:$C$19,MATCH($D407,MODELOS!$A$3:$A$19,0))),IF(INDEX(PRODUTOS!$I$4:$I$63,MATCH($A407,PRODUTOS!$B$4:$B$63,0))="B",INDEX(MODELOS!$H$3:$H$19,MATCH($D407,MODELOS!$A$3:$A$19,0)),INDEX(MODELOS!$D$3:$D$19,MATCH($D407,MODELOS!$A$3:$A$19,0))))</f>
        <v>Foto/ilustração do benefício 2</v>
      </c>
      <c r="H407" s="11" t="str">
        <f aca="false">IF(INDEX(PRODUTOS!$I$4:$I$63,MATCH($A407,PRODUTOS!$B$4:$B$63,0))="B",INDEX(MODELOS!$I$3:$I$19,MATCH($D407,MODELOS!$A$3:$A$19,0)),INDEX(MODELOS!$E$3:$E$19,MATCH($D407,MODELOS!$A$3:$A$19,0)))</f>
        <v>220 × 200</v>
      </c>
      <c r="I407" s="11" t="str">
        <f aca="false">INDEX(MODELOS!$J$3:$J$19,MATCH($D407,MODELOS!$A$3:$A$19,0))</f>
        <v>Conforme modelo</v>
      </c>
      <c r="J407" s="11" t="str">
        <f aca="false">IF(LEFT($D407,2)&lt;&gt;"AP",IF($I407="SIM","SIM","RECOMENDADA"),IF(INDEX(PRODUTOS!$J$4:$J$63,MATCH($A407,PRODUTOS!$B$4:$B$63,0))&lt;&gt;"","NÃO (usa o A+ do EAN "&amp;INDEX(PRODUTOS!$J$4:$J$63,MATCH($A407,PRODUTOS!$B$4:$B$63,0))&amp;")",IF(AND(INDEX(PRODUTOS!$I$4:$I$63,MATCH($A407,PRODUTOS!$B$4:$B$63,0))="B",$D407="AP07"),"NÃO (modelo B)","SIM")))</f>
        <v>SIM</v>
      </c>
      <c r="K407" s="13" t="s">
        <v>325</v>
      </c>
      <c r="L407" s="13"/>
    </row>
    <row r="408" customFormat="false" ht="15" hidden="false" customHeight="false" outlineLevel="0" collapsed="false">
      <c r="A408" s="15" t="s">
        <v>145</v>
      </c>
      <c r="B408" s="11" t="str">
        <f aca="false">INDEX(PRODUTOS!$E$4:$E$63,MATCH($A408,PRODUTOS!$B$4:$B$63,0))</f>
        <v>Ração Seca Natural Dots para Gatos Adultos - Pacote 11 kg</v>
      </c>
      <c r="C408" s="11" t="str">
        <f aca="false">INDEX(PRODUTOS!$H$4:$H$63,MATCH($A408,PRODUTOS!$B$4:$B$63,0))</f>
        <v>11 kg</v>
      </c>
      <c r="D408" s="11" t="s">
        <v>338</v>
      </c>
      <c r="E408" s="16" t="str">
        <f aca="false">$A408&amp;"."&amp;$D408&amp;".jpg"</f>
        <v>7898968541382.AP05.jpg</v>
      </c>
      <c r="F408" s="11" t="str">
        <f aca="false">IF(INDEX(PRODUTOS!$I$4:$I$63,MATCH($A408,PRODUTOS!$B$4:$B$63,0))="B",INDEX(MODELOS!$F$3:$F$19,MATCH($D408,MODELOS!$A$3:$A$19,0)),INDEX(MODELOS!$B$3:$B$19,MATCH($D408,MODELOS!$A$3:$A$19,0)))</f>
        <v>A+ · Módulo 3 · Benefício 3 de 4</v>
      </c>
      <c r="G408" s="11" t="str">
        <f aca="false">IF(INDEX(PRODUTOS!$F$4:$F$63,MATCH($A408,PRODUTOS!$B$4:$B$63,0))="Ração",IF(INDEX(PRODUTOS!$I$4:$I$63,MATCH($A408,PRODUTOS!$B$4:$B$63,0))="B",INDEX(MODELOS!$G$3:$G$19,MATCH($D408,MODELOS!$A$3:$A$19,0)),INDEX(MODELOS!$C$3:$C$19,MATCH($D408,MODELOS!$A$3:$A$19,0))),IF(INDEX(PRODUTOS!$I$4:$I$63,MATCH($A408,PRODUTOS!$B$4:$B$63,0))="B",INDEX(MODELOS!$H$3:$H$19,MATCH($D408,MODELOS!$A$3:$A$19,0)),INDEX(MODELOS!$D$3:$D$19,MATCH($D408,MODELOS!$A$3:$A$19,0))))</f>
        <v>Foto/ilustração do benefício 3</v>
      </c>
      <c r="H408" s="11" t="str">
        <f aca="false">IF(INDEX(PRODUTOS!$I$4:$I$63,MATCH($A408,PRODUTOS!$B$4:$B$63,0))="B",INDEX(MODELOS!$I$3:$I$19,MATCH($D408,MODELOS!$A$3:$A$19,0)),INDEX(MODELOS!$E$3:$E$19,MATCH($D408,MODELOS!$A$3:$A$19,0)))</f>
        <v>220 × 200</v>
      </c>
      <c r="I408" s="11" t="str">
        <f aca="false">INDEX(MODELOS!$J$3:$J$19,MATCH($D408,MODELOS!$A$3:$A$19,0))</f>
        <v>Conforme modelo</v>
      </c>
      <c r="J408" s="11" t="str">
        <f aca="false">IF(LEFT($D408,2)&lt;&gt;"AP",IF($I408="SIM","SIM","RECOMENDADA"),IF(INDEX(PRODUTOS!$J$4:$J$63,MATCH($A408,PRODUTOS!$B$4:$B$63,0))&lt;&gt;"","NÃO (usa o A+ do EAN "&amp;INDEX(PRODUTOS!$J$4:$J$63,MATCH($A408,PRODUTOS!$B$4:$B$63,0))&amp;")",IF(AND(INDEX(PRODUTOS!$I$4:$I$63,MATCH($A408,PRODUTOS!$B$4:$B$63,0))="B",$D408="AP07"),"NÃO (modelo B)","SIM")))</f>
        <v>SIM</v>
      </c>
      <c r="K408" s="13" t="s">
        <v>325</v>
      </c>
      <c r="L408" s="13"/>
    </row>
    <row r="409" customFormat="false" ht="15" hidden="false" customHeight="false" outlineLevel="0" collapsed="false">
      <c r="A409" s="15" t="s">
        <v>145</v>
      </c>
      <c r="B409" s="11" t="str">
        <f aca="false">INDEX(PRODUTOS!$E$4:$E$63,MATCH($A409,PRODUTOS!$B$4:$B$63,0))</f>
        <v>Ração Seca Natural Dots para Gatos Adultos - Pacote 11 kg</v>
      </c>
      <c r="C409" s="11" t="str">
        <f aca="false">INDEX(PRODUTOS!$H$4:$H$63,MATCH($A409,PRODUTOS!$B$4:$B$63,0))</f>
        <v>11 kg</v>
      </c>
      <c r="D409" s="11" t="s">
        <v>339</v>
      </c>
      <c r="E409" s="16" t="str">
        <f aca="false">$A409&amp;"."&amp;$D409&amp;".jpg"</f>
        <v>7898968541382.AP06.jpg</v>
      </c>
      <c r="F409" s="11" t="str">
        <f aca="false">IF(INDEX(PRODUTOS!$I$4:$I$63,MATCH($A409,PRODUTOS!$B$4:$B$63,0))="B",INDEX(MODELOS!$F$3:$F$19,MATCH($D409,MODELOS!$A$3:$A$19,0)),INDEX(MODELOS!$B$3:$B$19,MATCH($D409,MODELOS!$A$3:$A$19,0)))</f>
        <v>A+ · Módulo 3 · Benefício 4 de 4</v>
      </c>
      <c r="G409" s="11" t="str">
        <f aca="false">IF(INDEX(PRODUTOS!$F$4:$F$63,MATCH($A409,PRODUTOS!$B$4:$B$63,0))="Ração",IF(INDEX(PRODUTOS!$I$4:$I$63,MATCH($A409,PRODUTOS!$B$4:$B$63,0))="B",INDEX(MODELOS!$G$3:$G$19,MATCH($D409,MODELOS!$A$3:$A$19,0)),INDEX(MODELOS!$C$3:$C$19,MATCH($D409,MODELOS!$A$3:$A$19,0))),IF(INDEX(PRODUTOS!$I$4:$I$63,MATCH($A409,PRODUTOS!$B$4:$B$63,0))="B",INDEX(MODELOS!$H$3:$H$19,MATCH($D409,MODELOS!$A$3:$A$19,0)),INDEX(MODELOS!$D$3:$D$19,MATCH($D409,MODELOS!$A$3:$A$19,0))))</f>
        <v>Foto/ilustração do benefício 4</v>
      </c>
      <c r="H409" s="11" t="str">
        <f aca="false">IF(INDEX(PRODUTOS!$I$4:$I$63,MATCH($A409,PRODUTOS!$B$4:$B$63,0))="B",INDEX(MODELOS!$I$3:$I$19,MATCH($D409,MODELOS!$A$3:$A$19,0)),INDEX(MODELOS!$E$3:$E$19,MATCH($D409,MODELOS!$A$3:$A$19,0)))</f>
        <v>220 × 200</v>
      </c>
      <c r="I409" s="11" t="str">
        <f aca="false">INDEX(MODELOS!$J$3:$J$19,MATCH($D409,MODELOS!$A$3:$A$19,0))</f>
        <v>Conforme modelo</v>
      </c>
      <c r="J409" s="11" t="str">
        <f aca="false">IF(LEFT($D409,2)&lt;&gt;"AP",IF($I409="SIM","SIM","RECOMENDADA"),IF(INDEX(PRODUTOS!$J$4:$J$63,MATCH($A409,PRODUTOS!$B$4:$B$63,0))&lt;&gt;"","NÃO (usa o A+ do EAN "&amp;INDEX(PRODUTOS!$J$4:$J$63,MATCH($A409,PRODUTOS!$B$4:$B$63,0))&amp;")",IF(AND(INDEX(PRODUTOS!$I$4:$I$63,MATCH($A409,PRODUTOS!$B$4:$B$63,0))="B",$D409="AP07"),"NÃO (modelo B)","SIM")))</f>
        <v>SIM</v>
      </c>
      <c r="K409" s="13" t="s">
        <v>325</v>
      </c>
      <c r="L409" s="13"/>
    </row>
    <row r="410" customFormat="false" ht="15" hidden="false" customHeight="false" outlineLevel="0" collapsed="false">
      <c r="A410" s="15" t="s">
        <v>145</v>
      </c>
      <c r="B410" s="11" t="str">
        <f aca="false">INDEX(PRODUTOS!$E$4:$E$63,MATCH($A410,PRODUTOS!$B$4:$B$63,0))</f>
        <v>Ração Seca Natural Dots para Gatos Adultos - Pacote 11 kg</v>
      </c>
      <c r="C410" s="11" t="str">
        <f aca="false">INDEX(PRODUTOS!$H$4:$H$63,MATCH($A410,PRODUTOS!$B$4:$B$63,0))</f>
        <v>11 kg</v>
      </c>
      <c r="D410" s="11" t="s">
        <v>340</v>
      </c>
      <c r="E410" s="16" t="str">
        <f aca="false">$A410&amp;"."&amp;$D410&amp;".jpg"</f>
        <v>7898968541382.AP07.jpg</v>
      </c>
      <c r="F410" s="11" t="str">
        <f aca="false">IF(INDEX(PRODUTOS!$I$4:$I$63,MATCH($A410,PRODUTOS!$B$4:$B$63,0))="B",INDEX(MODELOS!$F$3:$F$19,MATCH($D410,MODELOS!$A$3:$A$19,0)),INDEX(MODELOS!$B$3:$B$19,MATCH($D410,MODELOS!$A$3:$A$19,0)))</f>
        <v>A+ · Módulo 4 · Especificações</v>
      </c>
      <c r="G410" s="11" t="str">
        <f aca="false">IF(INDEX(PRODUTOS!$F$4:$F$63,MATCH($A410,PRODUTOS!$B$4:$B$63,0))="Ração",IF(INDEX(PRODUTOS!$I$4:$I$63,MATCH($A410,PRODUTOS!$B$4:$B$63,0))="B",INDEX(MODELOS!$G$3:$G$19,MATCH($D410,MODELOS!$A$3:$A$19,0)),INDEX(MODELOS!$C$3:$C$19,MATCH($D410,MODELOS!$A$3:$A$19,0))),IF(INDEX(PRODUTOS!$I$4:$I$63,MATCH($A410,PRODUTOS!$B$4:$B$63,0))="B",INDEX(MODELOS!$H$3:$H$19,MATCH($D410,MODELOS!$A$3:$A$19,0)),INDEX(MODELOS!$D$3:$D$19,MATCH($D410,MODELOS!$A$3:$A$19,0))))</f>
        <v>Grão ou pacote em destaque</v>
      </c>
      <c r="H410" s="11" t="str">
        <f aca="false">IF(INDEX(PRODUTOS!$I$4:$I$63,MATCH($A410,PRODUTOS!$B$4:$B$63,0))="B",INDEX(MODELOS!$I$3:$I$19,MATCH($D410,MODELOS!$A$3:$A$19,0)),INDEX(MODELOS!$E$3:$E$19,MATCH($D410,MODELOS!$A$3:$A$19,0)))</f>
        <v>300 × 300</v>
      </c>
      <c r="I410" s="11" t="str">
        <f aca="false">INDEX(MODELOS!$J$3:$J$19,MATCH($D410,MODELOS!$A$3:$A$19,0))</f>
        <v>Conforme modelo</v>
      </c>
      <c r="J410" s="11" t="str">
        <f aca="false">IF(LEFT($D410,2)&lt;&gt;"AP",IF($I410="SIM","SIM","RECOMENDADA"),IF(INDEX(PRODUTOS!$J$4:$J$63,MATCH($A410,PRODUTOS!$B$4:$B$63,0))&lt;&gt;"","NÃO (usa o A+ do EAN "&amp;INDEX(PRODUTOS!$J$4:$J$63,MATCH($A410,PRODUTOS!$B$4:$B$63,0))&amp;")",IF(AND(INDEX(PRODUTOS!$I$4:$I$63,MATCH($A410,PRODUTOS!$B$4:$B$63,0))="B",$D410="AP07"),"NÃO (modelo B)","SIM")))</f>
        <v>SIM</v>
      </c>
      <c r="K410" s="13" t="s">
        <v>325</v>
      </c>
      <c r="L410" s="13"/>
    </row>
    <row r="411" customFormat="false" ht="15" hidden="false" customHeight="false" outlineLevel="0" collapsed="false">
      <c r="A411" s="15" t="s">
        <v>145</v>
      </c>
      <c r="B411" s="11" t="str">
        <f aca="false">INDEX(PRODUTOS!$E$4:$E$63,MATCH($A411,PRODUTOS!$B$4:$B$63,0))</f>
        <v>Ração Seca Natural Dots para Gatos Adultos - Pacote 11 kg</v>
      </c>
      <c r="C411" s="11" t="str">
        <f aca="false">INDEX(PRODUTOS!$H$4:$H$63,MATCH($A411,PRODUTOS!$B$4:$B$63,0))</f>
        <v>11 kg</v>
      </c>
      <c r="D411" s="11" t="s">
        <v>341</v>
      </c>
      <c r="E411" s="16" t="str">
        <f aca="false">$A411&amp;"."&amp;$D411&amp;".jpg"</f>
        <v>7898968541382.COMP.jpg</v>
      </c>
      <c r="F411" s="11" t="str">
        <f aca="false">IF(INDEX(PRODUTOS!$I$4:$I$63,MATCH($A411,PRODUTOS!$B$4:$B$63,0))="B",INDEX(MODELOS!$F$3:$F$19,MATCH($D411,MODELOS!$A$3:$A$19,0)),INDEX(MODELOS!$B$3:$B$19,MATCH($D411,MODELOS!$A$3:$A$19,0)))</f>
        <v>A+ · Tabela comparativa</v>
      </c>
      <c r="G411" s="11" t="str">
        <f aca="false">IF(INDEX(PRODUTOS!$F$4:$F$63,MATCH($A411,PRODUTOS!$B$4:$B$63,0))="Ração",IF(INDEX(PRODUTOS!$I$4:$I$63,MATCH($A411,PRODUTOS!$B$4:$B$63,0))="B",INDEX(MODELOS!$G$3:$G$19,MATCH($D411,MODELOS!$A$3:$A$19,0)),INDEX(MODELOS!$C$3:$C$19,MATCH($D411,MODELOS!$A$3:$A$19,0))),IF(INDEX(PRODUTOS!$I$4:$I$63,MATCH($A411,PRODUTOS!$B$4:$B$63,0))="B",INDEX(MODELOS!$H$3:$H$19,MATCH($D411,MODELOS!$A$3:$A$19,0)),INDEX(MODELOS!$D$3:$D$19,MATCH($D411,MODELOS!$A$3:$A$19,0))))</f>
        <v>Pacote na vertical, sem fundo colorido</v>
      </c>
      <c r="H411" s="11" t="str">
        <f aca="false">IF(INDEX(PRODUTOS!$I$4:$I$63,MATCH($A411,PRODUTOS!$B$4:$B$63,0))="B",INDEX(MODELOS!$I$3:$I$19,MATCH($D411,MODELOS!$A$3:$A$19,0)),INDEX(MODELOS!$E$3:$E$19,MATCH($D411,MODELOS!$A$3:$A$19,0)))</f>
        <v>150 × 300</v>
      </c>
      <c r="I411" s="11" t="str">
        <f aca="false">INDEX(MODELOS!$J$3:$J$19,MATCH($D411,MODELOS!$A$3:$A$19,0))</f>
        <v>SIM</v>
      </c>
      <c r="J411" s="11" t="str">
        <f aca="false">IF(LEFT($D411,2)&lt;&gt;"AP",IF($I411="SIM","SIM","RECOMENDADA"),IF(INDEX(PRODUTOS!$J$4:$J$63,MATCH($A411,PRODUTOS!$B$4:$B$63,0))&lt;&gt;"","NÃO (usa o A+ do EAN "&amp;INDEX(PRODUTOS!$J$4:$J$63,MATCH($A411,PRODUTOS!$B$4:$B$63,0))&amp;")",IF(AND(INDEX(PRODUTOS!$I$4:$I$63,MATCH($A411,PRODUTOS!$B$4:$B$63,0))="B",$D411="AP07"),"NÃO (modelo B)","SIM")))</f>
        <v>SIM</v>
      </c>
      <c r="K411" s="13" t="s">
        <v>325</v>
      </c>
      <c r="L411" s="13"/>
    </row>
    <row r="412" customFormat="false" ht="15" hidden="false" customHeight="false" outlineLevel="0" collapsed="false">
      <c r="A412" s="15" t="s">
        <v>150</v>
      </c>
      <c r="B412" s="11" t="str">
        <f aca="false">INDEX(PRODUTOS!$E$4:$E$63,MATCH($A412,PRODUTOS!$B$4:$B$63,0))</f>
        <v>Ração Seca Natural Dots para Gatos Adultos - Pacote 1 kg</v>
      </c>
      <c r="C412" s="11" t="str">
        <f aca="false">INDEX(PRODUTOS!$H$4:$H$63,MATCH($A412,PRODUTOS!$B$4:$B$63,0))</f>
        <v>1 kg</v>
      </c>
      <c r="D412" s="11" t="s">
        <v>324</v>
      </c>
      <c r="E412" s="16" t="str">
        <f aca="false">$A412&amp;"."&amp;$D412&amp;".jpg"</f>
        <v>7898968541368.MAIN.jpg</v>
      </c>
      <c r="F412" s="11" t="str">
        <f aca="false">IF(INDEX(PRODUTOS!$I$4:$I$63,MATCH($A412,PRODUTOS!$B$4:$B$63,0))="B",INDEX(MODELOS!$F$3:$F$19,MATCH($D412,MODELOS!$A$3:$A$19,0)),INDEX(MODELOS!$B$3:$B$19,MATCH($D412,MODELOS!$A$3:$A$19,0)))</f>
        <v>Capa (posição 1)</v>
      </c>
      <c r="G412" s="11" t="str">
        <f aca="false">IF(INDEX(PRODUTOS!$F$4:$F$63,MATCH($A412,PRODUTOS!$B$4:$B$63,0))="Ração",IF(INDEX(PRODUTOS!$I$4:$I$63,MATCH($A412,PRODUTOS!$B$4:$B$63,0))="B",INDEX(MODELOS!$G$3:$G$19,MATCH($D412,MODELOS!$A$3:$A$19,0)),INDEX(MODELOS!$C$3:$C$19,MATCH($D412,MODELOS!$A$3:$A$19,0))),IF(INDEX(PRODUTOS!$I$4:$I$63,MATCH($A412,PRODUTOS!$B$4:$B$63,0))="B",INDEX(MODELOS!$H$3:$H$19,MATCH($D412,MODELOS!$A$3:$A$19,0)),INDEX(MODELOS!$D$3:$D$19,MATCH($D412,MODELOS!$A$3:$A$19,0))))</f>
        <v>Embalagem de frente, fundo branco puro, 85% da área, nada adicionado</v>
      </c>
      <c r="H412" s="11" t="str">
        <f aca="false">IF(INDEX(PRODUTOS!$I$4:$I$63,MATCH($A412,PRODUTOS!$B$4:$B$63,0))="B",INDEX(MODELOS!$I$3:$I$19,MATCH($D412,MODELOS!$A$3:$A$19,0)),INDEX(MODELOS!$E$3:$E$19,MATCH($D412,MODELOS!$A$3:$A$19,0)))</f>
        <v>2000 × 2000</v>
      </c>
      <c r="I412" s="11" t="str">
        <f aca="false">INDEX(MODELOS!$J$3:$J$19,MATCH($D412,MODELOS!$A$3:$A$19,0))</f>
        <v>SIM</v>
      </c>
      <c r="J412" s="11" t="str">
        <f aca="false">IF(LEFT($D412,2)&lt;&gt;"AP",IF($I412="SIM","SIM","RECOMENDADA"),IF(INDEX(PRODUTOS!$J$4:$J$63,MATCH($A412,PRODUTOS!$B$4:$B$63,0))&lt;&gt;"","NÃO (usa o A+ do EAN "&amp;INDEX(PRODUTOS!$J$4:$J$63,MATCH($A412,PRODUTOS!$B$4:$B$63,0))&amp;")",IF(AND(INDEX(PRODUTOS!$I$4:$I$63,MATCH($A412,PRODUTOS!$B$4:$B$63,0))="B",$D412="AP07"),"NÃO (modelo B)","SIM")))</f>
        <v>SIM</v>
      </c>
      <c r="K412" s="13" t="s">
        <v>325</v>
      </c>
      <c r="L412" s="13"/>
    </row>
    <row r="413" customFormat="false" ht="15" hidden="false" customHeight="false" outlineLevel="0" collapsed="false">
      <c r="A413" s="15" t="s">
        <v>150</v>
      </c>
      <c r="B413" s="11" t="str">
        <f aca="false">INDEX(PRODUTOS!$E$4:$E$63,MATCH($A413,PRODUTOS!$B$4:$B$63,0))</f>
        <v>Ração Seca Natural Dots para Gatos Adultos - Pacote 1 kg</v>
      </c>
      <c r="C413" s="11" t="str">
        <f aca="false">INDEX(PRODUTOS!$H$4:$H$63,MATCH($A413,PRODUTOS!$B$4:$B$63,0))</f>
        <v>1 kg</v>
      </c>
      <c r="D413" s="11" t="s">
        <v>326</v>
      </c>
      <c r="E413" s="16" t="str">
        <f aca="false">$A413&amp;"."&amp;$D413&amp;".jpg"</f>
        <v>7898968541368.PT01.jpg</v>
      </c>
      <c r="F413" s="11" t="str">
        <f aca="false">IF(INDEX(PRODUTOS!$I$4:$I$63,MATCH($A413,PRODUTOS!$B$4:$B$63,0))="B",INDEX(MODELOS!$F$3:$F$19,MATCH($D413,MODELOS!$A$3:$A$19,0)),INDEX(MODELOS!$B$3:$B$19,MATCH($D413,MODELOS!$A$3:$A$19,0)))</f>
        <v>Galeria · posição 2</v>
      </c>
      <c r="G413" s="11" t="str">
        <f aca="false">IF(INDEX(PRODUTOS!$F$4:$F$63,MATCH($A413,PRODUTOS!$B$4:$B$63,0))="Ração",IF(INDEX(PRODUTOS!$I$4:$I$63,MATCH($A413,PRODUTOS!$B$4:$B$63,0))="B",INDEX(MODELOS!$G$3:$G$19,MATCH($D413,MODELOS!$A$3:$A$19,0)),INDEX(MODELOS!$C$3:$C$19,MATCH($D413,MODELOS!$A$3:$A$19,0))),IF(INDEX(PRODUTOS!$I$4:$I$63,MATCH($A413,PRODUTOS!$B$4:$B$63,0))="B",INDEX(MODELOS!$H$3:$H$19,MATCH($D413,MODELOS!$A$3:$A$19,0)),INDEX(MODELOS!$D$3:$D$19,MATCH($D413,MODELOS!$A$3:$A$19,0))))</f>
        <v>Grande diferencial da linha (número ou promessa forte + grão e ingrediente)</v>
      </c>
      <c r="H413" s="11" t="str">
        <f aca="false">IF(INDEX(PRODUTOS!$I$4:$I$63,MATCH($A413,PRODUTOS!$B$4:$B$63,0))="B",INDEX(MODELOS!$I$3:$I$19,MATCH($D413,MODELOS!$A$3:$A$19,0)),INDEX(MODELOS!$E$3:$E$19,MATCH($D413,MODELOS!$A$3:$A$19,0)))</f>
        <v>2000 × 2000</v>
      </c>
      <c r="I413" s="11" t="str">
        <f aca="false">INDEX(MODELOS!$J$3:$J$19,MATCH($D413,MODELOS!$A$3:$A$19,0))</f>
        <v>SIM</v>
      </c>
      <c r="J413" s="11" t="str">
        <f aca="false">IF(LEFT($D413,2)&lt;&gt;"AP",IF($I413="SIM","SIM","RECOMENDADA"),IF(INDEX(PRODUTOS!$J$4:$J$63,MATCH($A413,PRODUTOS!$B$4:$B$63,0))&lt;&gt;"","NÃO (usa o A+ do EAN "&amp;INDEX(PRODUTOS!$J$4:$J$63,MATCH($A413,PRODUTOS!$B$4:$B$63,0))&amp;")",IF(AND(INDEX(PRODUTOS!$I$4:$I$63,MATCH($A413,PRODUTOS!$B$4:$B$63,0))="B",$D413="AP07"),"NÃO (modelo B)","SIM")))</f>
        <v>SIM</v>
      </c>
      <c r="K413" s="13" t="s">
        <v>325</v>
      </c>
      <c r="L413" s="13"/>
    </row>
    <row r="414" customFormat="false" ht="15" hidden="false" customHeight="false" outlineLevel="0" collapsed="false">
      <c r="A414" s="15" t="s">
        <v>150</v>
      </c>
      <c r="B414" s="11" t="str">
        <f aca="false">INDEX(PRODUTOS!$E$4:$E$63,MATCH($A414,PRODUTOS!$B$4:$B$63,0))</f>
        <v>Ração Seca Natural Dots para Gatos Adultos - Pacote 1 kg</v>
      </c>
      <c r="C414" s="11" t="str">
        <f aca="false">INDEX(PRODUTOS!$H$4:$H$63,MATCH($A414,PRODUTOS!$B$4:$B$63,0))</f>
        <v>1 kg</v>
      </c>
      <c r="D414" s="11" t="s">
        <v>327</v>
      </c>
      <c r="E414" s="16" t="str">
        <f aca="false">$A414&amp;"."&amp;$D414&amp;".jpg"</f>
        <v>7898968541368.PT02.jpg</v>
      </c>
      <c r="F414" s="11" t="str">
        <f aca="false">IF(INDEX(PRODUTOS!$I$4:$I$63,MATCH($A414,PRODUTOS!$B$4:$B$63,0))="B",INDEX(MODELOS!$F$3:$F$19,MATCH($D414,MODELOS!$A$3:$A$19,0)),INDEX(MODELOS!$B$3:$B$19,MATCH($D414,MODELOS!$A$3:$A$19,0)))</f>
        <v>Galeria · posição 3</v>
      </c>
      <c r="G414" s="11" t="str">
        <f aca="false">IF(INDEX(PRODUTOS!$F$4:$F$63,MATCH($A414,PRODUTOS!$B$4:$B$63,0))="Ração",IF(INDEX(PRODUTOS!$I$4:$I$63,MATCH($A414,PRODUTOS!$B$4:$B$63,0))="B",INDEX(MODELOS!$G$3:$G$19,MATCH($D414,MODELOS!$A$3:$A$19,0)),INDEX(MODELOS!$C$3:$C$19,MATCH($D414,MODELOS!$A$3:$A$19,0))),IF(INDEX(PRODUTOS!$I$4:$I$63,MATCH($A414,PRODUTOS!$B$4:$B$63,0))="B",INDEX(MODELOS!$H$3:$H$19,MATCH($D414,MODELOS!$A$3:$A$19,0)),INDEX(MODELOS!$D$3:$D$19,MATCH($D414,MODELOS!$A$3:$A$19,0))))</f>
        <v>Benefícios com ícones (4 a 6, impressos na embalagem) + ingrediente</v>
      </c>
      <c r="H414" s="11" t="str">
        <f aca="false">IF(INDEX(PRODUTOS!$I$4:$I$63,MATCH($A414,PRODUTOS!$B$4:$B$63,0))="B",INDEX(MODELOS!$I$3:$I$19,MATCH($D414,MODELOS!$A$3:$A$19,0)),INDEX(MODELOS!$E$3:$E$19,MATCH($D414,MODELOS!$A$3:$A$19,0)))</f>
        <v>2000 × 2000</v>
      </c>
      <c r="I414" s="11" t="str">
        <f aca="false">INDEX(MODELOS!$J$3:$J$19,MATCH($D414,MODELOS!$A$3:$A$19,0))</f>
        <v>SIM</v>
      </c>
      <c r="J414" s="11" t="str">
        <f aca="false">IF(LEFT($D414,2)&lt;&gt;"AP",IF($I414="SIM","SIM","RECOMENDADA"),IF(INDEX(PRODUTOS!$J$4:$J$63,MATCH($A414,PRODUTOS!$B$4:$B$63,0))&lt;&gt;"","NÃO (usa o A+ do EAN "&amp;INDEX(PRODUTOS!$J$4:$J$63,MATCH($A414,PRODUTOS!$B$4:$B$63,0))&amp;")",IF(AND(INDEX(PRODUTOS!$I$4:$I$63,MATCH($A414,PRODUTOS!$B$4:$B$63,0))="B",$D414="AP07"),"NÃO (modelo B)","SIM")))</f>
        <v>SIM</v>
      </c>
      <c r="K414" s="13" t="s">
        <v>325</v>
      </c>
      <c r="L414" s="13"/>
    </row>
    <row r="415" customFormat="false" ht="15" hidden="false" customHeight="false" outlineLevel="0" collapsed="false">
      <c r="A415" s="15" t="s">
        <v>150</v>
      </c>
      <c r="B415" s="11" t="str">
        <f aca="false">INDEX(PRODUTOS!$E$4:$E$63,MATCH($A415,PRODUTOS!$B$4:$B$63,0))</f>
        <v>Ração Seca Natural Dots para Gatos Adultos - Pacote 1 kg</v>
      </c>
      <c r="C415" s="11" t="str">
        <f aca="false">INDEX(PRODUTOS!$H$4:$H$63,MATCH($A415,PRODUTOS!$B$4:$B$63,0))</f>
        <v>1 kg</v>
      </c>
      <c r="D415" s="11" t="s">
        <v>328</v>
      </c>
      <c r="E415" s="16" t="str">
        <f aca="false">$A415&amp;"."&amp;$D415&amp;".jpg"</f>
        <v>7898968541368.PT03.jpg</v>
      </c>
      <c r="F415" s="11" t="str">
        <f aca="false">IF(INDEX(PRODUTOS!$I$4:$I$63,MATCH($A415,PRODUTOS!$B$4:$B$63,0))="B",INDEX(MODELOS!$F$3:$F$19,MATCH($D415,MODELOS!$A$3:$A$19,0)),INDEX(MODELOS!$B$3:$B$19,MATCH($D415,MODELOS!$A$3:$A$19,0)))</f>
        <v>Galeria · posição 4</v>
      </c>
      <c r="G415" s="11" t="str">
        <f aca="false">IF(INDEX(PRODUTOS!$F$4:$F$63,MATCH($A415,PRODUTOS!$B$4:$B$63,0))="Ração",IF(INDEX(PRODUTOS!$I$4:$I$63,MATCH($A415,PRODUTOS!$B$4:$B$63,0))="B",INDEX(MODELOS!$G$3:$G$19,MATCH($D415,MODELOS!$A$3:$A$19,0)),INDEX(MODELOS!$C$3:$C$19,MATCH($D415,MODELOS!$A$3:$A$19,0))),IF(INDEX(PRODUTOS!$I$4:$I$63,MATCH($A415,PRODUTOS!$B$4:$B$63,0))="B",INDEX(MODELOS!$H$3:$H$19,MATCH($D415,MODELOS!$A$3:$A$19,0)),INDEX(MODELOS!$D$3:$D$19,MATCH($D415,MODELOS!$A$3:$A$19,0))))</f>
        <v>Formato e tamanho do grão, com medida em mm e referência de tamanho</v>
      </c>
      <c r="H415" s="11" t="str">
        <f aca="false">IF(INDEX(PRODUTOS!$I$4:$I$63,MATCH($A415,PRODUTOS!$B$4:$B$63,0))="B",INDEX(MODELOS!$I$3:$I$19,MATCH($D415,MODELOS!$A$3:$A$19,0)),INDEX(MODELOS!$E$3:$E$19,MATCH($D415,MODELOS!$A$3:$A$19,0)))</f>
        <v>2000 × 2000</v>
      </c>
      <c r="I415" s="11" t="str">
        <f aca="false">INDEX(MODELOS!$J$3:$J$19,MATCH($D415,MODELOS!$A$3:$A$19,0))</f>
        <v>SIM</v>
      </c>
      <c r="J415" s="11" t="str">
        <f aca="false">IF(LEFT($D415,2)&lt;&gt;"AP",IF($I415="SIM","SIM","RECOMENDADA"),IF(INDEX(PRODUTOS!$J$4:$J$63,MATCH($A415,PRODUTOS!$B$4:$B$63,0))&lt;&gt;"","NÃO (usa o A+ do EAN "&amp;INDEX(PRODUTOS!$J$4:$J$63,MATCH($A415,PRODUTOS!$B$4:$B$63,0))&amp;")",IF(AND(INDEX(PRODUTOS!$I$4:$I$63,MATCH($A415,PRODUTOS!$B$4:$B$63,0))="B",$D415="AP07"),"NÃO (modelo B)","SIM")))</f>
        <v>SIM</v>
      </c>
      <c r="K415" s="13" t="s">
        <v>325</v>
      </c>
      <c r="L415" s="13"/>
    </row>
    <row r="416" customFormat="false" ht="15" hidden="false" customHeight="false" outlineLevel="0" collapsed="false">
      <c r="A416" s="15" t="s">
        <v>150</v>
      </c>
      <c r="B416" s="11" t="str">
        <f aca="false">INDEX(PRODUTOS!$E$4:$E$63,MATCH($A416,PRODUTOS!$B$4:$B$63,0))</f>
        <v>Ração Seca Natural Dots para Gatos Adultos - Pacote 1 kg</v>
      </c>
      <c r="C416" s="11" t="str">
        <f aca="false">INDEX(PRODUTOS!$H$4:$H$63,MATCH($A416,PRODUTOS!$B$4:$B$63,0))</f>
        <v>1 kg</v>
      </c>
      <c r="D416" s="11" t="s">
        <v>329</v>
      </c>
      <c r="E416" s="16" t="str">
        <f aca="false">$A416&amp;"."&amp;$D416&amp;".jpg"</f>
        <v>7898968541368.PT04.jpg</v>
      </c>
      <c r="F416" s="11" t="str">
        <f aca="false">IF(INDEX(PRODUTOS!$I$4:$I$63,MATCH($A416,PRODUTOS!$B$4:$B$63,0))="B",INDEX(MODELOS!$F$3:$F$19,MATCH($D416,MODELOS!$A$3:$A$19,0)),INDEX(MODELOS!$B$3:$B$19,MATCH($D416,MODELOS!$A$3:$A$19,0)))</f>
        <v>Galeria · posição 5</v>
      </c>
      <c r="G416" s="11" t="str">
        <f aca="false">IF(INDEX(PRODUTOS!$F$4:$F$63,MATCH($A416,PRODUTOS!$B$4:$B$63,0))="Ração",IF(INDEX(PRODUTOS!$I$4:$I$63,MATCH($A416,PRODUTOS!$B$4:$B$63,0))="B",INDEX(MODELOS!$G$3:$G$19,MATCH($D416,MODELOS!$A$3:$A$19,0)),INDEX(MODELOS!$C$3:$C$19,MATCH($D416,MODELOS!$A$3:$A$19,0))),IF(INDEX(PRODUTOS!$I$4:$I$63,MATCH($A416,PRODUTOS!$B$4:$B$63,0))="B",INDEX(MODELOS!$H$3:$H$19,MATCH($D416,MODELOS!$A$3:$A$19,0)),INDEX(MODELOS!$D$3:$D$19,MATCH($D416,MODELOS!$A$3:$A$19,0))))</f>
        <v>Quantidade diária por peso do cão/gato (números idênticos à embalagem)</v>
      </c>
      <c r="H416" s="11" t="str">
        <f aca="false">IF(INDEX(PRODUTOS!$I$4:$I$63,MATCH($A416,PRODUTOS!$B$4:$B$63,0))="B",INDEX(MODELOS!$I$3:$I$19,MATCH($D416,MODELOS!$A$3:$A$19,0)),INDEX(MODELOS!$E$3:$E$19,MATCH($D416,MODELOS!$A$3:$A$19,0)))</f>
        <v>2000 × 2000</v>
      </c>
      <c r="I416" s="11" t="str">
        <f aca="false">INDEX(MODELOS!$J$3:$J$19,MATCH($D416,MODELOS!$A$3:$A$19,0))</f>
        <v>SIM</v>
      </c>
      <c r="J416" s="11" t="str">
        <f aca="false">IF(LEFT($D416,2)&lt;&gt;"AP",IF($I416="SIM","SIM","RECOMENDADA"),IF(INDEX(PRODUTOS!$J$4:$J$63,MATCH($A416,PRODUTOS!$B$4:$B$63,0))&lt;&gt;"","NÃO (usa o A+ do EAN "&amp;INDEX(PRODUTOS!$J$4:$J$63,MATCH($A416,PRODUTOS!$B$4:$B$63,0))&amp;")",IF(AND(INDEX(PRODUTOS!$I$4:$I$63,MATCH($A416,PRODUTOS!$B$4:$B$63,0))="B",$D416="AP07"),"NÃO (modelo B)","SIM")))</f>
        <v>SIM</v>
      </c>
      <c r="K416" s="13" t="s">
        <v>325</v>
      </c>
      <c r="L416" s="13"/>
    </row>
    <row r="417" customFormat="false" ht="15" hidden="false" customHeight="false" outlineLevel="0" collapsed="false">
      <c r="A417" s="15" t="s">
        <v>150</v>
      </c>
      <c r="B417" s="11" t="str">
        <f aca="false">INDEX(PRODUTOS!$E$4:$E$63,MATCH($A417,PRODUTOS!$B$4:$B$63,0))</f>
        <v>Ração Seca Natural Dots para Gatos Adultos - Pacote 1 kg</v>
      </c>
      <c r="C417" s="11" t="str">
        <f aca="false">INDEX(PRODUTOS!$H$4:$H$63,MATCH($A417,PRODUTOS!$B$4:$B$63,0))</f>
        <v>1 kg</v>
      </c>
      <c r="D417" s="11" t="s">
        <v>330</v>
      </c>
      <c r="E417" s="16" t="str">
        <f aca="false">$A417&amp;"."&amp;$D417&amp;".jpg"</f>
        <v>7898968541368.PT05.jpg</v>
      </c>
      <c r="F417" s="11" t="str">
        <f aca="false">IF(INDEX(PRODUTOS!$I$4:$I$63,MATCH($A417,PRODUTOS!$B$4:$B$63,0))="B",INDEX(MODELOS!$F$3:$F$19,MATCH($D417,MODELOS!$A$3:$A$19,0)),INDEX(MODELOS!$B$3:$B$19,MATCH($D417,MODELOS!$A$3:$A$19,0)))</f>
        <v>Galeria · posição 6</v>
      </c>
      <c r="G417" s="11" t="str">
        <f aca="false">IF(INDEX(PRODUTOS!$F$4:$F$63,MATCH($A417,PRODUTOS!$B$4:$B$63,0))="Ração",IF(INDEX(PRODUTOS!$I$4:$I$63,MATCH($A417,PRODUTOS!$B$4:$B$63,0))="B",INDEX(MODELOS!$G$3:$G$19,MATCH($D417,MODELOS!$A$3:$A$19,0)),INDEX(MODELOS!$C$3:$C$19,MATCH($D417,MODELOS!$A$3:$A$19,0))),IF(INDEX(PRODUTOS!$I$4:$I$63,MATCH($A417,PRODUTOS!$B$4:$B$63,0))="B",INDEX(MODELOS!$H$3:$H$19,MATCH($D417,MODELOS!$A$3:$A$19,0)),INDEX(MODELOS!$D$3:$D$19,MATCH($D417,MODELOS!$A$3:$A$19,0))))</f>
        <v>Transição alimentar dia a dia (igual ao verso da embalagem)</v>
      </c>
      <c r="H417" s="11" t="str">
        <f aca="false">IF(INDEX(PRODUTOS!$I$4:$I$63,MATCH($A417,PRODUTOS!$B$4:$B$63,0))="B",INDEX(MODELOS!$I$3:$I$19,MATCH($D417,MODELOS!$A$3:$A$19,0)),INDEX(MODELOS!$E$3:$E$19,MATCH($D417,MODELOS!$A$3:$A$19,0)))</f>
        <v>2000 × 2000</v>
      </c>
      <c r="I417" s="11" t="str">
        <f aca="false">INDEX(MODELOS!$J$3:$J$19,MATCH($D417,MODELOS!$A$3:$A$19,0))</f>
        <v>Recomendada</v>
      </c>
      <c r="J417" s="11" t="str">
        <f aca="false">IF(LEFT($D417,2)&lt;&gt;"AP",IF($I417="SIM","SIM","RECOMENDADA"),IF(INDEX(PRODUTOS!$J$4:$J$63,MATCH($A417,PRODUTOS!$B$4:$B$63,0))&lt;&gt;"","NÃO (usa o A+ do EAN "&amp;INDEX(PRODUTOS!$J$4:$J$63,MATCH($A417,PRODUTOS!$B$4:$B$63,0))&amp;")",IF(AND(INDEX(PRODUTOS!$I$4:$I$63,MATCH($A417,PRODUTOS!$B$4:$B$63,0))="B",$D417="AP07"),"NÃO (modelo B)","SIM")))</f>
        <v>RECOMENDADA</v>
      </c>
      <c r="K417" s="13" t="s">
        <v>325</v>
      </c>
      <c r="L417" s="13"/>
    </row>
    <row r="418" customFormat="false" ht="15" hidden="false" customHeight="false" outlineLevel="0" collapsed="false">
      <c r="A418" s="15" t="s">
        <v>150</v>
      </c>
      <c r="B418" s="11" t="str">
        <f aca="false">INDEX(PRODUTOS!$E$4:$E$63,MATCH($A418,PRODUTOS!$B$4:$B$63,0))</f>
        <v>Ração Seca Natural Dots para Gatos Adultos - Pacote 1 kg</v>
      </c>
      <c r="C418" s="11" t="str">
        <f aca="false">INDEX(PRODUTOS!$H$4:$H$63,MATCH($A418,PRODUTOS!$B$4:$B$63,0))</f>
        <v>1 kg</v>
      </c>
      <c r="D418" s="11" t="s">
        <v>331</v>
      </c>
      <c r="E418" s="16" t="str">
        <f aca="false">$A418&amp;"."&amp;$D418&amp;".jpg"</f>
        <v>7898968541368.PT06.jpg</v>
      </c>
      <c r="F418" s="11" t="str">
        <f aca="false">IF(INDEX(PRODUTOS!$I$4:$I$63,MATCH($A418,PRODUTOS!$B$4:$B$63,0))="B",INDEX(MODELOS!$F$3:$F$19,MATCH($D418,MODELOS!$A$3:$A$19,0)),INDEX(MODELOS!$B$3:$B$19,MATCH($D418,MODELOS!$A$3:$A$19,0)))</f>
        <v>Galeria · posição 7</v>
      </c>
      <c r="G418" s="11" t="str">
        <f aca="false">IF(INDEX(PRODUTOS!$F$4:$F$63,MATCH($A418,PRODUTOS!$B$4:$B$63,0))="Ração",IF(INDEX(PRODUTOS!$I$4:$I$63,MATCH($A418,PRODUTOS!$B$4:$B$63,0))="B",INDEX(MODELOS!$G$3:$G$19,MATCH($D418,MODELOS!$A$3:$A$19,0)),INDEX(MODELOS!$C$3:$C$19,MATCH($D418,MODELOS!$A$3:$A$19,0))),IF(INDEX(PRODUTOS!$I$4:$I$63,MATCH($A418,PRODUTOS!$B$4:$B$63,0))="B",INDEX(MODELOS!$H$3:$H$19,MATCH($D418,MODELOS!$A$3:$A$19,0)),INDEX(MODELOS!$D$3:$D$19,MATCH($D418,MODELOS!$A$3:$A$19,0))))</f>
        <v>Composição e níveis de garantia em letra grande</v>
      </c>
      <c r="H418" s="11" t="str">
        <f aca="false">IF(INDEX(PRODUTOS!$I$4:$I$63,MATCH($A418,PRODUTOS!$B$4:$B$63,0))="B",INDEX(MODELOS!$I$3:$I$19,MATCH($D418,MODELOS!$A$3:$A$19,0)),INDEX(MODELOS!$E$3:$E$19,MATCH($D418,MODELOS!$A$3:$A$19,0)))</f>
        <v>2000 × 2000</v>
      </c>
      <c r="I418" s="11" t="str">
        <f aca="false">INDEX(MODELOS!$J$3:$J$19,MATCH($D418,MODELOS!$A$3:$A$19,0))</f>
        <v>SIM</v>
      </c>
      <c r="J418" s="11" t="str">
        <f aca="false">IF(LEFT($D418,2)&lt;&gt;"AP",IF($I418="SIM","SIM","RECOMENDADA"),IF(INDEX(PRODUTOS!$J$4:$J$63,MATCH($A418,PRODUTOS!$B$4:$B$63,0))&lt;&gt;"","NÃO (usa o A+ do EAN "&amp;INDEX(PRODUTOS!$J$4:$J$63,MATCH($A418,PRODUTOS!$B$4:$B$63,0))&amp;")",IF(AND(INDEX(PRODUTOS!$I$4:$I$63,MATCH($A418,PRODUTOS!$B$4:$B$63,0))="B",$D418="AP07"),"NÃO (modelo B)","SIM")))</f>
        <v>SIM</v>
      </c>
      <c r="K418" s="13" t="s">
        <v>325</v>
      </c>
      <c r="L418" s="13"/>
    </row>
    <row r="419" customFormat="false" ht="15" hidden="false" customHeight="false" outlineLevel="0" collapsed="false">
      <c r="A419" s="15" t="s">
        <v>150</v>
      </c>
      <c r="B419" s="11" t="str">
        <f aca="false">INDEX(PRODUTOS!$E$4:$E$63,MATCH($A419,PRODUTOS!$B$4:$B$63,0))</f>
        <v>Ração Seca Natural Dots para Gatos Adultos - Pacote 1 kg</v>
      </c>
      <c r="C419" s="11" t="str">
        <f aca="false">INDEX(PRODUTOS!$H$4:$H$63,MATCH($A419,PRODUTOS!$B$4:$B$63,0))</f>
        <v>1 kg</v>
      </c>
      <c r="D419" s="11" t="s">
        <v>332</v>
      </c>
      <c r="E419" s="16" t="str">
        <f aca="false">$A419&amp;"."&amp;$D419&amp;".jpg"</f>
        <v>7898968541368.PT07.jpg</v>
      </c>
      <c r="F419" s="11" t="str">
        <f aca="false">IF(INDEX(PRODUTOS!$I$4:$I$63,MATCH($A419,PRODUTOS!$B$4:$B$63,0))="B",INDEX(MODELOS!$F$3:$F$19,MATCH($D419,MODELOS!$A$3:$A$19,0)),INDEX(MODELOS!$B$3:$B$19,MATCH($D419,MODELOS!$A$3:$A$19,0)))</f>
        <v>Galeria · posição 8</v>
      </c>
      <c r="G419" s="11" t="str">
        <f aca="false">IF(INDEX(PRODUTOS!$F$4:$F$63,MATCH($A419,PRODUTOS!$B$4:$B$63,0))="Ração",IF(INDEX(PRODUTOS!$I$4:$I$63,MATCH($A419,PRODUTOS!$B$4:$B$63,0))="B",INDEX(MODELOS!$G$3:$G$19,MATCH($D419,MODELOS!$A$3:$A$19,0)),INDEX(MODELOS!$C$3:$C$19,MATCH($D419,MODELOS!$A$3:$A$19,0))),IF(INDEX(PRODUTOS!$I$4:$I$63,MATCH($A419,PRODUTOS!$B$4:$B$63,0))="B",INDEX(MODELOS!$H$3:$H$19,MATCH($D419,MODELOS!$A$3:$A$19,0)),INDEX(MODELOS!$D$3:$D$19,MATCH($D419,MODELOS!$A$3:$A$19,0))))</f>
        <v>Emocional / momento de uso (pet do porte certo, pote cheio)</v>
      </c>
      <c r="H419" s="11" t="str">
        <f aca="false">IF(INDEX(PRODUTOS!$I$4:$I$63,MATCH($A419,PRODUTOS!$B$4:$B$63,0))="B",INDEX(MODELOS!$I$3:$I$19,MATCH($D419,MODELOS!$A$3:$A$19,0)),INDEX(MODELOS!$E$3:$E$19,MATCH($D419,MODELOS!$A$3:$A$19,0)))</f>
        <v>2000 × 2000</v>
      </c>
      <c r="I419" s="11" t="str">
        <f aca="false">INDEX(MODELOS!$J$3:$J$19,MATCH($D419,MODELOS!$A$3:$A$19,0))</f>
        <v>Recomendada</v>
      </c>
      <c r="J419" s="11" t="str">
        <f aca="false">IF(LEFT($D419,2)&lt;&gt;"AP",IF($I419="SIM","SIM","RECOMENDADA"),IF(INDEX(PRODUTOS!$J$4:$J$63,MATCH($A419,PRODUTOS!$B$4:$B$63,0))&lt;&gt;"","NÃO (usa o A+ do EAN "&amp;INDEX(PRODUTOS!$J$4:$J$63,MATCH($A419,PRODUTOS!$B$4:$B$63,0))&amp;")",IF(AND(INDEX(PRODUTOS!$I$4:$I$63,MATCH($A419,PRODUTOS!$B$4:$B$63,0))="B",$D419="AP07"),"NÃO (modelo B)","SIM")))</f>
        <v>RECOMENDADA</v>
      </c>
      <c r="K419" s="13" t="s">
        <v>325</v>
      </c>
      <c r="L419" s="13"/>
    </row>
    <row r="420" customFormat="false" ht="15" hidden="false" customHeight="false" outlineLevel="0" collapsed="false">
      <c r="A420" s="15" t="s">
        <v>150</v>
      </c>
      <c r="B420" s="11" t="str">
        <f aca="false">INDEX(PRODUTOS!$E$4:$E$63,MATCH($A420,PRODUTOS!$B$4:$B$63,0))</f>
        <v>Ração Seca Natural Dots para Gatos Adultos - Pacote 1 kg</v>
      </c>
      <c r="C420" s="11" t="str">
        <f aca="false">INDEX(PRODUTOS!$H$4:$H$63,MATCH($A420,PRODUTOS!$B$4:$B$63,0))</f>
        <v>1 kg</v>
      </c>
      <c r="D420" s="11" t="s">
        <v>333</v>
      </c>
      <c r="E420" s="16" t="str">
        <f aca="false">$A420&amp;"."&amp;$D420&amp;".jpg"</f>
        <v>7898968541368.PT08.jpg</v>
      </c>
      <c r="F420" s="11" t="str">
        <f aca="false">IF(INDEX(PRODUTOS!$I$4:$I$63,MATCH($A420,PRODUTOS!$B$4:$B$63,0))="B",INDEX(MODELOS!$F$3:$F$19,MATCH($D420,MODELOS!$A$3:$A$19,0)),INDEX(MODELOS!$B$3:$B$19,MATCH($D420,MODELOS!$A$3:$A$19,0)))</f>
        <v>Galeria · posição 9</v>
      </c>
      <c r="G420" s="11" t="str">
        <f aca="false">IF(INDEX(PRODUTOS!$F$4:$F$63,MATCH($A420,PRODUTOS!$B$4:$B$63,0))="Ração",IF(INDEX(PRODUTOS!$I$4:$I$63,MATCH($A420,PRODUTOS!$B$4:$B$63,0))="B",INDEX(MODELOS!$G$3:$G$19,MATCH($D420,MODELOS!$A$3:$A$19,0)),INDEX(MODELOS!$C$3:$C$19,MATCH($D420,MODELOS!$A$3:$A$19,0))),IF(INDEX(PRODUTOS!$I$4:$I$63,MATCH($A420,PRODUTOS!$B$4:$B$63,0))="B",INDEX(MODELOS!$H$3:$H$19,MATCH($D420,MODELOS!$A$3:$A$19,0)),INDEX(MODELOS!$D$3:$D$19,MATCH($D420,MODELOS!$A$3:$A$19,0))))</f>
        <v>Linha da marca ou embalagem anterior × nova</v>
      </c>
      <c r="H420" s="11" t="str">
        <f aca="false">IF(INDEX(PRODUTOS!$I$4:$I$63,MATCH($A420,PRODUTOS!$B$4:$B$63,0))="B",INDEX(MODELOS!$I$3:$I$19,MATCH($D420,MODELOS!$A$3:$A$19,0)),INDEX(MODELOS!$E$3:$E$19,MATCH($D420,MODELOS!$A$3:$A$19,0)))</f>
        <v>2000 × 2000</v>
      </c>
      <c r="I420" s="11" t="str">
        <f aca="false">INDEX(MODELOS!$J$3:$J$19,MATCH($D420,MODELOS!$A$3:$A$19,0))</f>
        <v>Recomendada</v>
      </c>
      <c r="J420" s="11" t="str">
        <f aca="false">IF(LEFT($D420,2)&lt;&gt;"AP",IF($I420="SIM","SIM","RECOMENDADA"),IF(INDEX(PRODUTOS!$J$4:$J$63,MATCH($A420,PRODUTOS!$B$4:$B$63,0))&lt;&gt;"","NÃO (usa o A+ do EAN "&amp;INDEX(PRODUTOS!$J$4:$J$63,MATCH($A420,PRODUTOS!$B$4:$B$63,0))&amp;")",IF(AND(INDEX(PRODUTOS!$I$4:$I$63,MATCH($A420,PRODUTOS!$B$4:$B$63,0))="B",$D420="AP07"),"NÃO (modelo B)","SIM")))</f>
        <v>RECOMENDADA</v>
      </c>
      <c r="K420" s="13" t="s">
        <v>325</v>
      </c>
      <c r="L420" s="13"/>
    </row>
    <row r="421" customFormat="false" ht="15" hidden="false" customHeight="false" outlineLevel="0" collapsed="false">
      <c r="A421" s="15" t="s">
        <v>150</v>
      </c>
      <c r="B421" s="11" t="str">
        <f aca="false">INDEX(PRODUTOS!$E$4:$E$63,MATCH($A421,PRODUTOS!$B$4:$B$63,0))</f>
        <v>Ração Seca Natural Dots para Gatos Adultos - Pacote 1 kg</v>
      </c>
      <c r="C421" s="11" t="str">
        <f aca="false">INDEX(PRODUTOS!$H$4:$H$63,MATCH($A421,PRODUTOS!$B$4:$B$63,0))</f>
        <v>1 kg</v>
      </c>
      <c r="D421" s="11" t="s">
        <v>334</v>
      </c>
      <c r="E421" s="16" t="str">
        <f aca="false">$A421&amp;"."&amp;$D421&amp;".jpg"</f>
        <v>7898968541368.AP01.jpg</v>
      </c>
      <c r="F421" s="11" t="str">
        <f aca="false">IF(INDEX(PRODUTOS!$I$4:$I$63,MATCH($A421,PRODUTOS!$B$4:$B$63,0))="B",INDEX(MODELOS!$F$3:$F$19,MATCH($D421,MODELOS!$A$3:$A$19,0)),INDEX(MODELOS!$B$3:$B$19,MATCH($D421,MODELOS!$A$3:$A$19,0)))</f>
        <v>A+ · Módulo 1 · Banner</v>
      </c>
      <c r="G421" s="11" t="str">
        <f aca="false">IF(INDEX(PRODUTOS!$F$4:$F$63,MATCH($A421,PRODUTOS!$B$4:$B$63,0))="Ração",IF(INDEX(PRODUTOS!$I$4:$I$63,MATCH($A421,PRODUTOS!$B$4:$B$63,0))="B",INDEX(MODELOS!$G$3:$G$19,MATCH($D421,MODELOS!$A$3:$A$19,0)),INDEX(MODELOS!$C$3:$C$19,MATCH($D421,MODELOS!$A$3:$A$19,0))),IF(INDEX(PRODUTOS!$I$4:$I$63,MATCH($A421,PRODUTOS!$B$4:$B$63,0))="B",INDEX(MODELOS!$H$3:$H$19,MATCH($D421,MODELOS!$A$3:$A$19,0)),INDEX(MODELOS!$D$3:$D$19,MATCH($D421,MODELOS!$A$3:$A$19,0))))</f>
        <v>Embalagem + pet + ingredientes, com o nome da linha</v>
      </c>
      <c r="H421" s="11" t="str">
        <f aca="false">IF(INDEX(PRODUTOS!$I$4:$I$63,MATCH($A421,PRODUTOS!$B$4:$B$63,0))="B",INDEX(MODELOS!$I$3:$I$19,MATCH($D421,MODELOS!$A$3:$A$19,0)),INDEX(MODELOS!$E$3:$E$19,MATCH($D421,MODELOS!$A$3:$A$19,0)))</f>
        <v>970 × 600</v>
      </c>
      <c r="I421" s="11" t="str">
        <f aca="false">INDEX(MODELOS!$J$3:$J$19,MATCH($D421,MODELOS!$A$3:$A$19,0))</f>
        <v>Conforme modelo</v>
      </c>
      <c r="J421" s="11" t="str">
        <f aca="false">IF(LEFT($D421,2)&lt;&gt;"AP",IF($I421="SIM","SIM","RECOMENDADA"),IF(INDEX(PRODUTOS!$J$4:$J$63,MATCH($A421,PRODUTOS!$B$4:$B$63,0))&lt;&gt;"","NÃO (usa o A+ do EAN "&amp;INDEX(PRODUTOS!$J$4:$J$63,MATCH($A421,PRODUTOS!$B$4:$B$63,0))&amp;")",IF(AND(INDEX(PRODUTOS!$I$4:$I$63,MATCH($A421,PRODUTOS!$B$4:$B$63,0))="B",$D421="AP07"),"NÃO (modelo B)","SIM")))</f>
        <v>NÃO (usa o A+ do EAN 7898968541382)</v>
      </c>
      <c r="K421" s="13" t="s">
        <v>325</v>
      </c>
      <c r="L421" s="13"/>
    </row>
    <row r="422" customFormat="false" ht="15" hidden="false" customHeight="false" outlineLevel="0" collapsed="false">
      <c r="A422" s="15" t="s">
        <v>150</v>
      </c>
      <c r="B422" s="11" t="str">
        <f aca="false">INDEX(PRODUTOS!$E$4:$E$63,MATCH($A422,PRODUTOS!$B$4:$B$63,0))</f>
        <v>Ração Seca Natural Dots para Gatos Adultos - Pacote 1 kg</v>
      </c>
      <c r="C422" s="11" t="str">
        <f aca="false">INDEX(PRODUTOS!$H$4:$H$63,MATCH($A422,PRODUTOS!$B$4:$B$63,0))</f>
        <v>1 kg</v>
      </c>
      <c r="D422" s="11" t="s">
        <v>335</v>
      </c>
      <c r="E422" s="16" t="str">
        <f aca="false">$A422&amp;"."&amp;$D422&amp;".jpg"</f>
        <v>7898968541368.AP02.jpg</v>
      </c>
      <c r="F422" s="11" t="str">
        <f aca="false">IF(INDEX(PRODUTOS!$I$4:$I$63,MATCH($A422,PRODUTOS!$B$4:$B$63,0))="B",INDEX(MODELOS!$F$3:$F$19,MATCH($D422,MODELOS!$A$3:$A$19,0)),INDEX(MODELOS!$B$3:$B$19,MATCH($D422,MODELOS!$A$3:$A$19,0)))</f>
        <v>A+ · Módulo 2 · Texto sobreposto</v>
      </c>
      <c r="G422" s="11" t="str">
        <f aca="false">IF(INDEX(PRODUTOS!$F$4:$F$63,MATCH($A422,PRODUTOS!$B$4:$B$63,0))="Ração",IF(INDEX(PRODUTOS!$I$4:$I$63,MATCH($A422,PRODUTOS!$B$4:$B$63,0))="B",INDEX(MODELOS!$G$3:$G$19,MATCH($D422,MODELOS!$A$3:$A$19,0)),INDEX(MODELOS!$C$3:$C$19,MATCH($D422,MODELOS!$A$3:$A$19,0))),IF(INDEX(PRODUTOS!$I$4:$I$63,MATCH($A422,PRODUTOS!$B$4:$B$63,0))="B",INDEX(MODELOS!$H$3:$H$19,MATCH($D422,MODELOS!$A$3:$A$19,0)),INDEX(MODELOS!$D$3:$D$19,MATCH($D422,MODELOS!$A$3:$A$19,0))))</f>
        <v>Principal diferencial; deixar o lado direito limpo</v>
      </c>
      <c r="H422" s="11" t="str">
        <f aca="false">IF(INDEX(PRODUTOS!$I$4:$I$63,MATCH($A422,PRODUTOS!$B$4:$B$63,0))="B",INDEX(MODELOS!$I$3:$I$19,MATCH($D422,MODELOS!$A$3:$A$19,0)),INDEX(MODELOS!$E$3:$E$19,MATCH($D422,MODELOS!$A$3:$A$19,0)))</f>
        <v>970 × 300</v>
      </c>
      <c r="I422" s="11" t="str">
        <f aca="false">INDEX(MODELOS!$J$3:$J$19,MATCH($D422,MODELOS!$A$3:$A$19,0))</f>
        <v>Conforme modelo</v>
      </c>
      <c r="J422" s="11" t="str">
        <f aca="false">IF(LEFT($D422,2)&lt;&gt;"AP",IF($I422="SIM","SIM","RECOMENDADA"),IF(INDEX(PRODUTOS!$J$4:$J$63,MATCH($A422,PRODUTOS!$B$4:$B$63,0))&lt;&gt;"","NÃO (usa o A+ do EAN "&amp;INDEX(PRODUTOS!$J$4:$J$63,MATCH($A422,PRODUTOS!$B$4:$B$63,0))&amp;")",IF(AND(INDEX(PRODUTOS!$I$4:$I$63,MATCH($A422,PRODUTOS!$B$4:$B$63,0))="B",$D422="AP07"),"NÃO (modelo B)","SIM")))</f>
        <v>NÃO (usa o A+ do EAN 7898968541382)</v>
      </c>
      <c r="K422" s="13" t="s">
        <v>325</v>
      </c>
      <c r="L422" s="13"/>
    </row>
    <row r="423" customFormat="false" ht="15" hidden="false" customHeight="false" outlineLevel="0" collapsed="false">
      <c r="A423" s="15" t="s">
        <v>150</v>
      </c>
      <c r="B423" s="11" t="str">
        <f aca="false">INDEX(PRODUTOS!$E$4:$E$63,MATCH($A423,PRODUTOS!$B$4:$B$63,0))</f>
        <v>Ração Seca Natural Dots para Gatos Adultos - Pacote 1 kg</v>
      </c>
      <c r="C423" s="11" t="str">
        <f aca="false">INDEX(PRODUTOS!$H$4:$H$63,MATCH($A423,PRODUTOS!$B$4:$B$63,0))</f>
        <v>1 kg</v>
      </c>
      <c r="D423" s="11" t="s">
        <v>336</v>
      </c>
      <c r="E423" s="16" t="str">
        <f aca="false">$A423&amp;"."&amp;$D423&amp;".jpg"</f>
        <v>7898968541368.AP03.jpg</v>
      </c>
      <c r="F423" s="11" t="str">
        <f aca="false">IF(INDEX(PRODUTOS!$I$4:$I$63,MATCH($A423,PRODUTOS!$B$4:$B$63,0))="B",INDEX(MODELOS!$F$3:$F$19,MATCH($D423,MODELOS!$A$3:$A$19,0)),INDEX(MODELOS!$B$3:$B$19,MATCH($D423,MODELOS!$A$3:$A$19,0)))</f>
        <v>A+ · Módulo 3 · Benefício 1 de 4</v>
      </c>
      <c r="G423" s="11" t="str">
        <f aca="false">IF(INDEX(PRODUTOS!$F$4:$F$63,MATCH($A423,PRODUTOS!$B$4:$B$63,0))="Ração",IF(INDEX(PRODUTOS!$I$4:$I$63,MATCH($A423,PRODUTOS!$B$4:$B$63,0))="B",INDEX(MODELOS!$G$3:$G$19,MATCH($D423,MODELOS!$A$3:$A$19,0)),INDEX(MODELOS!$C$3:$C$19,MATCH($D423,MODELOS!$A$3:$A$19,0))),IF(INDEX(PRODUTOS!$I$4:$I$63,MATCH($A423,PRODUTOS!$B$4:$B$63,0))="B",INDEX(MODELOS!$H$3:$H$19,MATCH($D423,MODELOS!$A$3:$A$19,0)),INDEX(MODELOS!$D$3:$D$19,MATCH($D423,MODELOS!$A$3:$A$19,0))))</f>
        <v>Foto/ilustração do benefício 1</v>
      </c>
      <c r="H423" s="11" t="str">
        <f aca="false">IF(INDEX(PRODUTOS!$I$4:$I$63,MATCH($A423,PRODUTOS!$B$4:$B$63,0))="B",INDEX(MODELOS!$I$3:$I$19,MATCH($D423,MODELOS!$A$3:$A$19,0)),INDEX(MODELOS!$E$3:$E$19,MATCH($D423,MODELOS!$A$3:$A$19,0)))</f>
        <v>220 × 200</v>
      </c>
      <c r="I423" s="11" t="str">
        <f aca="false">INDEX(MODELOS!$J$3:$J$19,MATCH($D423,MODELOS!$A$3:$A$19,0))</f>
        <v>Conforme modelo</v>
      </c>
      <c r="J423" s="11" t="str">
        <f aca="false">IF(LEFT($D423,2)&lt;&gt;"AP",IF($I423="SIM","SIM","RECOMENDADA"),IF(INDEX(PRODUTOS!$J$4:$J$63,MATCH($A423,PRODUTOS!$B$4:$B$63,0))&lt;&gt;"","NÃO (usa o A+ do EAN "&amp;INDEX(PRODUTOS!$J$4:$J$63,MATCH($A423,PRODUTOS!$B$4:$B$63,0))&amp;")",IF(AND(INDEX(PRODUTOS!$I$4:$I$63,MATCH($A423,PRODUTOS!$B$4:$B$63,0))="B",$D423="AP07"),"NÃO (modelo B)","SIM")))</f>
        <v>NÃO (usa o A+ do EAN 7898968541382)</v>
      </c>
      <c r="K423" s="13" t="s">
        <v>325</v>
      </c>
      <c r="L423" s="13"/>
    </row>
    <row r="424" customFormat="false" ht="15" hidden="false" customHeight="false" outlineLevel="0" collapsed="false">
      <c r="A424" s="15" t="s">
        <v>150</v>
      </c>
      <c r="B424" s="11" t="str">
        <f aca="false">INDEX(PRODUTOS!$E$4:$E$63,MATCH($A424,PRODUTOS!$B$4:$B$63,0))</f>
        <v>Ração Seca Natural Dots para Gatos Adultos - Pacote 1 kg</v>
      </c>
      <c r="C424" s="11" t="str">
        <f aca="false">INDEX(PRODUTOS!$H$4:$H$63,MATCH($A424,PRODUTOS!$B$4:$B$63,0))</f>
        <v>1 kg</v>
      </c>
      <c r="D424" s="11" t="s">
        <v>337</v>
      </c>
      <c r="E424" s="16" t="str">
        <f aca="false">$A424&amp;"."&amp;$D424&amp;".jpg"</f>
        <v>7898968541368.AP04.jpg</v>
      </c>
      <c r="F424" s="11" t="str">
        <f aca="false">IF(INDEX(PRODUTOS!$I$4:$I$63,MATCH($A424,PRODUTOS!$B$4:$B$63,0))="B",INDEX(MODELOS!$F$3:$F$19,MATCH($D424,MODELOS!$A$3:$A$19,0)),INDEX(MODELOS!$B$3:$B$19,MATCH($D424,MODELOS!$A$3:$A$19,0)))</f>
        <v>A+ · Módulo 3 · Benefício 2 de 4</v>
      </c>
      <c r="G424" s="11" t="str">
        <f aca="false">IF(INDEX(PRODUTOS!$F$4:$F$63,MATCH($A424,PRODUTOS!$B$4:$B$63,0))="Ração",IF(INDEX(PRODUTOS!$I$4:$I$63,MATCH($A424,PRODUTOS!$B$4:$B$63,0))="B",INDEX(MODELOS!$G$3:$G$19,MATCH($D424,MODELOS!$A$3:$A$19,0)),INDEX(MODELOS!$C$3:$C$19,MATCH($D424,MODELOS!$A$3:$A$19,0))),IF(INDEX(PRODUTOS!$I$4:$I$63,MATCH($A424,PRODUTOS!$B$4:$B$63,0))="B",INDEX(MODELOS!$H$3:$H$19,MATCH($D424,MODELOS!$A$3:$A$19,0)),INDEX(MODELOS!$D$3:$D$19,MATCH($D424,MODELOS!$A$3:$A$19,0))))</f>
        <v>Foto/ilustração do benefício 2</v>
      </c>
      <c r="H424" s="11" t="str">
        <f aca="false">IF(INDEX(PRODUTOS!$I$4:$I$63,MATCH($A424,PRODUTOS!$B$4:$B$63,0))="B",INDEX(MODELOS!$I$3:$I$19,MATCH($D424,MODELOS!$A$3:$A$19,0)),INDEX(MODELOS!$E$3:$E$19,MATCH($D424,MODELOS!$A$3:$A$19,0)))</f>
        <v>220 × 200</v>
      </c>
      <c r="I424" s="11" t="str">
        <f aca="false">INDEX(MODELOS!$J$3:$J$19,MATCH($D424,MODELOS!$A$3:$A$19,0))</f>
        <v>Conforme modelo</v>
      </c>
      <c r="J424" s="11" t="str">
        <f aca="false">IF(LEFT($D424,2)&lt;&gt;"AP",IF($I424="SIM","SIM","RECOMENDADA"),IF(INDEX(PRODUTOS!$J$4:$J$63,MATCH($A424,PRODUTOS!$B$4:$B$63,0))&lt;&gt;"","NÃO (usa o A+ do EAN "&amp;INDEX(PRODUTOS!$J$4:$J$63,MATCH($A424,PRODUTOS!$B$4:$B$63,0))&amp;")",IF(AND(INDEX(PRODUTOS!$I$4:$I$63,MATCH($A424,PRODUTOS!$B$4:$B$63,0))="B",$D424="AP07"),"NÃO (modelo B)","SIM")))</f>
        <v>NÃO (usa o A+ do EAN 7898968541382)</v>
      </c>
      <c r="K424" s="13" t="s">
        <v>325</v>
      </c>
      <c r="L424" s="13"/>
    </row>
    <row r="425" customFormat="false" ht="15" hidden="false" customHeight="false" outlineLevel="0" collapsed="false">
      <c r="A425" s="15" t="s">
        <v>150</v>
      </c>
      <c r="B425" s="11" t="str">
        <f aca="false">INDEX(PRODUTOS!$E$4:$E$63,MATCH($A425,PRODUTOS!$B$4:$B$63,0))</f>
        <v>Ração Seca Natural Dots para Gatos Adultos - Pacote 1 kg</v>
      </c>
      <c r="C425" s="11" t="str">
        <f aca="false">INDEX(PRODUTOS!$H$4:$H$63,MATCH($A425,PRODUTOS!$B$4:$B$63,0))</f>
        <v>1 kg</v>
      </c>
      <c r="D425" s="11" t="s">
        <v>338</v>
      </c>
      <c r="E425" s="16" t="str">
        <f aca="false">$A425&amp;"."&amp;$D425&amp;".jpg"</f>
        <v>7898968541368.AP05.jpg</v>
      </c>
      <c r="F425" s="11" t="str">
        <f aca="false">IF(INDEX(PRODUTOS!$I$4:$I$63,MATCH($A425,PRODUTOS!$B$4:$B$63,0))="B",INDEX(MODELOS!$F$3:$F$19,MATCH($D425,MODELOS!$A$3:$A$19,0)),INDEX(MODELOS!$B$3:$B$19,MATCH($D425,MODELOS!$A$3:$A$19,0)))</f>
        <v>A+ · Módulo 3 · Benefício 3 de 4</v>
      </c>
      <c r="G425" s="11" t="str">
        <f aca="false">IF(INDEX(PRODUTOS!$F$4:$F$63,MATCH($A425,PRODUTOS!$B$4:$B$63,0))="Ração",IF(INDEX(PRODUTOS!$I$4:$I$63,MATCH($A425,PRODUTOS!$B$4:$B$63,0))="B",INDEX(MODELOS!$G$3:$G$19,MATCH($D425,MODELOS!$A$3:$A$19,0)),INDEX(MODELOS!$C$3:$C$19,MATCH($D425,MODELOS!$A$3:$A$19,0))),IF(INDEX(PRODUTOS!$I$4:$I$63,MATCH($A425,PRODUTOS!$B$4:$B$63,0))="B",INDEX(MODELOS!$H$3:$H$19,MATCH($D425,MODELOS!$A$3:$A$19,0)),INDEX(MODELOS!$D$3:$D$19,MATCH($D425,MODELOS!$A$3:$A$19,0))))</f>
        <v>Foto/ilustração do benefício 3</v>
      </c>
      <c r="H425" s="11" t="str">
        <f aca="false">IF(INDEX(PRODUTOS!$I$4:$I$63,MATCH($A425,PRODUTOS!$B$4:$B$63,0))="B",INDEX(MODELOS!$I$3:$I$19,MATCH($D425,MODELOS!$A$3:$A$19,0)),INDEX(MODELOS!$E$3:$E$19,MATCH($D425,MODELOS!$A$3:$A$19,0)))</f>
        <v>220 × 200</v>
      </c>
      <c r="I425" s="11" t="str">
        <f aca="false">INDEX(MODELOS!$J$3:$J$19,MATCH($D425,MODELOS!$A$3:$A$19,0))</f>
        <v>Conforme modelo</v>
      </c>
      <c r="J425" s="11" t="str">
        <f aca="false">IF(LEFT($D425,2)&lt;&gt;"AP",IF($I425="SIM","SIM","RECOMENDADA"),IF(INDEX(PRODUTOS!$J$4:$J$63,MATCH($A425,PRODUTOS!$B$4:$B$63,0))&lt;&gt;"","NÃO (usa o A+ do EAN "&amp;INDEX(PRODUTOS!$J$4:$J$63,MATCH($A425,PRODUTOS!$B$4:$B$63,0))&amp;")",IF(AND(INDEX(PRODUTOS!$I$4:$I$63,MATCH($A425,PRODUTOS!$B$4:$B$63,0))="B",$D425="AP07"),"NÃO (modelo B)","SIM")))</f>
        <v>NÃO (usa o A+ do EAN 7898968541382)</v>
      </c>
      <c r="K425" s="13" t="s">
        <v>325</v>
      </c>
      <c r="L425" s="13"/>
    </row>
    <row r="426" customFormat="false" ht="15" hidden="false" customHeight="false" outlineLevel="0" collapsed="false">
      <c r="A426" s="15" t="s">
        <v>150</v>
      </c>
      <c r="B426" s="11" t="str">
        <f aca="false">INDEX(PRODUTOS!$E$4:$E$63,MATCH($A426,PRODUTOS!$B$4:$B$63,0))</f>
        <v>Ração Seca Natural Dots para Gatos Adultos - Pacote 1 kg</v>
      </c>
      <c r="C426" s="11" t="str">
        <f aca="false">INDEX(PRODUTOS!$H$4:$H$63,MATCH($A426,PRODUTOS!$B$4:$B$63,0))</f>
        <v>1 kg</v>
      </c>
      <c r="D426" s="11" t="s">
        <v>339</v>
      </c>
      <c r="E426" s="16" t="str">
        <f aca="false">$A426&amp;"."&amp;$D426&amp;".jpg"</f>
        <v>7898968541368.AP06.jpg</v>
      </c>
      <c r="F426" s="11" t="str">
        <f aca="false">IF(INDEX(PRODUTOS!$I$4:$I$63,MATCH($A426,PRODUTOS!$B$4:$B$63,0))="B",INDEX(MODELOS!$F$3:$F$19,MATCH($D426,MODELOS!$A$3:$A$19,0)),INDEX(MODELOS!$B$3:$B$19,MATCH($D426,MODELOS!$A$3:$A$19,0)))</f>
        <v>A+ · Módulo 3 · Benefício 4 de 4</v>
      </c>
      <c r="G426" s="11" t="str">
        <f aca="false">IF(INDEX(PRODUTOS!$F$4:$F$63,MATCH($A426,PRODUTOS!$B$4:$B$63,0))="Ração",IF(INDEX(PRODUTOS!$I$4:$I$63,MATCH($A426,PRODUTOS!$B$4:$B$63,0))="B",INDEX(MODELOS!$G$3:$G$19,MATCH($D426,MODELOS!$A$3:$A$19,0)),INDEX(MODELOS!$C$3:$C$19,MATCH($D426,MODELOS!$A$3:$A$19,0))),IF(INDEX(PRODUTOS!$I$4:$I$63,MATCH($A426,PRODUTOS!$B$4:$B$63,0))="B",INDEX(MODELOS!$H$3:$H$19,MATCH($D426,MODELOS!$A$3:$A$19,0)),INDEX(MODELOS!$D$3:$D$19,MATCH($D426,MODELOS!$A$3:$A$19,0))))</f>
        <v>Foto/ilustração do benefício 4</v>
      </c>
      <c r="H426" s="11" t="str">
        <f aca="false">IF(INDEX(PRODUTOS!$I$4:$I$63,MATCH($A426,PRODUTOS!$B$4:$B$63,0))="B",INDEX(MODELOS!$I$3:$I$19,MATCH($D426,MODELOS!$A$3:$A$19,0)),INDEX(MODELOS!$E$3:$E$19,MATCH($D426,MODELOS!$A$3:$A$19,0)))</f>
        <v>220 × 200</v>
      </c>
      <c r="I426" s="11" t="str">
        <f aca="false">INDEX(MODELOS!$J$3:$J$19,MATCH($D426,MODELOS!$A$3:$A$19,0))</f>
        <v>Conforme modelo</v>
      </c>
      <c r="J426" s="11" t="str">
        <f aca="false">IF(LEFT($D426,2)&lt;&gt;"AP",IF($I426="SIM","SIM","RECOMENDADA"),IF(INDEX(PRODUTOS!$J$4:$J$63,MATCH($A426,PRODUTOS!$B$4:$B$63,0))&lt;&gt;"","NÃO (usa o A+ do EAN "&amp;INDEX(PRODUTOS!$J$4:$J$63,MATCH($A426,PRODUTOS!$B$4:$B$63,0))&amp;")",IF(AND(INDEX(PRODUTOS!$I$4:$I$63,MATCH($A426,PRODUTOS!$B$4:$B$63,0))="B",$D426="AP07"),"NÃO (modelo B)","SIM")))</f>
        <v>NÃO (usa o A+ do EAN 7898968541382)</v>
      </c>
      <c r="K426" s="13" t="s">
        <v>325</v>
      </c>
      <c r="L426" s="13"/>
    </row>
    <row r="427" customFormat="false" ht="15" hidden="false" customHeight="false" outlineLevel="0" collapsed="false">
      <c r="A427" s="15" t="s">
        <v>150</v>
      </c>
      <c r="B427" s="11" t="str">
        <f aca="false">INDEX(PRODUTOS!$E$4:$E$63,MATCH($A427,PRODUTOS!$B$4:$B$63,0))</f>
        <v>Ração Seca Natural Dots para Gatos Adultos - Pacote 1 kg</v>
      </c>
      <c r="C427" s="11" t="str">
        <f aca="false">INDEX(PRODUTOS!$H$4:$H$63,MATCH($A427,PRODUTOS!$B$4:$B$63,0))</f>
        <v>1 kg</v>
      </c>
      <c r="D427" s="11" t="s">
        <v>340</v>
      </c>
      <c r="E427" s="16" t="str">
        <f aca="false">$A427&amp;"."&amp;$D427&amp;".jpg"</f>
        <v>7898968541368.AP07.jpg</v>
      </c>
      <c r="F427" s="11" t="str">
        <f aca="false">IF(INDEX(PRODUTOS!$I$4:$I$63,MATCH($A427,PRODUTOS!$B$4:$B$63,0))="B",INDEX(MODELOS!$F$3:$F$19,MATCH($D427,MODELOS!$A$3:$A$19,0)),INDEX(MODELOS!$B$3:$B$19,MATCH($D427,MODELOS!$A$3:$A$19,0)))</f>
        <v>A+ · Módulo 4 · Especificações</v>
      </c>
      <c r="G427" s="11" t="str">
        <f aca="false">IF(INDEX(PRODUTOS!$F$4:$F$63,MATCH($A427,PRODUTOS!$B$4:$B$63,0))="Ração",IF(INDEX(PRODUTOS!$I$4:$I$63,MATCH($A427,PRODUTOS!$B$4:$B$63,0))="B",INDEX(MODELOS!$G$3:$G$19,MATCH($D427,MODELOS!$A$3:$A$19,0)),INDEX(MODELOS!$C$3:$C$19,MATCH($D427,MODELOS!$A$3:$A$19,0))),IF(INDEX(PRODUTOS!$I$4:$I$63,MATCH($A427,PRODUTOS!$B$4:$B$63,0))="B",INDEX(MODELOS!$H$3:$H$19,MATCH($D427,MODELOS!$A$3:$A$19,0)),INDEX(MODELOS!$D$3:$D$19,MATCH($D427,MODELOS!$A$3:$A$19,0))))</f>
        <v>Grão ou pacote em destaque</v>
      </c>
      <c r="H427" s="11" t="str">
        <f aca="false">IF(INDEX(PRODUTOS!$I$4:$I$63,MATCH($A427,PRODUTOS!$B$4:$B$63,0))="B",INDEX(MODELOS!$I$3:$I$19,MATCH($D427,MODELOS!$A$3:$A$19,0)),INDEX(MODELOS!$E$3:$E$19,MATCH($D427,MODELOS!$A$3:$A$19,0)))</f>
        <v>300 × 300</v>
      </c>
      <c r="I427" s="11" t="str">
        <f aca="false">INDEX(MODELOS!$J$3:$J$19,MATCH($D427,MODELOS!$A$3:$A$19,0))</f>
        <v>Conforme modelo</v>
      </c>
      <c r="J427" s="11" t="str">
        <f aca="false">IF(LEFT($D427,2)&lt;&gt;"AP",IF($I427="SIM","SIM","RECOMENDADA"),IF(INDEX(PRODUTOS!$J$4:$J$63,MATCH($A427,PRODUTOS!$B$4:$B$63,0))&lt;&gt;"","NÃO (usa o A+ do EAN "&amp;INDEX(PRODUTOS!$J$4:$J$63,MATCH($A427,PRODUTOS!$B$4:$B$63,0))&amp;")",IF(AND(INDEX(PRODUTOS!$I$4:$I$63,MATCH($A427,PRODUTOS!$B$4:$B$63,0))="B",$D427="AP07"),"NÃO (modelo B)","SIM")))</f>
        <v>NÃO (usa o A+ do EAN 7898968541382)</v>
      </c>
      <c r="K427" s="13" t="s">
        <v>325</v>
      </c>
      <c r="L427" s="13"/>
    </row>
    <row r="428" customFormat="false" ht="15" hidden="false" customHeight="false" outlineLevel="0" collapsed="false">
      <c r="A428" s="15" t="s">
        <v>150</v>
      </c>
      <c r="B428" s="11" t="str">
        <f aca="false">INDEX(PRODUTOS!$E$4:$E$63,MATCH($A428,PRODUTOS!$B$4:$B$63,0))</f>
        <v>Ração Seca Natural Dots para Gatos Adultos - Pacote 1 kg</v>
      </c>
      <c r="C428" s="11" t="str">
        <f aca="false">INDEX(PRODUTOS!$H$4:$H$63,MATCH($A428,PRODUTOS!$B$4:$B$63,0))</f>
        <v>1 kg</v>
      </c>
      <c r="D428" s="11" t="s">
        <v>341</v>
      </c>
      <c r="E428" s="16" t="str">
        <f aca="false">$A428&amp;"."&amp;$D428&amp;".jpg"</f>
        <v>7898968541368.COMP.jpg</v>
      </c>
      <c r="F428" s="11" t="str">
        <f aca="false">IF(INDEX(PRODUTOS!$I$4:$I$63,MATCH($A428,PRODUTOS!$B$4:$B$63,0))="B",INDEX(MODELOS!$F$3:$F$19,MATCH($D428,MODELOS!$A$3:$A$19,0)),INDEX(MODELOS!$B$3:$B$19,MATCH($D428,MODELOS!$A$3:$A$19,0)))</f>
        <v>A+ · Tabela comparativa</v>
      </c>
      <c r="G428" s="11" t="str">
        <f aca="false">IF(INDEX(PRODUTOS!$F$4:$F$63,MATCH($A428,PRODUTOS!$B$4:$B$63,0))="Ração",IF(INDEX(PRODUTOS!$I$4:$I$63,MATCH($A428,PRODUTOS!$B$4:$B$63,0))="B",INDEX(MODELOS!$G$3:$G$19,MATCH($D428,MODELOS!$A$3:$A$19,0)),INDEX(MODELOS!$C$3:$C$19,MATCH($D428,MODELOS!$A$3:$A$19,0))),IF(INDEX(PRODUTOS!$I$4:$I$63,MATCH($A428,PRODUTOS!$B$4:$B$63,0))="B",INDEX(MODELOS!$H$3:$H$19,MATCH($D428,MODELOS!$A$3:$A$19,0)),INDEX(MODELOS!$D$3:$D$19,MATCH($D428,MODELOS!$A$3:$A$19,0))))</f>
        <v>Pacote na vertical, sem fundo colorido</v>
      </c>
      <c r="H428" s="11" t="str">
        <f aca="false">IF(INDEX(PRODUTOS!$I$4:$I$63,MATCH($A428,PRODUTOS!$B$4:$B$63,0))="B",INDEX(MODELOS!$I$3:$I$19,MATCH($D428,MODELOS!$A$3:$A$19,0)),INDEX(MODELOS!$E$3:$E$19,MATCH($D428,MODELOS!$A$3:$A$19,0)))</f>
        <v>150 × 300</v>
      </c>
      <c r="I428" s="11" t="str">
        <f aca="false">INDEX(MODELOS!$J$3:$J$19,MATCH($D428,MODELOS!$A$3:$A$19,0))</f>
        <v>SIM</v>
      </c>
      <c r="J428" s="11" t="str">
        <f aca="false">IF(LEFT($D428,2)&lt;&gt;"AP",IF($I428="SIM","SIM","RECOMENDADA"),IF(INDEX(PRODUTOS!$J$4:$J$63,MATCH($A428,PRODUTOS!$B$4:$B$63,0))&lt;&gt;"","NÃO (usa o A+ do EAN "&amp;INDEX(PRODUTOS!$J$4:$J$63,MATCH($A428,PRODUTOS!$B$4:$B$63,0))&amp;")",IF(AND(INDEX(PRODUTOS!$I$4:$I$63,MATCH($A428,PRODUTOS!$B$4:$B$63,0))="B",$D428="AP07"),"NÃO (modelo B)","SIM")))</f>
        <v>SIM</v>
      </c>
      <c r="K428" s="13" t="s">
        <v>325</v>
      </c>
      <c r="L428" s="13"/>
    </row>
    <row r="429" customFormat="false" ht="15" hidden="false" customHeight="false" outlineLevel="0" collapsed="false">
      <c r="A429" s="15" t="s">
        <v>154</v>
      </c>
      <c r="B429" s="11" t="str">
        <f aca="false">INDEX(PRODUTOS!$E$4:$E$63,MATCH($A429,PRODUTOS!$B$4:$B$63,0))</f>
        <v>Ração Seca Natural Dots para Gatos Castrados - Pacote 11 kg</v>
      </c>
      <c r="C429" s="11" t="str">
        <f aca="false">INDEX(PRODUTOS!$H$4:$H$63,MATCH($A429,PRODUTOS!$B$4:$B$63,0))</f>
        <v>11 kg</v>
      </c>
      <c r="D429" s="11" t="s">
        <v>324</v>
      </c>
      <c r="E429" s="16" t="str">
        <f aca="false">$A429&amp;"."&amp;$D429&amp;".jpg"</f>
        <v>7898968541399.MAIN.jpg</v>
      </c>
      <c r="F429" s="11" t="str">
        <f aca="false">IF(INDEX(PRODUTOS!$I$4:$I$63,MATCH($A429,PRODUTOS!$B$4:$B$63,0))="B",INDEX(MODELOS!$F$3:$F$19,MATCH($D429,MODELOS!$A$3:$A$19,0)),INDEX(MODELOS!$B$3:$B$19,MATCH($D429,MODELOS!$A$3:$A$19,0)))</f>
        <v>Capa (posição 1)</v>
      </c>
      <c r="G429" s="11" t="str">
        <f aca="false">IF(INDEX(PRODUTOS!$F$4:$F$63,MATCH($A429,PRODUTOS!$B$4:$B$63,0))="Ração",IF(INDEX(PRODUTOS!$I$4:$I$63,MATCH($A429,PRODUTOS!$B$4:$B$63,0))="B",INDEX(MODELOS!$G$3:$G$19,MATCH($D429,MODELOS!$A$3:$A$19,0)),INDEX(MODELOS!$C$3:$C$19,MATCH($D429,MODELOS!$A$3:$A$19,0))),IF(INDEX(PRODUTOS!$I$4:$I$63,MATCH($A429,PRODUTOS!$B$4:$B$63,0))="B",INDEX(MODELOS!$H$3:$H$19,MATCH($D429,MODELOS!$A$3:$A$19,0)),INDEX(MODELOS!$D$3:$D$19,MATCH($D429,MODELOS!$A$3:$A$19,0))))</f>
        <v>Embalagem de frente, fundo branco puro, 85% da área, nada adicionado</v>
      </c>
      <c r="H429" s="11" t="str">
        <f aca="false">IF(INDEX(PRODUTOS!$I$4:$I$63,MATCH($A429,PRODUTOS!$B$4:$B$63,0))="B",INDEX(MODELOS!$I$3:$I$19,MATCH($D429,MODELOS!$A$3:$A$19,0)),INDEX(MODELOS!$E$3:$E$19,MATCH($D429,MODELOS!$A$3:$A$19,0)))</f>
        <v>2000 × 2000</v>
      </c>
      <c r="I429" s="11" t="str">
        <f aca="false">INDEX(MODELOS!$J$3:$J$19,MATCH($D429,MODELOS!$A$3:$A$19,0))</f>
        <v>SIM</v>
      </c>
      <c r="J429" s="11" t="str">
        <f aca="false">IF(LEFT($D429,2)&lt;&gt;"AP",IF($I429="SIM","SIM","RECOMENDADA"),IF(INDEX(PRODUTOS!$J$4:$J$63,MATCH($A429,PRODUTOS!$B$4:$B$63,0))&lt;&gt;"","NÃO (usa o A+ do EAN "&amp;INDEX(PRODUTOS!$J$4:$J$63,MATCH($A429,PRODUTOS!$B$4:$B$63,0))&amp;")",IF(AND(INDEX(PRODUTOS!$I$4:$I$63,MATCH($A429,PRODUTOS!$B$4:$B$63,0))="B",$D429="AP07"),"NÃO (modelo B)","SIM")))</f>
        <v>SIM</v>
      </c>
      <c r="K429" s="13" t="s">
        <v>325</v>
      </c>
      <c r="L429" s="13"/>
    </row>
    <row r="430" customFormat="false" ht="15" hidden="false" customHeight="false" outlineLevel="0" collapsed="false">
      <c r="A430" s="15" t="s">
        <v>154</v>
      </c>
      <c r="B430" s="11" t="str">
        <f aca="false">INDEX(PRODUTOS!$E$4:$E$63,MATCH($A430,PRODUTOS!$B$4:$B$63,0))</f>
        <v>Ração Seca Natural Dots para Gatos Castrados - Pacote 11 kg</v>
      </c>
      <c r="C430" s="11" t="str">
        <f aca="false">INDEX(PRODUTOS!$H$4:$H$63,MATCH($A430,PRODUTOS!$B$4:$B$63,0))</f>
        <v>11 kg</v>
      </c>
      <c r="D430" s="11" t="s">
        <v>326</v>
      </c>
      <c r="E430" s="16" t="str">
        <f aca="false">$A430&amp;"."&amp;$D430&amp;".jpg"</f>
        <v>7898968541399.PT01.jpg</v>
      </c>
      <c r="F430" s="11" t="str">
        <f aca="false">IF(INDEX(PRODUTOS!$I$4:$I$63,MATCH($A430,PRODUTOS!$B$4:$B$63,0))="B",INDEX(MODELOS!$F$3:$F$19,MATCH($D430,MODELOS!$A$3:$A$19,0)),INDEX(MODELOS!$B$3:$B$19,MATCH($D430,MODELOS!$A$3:$A$19,0)))</f>
        <v>Galeria · posição 2</v>
      </c>
      <c r="G430" s="11" t="str">
        <f aca="false">IF(INDEX(PRODUTOS!$F$4:$F$63,MATCH($A430,PRODUTOS!$B$4:$B$63,0))="Ração",IF(INDEX(PRODUTOS!$I$4:$I$63,MATCH($A430,PRODUTOS!$B$4:$B$63,0))="B",INDEX(MODELOS!$G$3:$G$19,MATCH($D430,MODELOS!$A$3:$A$19,0)),INDEX(MODELOS!$C$3:$C$19,MATCH($D430,MODELOS!$A$3:$A$19,0))),IF(INDEX(PRODUTOS!$I$4:$I$63,MATCH($A430,PRODUTOS!$B$4:$B$63,0))="B",INDEX(MODELOS!$H$3:$H$19,MATCH($D430,MODELOS!$A$3:$A$19,0)),INDEX(MODELOS!$D$3:$D$19,MATCH($D430,MODELOS!$A$3:$A$19,0))))</f>
        <v>Grande diferencial da linha (número ou promessa forte + grão e ingrediente)</v>
      </c>
      <c r="H430" s="11" t="str">
        <f aca="false">IF(INDEX(PRODUTOS!$I$4:$I$63,MATCH($A430,PRODUTOS!$B$4:$B$63,0))="B",INDEX(MODELOS!$I$3:$I$19,MATCH($D430,MODELOS!$A$3:$A$19,0)),INDEX(MODELOS!$E$3:$E$19,MATCH($D430,MODELOS!$A$3:$A$19,0)))</f>
        <v>2000 × 2000</v>
      </c>
      <c r="I430" s="11" t="str">
        <f aca="false">INDEX(MODELOS!$J$3:$J$19,MATCH($D430,MODELOS!$A$3:$A$19,0))</f>
        <v>SIM</v>
      </c>
      <c r="J430" s="11" t="str">
        <f aca="false">IF(LEFT($D430,2)&lt;&gt;"AP",IF($I430="SIM","SIM","RECOMENDADA"),IF(INDEX(PRODUTOS!$J$4:$J$63,MATCH($A430,PRODUTOS!$B$4:$B$63,0))&lt;&gt;"","NÃO (usa o A+ do EAN "&amp;INDEX(PRODUTOS!$J$4:$J$63,MATCH($A430,PRODUTOS!$B$4:$B$63,0))&amp;")",IF(AND(INDEX(PRODUTOS!$I$4:$I$63,MATCH($A430,PRODUTOS!$B$4:$B$63,0))="B",$D430="AP07"),"NÃO (modelo B)","SIM")))</f>
        <v>SIM</v>
      </c>
      <c r="K430" s="13" t="s">
        <v>325</v>
      </c>
      <c r="L430" s="13"/>
    </row>
    <row r="431" customFormat="false" ht="15" hidden="false" customHeight="false" outlineLevel="0" collapsed="false">
      <c r="A431" s="15" t="s">
        <v>154</v>
      </c>
      <c r="B431" s="11" t="str">
        <f aca="false">INDEX(PRODUTOS!$E$4:$E$63,MATCH($A431,PRODUTOS!$B$4:$B$63,0))</f>
        <v>Ração Seca Natural Dots para Gatos Castrados - Pacote 11 kg</v>
      </c>
      <c r="C431" s="11" t="str">
        <f aca="false">INDEX(PRODUTOS!$H$4:$H$63,MATCH($A431,PRODUTOS!$B$4:$B$63,0))</f>
        <v>11 kg</v>
      </c>
      <c r="D431" s="11" t="s">
        <v>327</v>
      </c>
      <c r="E431" s="16" t="str">
        <f aca="false">$A431&amp;"."&amp;$D431&amp;".jpg"</f>
        <v>7898968541399.PT02.jpg</v>
      </c>
      <c r="F431" s="11" t="str">
        <f aca="false">IF(INDEX(PRODUTOS!$I$4:$I$63,MATCH($A431,PRODUTOS!$B$4:$B$63,0))="B",INDEX(MODELOS!$F$3:$F$19,MATCH($D431,MODELOS!$A$3:$A$19,0)),INDEX(MODELOS!$B$3:$B$19,MATCH($D431,MODELOS!$A$3:$A$19,0)))</f>
        <v>Galeria · posição 3</v>
      </c>
      <c r="G431" s="11" t="str">
        <f aca="false">IF(INDEX(PRODUTOS!$F$4:$F$63,MATCH($A431,PRODUTOS!$B$4:$B$63,0))="Ração",IF(INDEX(PRODUTOS!$I$4:$I$63,MATCH($A431,PRODUTOS!$B$4:$B$63,0))="B",INDEX(MODELOS!$G$3:$G$19,MATCH($D431,MODELOS!$A$3:$A$19,0)),INDEX(MODELOS!$C$3:$C$19,MATCH($D431,MODELOS!$A$3:$A$19,0))),IF(INDEX(PRODUTOS!$I$4:$I$63,MATCH($A431,PRODUTOS!$B$4:$B$63,0))="B",INDEX(MODELOS!$H$3:$H$19,MATCH($D431,MODELOS!$A$3:$A$19,0)),INDEX(MODELOS!$D$3:$D$19,MATCH($D431,MODELOS!$A$3:$A$19,0))))</f>
        <v>Benefícios com ícones (4 a 6, impressos na embalagem) + ingrediente</v>
      </c>
      <c r="H431" s="11" t="str">
        <f aca="false">IF(INDEX(PRODUTOS!$I$4:$I$63,MATCH($A431,PRODUTOS!$B$4:$B$63,0))="B",INDEX(MODELOS!$I$3:$I$19,MATCH($D431,MODELOS!$A$3:$A$19,0)),INDEX(MODELOS!$E$3:$E$19,MATCH($D431,MODELOS!$A$3:$A$19,0)))</f>
        <v>2000 × 2000</v>
      </c>
      <c r="I431" s="11" t="str">
        <f aca="false">INDEX(MODELOS!$J$3:$J$19,MATCH($D431,MODELOS!$A$3:$A$19,0))</f>
        <v>SIM</v>
      </c>
      <c r="J431" s="11" t="str">
        <f aca="false">IF(LEFT($D431,2)&lt;&gt;"AP",IF($I431="SIM","SIM","RECOMENDADA"),IF(INDEX(PRODUTOS!$J$4:$J$63,MATCH($A431,PRODUTOS!$B$4:$B$63,0))&lt;&gt;"","NÃO (usa o A+ do EAN "&amp;INDEX(PRODUTOS!$J$4:$J$63,MATCH($A431,PRODUTOS!$B$4:$B$63,0))&amp;")",IF(AND(INDEX(PRODUTOS!$I$4:$I$63,MATCH($A431,PRODUTOS!$B$4:$B$63,0))="B",$D431="AP07"),"NÃO (modelo B)","SIM")))</f>
        <v>SIM</v>
      </c>
      <c r="K431" s="13" t="s">
        <v>325</v>
      </c>
      <c r="L431" s="13"/>
    </row>
    <row r="432" customFormat="false" ht="15" hidden="false" customHeight="false" outlineLevel="0" collapsed="false">
      <c r="A432" s="15" t="s">
        <v>154</v>
      </c>
      <c r="B432" s="11" t="str">
        <f aca="false">INDEX(PRODUTOS!$E$4:$E$63,MATCH($A432,PRODUTOS!$B$4:$B$63,0))</f>
        <v>Ração Seca Natural Dots para Gatos Castrados - Pacote 11 kg</v>
      </c>
      <c r="C432" s="11" t="str">
        <f aca="false">INDEX(PRODUTOS!$H$4:$H$63,MATCH($A432,PRODUTOS!$B$4:$B$63,0))</f>
        <v>11 kg</v>
      </c>
      <c r="D432" s="11" t="s">
        <v>328</v>
      </c>
      <c r="E432" s="16" t="str">
        <f aca="false">$A432&amp;"."&amp;$D432&amp;".jpg"</f>
        <v>7898968541399.PT03.jpg</v>
      </c>
      <c r="F432" s="11" t="str">
        <f aca="false">IF(INDEX(PRODUTOS!$I$4:$I$63,MATCH($A432,PRODUTOS!$B$4:$B$63,0))="B",INDEX(MODELOS!$F$3:$F$19,MATCH($D432,MODELOS!$A$3:$A$19,0)),INDEX(MODELOS!$B$3:$B$19,MATCH($D432,MODELOS!$A$3:$A$19,0)))</f>
        <v>Galeria · posição 4</v>
      </c>
      <c r="G432" s="11" t="str">
        <f aca="false">IF(INDEX(PRODUTOS!$F$4:$F$63,MATCH($A432,PRODUTOS!$B$4:$B$63,0))="Ração",IF(INDEX(PRODUTOS!$I$4:$I$63,MATCH($A432,PRODUTOS!$B$4:$B$63,0))="B",INDEX(MODELOS!$G$3:$G$19,MATCH($D432,MODELOS!$A$3:$A$19,0)),INDEX(MODELOS!$C$3:$C$19,MATCH($D432,MODELOS!$A$3:$A$19,0))),IF(INDEX(PRODUTOS!$I$4:$I$63,MATCH($A432,PRODUTOS!$B$4:$B$63,0))="B",INDEX(MODELOS!$H$3:$H$19,MATCH($D432,MODELOS!$A$3:$A$19,0)),INDEX(MODELOS!$D$3:$D$19,MATCH($D432,MODELOS!$A$3:$A$19,0))))</f>
        <v>Formato e tamanho do grão, com medida em mm e referência de tamanho</v>
      </c>
      <c r="H432" s="11" t="str">
        <f aca="false">IF(INDEX(PRODUTOS!$I$4:$I$63,MATCH($A432,PRODUTOS!$B$4:$B$63,0))="B",INDEX(MODELOS!$I$3:$I$19,MATCH($D432,MODELOS!$A$3:$A$19,0)),INDEX(MODELOS!$E$3:$E$19,MATCH($D432,MODELOS!$A$3:$A$19,0)))</f>
        <v>2000 × 2000</v>
      </c>
      <c r="I432" s="11" t="str">
        <f aca="false">INDEX(MODELOS!$J$3:$J$19,MATCH($D432,MODELOS!$A$3:$A$19,0))</f>
        <v>SIM</v>
      </c>
      <c r="J432" s="11" t="str">
        <f aca="false">IF(LEFT($D432,2)&lt;&gt;"AP",IF($I432="SIM","SIM","RECOMENDADA"),IF(INDEX(PRODUTOS!$J$4:$J$63,MATCH($A432,PRODUTOS!$B$4:$B$63,0))&lt;&gt;"","NÃO (usa o A+ do EAN "&amp;INDEX(PRODUTOS!$J$4:$J$63,MATCH($A432,PRODUTOS!$B$4:$B$63,0))&amp;")",IF(AND(INDEX(PRODUTOS!$I$4:$I$63,MATCH($A432,PRODUTOS!$B$4:$B$63,0))="B",$D432="AP07"),"NÃO (modelo B)","SIM")))</f>
        <v>SIM</v>
      </c>
      <c r="K432" s="13" t="s">
        <v>325</v>
      </c>
      <c r="L432" s="13"/>
    </row>
    <row r="433" customFormat="false" ht="15" hidden="false" customHeight="false" outlineLevel="0" collapsed="false">
      <c r="A433" s="15" t="s">
        <v>154</v>
      </c>
      <c r="B433" s="11" t="str">
        <f aca="false">INDEX(PRODUTOS!$E$4:$E$63,MATCH($A433,PRODUTOS!$B$4:$B$63,0))</f>
        <v>Ração Seca Natural Dots para Gatos Castrados - Pacote 11 kg</v>
      </c>
      <c r="C433" s="11" t="str">
        <f aca="false">INDEX(PRODUTOS!$H$4:$H$63,MATCH($A433,PRODUTOS!$B$4:$B$63,0))</f>
        <v>11 kg</v>
      </c>
      <c r="D433" s="11" t="s">
        <v>329</v>
      </c>
      <c r="E433" s="16" t="str">
        <f aca="false">$A433&amp;"."&amp;$D433&amp;".jpg"</f>
        <v>7898968541399.PT04.jpg</v>
      </c>
      <c r="F433" s="11" t="str">
        <f aca="false">IF(INDEX(PRODUTOS!$I$4:$I$63,MATCH($A433,PRODUTOS!$B$4:$B$63,0))="B",INDEX(MODELOS!$F$3:$F$19,MATCH($D433,MODELOS!$A$3:$A$19,0)),INDEX(MODELOS!$B$3:$B$19,MATCH($D433,MODELOS!$A$3:$A$19,0)))</f>
        <v>Galeria · posição 5</v>
      </c>
      <c r="G433" s="11" t="str">
        <f aca="false">IF(INDEX(PRODUTOS!$F$4:$F$63,MATCH($A433,PRODUTOS!$B$4:$B$63,0))="Ração",IF(INDEX(PRODUTOS!$I$4:$I$63,MATCH($A433,PRODUTOS!$B$4:$B$63,0))="B",INDEX(MODELOS!$G$3:$G$19,MATCH($D433,MODELOS!$A$3:$A$19,0)),INDEX(MODELOS!$C$3:$C$19,MATCH($D433,MODELOS!$A$3:$A$19,0))),IF(INDEX(PRODUTOS!$I$4:$I$63,MATCH($A433,PRODUTOS!$B$4:$B$63,0))="B",INDEX(MODELOS!$H$3:$H$19,MATCH($D433,MODELOS!$A$3:$A$19,0)),INDEX(MODELOS!$D$3:$D$19,MATCH($D433,MODELOS!$A$3:$A$19,0))))</f>
        <v>Quantidade diária por peso do cão/gato (números idênticos à embalagem)</v>
      </c>
      <c r="H433" s="11" t="str">
        <f aca="false">IF(INDEX(PRODUTOS!$I$4:$I$63,MATCH($A433,PRODUTOS!$B$4:$B$63,0))="B",INDEX(MODELOS!$I$3:$I$19,MATCH($D433,MODELOS!$A$3:$A$19,0)),INDEX(MODELOS!$E$3:$E$19,MATCH($D433,MODELOS!$A$3:$A$19,0)))</f>
        <v>2000 × 2000</v>
      </c>
      <c r="I433" s="11" t="str">
        <f aca="false">INDEX(MODELOS!$J$3:$J$19,MATCH($D433,MODELOS!$A$3:$A$19,0))</f>
        <v>SIM</v>
      </c>
      <c r="J433" s="11" t="str">
        <f aca="false">IF(LEFT($D433,2)&lt;&gt;"AP",IF($I433="SIM","SIM","RECOMENDADA"),IF(INDEX(PRODUTOS!$J$4:$J$63,MATCH($A433,PRODUTOS!$B$4:$B$63,0))&lt;&gt;"","NÃO (usa o A+ do EAN "&amp;INDEX(PRODUTOS!$J$4:$J$63,MATCH($A433,PRODUTOS!$B$4:$B$63,0))&amp;")",IF(AND(INDEX(PRODUTOS!$I$4:$I$63,MATCH($A433,PRODUTOS!$B$4:$B$63,0))="B",$D433="AP07"),"NÃO (modelo B)","SIM")))</f>
        <v>SIM</v>
      </c>
      <c r="K433" s="13" t="s">
        <v>325</v>
      </c>
      <c r="L433" s="13"/>
    </row>
    <row r="434" customFormat="false" ht="15" hidden="false" customHeight="false" outlineLevel="0" collapsed="false">
      <c r="A434" s="15" t="s">
        <v>154</v>
      </c>
      <c r="B434" s="11" t="str">
        <f aca="false">INDEX(PRODUTOS!$E$4:$E$63,MATCH($A434,PRODUTOS!$B$4:$B$63,0))</f>
        <v>Ração Seca Natural Dots para Gatos Castrados - Pacote 11 kg</v>
      </c>
      <c r="C434" s="11" t="str">
        <f aca="false">INDEX(PRODUTOS!$H$4:$H$63,MATCH($A434,PRODUTOS!$B$4:$B$63,0))</f>
        <v>11 kg</v>
      </c>
      <c r="D434" s="11" t="s">
        <v>330</v>
      </c>
      <c r="E434" s="16" t="str">
        <f aca="false">$A434&amp;"."&amp;$D434&amp;".jpg"</f>
        <v>7898968541399.PT05.jpg</v>
      </c>
      <c r="F434" s="11" t="str">
        <f aca="false">IF(INDEX(PRODUTOS!$I$4:$I$63,MATCH($A434,PRODUTOS!$B$4:$B$63,0))="B",INDEX(MODELOS!$F$3:$F$19,MATCH($D434,MODELOS!$A$3:$A$19,0)),INDEX(MODELOS!$B$3:$B$19,MATCH($D434,MODELOS!$A$3:$A$19,0)))</f>
        <v>Galeria · posição 6</v>
      </c>
      <c r="G434" s="11" t="str">
        <f aca="false">IF(INDEX(PRODUTOS!$F$4:$F$63,MATCH($A434,PRODUTOS!$B$4:$B$63,0))="Ração",IF(INDEX(PRODUTOS!$I$4:$I$63,MATCH($A434,PRODUTOS!$B$4:$B$63,0))="B",INDEX(MODELOS!$G$3:$G$19,MATCH($D434,MODELOS!$A$3:$A$19,0)),INDEX(MODELOS!$C$3:$C$19,MATCH($D434,MODELOS!$A$3:$A$19,0))),IF(INDEX(PRODUTOS!$I$4:$I$63,MATCH($A434,PRODUTOS!$B$4:$B$63,0))="B",INDEX(MODELOS!$H$3:$H$19,MATCH($D434,MODELOS!$A$3:$A$19,0)),INDEX(MODELOS!$D$3:$D$19,MATCH($D434,MODELOS!$A$3:$A$19,0))))</f>
        <v>Transição alimentar dia a dia (igual ao verso da embalagem)</v>
      </c>
      <c r="H434" s="11" t="str">
        <f aca="false">IF(INDEX(PRODUTOS!$I$4:$I$63,MATCH($A434,PRODUTOS!$B$4:$B$63,0))="B",INDEX(MODELOS!$I$3:$I$19,MATCH($D434,MODELOS!$A$3:$A$19,0)),INDEX(MODELOS!$E$3:$E$19,MATCH($D434,MODELOS!$A$3:$A$19,0)))</f>
        <v>2000 × 2000</v>
      </c>
      <c r="I434" s="11" t="str">
        <f aca="false">INDEX(MODELOS!$J$3:$J$19,MATCH($D434,MODELOS!$A$3:$A$19,0))</f>
        <v>Recomendada</v>
      </c>
      <c r="J434" s="11" t="str">
        <f aca="false">IF(LEFT($D434,2)&lt;&gt;"AP",IF($I434="SIM","SIM","RECOMENDADA"),IF(INDEX(PRODUTOS!$J$4:$J$63,MATCH($A434,PRODUTOS!$B$4:$B$63,0))&lt;&gt;"","NÃO (usa o A+ do EAN "&amp;INDEX(PRODUTOS!$J$4:$J$63,MATCH($A434,PRODUTOS!$B$4:$B$63,0))&amp;")",IF(AND(INDEX(PRODUTOS!$I$4:$I$63,MATCH($A434,PRODUTOS!$B$4:$B$63,0))="B",$D434="AP07"),"NÃO (modelo B)","SIM")))</f>
        <v>RECOMENDADA</v>
      </c>
      <c r="K434" s="13" t="s">
        <v>325</v>
      </c>
      <c r="L434" s="13"/>
    </row>
    <row r="435" customFormat="false" ht="15" hidden="false" customHeight="false" outlineLevel="0" collapsed="false">
      <c r="A435" s="15" t="s">
        <v>154</v>
      </c>
      <c r="B435" s="11" t="str">
        <f aca="false">INDEX(PRODUTOS!$E$4:$E$63,MATCH($A435,PRODUTOS!$B$4:$B$63,0))</f>
        <v>Ração Seca Natural Dots para Gatos Castrados - Pacote 11 kg</v>
      </c>
      <c r="C435" s="11" t="str">
        <f aca="false">INDEX(PRODUTOS!$H$4:$H$63,MATCH($A435,PRODUTOS!$B$4:$B$63,0))</f>
        <v>11 kg</v>
      </c>
      <c r="D435" s="11" t="s">
        <v>331</v>
      </c>
      <c r="E435" s="16" t="str">
        <f aca="false">$A435&amp;"."&amp;$D435&amp;".jpg"</f>
        <v>7898968541399.PT06.jpg</v>
      </c>
      <c r="F435" s="11" t="str">
        <f aca="false">IF(INDEX(PRODUTOS!$I$4:$I$63,MATCH($A435,PRODUTOS!$B$4:$B$63,0))="B",INDEX(MODELOS!$F$3:$F$19,MATCH($D435,MODELOS!$A$3:$A$19,0)),INDEX(MODELOS!$B$3:$B$19,MATCH($D435,MODELOS!$A$3:$A$19,0)))</f>
        <v>Galeria · posição 7</v>
      </c>
      <c r="G435" s="11" t="str">
        <f aca="false">IF(INDEX(PRODUTOS!$F$4:$F$63,MATCH($A435,PRODUTOS!$B$4:$B$63,0))="Ração",IF(INDEX(PRODUTOS!$I$4:$I$63,MATCH($A435,PRODUTOS!$B$4:$B$63,0))="B",INDEX(MODELOS!$G$3:$G$19,MATCH($D435,MODELOS!$A$3:$A$19,0)),INDEX(MODELOS!$C$3:$C$19,MATCH($D435,MODELOS!$A$3:$A$19,0))),IF(INDEX(PRODUTOS!$I$4:$I$63,MATCH($A435,PRODUTOS!$B$4:$B$63,0))="B",INDEX(MODELOS!$H$3:$H$19,MATCH($D435,MODELOS!$A$3:$A$19,0)),INDEX(MODELOS!$D$3:$D$19,MATCH($D435,MODELOS!$A$3:$A$19,0))))</f>
        <v>Composição e níveis de garantia em letra grande</v>
      </c>
      <c r="H435" s="11" t="str">
        <f aca="false">IF(INDEX(PRODUTOS!$I$4:$I$63,MATCH($A435,PRODUTOS!$B$4:$B$63,0))="B",INDEX(MODELOS!$I$3:$I$19,MATCH($D435,MODELOS!$A$3:$A$19,0)),INDEX(MODELOS!$E$3:$E$19,MATCH($D435,MODELOS!$A$3:$A$19,0)))</f>
        <v>2000 × 2000</v>
      </c>
      <c r="I435" s="11" t="str">
        <f aca="false">INDEX(MODELOS!$J$3:$J$19,MATCH($D435,MODELOS!$A$3:$A$19,0))</f>
        <v>SIM</v>
      </c>
      <c r="J435" s="11" t="str">
        <f aca="false">IF(LEFT($D435,2)&lt;&gt;"AP",IF($I435="SIM","SIM","RECOMENDADA"),IF(INDEX(PRODUTOS!$J$4:$J$63,MATCH($A435,PRODUTOS!$B$4:$B$63,0))&lt;&gt;"","NÃO (usa o A+ do EAN "&amp;INDEX(PRODUTOS!$J$4:$J$63,MATCH($A435,PRODUTOS!$B$4:$B$63,0))&amp;")",IF(AND(INDEX(PRODUTOS!$I$4:$I$63,MATCH($A435,PRODUTOS!$B$4:$B$63,0))="B",$D435="AP07"),"NÃO (modelo B)","SIM")))</f>
        <v>SIM</v>
      </c>
      <c r="K435" s="13" t="s">
        <v>325</v>
      </c>
      <c r="L435" s="13"/>
    </row>
    <row r="436" customFormat="false" ht="15" hidden="false" customHeight="false" outlineLevel="0" collapsed="false">
      <c r="A436" s="15" t="s">
        <v>154</v>
      </c>
      <c r="B436" s="11" t="str">
        <f aca="false">INDEX(PRODUTOS!$E$4:$E$63,MATCH($A436,PRODUTOS!$B$4:$B$63,0))</f>
        <v>Ração Seca Natural Dots para Gatos Castrados - Pacote 11 kg</v>
      </c>
      <c r="C436" s="11" t="str">
        <f aca="false">INDEX(PRODUTOS!$H$4:$H$63,MATCH($A436,PRODUTOS!$B$4:$B$63,0))</f>
        <v>11 kg</v>
      </c>
      <c r="D436" s="11" t="s">
        <v>332</v>
      </c>
      <c r="E436" s="16" t="str">
        <f aca="false">$A436&amp;"."&amp;$D436&amp;".jpg"</f>
        <v>7898968541399.PT07.jpg</v>
      </c>
      <c r="F436" s="11" t="str">
        <f aca="false">IF(INDEX(PRODUTOS!$I$4:$I$63,MATCH($A436,PRODUTOS!$B$4:$B$63,0))="B",INDEX(MODELOS!$F$3:$F$19,MATCH($D436,MODELOS!$A$3:$A$19,0)),INDEX(MODELOS!$B$3:$B$19,MATCH($D436,MODELOS!$A$3:$A$19,0)))</f>
        <v>Galeria · posição 8</v>
      </c>
      <c r="G436" s="11" t="str">
        <f aca="false">IF(INDEX(PRODUTOS!$F$4:$F$63,MATCH($A436,PRODUTOS!$B$4:$B$63,0))="Ração",IF(INDEX(PRODUTOS!$I$4:$I$63,MATCH($A436,PRODUTOS!$B$4:$B$63,0))="B",INDEX(MODELOS!$G$3:$G$19,MATCH($D436,MODELOS!$A$3:$A$19,0)),INDEX(MODELOS!$C$3:$C$19,MATCH($D436,MODELOS!$A$3:$A$19,0))),IF(INDEX(PRODUTOS!$I$4:$I$63,MATCH($A436,PRODUTOS!$B$4:$B$63,0))="B",INDEX(MODELOS!$H$3:$H$19,MATCH($D436,MODELOS!$A$3:$A$19,0)),INDEX(MODELOS!$D$3:$D$19,MATCH($D436,MODELOS!$A$3:$A$19,0))))</f>
        <v>Emocional / momento de uso (pet do porte certo, pote cheio)</v>
      </c>
      <c r="H436" s="11" t="str">
        <f aca="false">IF(INDEX(PRODUTOS!$I$4:$I$63,MATCH($A436,PRODUTOS!$B$4:$B$63,0))="B",INDEX(MODELOS!$I$3:$I$19,MATCH($D436,MODELOS!$A$3:$A$19,0)),INDEX(MODELOS!$E$3:$E$19,MATCH($D436,MODELOS!$A$3:$A$19,0)))</f>
        <v>2000 × 2000</v>
      </c>
      <c r="I436" s="11" t="str">
        <f aca="false">INDEX(MODELOS!$J$3:$J$19,MATCH($D436,MODELOS!$A$3:$A$19,0))</f>
        <v>Recomendada</v>
      </c>
      <c r="J436" s="11" t="str">
        <f aca="false">IF(LEFT($D436,2)&lt;&gt;"AP",IF($I436="SIM","SIM","RECOMENDADA"),IF(INDEX(PRODUTOS!$J$4:$J$63,MATCH($A436,PRODUTOS!$B$4:$B$63,0))&lt;&gt;"","NÃO (usa o A+ do EAN "&amp;INDEX(PRODUTOS!$J$4:$J$63,MATCH($A436,PRODUTOS!$B$4:$B$63,0))&amp;")",IF(AND(INDEX(PRODUTOS!$I$4:$I$63,MATCH($A436,PRODUTOS!$B$4:$B$63,0))="B",$D436="AP07"),"NÃO (modelo B)","SIM")))</f>
        <v>RECOMENDADA</v>
      </c>
      <c r="K436" s="13" t="s">
        <v>325</v>
      </c>
      <c r="L436" s="13"/>
    </row>
    <row r="437" customFormat="false" ht="15" hidden="false" customHeight="false" outlineLevel="0" collapsed="false">
      <c r="A437" s="15" t="s">
        <v>154</v>
      </c>
      <c r="B437" s="11" t="str">
        <f aca="false">INDEX(PRODUTOS!$E$4:$E$63,MATCH($A437,PRODUTOS!$B$4:$B$63,0))</f>
        <v>Ração Seca Natural Dots para Gatos Castrados - Pacote 11 kg</v>
      </c>
      <c r="C437" s="11" t="str">
        <f aca="false">INDEX(PRODUTOS!$H$4:$H$63,MATCH($A437,PRODUTOS!$B$4:$B$63,0))</f>
        <v>11 kg</v>
      </c>
      <c r="D437" s="11" t="s">
        <v>333</v>
      </c>
      <c r="E437" s="16" t="str">
        <f aca="false">$A437&amp;"."&amp;$D437&amp;".jpg"</f>
        <v>7898968541399.PT08.jpg</v>
      </c>
      <c r="F437" s="11" t="str">
        <f aca="false">IF(INDEX(PRODUTOS!$I$4:$I$63,MATCH($A437,PRODUTOS!$B$4:$B$63,0))="B",INDEX(MODELOS!$F$3:$F$19,MATCH($D437,MODELOS!$A$3:$A$19,0)),INDEX(MODELOS!$B$3:$B$19,MATCH($D437,MODELOS!$A$3:$A$19,0)))</f>
        <v>Galeria · posição 9</v>
      </c>
      <c r="G437" s="11" t="str">
        <f aca="false">IF(INDEX(PRODUTOS!$F$4:$F$63,MATCH($A437,PRODUTOS!$B$4:$B$63,0))="Ração",IF(INDEX(PRODUTOS!$I$4:$I$63,MATCH($A437,PRODUTOS!$B$4:$B$63,0))="B",INDEX(MODELOS!$G$3:$G$19,MATCH($D437,MODELOS!$A$3:$A$19,0)),INDEX(MODELOS!$C$3:$C$19,MATCH($D437,MODELOS!$A$3:$A$19,0))),IF(INDEX(PRODUTOS!$I$4:$I$63,MATCH($A437,PRODUTOS!$B$4:$B$63,0))="B",INDEX(MODELOS!$H$3:$H$19,MATCH($D437,MODELOS!$A$3:$A$19,0)),INDEX(MODELOS!$D$3:$D$19,MATCH($D437,MODELOS!$A$3:$A$19,0))))</f>
        <v>Linha da marca ou embalagem anterior × nova</v>
      </c>
      <c r="H437" s="11" t="str">
        <f aca="false">IF(INDEX(PRODUTOS!$I$4:$I$63,MATCH($A437,PRODUTOS!$B$4:$B$63,0))="B",INDEX(MODELOS!$I$3:$I$19,MATCH($D437,MODELOS!$A$3:$A$19,0)),INDEX(MODELOS!$E$3:$E$19,MATCH($D437,MODELOS!$A$3:$A$19,0)))</f>
        <v>2000 × 2000</v>
      </c>
      <c r="I437" s="11" t="str">
        <f aca="false">INDEX(MODELOS!$J$3:$J$19,MATCH($D437,MODELOS!$A$3:$A$19,0))</f>
        <v>Recomendada</v>
      </c>
      <c r="J437" s="11" t="str">
        <f aca="false">IF(LEFT($D437,2)&lt;&gt;"AP",IF($I437="SIM","SIM","RECOMENDADA"),IF(INDEX(PRODUTOS!$J$4:$J$63,MATCH($A437,PRODUTOS!$B$4:$B$63,0))&lt;&gt;"","NÃO (usa o A+ do EAN "&amp;INDEX(PRODUTOS!$J$4:$J$63,MATCH($A437,PRODUTOS!$B$4:$B$63,0))&amp;")",IF(AND(INDEX(PRODUTOS!$I$4:$I$63,MATCH($A437,PRODUTOS!$B$4:$B$63,0))="B",$D437="AP07"),"NÃO (modelo B)","SIM")))</f>
        <v>RECOMENDADA</v>
      </c>
      <c r="K437" s="13" t="s">
        <v>325</v>
      </c>
      <c r="L437" s="13"/>
    </row>
    <row r="438" customFormat="false" ht="15" hidden="false" customHeight="false" outlineLevel="0" collapsed="false">
      <c r="A438" s="15" t="s">
        <v>154</v>
      </c>
      <c r="B438" s="11" t="str">
        <f aca="false">INDEX(PRODUTOS!$E$4:$E$63,MATCH($A438,PRODUTOS!$B$4:$B$63,0))</f>
        <v>Ração Seca Natural Dots para Gatos Castrados - Pacote 11 kg</v>
      </c>
      <c r="C438" s="11" t="str">
        <f aca="false">INDEX(PRODUTOS!$H$4:$H$63,MATCH($A438,PRODUTOS!$B$4:$B$63,0))</f>
        <v>11 kg</v>
      </c>
      <c r="D438" s="11" t="s">
        <v>334</v>
      </c>
      <c r="E438" s="16" t="str">
        <f aca="false">$A438&amp;"."&amp;$D438&amp;".jpg"</f>
        <v>7898968541399.AP01.jpg</v>
      </c>
      <c r="F438" s="11" t="str">
        <f aca="false">IF(INDEX(PRODUTOS!$I$4:$I$63,MATCH($A438,PRODUTOS!$B$4:$B$63,0))="B",INDEX(MODELOS!$F$3:$F$19,MATCH($D438,MODELOS!$A$3:$A$19,0)),INDEX(MODELOS!$B$3:$B$19,MATCH($D438,MODELOS!$A$3:$A$19,0)))</f>
        <v>A+ · Módulo 1 · Banner</v>
      </c>
      <c r="G438" s="11" t="str">
        <f aca="false">IF(INDEX(PRODUTOS!$F$4:$F$63,MATCH($A438,PRODUTOS!$B$4:$B$63,0))="Ração",IF(INDEX(PRODUTOS!$I$4:$I$63,MATCH($A438,PRODUTOS!$B$4:$B$63,0))="B",INDEX(MODELOS!$G$3:$G$19,MATCH($D438,MODELOS!$A$3:$A$19,0)),INDEX(MODELOS!$C$3:$C$19,MATCH($D438,MODELOS!$A$3:$A$19,0))),IF(INDEX(PRODUTOS!$I$4:$I$63,MATCH($A438,PRODUTOS!$B$4:$B$63,0))="B",INDEX(MODELOS!$H$3:$H$19,MATCH($D438,MODELOS!$A$3:$A$19,0)),INDEX(MODELOS!$D$3:$D$19,MATCH($D438,MODELOS!$A$3:$A$19,0))))</f>
        <v>Embalagem + pet + ingredientes, com o nome da linha</v>
      </c>
      <c r="H438" s="11" t="str">
        <f aca="false">IF(INDEX(PRODUTOS!$I$4:$I$63,MATCH($A438,PRODUTOS!$B$4:$B$63,0))="B",INDEX(MODELOS!$I$3:$I$19,MATCH($D438,MODELOS!$A$3:$A$19,0)),INDEX(MODELOS!$E$3:$E$19,MATCH($D438,MODELOS!$A$3:$A$19,0)))</f>
        <v>970 × 600</v>
      </c>
      <c r="I438" s="11" t="str">
        <f aca="false">INDEX(MODELOS!$J$3:$J$19,MATCH($D438,MODELOS!$A$3:$A$19,0))</f>
        <v>Conforme modelo</v>
      </c>
      <c r="J438" s="11" t="str">
        <f aca="false">IF(LEFT($D438,2)&lt;&gt;"AP",IF($I438="SIM","SIM","RECOMENDADA"),IF(INDEX(PRODUTOS!$J$4:$J$63,MATCH($A438,PRODUTOS!$B$4:$B$63,0))&lt;&gt;"","NÃO (usa o A+ do EAN "&amp;INDEX(PRODUTOS!$J$4:$J$63,MATCH($A438,PRODUTOS!$B$4:$B$63,0))&amp;")",IF(AND(INDEX(PRODUTOS!$I$4:$I$63,MATCH($A438,PRODUTOS!$B$4:$B$63,0))="B",$D438="AP07"),"NÃO (modelo B)","SIM")))</f>
        <v>SIM</v>
      </c>
      <c r="K438" s="13" t="s">
        <v>325</v>
      </c>
      <c r="L438" s="13"/>
    </row>
    <row r="439" customFormat="false" ht="15" hidden="false" customHeight="false" outlineLevel="0" collapsed="false">
      <c r="A439" s="15" t="s">
        <v>154</v>
      </c>
      <c r="B439" s="11" t="str">
        <f aca="false">INDEX(PRODUTOS!$E$4:$E$63,MATCH($A439,PRODUTOS!$B$4:$B$63,0))</f>
        <v>Ração Seca Natural Dots para Gatos Castrados - Pacote 11 kg</v>
      </c>
      <c r="C439" s="11" t="str">
        <f aca="false">INDEX(PRODUTOS!$H$4:$H$63,MATCH($A439,PRODUTOS!$B$4:$B$63,0))</f>
        <v>11 kg</v>
      </c>
      <c r="D439" s="11" t="s">
        <v>335</v>
      </c>
      <c r="E439" s="16" t="str">
        <f aca="false">$A439&amp;"."&amp;$D439&amp;".jpg"</f>
        <v>7898968541399.AP02.jpg</v>
      </c>
      <c r="F439" s="11" t="str">
        <f aca="false">IF(INDEX(PRODUTOS!$I$4:$I$63,MATCH($A439,PRODUTOS!$B$4:$B$63,0))="B",INDEX(MODELOS!$F$3:$F$19,MATCH($D439,MODELOS!$A$3:$A$19,0)),INDEX(MODELOS!$B$3:$B$19,MATCH($D439,MODELOS!$A$3:$A$19,0)))</f>
        <v>A+ · Módulo 2 · Texto sobreposto</v>
      </c>
      <c r="G439" s="11" t="str">
        <f aca="false">IF(INDEX(PRODUTOS!$F$4:$F$63,MATCH($A439,PRODUTOS!$B$4:$B$63,0))="Ração",IF(INDEX(PRODUTOS!$I$4:$I$63,MATCH($A439,PRODUTOS!$B$4:$B$63,0))="B",INDEX(MODELOS!$G$3:$G$19,MATCH($D439,MODELOS!$A$3:$A$19,0)),INDEX(MODELOS!$C$3:$C$19,MATCH($D439,MODELOS!$A$3:$A$19,0))),IF(INDEX(PRODUTOS!$I$4:$I$63,MATCH($A439,PRODUTOS!$B$4:$B$63,0))="B",INDEX(MODELOS!$H$3:$H$19,MATCH($D439,MODELOS!$A$3:$A$19,0)),INDEX(MODELOS!$D$3:$D$19,MATCH($D439,MODELOS!$A$3:$A$19,0))))</f>
        <v>Principal diferencial; deixar o lado direito limpo</v>
      </c>
      <c r="H439" s="11" t="str">
        <f aca="false">IF(INDEX(PRODUTOS!$I$4:$I$63,MATCH($A439,PRODUTOS!$B$4:$B$63,0))="B",INDEX(MODELOS!$I$3:$I$19,MATCH($D439,MODELOS!$A$3:$A$19,0)),INDEX(MODELOS!$E$3:$E$19,MATCH($D439,MODELOS!$A$3:$A$19,0)))</f>
        <v>970 × 300</v>
      </c>
      <c r="I439" s="11" t="str">
        <f aca="false">INDEX(MODELOS!$J$3:$J$19,MATCH($D439,MODELOS!$A$3:$A$19,0))</f>
        <v>Conforme modelo</v>
      </c>
      <c r="J439" s="11" t="str">
        <f aca="false">IF(LEFT($D439,2)&lt;&gt;"AP",IF($I439="SIM","SIM","RECOMENDADA"),IF(INDEX(PRODUTOS!$J$4:$J$63,MATCH($A439,PRODUTOS!$B$4:$B$63,0))&lt;&gt;"","NÃO (usa o A+ do EAN "&amp;INDEX(PRODUTOS!$J$4:$J$63,MATCH($A439,PRODUTOS!$B$4:$B$63,0))&amp;")",IF(AND(INDEX(PRODUTOS!$I$4:$I$63,MATCH($A439,PRODUTOS!$B$4:$B$63,0))="B",$D439="AP07"),"NÃO (modelo B)","SIM")))</f>
        <v>SIM</v>
      </c>
      <c r="K439" s="13" t="s">
        <v>325</v>
      </c>
      <c r="L439" s="13"/>
    </row>
    <row r="440" customFormat="false" ht="15" hidden="false" customHeight="false" outlineLevel="0" collapsed="false">
      <c r="A440" s="15" t="s">
        <v>154</v>
      </c>
      <c r="B440" s="11" t="str">
        <f aca="false">INDEX(PRODUTOS!$E$4:$E$63,MATCH($A440,PRODUTOS!$B$4:$B$63,0))</f>
        <v>Ração Seca Natural Dots para Gatos Castrados - Pacote 11 kg</v>
      </c>
      <c r="C440" s="11" t="str">
        <f aca="false">INDEX(PRODUTOS!$H$4:$H$63,MATCH($A440,PRODUTOS!$B$4:$B$63,0))</f>
        <v>11 kg</v>
      </c>
      <c r="D440" s="11" t="s">
        <v>336</v>
      </c>
      <c r="E440" s="16" t="str">
        <f aca="false">$A440&amp;"."&amp;$D440&amp;".jpg"</f>
        <v>7898968541399.AP03.jpg</v>
      </c>
      <c r="F440" s="11" t="str">
        <f aca="false">IF(INDEX(PRODUTOS!$I$4:$I$63,MATCH($A440,PRODUTOS!$B$4:$B$63,0))="B",INDEX(MODELOS!$F$3:$F$19,MATCH($D440,MODELOS!$A$3:$A$19,0)),INDEX(MODELOS!$B$3:$B$19,MATCH($D440,MODELOS!$A$3:$A$19,0)))</f>
        <v>A+ · Módulo 3 · Benefício 1 de 4</v>
      </c>
      <c r="G440" s="11" t="str">
        <f aca="false">IF(INDEX(PRODUTOS!$F$4:$F$63,MATCH($A440,PRODUTOS!$B$4:$B$63,0))="Ração",IF(INDEX(PRODUTOS!$I$4:$I$63,MATCH($A440,PRODUTOS!$B$4:$B$63,0))="B",INDEX(MODELOS!$G$3:$G$19,MATCH($D440,MODELOS!$A$3:$A$19,0)),INDEX(MODELOS!$C$3:$C$19,MATCH($D440,MODELOS!$A$3:$A$19,0))),IF(INDEX(PRODUTOS!$I$4:$I$63,MATCH($A440,PRODUTOS!$B$4:$B$63,0))="B",INDEX(MODELOS!$H$3:$H$19,MATCH($D440,MODELOS!$A$3:$A$19,0)),INDEX(MODELOS!$D$3:$D$19,MATCH($D440,MODELOS!$A$3:$A$19,0))))</f>
        <v>Foto/ilustração do benefício 1</v>
      </c>
      <c r="H440" s="11" t="str">
        <f aca="false">IF(INDEX(PRODUTOS!$I$4:$I$63,MATCH($A440,PRODUTOS!$B$4:$B$63,0))="B",INDEX(MODELOS!$I$3:$I$19,MATCH($D440,MODELOS!$A$3:$A$19,0)),INDEX(MODELOS!$E$3:$E$19,MATCH($D440,MODELOS!$A$3:$A$19,0)))</f>
        <v>220 × 200</v>
      </c>
      <c r="I440" s="11" t="str">
        <f aca="false">INDEX(MODELOS!$J$3:$J$19,MATCH($D440,MODELOS!$A$3:$A$19,0))</f>
        <v>Conforme modelo</v>
      </c>
      <c r="J440" s="11" t="str">
        <f aca="false">IF(LEFT($D440,2)&lt;&gt;"AP",IF($I440="SIM","SIM","RECOMENDADA"),IF(INDEX(PRODUTOS!$J$4:$J$63,MATCH($A440,PRODUTOS!$B$4:$B$63,0))&lt;&gt;"","NÃO (usa o A+ do EAN "&amp;INDEX(PRODUTOS!$J$4:$J$63,MATCH($A440,PRODUTOS!$B$4:$B$63,0))&amp;")",IF(AND(INDEX(PRODUTOS!$I$4:$I$63,MATCH($A440,PRODUTOS!$B$4:$B$63,0))="B",$D440="AP07"),"NÃO (modelo B)","SIM")))</f>
        <v>SIM</v>
      </c>
      <c r="K440" s="13" t="s">
        <v>325</v>
      </c>
      <c r="L440" s="13"/>
    </row>
    <row r="441" customFormat="false" ht="15" hidden="false" customHeight="false" outlineLevel="0" collapsed="false">
      <c r="A441" s="15" t="s">
        <v>154</v>
      </c>
      <c r="B441" s="11" t="str">
        <f aca="false">INDEX(PRODUTOS!$E$4:$E$63,MATCH($A441,PRODUTOS!$B$4:$B$63,0))</f>
        <v>Ração Seca Natural Dots para Gatos Castrados - Pacote 11 kg</v>
      </c>
      <c r="C441" s="11" t="str">
        <f aca="false">INDEX(PRODUTOS!$H$4:$H$63,MATCH($A441,PRODUTOS!$B$4:$B$63,0))</f>
        <v>11 kg</v>
      </c>
      <c r="D441" s="11" t="s">
        <v>337</v>
      </c>
      <c r="E441" s="16" t="str">
        <f aca="false">$A441&amp;"."&amp;$D441&amp;".jpg"</f>
        <v>7898968541399.AP04.jpg</v>
      </c>
      <c r="F441" s="11" t="str">
        <f aca="false">IF(INDEX(PRODUTOS!$I$4:$I$63,MATCH($A441,PRODUTOS!$B$4:$B$63,0))="B",INDEX(MODELOS!$F$3:$F$19,MATCH($D441,MODELOS!$A$3:$A$19,0)),INDEX(MODELOS!$B$3:$B$19,MATCH($D441,MODELOS!$A$3:$A$19,0)))</f>
        <v>A+ · Módulo 3 · Benefício 2 de 4</v>
      </c>
      <c r="G441" s="11" t="str">
        <f aca="false">IF(INDEX(PRODUTOS!$F$4:$F$63,MATCH($A441,PRODUTOS!$B$4:$B$63,0))="Ração",IF(INDEX(PRODUTOS!$I$4:$I$63,MATCH($A441,PRODUTOS!$B$4:$B$63,0))="B",INDEX(MODELOS!$G$3:$G$19,MATCH($D441,MODELOS!$A$3:$A$19,0)),INDEX(MODELOS!$C$3:$C$19,MATCH($D441,MODELOS!$A$3:$A$19,0))),IF(INDEX(PRODUTOS!$I$4:$I$63,MATCH($A441,PRODUTOS!$B$4:$B$63,0))="B",INDEX(MODELOS!$H$3:$H$19,MATCH($D441,MODELOS!$A$3:$A$19,0)),INDEX(MODELOS!$D$3:$D$19,MATCH($D441,MODELOS!$A$3:$A$19,0))))</f>
        <v>Foto/ilustração do benefício 2</v>
      </c>
      <c r="H441" s="11" t="str">
        <f aca="false">IF(INDEX(PRODUTOS!$I$4:$I$63,MATCH($A441,PRODUTOS!$B$4:$B$63,0))="B",INDEX(MODELOS!$I$3:$I$19,MATCH($D441,MODELOS!$A$3:$A$19,0)),INDEX(MODELOS!$E$3:$E$19,MATCH($D441,MODELOS!$A$3:$A$19,0)))</f>
        <v>220 × 200</v>
      </c>
      <c r="I441" s="11" t="str">
        <f aca="false">INDEX(MODELOS!$J$3:$J$19,MATCH($D441,MODELOS!$A$3:$A$19,0))</f>
        <v>Conforme modelo</v>
      </c>
      <c r="J441" s="11" t="str">
        <f aca="false">IF(LEFT($D441,2)&lt;&gt;"AP",IF($I441="SIM","SIM","RECOMENDADA"),IF(INDEX(PRODUTOS!$J$4:$J$63,MATCH($A441,PRODUTOS!$B$4:$B$63,0))&lt;&gt;"","NÃO (usa o A+ do EAN "&amp;INDEX(PRODUTOS!$J$4:$J$63,MATCH($A441,PRODUTOS!$B$4:$B$63,0))&amp;")",IF(AND(INDEX(PRODUTOS!$I$4:$I$63,MATCH($A441,PRODUTOS!$B$4:$B$63,0))="B",$D441="AP07"),"NÃO (modelo B)","SIM")))</f>
        <v>SIM</v>
      </c>
      <c r="K441" s="13" t="s">
        <v>325</v>
      </c>
      <c r="L441" s="13"/>
    </row>
    <row r="442" customFormat="false" ht="15" hidden="false" customHeight="false" outlineLevel="0" collapsed="false">
      <c r="A442" s="15" t="s">
        <v>154</v>
      </c>
      <c r="B442" s="11" t="str">
        <f aca="false">INDEX(PRODUTOS!$E$4:$E$63,MATCH($A442,PRODUTOS!$B$4:$B$63,0))</f>
        <v>Ração Seca Natural Dots para Gatos Castrados - Pacote 11 kg</v>
      </c>
      <c r="C442" s="11" t="str">
        <f aca="false">INDEX(PRODUTOS!$H$4:$H$63,MATCH($A442,PRODUTOS!$B$4:$B$63,0))</f>
        <v>11 kg</v>
      </c>
      <c r="D442" s="11" t="s">
        <v>338</v>
      </c>
      <c r="E442" s="16" t="str">
        <f aca="false">$A442&amp;"."&amp;$D442&amp;".jpg"</f>
        <v>7898968541399.AP05.jpg</v>
      </c>
      <c r="F442" s="11" t="str">
        <f aca="false">IF(INDEX(PRODUTOS!$I$4:$I$63,MATCH($A442,PRODUTOS!$B$4:$B$63,0))="B",INDEX(MODELOS!$F$3:$F$19,MATCH($D442,MODELOS!$A$3:$A$19,0)),INDEX(MODELOS!$B$3:$B$19,MATCH($D442,MODELOS!$A$3:$A$19,0)))</f>
        <v>A+ · Módulo 3 · Benefício 3 de 4</v>
      </c>
      <c r="G442" s="11" t="str">
        <f aca="false">IF(INDEX(PRODUTOS!$F$4:$F$63,MATCH($A442,PRODUTOS!$B$4:$B$63,0))="Ração",IF(INDEX(PRODUTOS!$I$4:$I$63,MATCH($A442,PRODUTOS!$B$4:$B$63,0))="B",INDEX(MODELOS!$G$3:$G$19,MATCH($D442,MODELOS!$A$3:$A$19,0)),INDEX(MODELOS!$C$3:$C$19,MATCH($D442,MODELOS!$A$3:$A$19,0))),IF(INDEX(PRODUTOS!$I$4:$I$63,MATCH($A442,PRODUTOS!$B$4:$B$63,0))="B",INDEX(MODELOS!$H$3:$H$19,MATCH($D442,MODELOS!$A$3:$A$19,0)),INDEX(MODELOS!$D$3:$D$19,MATCH($D442,MODELOS!$A$3:$A$19,0))))</f>
        <v>Foto/ilustração do benefício 3</v>
      </c>
      <c r="H442" s="11" t="str">
        <f aca="false">IF(INDEX(PRODUTOS!$I$4:$I$63,MATCH($A442,PRODUTOS!$B$4:$B$63,0))="B",INDEX(MODELOS!$I$3:$I$19,MATCH($D442,MODELOS!$A$3:$A$19,0)),INDEX(MODELOS!$E$3:$E$19,MATCH($D442,MODELOS!$A$3:$A$19,0)))</f>
        <v>220 × 200</v>
      </c>
      <c r="I442" s="11" t="str">
        <f aca="false">INDEX(MODELOS!$J$3:$J$19,MATCH($D442,MODELOS!$A$3:$A$19,0))</f>
        <v>Conforme modelo</v>
      </c>
      <c r="J442" s="11" t="str">
        <f aca="false">IF(LEFT($D442,2)&lt;&gt;"AP",IF($I442="SIM","SIM","RECOMENDADA"),IF(INDEX(PRODUTOS!$J$4:$J$63,MATCH($A442,PRODUTOS!$B$4:$B$63,0))&lt;&gt;"","NÃO (usa o A+ do EAN "&amp;INDEX(PRODUTOS!$J$4:$J$63,MATCH($A442,PRODUTOS!$B$4:$B$63,0))&amp;")",IF(AND(INDEX(PRODUTOS!$I$4:$I$63,MATCH($A442,PRODUTOS!$B$4:$B$63,0))="B",$D442="AP07"),"NÃO (modelo B)","SIM")))</f>
        <v>SIM</v>
      </c>
      <c r="K442" s="13" t="s">
        <v>325</v>
      </c>
      <c r="L442" s="13"/>
    </row>
    <row r="443" customFormat="false" ht="15" hidden="false" customHeight="false" outlineLevel="0" collapsed="false">
      <c r="A443" s="15" t="s">
        <v>154</v>
      </c>
      <c r="B443" s="11" t="str">
        <f aca="false">INDEX(PRODUTOS!$E$4:$E$63,MATCH($A443,PRODUTOS!$B$4:$B$63,0))</f>
        <v>Ração Seca Natural Dots para Gatos Castrados - Pacote 11 kg</v>
      </c>
      <c r="C443" s="11" t="str">
        <f aca="false">INDEX(PRODUTOS!$H$4:$H$63,MATCH($A443,PRODUTOS!$B$4:$B$63,0))</f>
        <v>11 kg</v>
      </c>
      <c r="D443" s="11" t="s">
        <v>339</v>
      </c>
      <c r="E443" s="16" t="str">
        <f aca="false">$A443&amp;"."&amp;$D443&amp;".jpg"</f>
        <v>7898968541399.AP06.jpg</v>
      </c>
      <c r="F443" s="11" t="str">
        <f aca="false">IF(INDEX(PRODUTOS!$I$4:$I$63,MATCH($A443,PRODUTOS!$B$4:$B$63,0))="B",INDEX(MODELOS!$F$3:$F$19,MATCH($D443,MODELOS!$A$3:$A$19,0)),INDEX(MODELOS!$B$3:$B$19,MATCH($D443,MODELOS!$A$3:$A$19,0)))</f>
        <v>A+ · Módulo 3 · Benefício 4 de 4</v>
      </c>
      <c r="G443" s="11" t="str">
        <f aca="false">IF(INDEX(PRODUTOS!$F$4:$F$63,MATCH($A443,PRODUTOS!$B$4:$B$63,0))="Ração",IF(INDEX(PRODUTOS!$I$4:$I$63,MATCH($A443,PRODUTOS!$B$4:$B$63,0))="B",INDEX(MODELOS!$G$3:$G$19,MATCH($D443,MODELOS!$A$3:$A$19,0)),INDEX(MODELOS!$C$3:$C$19,MATCH($D443,MODELOS!$A$3:$A$19,0))),IF(INDEX(PRODUTOS!$I$4:$I$63,MATCH($A443,PRODUTOS!$B$4:$B$63,0))="B",INDEX(MODELOS!$H$3:$H$19,MATCH($D443,MODELOS!$A$3:$A$19,0)),INDEX(MODELOS!$D$3:$D$19,MATCH($D443,MODELOS!$A$3:$A$19,0))))</f>
        <v>Foto/ilustração do benefício 4</v>
      </c>
      <c r="H443" s="11" t="str">
        <f aca="false">IF(INDEX(PRODUTOS!$I$4:$I$63,MATCH($A443,PRODUTOS!$B$4:$B$63,0))="B",INDEX(MODELOS!$I$3:$I$19,MATCH($D443,MODELOS!$A$3:$A$19,0)),INDEX(MODELOS!$E$3:$E$19,MATCH($D443,MODELOS!$A$3:$A$19,0)))</f>
        <v>220 × 200</v>
      </c>
      <c r="I443" s="11" t="str">
        <f aca="false">INDEX(MODELOS!$J$3:$J$19,MATCH($D443,MODELOS!$A$3:$A$19,0))</f>
        <v>Conforme modelo</v>
      </c>
      <c r="J443" s="11" t="str">
        <f aca="false">IF(LEFT($D443,2)&lt;&gt;"AP",IF($I443="SIM","SIM","RECOMENDADA"),IF(INDEX(PRODUTOS!$J$4:$J$63,MATCH($A443,PRODUTOS!$B$4:$B$63,0))&lt;&gt;"","NÃO (usa o A+ do EAN "&amp;INDEX(PRODUTOS!$J$4:$J$63,MATCH($A443,PRODUTOS!$B$4:$B$63,0))&amp;")",IF(AND(INDEX(PRODUTOS!$I$4:$I$63,MATCH($A443,PRODUTOS!$B$4:$B$63,0))="B",$D443="AP07"),"NÃO (modelo B)","SIM")))</f>
        <v>SIM</v>
      </c>
      <c r="K443" s="13" t="s">
        <v>325</v>
      </c>
      <c r="L443" s="13"/>
    </row>
    <row r="444" customFormat="false" ht="15" hidden="false" customHeight="false" outlineLevel="0" collapsed="false">
      <c r="A444" s="15" t="s">
        <v>154</v>
      </c>
      <c r="B444" s="11" t="str">
        <f aca="false">INDEX(PRODUTOS!$E$4:$E$63,MATCH($A444,PRODUTOS!$B$4:$B$63,0))</f>
        <v>Ração Seca Natural Dots para Gatos Castrados - Pacote 11 kg</v>
      </c>
      <c r="C444" s="11" t="str">
        <f aca="false">INDEX(PRODUTOS!$H$4:$H$63,MATCH($A444,PRODUTOS!$B$4:$B$63,0))</f>
        <v>11 kg</v>
      </c>
      <c r="D444" s="11" t="s">
        <v>340</v>
      </c>
      <c r="E444" s="16" t="str">
        <f aca="false">$A444&amp;"."&amp;$D444&amp;".jpg"</f>
        <v>7898968541399.AP07.jpg</v>
      </c>
      <c r="F444" s="11" t="str">
        <f aca="false">IF(INDEX(PRODUTOS!$I$4:$I$63,MATCH($A444,PRODUTOS!$B$4:$B$63,0))="B",INDEX(MODELOS!$F$3:$F$19,MATCH($D444,MODELOS!$A$3:$A$19,0)),INDEX(MODELOS!$B$3:$B$19,MATCH($D444,MODELOS!$A$3:$A$19,0)))</f>
        <v>A+ · Módulo 4 · Especificações</v>
      </c>
      <c r="G444" s="11" t="str">
        <f aca="false">IF(INDEX(PRODUTOS!$F$4:$F$63,MATCH($A444,PRODUTOS!$B$4:$B$63,0))="Ração",IF(INDEX(PRODUTOS!$I$4:$I$63,MATCH($A444,PRODUTOS!$B$4:$B$63,0))="B",INDEX(MODELOS!$G$3:$G$19,MATCH($D444,MODELOS!$A$3:$A$19,0)),INDEX(MODELOS!$C$3:$C$19,MATCH($D444,MODELOS!$A$3:$A$19,0))),IF(INDEX(PRODUTOS!$I$4:$I$63,MATCH($A444,PRODUTOS!$B$4:$B$63,0))="B",INDEX(MODELOS!$H$3:$H$19,MATCH($D444,MODELOS!$A$3:$A$19,0)),INDEX(MODELOS!$D$3:$D$19,MATCH($D444,MODELOS!$A$3:$A$19,0))))</f>
        <v>Grão ou pacote em destaque</v>
      </c>
      <c r="H444" s="11" t="str">
        <f aca="false">IF(INDEX(PRODUTOS!$I$4:$I$63,MATCH($A444,PRODUTOS!$B$4:$B$63,0))="B",INDEX(MODELOS!$I$3:$I$19,MATCH($D444,MODELOS!$A$3:$A$19,0)),INDEX(MODELOS!$E$3:$E$19,MATCH($D444,MODELOS!$A$3:$A$19,0)))</f>
        <v>300 × 300</v>
      </c>
      <c r="I444" s="11" t="str">
        <f aca="false">INDEX(MODELOS!$J$3:$J$19,MATCH($D444,MODELOS!$A$3:$A$19,0))</f>
        <v>Conforme modelo</v>
      </c>
      <c r="J444" s="11" t="str">
        <f aca="false">IF(LEFT($D444,2)&lt;&gt;"AP",IF($I444="SIM","SIM","RECOMENDADA"),IF(INDEX(PRODUTOS!$J$4:$J$63,MATCH($A444,PRODUTOS!$B$4:$B$63,0))&lt;&gt;"","NÃO (usa o A+ do EAN "&amp;INDEX(PRODUTOS!$J$4:$J$63,MATCH($A444,PRODUTOS!$B$4:$B$63,0))&amp;")",IF(AND(INDEX(PRODUTOS!$I$4:$I$63,MATCH($A444,PRODUTOS!$B$4:$B$63,0))="B",$D444="AP07"),"NÃO (modelo B)","SIM")))</f>
        <v>SIM</v>
      </c>
      <c r="K444" s="13" t="s">
        <v>325</v>
      </c>
      <c r="L444" s="13"/>
    </row>
    <row r="445" customFormat="false" ht="15" hidden="false" customHeight="false" outlineLevel="0" collapsed="false">
      <c r="A445" s="15" t="s">
        <v>154</v>
      </c>
      <c r="B445" s="11" t="str">
        <f aca="false">INDEX(PRODUTOS!$E$4:$E$63,MATCH($A445,PRODUTOS!$B$4:$B$63,0))</f>
        <v>Ração Seca Natural Dots para Gatos Castrados - Pacote 11 kg</v>
      </c>
      <c r="C445" s="11" t="str">
        <f aca="false">INDEX(PRODUTOS!$H$4:$H$63,MATCH($A445,PRODUTOS!$B$4:$B$63,0))</f>
        <v>11 kg</v>
      </c>
      <c r="D445" s="11" t="s">
        <v>341</v>
      </c>
      <c r="E445" s="16" t="str">
        <f aca="false">$A445&amp;"."&amp;$D445&amp;".jpg"</f>
        <v>7898968541399.COMP.jpg</v>
      </c>
      <c r="F445" s="11" t="str">
        <f aca="false">IF(INDEX(PRODUTOS!$I$4:$I$63,MATCH($A445,PRODUTOS!$B$4:$B$63,0))="B",INDEX(MODELOS!$F$3:$F$19,MATCH($D445,MODELOS!$A$3:$A$19,0)),INDEX(MODELOS!$B$3:$B$19,MATCH($D445,MODELOS!$A$3:$A$19,0)))</f>
        <v>A+ · Tabela comparativa</v>
      </c>
      <c r="G445" s="11" t="str">
        <f aca="false">IF(INDEX(PRODUTOS!$F$4:$F$63,MATCH($A445,PRODUTOS!$B$4:$B$63,0))="Ração",IF(INDEX(PRODUTOS!$I$4:$I$63,MATCH($A445,PRODUTOS!$B$4:$B$63,0))="B",INDEX(MODELOS!$G$3:$G$19,MATCH($D445,MODELOS!$A$3:$A$19,0)),INDEX(MODELOS!$C$3:$C$19,MATCH($D445,MODELOS!$A$3:$A$19,0))),IF(INDEX(PRODUTOS!$I$4:$I$63,MATCH($A445,PRODUTOS!$B$4:$B$63,0))="B",INDEX(MODELOS!$H$3:$H$19,MATCH($D445,MODELOS!$A$3:$A$19,0)),INDEX(MODELOS!$D$3:$D$19,MATCH($D445,MODELOS!$A$3:$A$19,0))))</f>
        <v>Pacote na vertical, sem fundo colorido</v>
      </c>
      <c r="H445" s="11" t="str">
        <f aca="false">IF(INDEX(PRODUTOS!$I$4:$I$63,MATCH($A445,PRODUTOS!$B$4:$B$63,0))="B",INDEX(MODELOS!$I$3:$I$19,MATCH($D445,MODELOS!$A$3:$A$19,0)),INDEX(MODELOS!$E$3:$E$19,MATCH($D445,MODELOS!$A$3:$A$19,0)))</f>
        <v>150 × 300</v>
      </c>
      <c r="I445" s="11" t="str">
        <f aca="false">INDEX(MODELOS!$J$3:$J$19,MATCH($D445,MODELOS!$A$3:$A$19,0))</f>
        <v>SIM</v>
      </c>
      <c r="J445" s="11" t="str">
        <f aca="false">IF(LEFT($D445,2)&lt;&gt;"AP",IF($I445="SIM","SIM","RECOMENDADA"),IF(INDEX(PRODUTOS!$J$4:$J$63,MATCH($A445,PRODUTOS!$B$4:$B$63,0))&lt;&gt;"","NÃO (usa o A+ do EAN "&amp;INDEX(PRODUTOS!$J$4:$J$63,MATCH($A445,PRODUTOS!$B$4:$B$63,0))&amp;")",IF(AND(INDEX(PRODUTOS!$I$4:$I$63,MATCH($A445,PRODUTOS!$B$4:$B$63,0))="B",$D445="AP07"),"NÃO (modelo B)","SIM")))</f>
        <v>SIM</v>
      </c>
      <c r="K445" s="13" t="s">
        <v>325</v>
      </c>
      <c r="L445" s="13"/>
    </row>
    <row r="446" customFormat="false" ht="15" hidden="false" customHeight="false" outlineLevel="0" collapsed="false">
      <c r="A446" s="15" t="s">
        <v>159</v>
      </c>
      <c r="B446" s="11" t="str">
        <f aca="false">INDEX(PRODUTOS!$E$4:$E$63,MATCH($A446,PRODUTOS!$B$4:$B$63,0))</f>
        <v>Ração Seca Natural Dots para Gatos Castrados - Pacote 1 kg</v>
      </c>
      <c r="C446" s="11" t="str">
        <f aca="false">INDEX(PRODUTOS!$H$4:$H$63,MATCH($A446,PRODUTOS!$B$4:$B$63,0))</f>
        <v>1 kg</v>
      </c>
      <c r="D446" s="11" t="s">
        <v>324</v>
      </c>
      <c r="E446" s="16" t="str">
        <f aca="false">$A446&amp;"."&amp;$D446&amp;".jpg"</f>
        <v>7898968541375.MAIN.jpg</v>
      </c>
      <c r="F446" s="11" t="str">
        <f aca="false">IF(INDEX(PRODUTOS!$I$4:$I$63,MATCH($A446,PRODUTOS!$B$4:$B$63,0))="B",INDEX(MODELOS!$F$3:$F$19,MATCH($D446,MODELOS!$A$3:$A$19,0)),INDEX(MODELOS!$B$3:$B$19,MATCH($D446,MODELOS!$A$3:$A$19,0)))</f>
        <v>Capa (posição 1)</v>
      </c>
      <c r="G446" s="11" t="str">
        <f aca="false">IF(INDEX(PRODUTOS!$F$4:$F$63,MATCH($A446,PRODUTOS!$B$4:$B$63,0))="Ração",IF(INDEX(PRODUTOS!$I$4:$I$63,MATCH($A446,PRODUTOS!$B$4:$B$63,0))="B",INDEX(MODELOS!$G$3:$G$19,MATCH($D446,MODELOS!$A$3:$A$19,0)),INDEX(MODELOS!$C$3:$C$19,MATCH($D446,MODELOS!$A$3:$A$19,0))),IF(INDEX(PRODUTOS!$I$4:$I$63,MATCH($A446,PRODUTOS!$B$4:$B$63,0))="B",INDEX(MODELOS!$H$3:$H$19,MATCH($D446,MODELOS!$A$3:$A$19,0)),INDEX(MODELOS!$D$3:$D$19,MATCH($D446,MODELOS!$A$3:$A$19,0))))</f>
        <v>Embalagem de frente, fundo branco puro, 85% da área, nada adicionado</v>
      </c>
      <c r="H446" s="11" t="str">
        <f aca="false">IF(INDEX(PRODUTOS!$I$4:$I$63,MATCH($A446,PRODUTOS!$B$4:$B$63,0))="B",INDEX(MODELOS!$I$3:$I$19,MATCH($D446,MODELOS!$A$3:$A$19,0)),INDEX(MODELOS!$E$3:$E$19,MATCH($D446,MODELOS!$A$3:$A$19,0)))</f>
        <v>2000 × 2000</v>
      </c>
      <c r="I446" s="11" t="str">
        <f aca="false">INDEX(MODELOS!$J$3:$J$19,MATCH($D446,MODELOS!$A$3:$A$19,0))</f>
        <v>SIM</v>
      </c>
      <c r="J446" s="11" t="str">
        <f aca="false">IF(LEFT($D446,2)&lt;&gt;"AP",IF($I446="SIM","SIM","RECOMENDADA"),IF(INDEX(PRODUTOS!$J$4:$J$63,MATCH($A446,PRODUTOS!$B$4:$B$63,0))&lt;&gt;"","NÃO (usa o A+ do EAN "&amp;INDEX(PRODUTOS!$J$4:$J$63,MATCH($A446,PRODUTOS!$B$4:$B$63,0))&amp;")",IF(AND(INDEX(PRODUTOS!$I$4:$I$63,MATCH($A446,PRODUTOS!$B$4:$B$63,0))="B",$D446="AP07"),"NÃO (modelo B)","SIM")))</f>
        <v>SIM</v>
      </c>
      <c r="K446" s="13" t="s">
        <v>325</v>
      </c>
      <c r="L446" s="13"/>
    </row>
    <row r="447" customFormat="false" ht="15" hidden="false" customHeight="false" outlineLevel="0" collapsed="false">
      <c r="A447" s="15" t="s">
        <v>159</v>
      </c>
      <c r="B447" s="11" t="str">
        <f aca="false">INDEX(PRODUTOS!$E$4:$E$63,MATCH($A447,PRODUTOS!$B$4:$B$63,0))</f>
        <v>Ração Seca Natural Dots para Gatos Castrados - Pacote 1 kg</v>
      </c>
      <c r="C447" s="11" t="str">
        <f aca="false">INDEX(PRODUTOS!$H$4:$H$63,MATCH($A447,PRODUTOS!$B$4:$B$63,0))</f>
        <v>1 kg</v>
      </c>
      <c r="D447" s="11" t="s">
        <v>326</v>
      </c>
      <c r="E447" s="16" t="str">
        <f aca="false">$A447&amp;"."&amp;$D447&amp;".jpg"</f>
        <v>7898968541375.PT01.jpg</v>
      </c>
      <c r="F447" s="11" t="str">
        <f aca="false">IF(INDEX(PRODUTOS!$I$4:$I$63,MATCH($A447,PRODUTOS!$B$4:$B$63,0))="B",INDEX(MODELOS!$F$3:$F$19,MATCH($D447,MODELOS!$A$3:$A$19,0)),INDEX(MODELOS!$B$3:$B$19,MATCH($D447,MODELOS!$A$3:$A$19,0)))</f>
        <v>Galeria · posição 2</v>
      </c>
      <c r="G447" s="11" t="str">
        <f aca="false">IF(INDEX(PRODUTOS!$F$4:$F$63,MATCH($A447,PRODUTOS!$B$4:$B$63,0))="Ração",IF(INDEX(PRODUTOS!$I$4:$I$63,MATCH($A447,PRODUTOS!$B$4:$B$63,0))="B",INDEX(MODELOS!$G$3:$G$19,MATCH($D447,MODELOS!$A$3:$A$19,0)),INDEX(MODELOS!$C$3:$C$19,MATCH($D447,MODELOS!$A$3:$A$19,0))),IF(INDEX(PRODUTOS!$I$4:$I$63,MATCH($A447,PRODUTOS!$B$4:$B$63,0))="B",INDEX(MODELOS!$H$3:$H$19,MATCH($D447,MODELOS!$A$3:$A$19,0)),INDEX(MODELOS!$D$3:$D$19,MATCH($D447,MODELOS!$A$3:$A$19,0))))</f>
        <v>Grande diferencial da linha (número ou promessa forte + grão e ingrediente)</v>
      </c>
      <c r="H447" s="11" t="str">
        <f aca="false">IF(INDEX(PRODUTOS!$I$4:$I$63,MATCH($A447,PRODUTOS!$B$4:$B$63,0))="B",INDEX(MODELOS!$I$3:$I$19,MATCH($D447,MODELOS!$A$3:$A$19,0)),INDEX(MODELOS!$E$3:$E$19,MATCH($D447,MODELOS!$A$3:$A$19,0)))</f>
        <v>2000 × 2000</v>
      </c>
      <c r="I447" s="11" t="str">
        <f aca="false">INDEX(MODELOS!$J$3:$J$19,MATCH($D447,MODELOS!$A$3:$A$19,0))</f>
        <v>SIM</v>
      </c>
      <c r="J447" s="11" t="str">
        <f aca="false">IF(LEFT($D447,2)&lt;&gt;"AP",IF($I447="SIM","SIM","RECOMENDADA"),IF(INDEX(PRODUTOS!$J$4:$J$63,MATCH($A447,PRODUTOS!$B$4:$B$63,0))&lt;&gt;"","NÃO (usa o A+ do EAN "&amp;INDEX(PRODUTOS!$J$4:$J$63,MATCH($A447,PRODUTOS!$B$4:$B$63,0))&amp;")",IF(AND(INDEX(PRODUTOS!$I$4:$I$63,MATCH($A447,PRODUTOS!$B$4:$B$63,0))="B",$D447="AP07"),"NÃO (modelo B)","SIM")))</f>
        <v>SIM</v>
      </c>
      <c r="K447" s="13" t="s">
        <v>325</v>
      </c>
      <c r="L447" s="13"/>
    </row>
    <row r="448" customFormat="false" ht="15" hidden="false" customHeight="false" outlineLevel="0" collapsed="false">
      <c r="A448" s="15" t="s">
        <v>159</v>
      </c>
      <c r="B448" s="11" t="str">
        <f aca="false">INDEX(PRODUTOS!$E$4:$E$63,MATCH($A448,PRODUTOS!$B$4:$B$63,0))</f>
        <v>Ração Seca Natural Dots para Gatos Castrados - Pacote 1 kg</v>
      </c>
      <c r="C448" s="11" t="str">
        <f aca="false">INDEX(PRODUTOS!$H$4:$H$63,MATCH($A448,PRODUTOS!$B$4:$B$63,0))</f>
        <v>1 kg</v>
      </c>
      <c r="D448" s="11" t="s">
        <v>327</v>
      </c>
      <c r="E448" s="16" t="str">
        <f aca="false">$A448&amp;"."&amp;$D448&amp;".jpg"</f>
        <v>7898968541375.PT02.jpg</v>
      </c>
      <c r="F448" s="11" t="str">
        <f aca="false">IF(INDEX(PRODUTOS!$I$4:$I$63,MATCH($A448,PRODUTOS!$B$4:$B$63,0))="B",INDEX(MODELOS!$F$3:$F$19,MATCH($D448,MODELOS!$A$3:$A$19,0)),INDEX(MODELOS!$B$3:$B$19,MATCH($D448,MODELOS!$A$3:$A$19,0)))</f>
        <v>Galeria · posição 3</v>
      </c>
      <c r="G448" s="11" t="str">
        <f aca="false">IF(INDEX(PRODUTOS!$F$4:$F$63,MATCH($A448,PRODUTOS!$B$4:$B$63,0))="Ração",IF(INDEX(PRODUTOS!$I$4:$I$63,MATCH($A448,PRODUTOS!$B$4:$B$63,0))="B",INDEX(MODELOS!$G$3:$G$19,MATCH($D448,MODELOS!$A$3:$A$19,0)),INDEX(MODELOS!$C$3:$C$19,MATCH($D448,MODELOS!$A$3:$A$19,0))),IF(INDEX(PRODUTOS!$I$4:$I$63,MATCH($A448,PRODUTOS!$B$4:$B$63,0))="B",INDEX(MODELOS!$H$3:$H$19,MATCH($D448,MODELOS!$A$3:$A$19,0)),INDEX(MODELOS!$D$3:$D$19,MATCH($D448,MODELOS!$A$3:$A$19,0))))</f>
        <v>Benefícios com ícones (4 a 6, impressos na embalagem) + ingrediente</v>
      </c>
      <c r="H448" s="11" t="str">
        <f aca="false">IF(INDEX(PRODUTOS!$I$4:$I$63,MATCH($A448,PRODUTOS!$B$4:$B$63,0))="B",INDEX(MODELOS!$I$3:$I$19,MATCH($D448,MODELOS!$A$3:$A$19,0)),INDEX(MODELOS!$E$3:$E$19,MATCH($D448,MODELOS!$A$3:$A$19,0)))</f>
        <v>2000 × 2000</v>
      </c>
      <c r="I448" s="11" t="str">
        <f aca="false">INDEX(MODELOS!$J$3:$J$19,MATCH($D448,MODELOS!$A$3:$A$19,0))</f>
        <v>SIM</v>
      </c>
      <c r="J448" s="11" t="str">
        <f aca="false">IF(LEFT($D448,2)&lt;&gt;"AP",IF($I448="SIM","SIM","RECOMENDADA"),IF(INDEX(PRODUTOS!$J$4:$J$63,MATCH($A448,PRODUTOS!$B$4:$B$63,0))&lt;&gt;"","NÃO (usa o A+ do EAN "&amp;INDEX(PRODUTOS!$J$4:$J$63,MATCH($A448,PRODUTOS!$B$4:$B$63,0))&amp;")",IF(AND(INDEX(PRODUTOS!$I$4:$I$63,MATCH($A448,PRODUTOS!$B$4:$B$63,0))="B",$D448="AP07"),"NÃO (modelo B)","SIM")))</f>
        <v>SIM</v>
      </c>
      <c r="K448" s="13" t="s">
        <v>325</v>
      </c>
      <c r="L448" s="13"/>
    </row>
    <row r="449" customFormat="false" ht="15" hidden="false" customHeight="false" outlineLevel="0" collapsed="false">
      <c r="A449" s="15" t="s">
        <v>159</v>
      </c>
      <c r="B449" s="11" t="str">
        <f aca="false">INDEX(PRODUTOS!$E$4:$E$63,MATCH($A449,PRODUTOS!$B$4:$B$63,0))</f>
        <v>Ração Seca Natural Dots para Gatos Castrados - Pacote 1 kg</v>
      </c>
      <c r="C449" s="11" t="str">
        <f aca="false">INDEX(PRODUTOS!$H$4:$H$63,MATCH($A449,PRODUTOS!$B$4:$B$63,0))</f>
        <v>1 kg</v>
      </c>
      <c r="D449" s="11" t="s">
        <v>328</v>
      </c>
      <c r="E449" s="16" t="str">
        <f aca="false">$A449&amp;"."&amp;$D449&amp;".jpg"</f>
        <v>7898968541375.PT03.jpg</v>
      </c>
      <c r="F449" s="11" t="str">
        <f aca="false">IF(INDEX(PRODUTOS!$I$4:$I$63,MATCH($A449,PRODUTOS!$B$4:$B$63,0))="B",INDEX(MODELOS!$F$3:$F$19,MATCH($D449,MODELOS!$A$3:$A$19,0)),INDEX(MODELOS!$B$3:$B$19,MATCH($D449,MODELOS!$A$3:$A$19,0)))</f>
        <v>Galeria · posição 4</v>
      </c>
      <c r="G449" s="11" t="str">
        <f aca="false">IF(INDEX(PRODUTOS!$F$4:$F$63,MATCH($A449,PRODUTOS!$B$4:$B$63,0))="Ração",IF(INDEX(PRODUTOS!$I$4:$I$63,MATCH($A449,PRODUTOS!$B$4:$B$63,0))="B",INDEX(MODELOS!$G$3:$G$19,MATCH($D449,MODELOS!$A$3:$A$19,0)),INDEX(MODELOS!$C$3:$C$19,MATCH($D449,MODELOS!$A$3:$A$19,0))),IF(INDEX(PRODUTOS!$I$4:$I$63,MATCH($A449,PRODUTOS!$B$4:$B$63,0))="B",INDEX(MODELOS!$H$3:$H$19,MATCH($D449,MODELOS!$A$3:$A$19,0)),INDEX(MODELOS!$D$3:$D$19,MATCH($D449,MODELOS!$A$3:$A$19,0))))</f>
        <v>Formato e tamanho do grão, com medida em mm e referência de tamanho</v>
      </c>
      <c r="H449" s="11" t="str">
        <f aca="false">IF(INDEX(PRODUTOS!$I$4:$I$63,MATCH($A449,PRODUTOS!$B$4:$B$63,0))="B",INDEX(MODELOS!$I$3:$I$19,MATCH($D449,MODELOS!$A$3:$A$19,0)),INDEX(MODELOS!$E$3:$E$19,MATCH($D449,MODELOS!$A$3:$A$19,0)))</f>
        <v>2000 × 2000</v>
      </c>
      <c r="I449" s="11" t="str">
        <f aca="false">INDEX(MODELOS!$J$3:$J$19,MATCH($D449,MODELOS!$A$3:$A$19,0))</f>
        <v>SIM</v>
      </c>
      <c r="J449" s="11" t="str">
        <f aca="false">IF(LEFT($D449,2)&lt;&gt;"AP",IF($I449="SIM","SIM","RECOMENDADA"),IF(INDEX(PRODUTOS!$J$4:$J$63,MATCH($A449,PRODUTOS!$B$4:$B$63,0))&lt;&gt;"","NÃO (usa o A+ do EAN "&amp;INDEX(PRODUTOS!$J$4:$J$63,MATCH($A449,PRODUTOS!$B$4:$B$63,0))&amp;")",IF(AND(INDEX(PRODUTOS!$I$4:$I$63,MATCH($A449,PRODUTOS!$B$4:$B$63,0))="B",$D449="AP07"),"NÃO (modelo B)","SIM")))</f>
        <v>SIM</v>
      </c>
      <c r="K449" s="13" t="s">
        <v>325</v>
      </c>
      <c r="L449" s="13"/>
    </row>
    <row r="450" customFormat="false" ht="15" hidden="false" customHeight="false" outlineLevel="0" collapsed="false">
      <c r="A450" s="15" t="s">
        <v>159</v>
      </c>
      <c r="B450" s="11" t="str">
        <f aca="false">INDEX(PRODUTOS!$E$4:$E$63,MATCH($A450,PRODUTOS!$B$4:$B$63,0))</f>
        <v>Ração Seca Natural Dots para Gatos Castrados - Pacote 1 kg</v>
      </c>
      <c r="C450" s="11" t="str">
        <f aca="false">INDEX(PRODUTOS!$H$4:$H$63,MATCH($A450,PRODUTOS!$B$4:$B$63,0))</f>
        <v>1 kg</v>
      </c>
      <c r="D450" s="11" t="s">
        <v>329</v>
      </c>
      <c r="E450" s="16" t="str">
        <f aca="false">$A450&amp;"."&amp;$D450&amp;".jpg"</f>
        <v>7898968541375.PT04.jpg</v>
      </c>
      <c r="F450" s="11" t="str">
        <f aca="false">IF(INDEX(PRODUTOS!$I$4:$I$63,MATCH($A450,PRODUTOS!$B$4:$B$63,0))="B",INDEX(MODELOS!$F$3:$F$19,MATCH($D450,MODELOS!$A$3:$A$19,0)),INDEX(MODELOS!$B$3:$B$19,MATCH($D450,MODELOS!$A$3:$A$19,0)))</f>
        <v>Galeria · posição 5</v>
      </c>
      <c r="G450" s="11" t="str">
        <f aca="false">IF(INDEX(PRODUTOS!$F$4:$F$63,MATCH($A450,PRODUTOS!$B$4:$B$63,0))="Ração",IF(INDEX(PRODUTOS!$I$4:$I$63,MATCH($A450,PRODUTOS!$B$4:$B$63,0))="B",INDEX(MODELOS!$G$3:$G$19,MATCH($D450,MODELOS!$A$3:$A$19,0)),INDEX(MODELOS!$C$3:$C$19,MATCH($D450,MODELOS!$A$3:$A$19,0))),IF(INDEX(PRODUTOS!$I$4:$I$63,MATCH($A450,PRODUTOS!$B$4:$B$63,0))="B",INDEX(MODELOS!$H$3:$H$19,MATCH($D450,MODELOS!$A$3:$A$19,0)),INDEX(MODELOS!$D$3:$D$19,MATCH($D450,MODELOS!$A$3:$A$19,0))))</f>
        <v>Quantidade diária por peso do cão/gato (números idênticos à embalagem)</v>
      </c>
      <c r="H450" s="11" t="str">
        <f aca="false">IF(INDEX(PRODUTOS!$I$4:$I$63,MATCH($A450,PRODUTOS!$B$4:$B$63,0))="B",INDEX(MODELOS!$I$3:$I$19,MATCH($D450,MODELOS!$A$3:$A$19,0)),INDEX(MODELOS!$E$3:$E$19,MATCH($D450,MODELOS!$A$3:$A$19,0)))</f>
        <v>2000 × 2000</v>
      </c>
      <c r="I450" s="11" t="str">
        <f aca="false">INDEX(MODELOS!$J$3:$J$19,MATCH($D450,MODELOS!$A$3:$A$19,0))</f>
        <v>SIM</v>
      </c>
      <c r="J450" s="11" t="str">
        <f aca="false">IF(LEFT($D450,2)&lt;&gt;"AP",IF($I450="SIM","SIM","RECOMENDADA"),IF(INDEX(PRODUTOS!$J$4:$J$63,MATCH($A450,PRODUTOS!$B$4:$B$63,0))&lt;&gt;"","NÃO (usa o A+ do EAN "&amp;INDEX(PRODUTOS!$J$4:$J$63,MATCH($A450,PRODUTOS!$B$4:$B$63,0))&amp;")",IF(AND(INDEX(PRODUTOS!$I$4:$I$63,MATCH($A450,PRODUTOS!$B$4:$B$63,0))="B",$D450="AP07"),"NÃO (modelo B)","SIM")))</f>
        <v>SIM</v>
      </c>
      <c r="K450" s="13" t="s">
        <v>325</v>
      </c>
      <c r="L450" s="13"/>
    </row>
    <row r="451" customFormat="false" ht="15" hidden="false" customHeight="false" outlineLevel="0" collapsed="false">
      <c r="A451" s="15" t="s">
        <v>159</v>
      </c>
      <c r="B451" s="11" t="str">
        <f aca="false">INDEX(PRODUTOS!$E$4:$E$63,MATCH($A451,PRODUTOS!$B$4:$B$63,0))</f>
        <v>Ração Seca Natural Dots para Gatos Castrados - Pacote 1 kg</v>
      </c>
      <c r="C451" s="11" t="str">
        <f aca="false">INDEX(PRODUTOS!$H$4:$H$63,MATCH($A451,PRODUTOS!$B$4:$B$63,0))</f>
        <v>1 kg</v>
      </c>
      <c r="D451" s="11" t="s">
        <v>330</v>
      </c>
      <c r="E451" s="16" t="str">
        <f aca="false">$A451&amp;"."&amp;$D451&amp;".jpg"</f>
        <v>7898968541375.PT05.jpg</v>
      </c>
      <c r="F451" s="11" t="str">
        <f aca="false">IF(INDEX(PRODUTOS!$I$4:$I$63,MATCH($A451,PRODUTOS!$B$4:$B$63,0))="B",INDEX(MODELOS!$F$3:$F$19,MATCH($D451,MODELOS!$A$3:$A$19,0)),INDEX(MODELOS!$B$3:$B$19,MATCH($D451,MODELOS!$A$3:$A$19,0)))</f>
        <v>Galeria · posição 6</v>
      </c>
      <c r="G451" s="11" t="str">
        <f aca="false">IF(INDEX(PRODUTOS!$F$4:$F$63,MATCH($A451,PRODUTOS!$B$4:$B$63,0))="Ração",IF(INDEX(PRODUTOS!$I$4:$I$63,MATCH($A451,PRODUTOS!$B$4:$B$63,0))="B",INDEX(MODELOS!$G$3:$G$19,MATCH($D451,MODELOS!$A$3:$A$19,0)),INDEX(MODELOS!$C$3:$C$19,MATCH($D451,MODELOS!$A$3:$A$19,0))),IF(INDEX(PRODUTOS!$I$4:$I$63,MATCH($A451,PRODUTOS!$B$4:$B$63,0))="B",INDEX(MODELOS!$H$3:$H$19,MATCH($D451,MODELOS!$A$3:$A$19,0)),INDEX(MODELOS!$D$3:$D$19,MATCH($D451,MODELOS!$A$3:$A$19,0))))</f>
        <v>Transição alimentar dia a dia (igual ao verso da embalagem)</v>
      </c>
      <c r="H451" s="11" t="str">
        <f aca="false">IF(INDEX(PRODUTOS!$I$4:$I$63,MATCH($A451,PRODUTOS!$B$4:$B$63,0))="B",INDEX(MODELOS!$I$3:$I$19,MATCH($D451,MODELOS!$A$3:$A$19,0)),INDEX(MODELOS!$E$3:$E$19,MATCH($D451,MODELOS!$A$3:$A$19,0)))</f>
        <v>2000 × 2000</v>
      </c>
      <c r="I451" s="11" t="str">
        <f aca="false">INDEX(MODELOS!$J$3:$J$19,MATCH($D451,MODELOS!$A$3:$A$19,0))</f>
        <v>Recomendada</v>
      </c>
      <c r="J451" s="11" t="str">
        <f aca="false">IF(LEFT($D451,2)&lt;&gt;"AP",IF($I451="SIM","SIM","RECOMENDADA"),IF(INDEX(PRODUTOS!$J$4:$J$63,MATCH($A451,PRODUTOS!$B$4:$B$63,0))&lt;&gt;"","NÃO (usa o A+ do EAN "&amp;INDEX(PRODUTOS!$J$4:$J$63,MATCH($A451,PRODUTOS!$B$4:$B$63,0))&amp;")",IF(AND(INDEX(PRODUTOS!$I$4:$I$63,MATCH($A451,PRODUTOS!$B$4:$B$63,0))="B",$D451="AP07"),"NÃO (modelo B)","SIM")))</f>
        <v>RECOMENDADA</v>
      </c>
      <c r="K451" s="13" t="s">
        <v>325</v>
      </c>
      <c r="L451" s="13"/>
    </row>
    <row r="452" customFormat="false" ht="15" hidden="false" customHeight="false" outlineLevel="0" collapsed="false">
      <c r="A452" s="15" t="s">
        <v>159</v>
      </c>
      <c r="B452" s="11" t="str">
        <f aca="false">INDEX(PRODUTOS!$E$4:$E$63,MATCH($A452,PRODUTOS!$B$4:$B$63,0))</f>
        <v>Ração Seca Natural Dots para Gatos Castrados - Pacote 1 kg</v>
      </c>
      <c r="C452" s="11" t="str">
        <f aca="false">INDEX(PRODUTOS!$H$4:$H$63,MATCH($A452,PRODUTOS!$B$4:$B$63,0))</f>
        <v>1 kg</v>
      </c>
      <c r="D452" s="11" t="s">
        <v>331</v>
      </c>
      <c r="E452" s="16" t="str">
        <f aca="false">$A452&amp;"."&amp;$D452&amp;".jpg"</f>
        <v>7898968541375.PT06.jpg</v>
      </c>
      <c r="F452" s="11" t="str">
        <f aca="false">IF(INDEX(PRODUTOS!$I$4:$I$63,MATCH($A452,PRODUTOS!$B$4:$B$63,0))="B",INDEX(MODELOS!$F$3:$F$19,MATCH($D452,MODELOS!$A$3:$A$19,0)),INDEX(MODELOS!$B$3:$B$19,MATCH($D452,MODELOS!$A$3:$A$19,0)))</f>
        <v>Galeria · posição 7</v>
      </c>
      <c r="G452" s="11" t="str">
        <f aca="false">IF(INDEX(PRODUTOS!$F$4:$F$63,MATCH($A452,PRODUTOS!$B$4:$B$63,0))="Ração",IF(INDEX(PRODUTOS!$I$4:$I$63,MATCH($A452,PRODUTOS!$B$4:$B$63,0))="B",INDEX(MODELOS!$G$3:$G$19,MATCH($D452,MODELOS!$A$3:$A$19,0)),INDEX(MODELOS!$C$3:$C$19,MATCH($D452,MODELOS!$A$3:$A$19,0))),IF(INDEX(PRODUTOS!$I$4:$I$63,MATCH($A452,PRODUTOS!$B$4:$B$63,0))="B",INDEX(MODELOS!$H$3:$H$19,MATCH($D452,MODELOS!$A$3:$A$19,0)),INDEX(MODELOS!$D$3:$D$19,MATCH($D452,MODELOS!$A$3:$A$19,0))))</f>
        <v>Composição e níveis de garantia em letra grande</v>
      </c>
      <c r="H452" s="11" t="str">
        <f aca="false">IF(INDEX(PRODUTOS!$I$4:$I$63,MATCH($A452,PRODUTOS!$B$4:$B$63,0))="B",INDEX(MODELOS!$I$3:$I$19,MATCH($D452,MODELOS!$A$3:$A$19,0)),INDEX(MODELOS!$E$3:$E$19,MATCH($D452,MODELOS!$A$3:$A$19,0)))</f>
        <v>2000 × 2000</v>
      </c>
      <c r="I452" s="11" t="str">
        <f aca="false">INDEX(MODELOS!$J$3:$J$19,MATCH($D452,MODELOS!$A$3:$A$19,0))</f>
        <v>SIM</v>
      </c>
      <c r="J452" s="11" t="str">
        <f aca="false">IF(LEFT($D452,2)&lt;&gt;"AP",IF($I452="SIM","SIM","RECOMENDADA"),IF(INDEX(PRODUTOS!$J$4:$J$63,MATCH($A452,PRODUTOS!$B$4:$B$63,0))&lt;&gt;"","NÃO (usa o A+ do EAN "&amp;INDEX(PRODUTOS!$J$4:$J$63,MATCH($A452,PRODUTOS!$B$4:$B$63,0))&amp;")",IF(AND(INDEX(PRODUTOS!$I$4:$I$63,MATCH($A452,PRODUTOS!$B$4:$B$63,0))="B",$D452="AP07"),"NÃO (modelo B)","SIM")))</f>
        <v>SIM</v>
      </c>
      <c r="K452" s="13" t="s">
        <v>325</v>
      </c>
      <c r="L452" s="13"/>
    </row>
    <row r="453" customFormat="false" ht="15" hidden="false" customHeight="false" outlineLevel="0" collapsed="false">
      <c r="A453" s="15" t="s">
        <v>159</v>
      </c>
      <c r="B453" s="11" t="str">
        <f aca="false">INDEX(PRODUTOS!$E$4:$E$63,MATCH($A453,PRODUTOS!$B$4:$B$63,0))</f>
        <v>Ração Seca Natural Dots para Gatos Castrados - Pacote 1 kg</v>
      </c>
      <c r="C453" s="11" t="str">
        <f aca="false">INDEX(PRODUTOS!$H$4:$H$63,MATCH($A453,PRODUTOS!$B$4:$B$63,0))</f>
        <v>1 kg</v>
      </c>
      <c r="D453" s="11" t="s">
        <v>332</v>
      </c>
      <c r="E453" s="16" t="str">
        <f aca="false">$A453&amp;"."&amp;$D453&amp;".jpg"</f>
        <v>7898968541375.PT07.jpg</v>
      </c>
      <c r="F453" s="11" t="str">
        <f aca="false">IF(INDEX(PRODUTOS!$I$4:$I$63,MATCH($A453,PRODUTOS!$B$4:$B$63,0))="B",INDEX(MODELOS!$F$3:$F$19,MATCH($D453,MODELOS!$A$3:$A$19,0)),INDEX(MODELOS!$B$3:$B$19,MATCH($D453,MODELOS!$A$3:$A$19,0)))</f>
        <v>Galeria · posição 8</v>
      </c>
      <c r="G453" s="11" t="str">
        <f aca="false">IF(INDEX(PRODUTOS!$F$4:$F$63,MATCH($A453,PRODUTOS!$B$4:$B$63,0))="Ração",IF(INDEX(PRODUTOS!$I$4:$I$63,MATCH($A453,PRODUTOS!$B$4:$B$63,0))="B",INDEX(MODELOS!$G$3:$G$19,MATCH($D453,MODELOS!$A$3:$A$19,0)),INDEX(MODELOS!$C$3:$C$19,MATCH($D453,MODELOS!$A$3:$A$19,0))),IF(INDEX(PRODUTOS!$I$4:$I$63,MATCH($A453,PRODUTOS!$B$4:$B$63,0))="B",INDEX(MODELOS!$H$3:$H$19,MATCH($D453,MODELOS!$A$3:$A$19,0)),INDEX(MODELOS!$D$3:$D$19,MATCH($D453,MODELOS!$A$3:$A$19,0))))</f>
        <v>Emocional / momento de uso (pet do porte certo, pote cheio)</v>
      </c>
      <c r="H453" s="11" t="str">
        <f aca="false">IF(INDEX(PRODUTOS!$I$4:$I$63,MATCH($A453,PRODUTOS!$B$4:$B$63,0))="B",INDEX(MODELOS!$I$3:$I$19,MATCH($D453,MODELOS!$A$3:$A$19,0)),INDEX(MODELOS!$E$3:$E$19,MATCH($D453,MODELOS!$A$3:$A$19,0)))</f>
        <v>2000 × 2000</v>
      </c>
      <c r="I453" s="11" t="str">
        <f aca="false">INDEX(MODELOS!$J$3:$J$19,MATCH($D453,MODELOS!$A$3:$A$19,0))</f>
        <v>Recomendada</v>
      </c>
      <c r="J453" s="11" t="str">
        <f aca="false">IF(LEFT($D453,2)&lt;&gt;"AP",IF($I453="SIM","SIM","RECOMENDADA"),IF(INDEX(PRODUTOS!$J$4:$J$63,MATCH($A453,PRODUTOS!$B$4:$B$63,0))&lt;&gt;"","NÃO (usa o A+ do EAN "&amp;INDEX(PRODUTOS!$J$4:$J$63,MATCH($A453,PRODUTOS!$B$4:$B$63,0))&amp;")",IF(AND(INDEX(PRODUTOS!$I$4:$I$63,MATCH($A453,PRODUTOS!$B$4:$B$63,0))="B",$D453="AP07"),"NÃO (modelo B)","SIM")))</f>
        <v>RECOMENDADA</v>
      </c>
      <c r="K453" s="13" t="s">
        <v>325</v>
      </c>
      <c r="L453" s="13"/>
    </row>
    <row r="454" customFormat="false" ht="15" hidden="false" customHeight="false" outlineLevel="0" collapsed="false">
      <c r="A454" s="15" t="s">
        <v>159</v>
      </c>
      <c r="B454" s="11" t="str">
        <f aca="false">INDEX(PRODUTOS!$E$4:$E$63,MATCH($A454,PRODUTOS!$B$4:$B$63,0))</f>
        <v>Ração Seca Natural Dots para Gatos Castrados - Pacote 1 kg</v>
      </c>
      <c r="C454" s="11" t="str">
        <f aca="false">INDEX(PRODUTOS!$H$4:$H$63,MATCH($A454,PRODUTOS!$B$4:$B$63,0))</f>
        <v>1 kg</v>
      </c>
      <c r="D454" s="11" t="s">
        <v>333</v>
      </c>
      <c r="E454" s="16" t="str">
        <f aca="false">$A454&amp;"."&amp;$D454&amp;".jpg"</f>
        <v>7898968541375.PT08.jpg</v>
      </c>
      <c r="F454" s="11" t="str">
        <f aca="false">IF(INDEX(PRODUTOS!$I$4:$I$63,MATCH($A454,PRODUTOS!$B$4:$B$63,0))="B",INDEX(MODELOS!$F$3:$F$19,MATCH($D454,MODELOS!$A$3:$A$19,0)),INDEX(MODELOS!$B$3:$B$19,MATCH($D454,MODELOS!$A$3:$A$19,0)))</f>
        <v>Galeria · posição 9</v>
      </c>
      <c r="G454" s="11" t="str">
        <f aca="false">IF(INDEX(PRODUTOS!$F$4:$F$63,MATCH($A454,PRODUTOS!$B$4:$B$63,0))="Ração",IF(INDEX(PRODUTOS!$I$4:$I$63,MATCH($A454,PRODUTOS!$B$4:$B$63,0))="B",INDEX(MODELOS!$G$3:$G$19,MATCH($D454,MODELOS!$A$3:$A$19,0)),INDEX(MODELOS!$C$3:$C$19,MATCH($D454,MODELOS!$A$3:$A$19,0))),IF(INDEX(PRODUTOS!$I$4:$I$63,MATCH($A454,PRODUTOS!$B$4:$B$63,0))="B",INDEX(MODELOS!$H$3:$H$19,MATCH($D454,MODELOS!$A$3:$A$19,0)),INDEX(MODELOS!$D$3:$D$19,MATCH($D454,MODELOS!$A$3:$A$19,0))))</f>
        <v>Linha da marca ou embalagem anterior × nova</v>
      </c>
      <c r="H454" s="11" t="str">
        <f aca="false">IF(INDEX(PRODUTOS!$I$4:$I$63,MATCH($A454,PRODUTOS!$B$4:$B$63,0))="B",INDEX(MODELOS!$I$3:$I$19,MATCH($D454,MODELOS!$A$3:$A$19,0)),INDEX(MODELOS!$E$3:$E$19,MATCH($D454,MODELOS!$A$3:$A$19,0)))</f>
        <v>2000 × 2000</v>
      </c>
      <c r="I454" s="11" t="str">
        <f aca="false">INDEX(MODELOS!$J$3:$J$19,MATCH($D454,MODELOS!$A$3:$A$19,0))</f>
        <v>Recomendada</v>
      </c>
      <c r="J454" s="11" t="str">
        <f aca="false">IF(LEFT($D454,2)&lt;&gt;"AP",IF($I454="SIM","SIM","RECOMENDADA"),IF(INDEX(PRODUTOS!$J$4:$J$63,MATCH($A454,PRODUTOS!$B$4:$B$63,0))&lt;&gt;"","NÃO (usa o A+ do EAN "&amp;INDEX(PRODUTOS!$J$4:$J$63,MATCH($A454,PRODUTOS!$B$4:$B$63,0))&amp;")",IF(AND(INDEX(PRODUTOS!$I$4:$I$63,MATCH($A454,PRODUTOS!$B$4:$B$63,0))="B",$D454="AP07"),"NÃO (modelo B)","SIM")))</f>
        <v>RECOMENDADA</v>
      </c>
      <c r="K454" s="13" t="s">
        <v>325</v>
      </c>
      <c r="L454" s="13"/>
    </row>
    <row r="455" customFormat="false" ht="15" hidden="false" customHeight="false" outlineLevel="0" collapsed="false">
      <c r="A455" s="15" t="s">
        <v>159</v>
      </c>
      <c r="B455" s="11" t="str">
        <f aca="false">INDEX(PRODUTOS!$E$4:$E$63,MATCH($A455,PRODUTOS!$B$4:$B$63,0))</f>
        <v>Ração Seca Natural Dots para Gatos Castrados - Pacote 1 kg</v>
      </c>
      <c r="C455" s="11" t="str">
        <f aca="false">INDEX(PRODUTOS!$H$4:$H$63,MATCH($A455,PRODUTOS!$B$4:$B$63,0))</f>
        <v>1 kg</v>
      </c>
      <c r="D455" s="11" t="s">
        <v>334</v>
      </c>
      <c r="E455" s="16" t="str">
        <f aca="false">$A455&amp;"."&amp;$D455&amp;".jpg"</f>
        <v>7898968541375.AP01.jpg</v>
      </c>
      <c r="F455" s="11" t="str">
        <f aca="false">IF(INDEX(PRODUTOS!$I$4:$I$63,MATCH($A455,PRODUTOS!$B$4:$B$63,0))="B",INDEX(MODELOS!$F$3:$F$19,MATCH($D455,MODELOS!$A$3:$A$19,0)),INDEX(MODELOS!$B$3:$B$19,MATCH($D455,MODELOS!$A$3:$A$19,0)))</f>
        <v>A+ · Módulo 1 · Banner</v>
      </c>
      <c r="G455" s="11" t="str">
        <f aca="false">IF(INDEX(PRODUTOS!$F$4:$F$63,MATCH($A455,PRODUTOS!$B$4:$B$63,0))="Ração",IF(INDEX(PRODUTOS!$I$4:$I$63,MATCH($A455,PRODUTOS!$B$4:$B$63,0))="B",INDEX(MODELOS!$G$3:$G$19,MATCH($D455,MODELOS!$A$3:$A$19,0)),INDEX(MODELOS!$C$3:$C$19,MATCH($D455,MODELOS!$A$3:$A$19,0))),IF(INDEX(PRODUTOS!$I$4:$I$63,MATCH($A455,PRODUTOS!$B$4:$B$63,0))="B",INDEX(MODELOS!$H$3:$H$19,MATCH($D455,MODELOS!$A$3:$A$19,0)),INDEX(MODELOS!$D$3:$D$19,MATCH($D455,MODELOS!$A$3:$A$19,0))))</f>
        <v>Embalagem + pet + ingredientes, com o nome da linha</v>
      </c>
      <c r="H455" s="11" t="str">
        <f aca="false">IF(INDEX(PRODUTOS!$I$4:$I$63,MATCH($A455,PRODUTOS!$B$4:$B$63,0))="B",INDEX(MODELOS!$I$3:$I$19,MATCH($D455,MODELOS!$A$3:$A$19,0)),INDEX(MODELOS!$E$3:$E$19,MATCH($D455,MODELOS!$A$3:$A$19,0)))</f>
        <v>970 × 600</v>
      </c>
      <c r="I455" s="11" t="str">
        <f aca="false">INDEX(MODELOS!$J$3:$J$19,MATCH($D455,MODELOS!$A$3:$A$19,0))</f>
        <v>Conforme modelo</v>
      </c>
      <c r="J455" s="11" t="str">
        <f aca="false">IF(LEFT($D455,2)&lt;&gt;"AP",IF($I455="SIM","SIM","RECOMENDADA"),IF(INDEX(PRODUTOS!$J$4:$J$63,MATCH($A455,PRODUTOS!$B$4:$B$63,0))&lt;&gt;"","NÃO (usa o A+ do EAN "&amp;INDEX(PRODUTOS!$J$4:$J$63,MATCH($A455,PRODUTOS!$B$4:$B$63,0))&amp;")",IF(AND(INDEX(PRODUTOS!$I$4:$I$63,MATCH($A455,PRODUTOS!$B$4:$B$63,0))="B",$D455="AP07"),"NÃO (modelo B)","SIM")))</f>
        <v>NÃO (usa o A+ do EAN 7898968541399)</v>
      </c>
      <c r="K455" s="13" t="s">
        <v>325</v>
      </c>
      <c r="L455" s="13"/>
    </row>
    <row r="456" customFormat="false" ht="15" hidden="false" customHeight="false" outlineLevel="0" collapsed="false">
      <c r="A456" s="15" t="s">
        <v>159</v>
      </c>
      <c r="B456" s="11" t="str">
        <f aca="false">INDEX(PRODUTOS!$E$4:$E$63,MATCH($A456,PRODUTOS!$B$4:$B$63,0))</f>
        <v>Ração Seca Natural Dots para Gatos Castrados - Pacote 1 kg</v>
      </c>
      <c r="C456" s="11" t="str">
        <f aca="false">INDEX(PRODUTOS!$H$4:$H$63,MATCH($A456,PRODUTOS!$B$4:$B$63,0))</f>
        <v>1 kg</v>
      </c>
      <c r="D456" s="11" t="s">
        <v>335</v>
      </c>
      <c r="E456" s="16" t="str">
        <f aca="false">$A456&amp;"."&amp;$D456&amp;".jpg"</f>
        <v>7898968541375.AP02.jpg</v>
      </c>
      <c r="F456" s="11" t="str">
        <f aca="false">IF(INDEX(PRODUTOS!$I$4:$I$63,MATCH($A456,PRODUTOS!$B$4:$B$63,0))="B",INDEX(MODELOS!$F$3:$F$19,MATCH($D456,MODELOS!$A$3:$A$19,0)),INDEX(MODELOS!$B$3:$B$19,MATCH($D456,MODELOS!$A$3:$A$19,0)))</f>
        <v>A+ · Módulo 2 · Texto sobreposto</v>
      </c>
      <c r="G456" s="11" t="str">
        <f aca="false">IF(INDEX(PRODUTOS!$F$4:$F$63,MATCH($A456,PRODUTOS!$B$4:$B$63,0))="Ração",IF(INDEX(PRODUTOS!$I$4:$I$63,MATCH($A456,PRODUTOS!$B$4:$B$63,0))="B",INDEX(MODELOS!$G$3:$G$19,MATCH($D456,MODELOS!$A$3:$A$19,0)),INDEX(MODELOS!$C$3:$C$19,MATCH($D456,MODELOS!$A$3:$A$19,0))),IF(INDEX(PRODUTOS!$I$4:$I$63,MATCH($A456,PRODUTOS!$B$4:$B$63,0))="B",INDEX(MODELOS!$H$3:$H$19,MATCH($D456,MODELOS!$A$3:$A$19,0)),INDEX(MODELOS!$D$3:$D$19,MATCH($D456,MODELOS!$A$3:$A$19,0))))</f>
        <v>Principal diferencial; deixar o lado direito limpo</v>
      </c>
      <c r="H456" s="11" t="str">
        <f aca="false">IF(INDEX(PRODUTOS!$I$4:$I$63,MATCH($A456,PRODUTOS!$B$4:$B$63,0))="B",INDEX(MODELOS!$I$3:$I$19,MATCH($D456,MODELOS!$A$3:$A$19,0)),INDEX(MODELOS!$E$3:$E$19,MATCH($D456,MODELOS!$A$3:$A$19,0)))</f>
        <v>970 × 300</v>
      </c>
      <c r="I456" s="11" t="str">
        <f aca="false">INDEX(MODELOS!$J$3:$J$19,MATCH($D456,MODELOS!$A$3:$A$19,0))</f>
        <v>Conforme modelo</v>
      </c>
      <c r="J456" s="11" t="str">
        <f aca="false">IF(LEFT($D456,2)&lt;&gt;"AP",IF($I456="SIM","SIM","RECOMENDADA"),IF(INDEX(PRODUTOS!$J$4:$J$63,MATCH($A456,PRODUTOS!$B$4:$B$63,0))&lt;&gt;"","NÃO (usa o A+ do EAN "&amp;INDEX(PRODUTOS!$J$4:$J$63,MATCH($A456,PRODUTOS!$B$4:$B$63,0))&amp;")",IF(AND(INDEX(PRODUTOS!$I$4:$I$63,MATCH($A456,PRODUTOS!$B$4:$B$63,0))="B",$D456="AP07"),"NÃO (modelo B)","SIM")))</f>
        <v>NÃO (usa o A+ do EAN 7898968541399)</v>
      </c>
      <c r="K456" s="13" t="s">
        <v>325</v>
      </c>
      <c r="L456" s="13"/>
    </row>
    <row r="457" customFormat="false" ht="15" hidden="false" customHeight="false" outlineLevel="0" collapsed="false">
      <c r="A457" s="15" t="s">
        <v>159</v>
      </c>
      <c r="B457" s="11" t="str">
        <f aca="false">INDEX(PRODUTOS!$E$4:$E$63,MATCH($A457,PRODUTOS!$B$4:$B$63,0))</f>
        <v>Ração Seca Natural Dots para Gatos Castrados - Pacote 1 kg</v>
      </c>
      <c r="C457" s="11" t="str">
        <f aca="false">INDEX(PRODUTOS!$H$4:$H$63,MATCH($A457,PRODUTOS!$B$4:$B$63,0))</f>
        <v>1 kg</v>
      </c>
      <c r="D457" s="11" t="s">
        <v>336</v>
      </c>
      <c r="E457" s="16" t="str">
        <f aca="false">$A457&amp;"."&amp;$D457&amp;".jpg"</f>
        <v>7898968541375.AP03.jpg</v>
      </c>
      <c r="F457" s="11" t="str">
        <f aca="false">IF(INDEX(PRODUTOS!$I$4:$I$63,MATCH($A457,PRODUTOS!$B$4:$B$63,0))="B",INDEX(MODELOS!$F$3:$F$19,MATCH($D457,MODELOS!$A$3:$A$19,0)),INDEX(MODELOS!$B$3:$B$19,MATCH($D457,MODELOS!$A$3:$A$19,0)))</f>
        <v>A+ · Módulo 3 · Benefício 1 de 4</v>
      </c>
      <c r="G457" s="11" t="str">
        <f aca="false">IF(INDEX(PRODUTOS!$F$4:$F$63,MATCH($A457,PRODUTOS!$B$4:$B$63,0))="Ração",IF(INDEX(PRODUTOS!$I$4:$I$63,MATCH($A457,PRODUTOS!$B$4:$B$63,0))="B",INDEX(MODELOS!$G$3:$G$19,MATCH($D457,MODELOS!$A$3:$A$19,0)),INDEX(MODELOS!$C$3:$C$19,MATCH($D457,MODELOS!$A$3:$A$19,0))),IF(INDEX(PRODUTOS!$I$4:$I$63,MATCH($A457,PRODUTOS!$B$4:$B$63,0))="B",INDEX(MODELOS!$H$3:$H$19,MATCH($D457,MODELOS!$A$3:$A$19,0)),INDEX(MODELOS!$D$3:$D$19,MATCH($D457,MODELOS!$A$3:$A$19,0))))</f>
        <v>Foto/ilustração do benefício 1</v>
      </c>
      <c r="H457" s="11" t="str">
        <f aca="false">IF(INDEX(PRODUTOS!$I$4:$I$63,MATCH($A457,PRODUTOS!$B$4:$B$63,0))="B",INDEX(MODELOS!$I$3:$I$19,MATCH($D457,MODELOS!$A$3:$A$19,0)),INDEX(MODELOS!$E$3:$E$19,MATCH($D457,MODELOS!$A$3:$A$19,0)))</f>
        <v>220 × 200</v>
      </c>
      <c r="I457" s="11" t="str">
        <f aca="false">INDEX(MODELOS!$J$3:$J$19,MATCH($D457,MODELOS!$A$3:$A$19,0))</f>
        <v>Conforme modelo</v>
      </c>
      <c r="J457" s="11" t="str">
        <f aca="false">IF(LEFT($D457,2)&lt;&gt;"AP",IF($I457="SIM","SIM","RECOMENDADA"),IF(INDEX(PRODUTOS!$J$4:$J$63,MATCH($A457,PRODUTOS!$B$4:$B$63,0))&lt;&gt;"","NÃO (usa o A+ do EAN "&amp;INDEX(PRODUTOS!$J$4:$J$63,MATCH($A457,PRODUTOS!$B$4:$B$63,0))&amp;")",IF(AND(INDEX(PRODUTOS!$I$4:$I$63,MATCH($A457,PRODUTOS!$B$4:$B$63,0))="B",$D457="AP07"),"NÃO (modelo B)","SIM")))</f>
        <v>NÃO (usa o A+ do EAN 7898968541399)</v>
      </c>
      <c r="K457" s="13" t="s">
        <v>325</v>
      </c>
      <c r="L457" s="13"/>
    </row>
    <row r="458" customFormat="false" ht="15" hidden="false" customHeight="false" outlineLevel="0" collapsed="false">
      <c r="A458" s="15" t="s">
        <v>159</v>
      </c>
      <c r="B458" s="11" t="str">
        <f aca="false">INDEX(PRODUTOS!$E$4:$E$63,MATCH($A458,PRODUTOS!$B$4:$B$63,0))</f>
        <v>Ração Seca Natural Dots para Gatos Castrados - Pacote 1 kg</v>
      </c>
      <c r="C458" s="11" t="str">
        <f aca="false">INDEX(PRODUTOS!$H$4:$H$63,MATCH($A458,PRODUTOS!$B$4:$B$63,0))</f>
        <v>1 kg</v>
      </c>
      <c r="D458" s="11" t="s">
        <v>337</v>
      </c>
      <c r="E458" s="16" t="str">
        <f aca="false">$A458&amp;"."&amp;$D458&amp;".jpg"</f>
        <v>7898968541375.AP04.jpg</v>
      </c>
      <c r="F458" s="11" t="str">
        <f aca="false">IF(INDEX(PRODUTOS!$I$4:$I$63,MATCH($A458,PRODUTOS!$B$4:$B$63,0))="B",INDEX(MODELOS!$F$3:$F$19,MATCH($D458,MODELOS!$A$3:$A$19,0)),INDEX(MODELOS!$B$3:$B$19,MATCH($D458,MODELOS!$A$3:$A$19,0)))</f>
        <v>A+ · Módulo 3 · Benefício 2 de 4</v>
      </c>
      <c r="G458" s="11" t="str">
        <f aca="false">IF(INDEX(PRODUTOS!$F$4:$F$63,MATCH($A458,PRODUTOS!$B$4:$B$63,0))="Ração",IF(INDEX(PRODUTOS!$I$4:$I$63,MATCH($A458,PRODUTOS!$B$4:$B$63,0))="B",INDEX(MODELOS!$G$3:$G$19,MATCH($D458,MODELOS!$A$3:$A$19,0)),INDEX(MODELOS!$C$3:$C$19,MATCH($D458,MODELOS!$A$3:$A$19,0))),IF(INDEX(PRODUTOS!$I$4:$I$63,MATCH($A458,PRODUTOS!$B$4:$B$63,0))="B",INDEX(MODELOS!$H$3:$H$19,MATCH($D458,MODELOS!$A$3:$A$19,0)),INDEX(MODELOS!$D$3:$D$19,MATCH($D458,MODELOS!$A$3:$A$19,0))))</f>
        <v>Foto/ilustração do benefício 2</v>
      </c>
      <c r="H458" s="11" t="str">
        <f aca="false">IF(INDEX(PRODUTOS!$I$4:$I$63,MATCH($A458,PRODUTOS!$B$4:$B$63,0))="B",INDEX(MODELOS!$I$3:$I$19,MATCH($D458,MODELOS!$A$3:$A$19,0)),INDEX(MODELOS!$E$3:$E$19,MATCH($D458,MODELOS!$A$3:$A$19,0)))</f>
        <v>220 × 200</v>
      </c>
      <c r="I458" s="11" t="str">
        <f aca="false">INDEX(MODELOS!$J$3:$J$19,MATCH($D458,MODELOS!$A$3:$A$19,0))</f>
        <v>Conforme modelo</v>
      </c>
      <c r="J458" s="11" t="str">
        <f aca="false">IF(LEFT($D458,2)&lt;&gt;"AP",IF($I458="SIM","SIM","RECOMENDADA"),IF(INDEX(PRODUTOS!$J$4:$J$63,MATCH($A458,PRODUTOS!$B$4:$B$63,0))&lt;&gt;"","NÃO (usa o A+ do EAN "&amp;INDEX(PRODUTOS!$J$4:$J$63,MATCH($A458,PRODUTOS!$B$4:$B$63,0))&amp;")",IF(AND(INDEX(PRODUTOS!$I$4:$I$63,MATCH($A458,PRODUTOS!$B$4:$B$63,0))="B",$D458="AP07"),"NÃO (modelo B)","SIM")))</f>
        <v>NÃO (usa o A+ do EAN 7898968541399)</v>
      </c>
      <c r="K458" s="13" t="s">
        <v>325</v>
      </c>
      <c r="L458" s="13"/>
    </row>
    <row r="459" customFormat="false" ht="15" hidden="false" customHeight="false" outlineLevel="0" collapsed="false">
      <c r="A459" s="15" t="s">
        <v>159</v>
      </c>
      <c r="B459" s="11" t="str">
        <f aca="false">INDEX(PRODUTOS!$E$4:$E$63,MATCH($A459,PRODUTOS!$B$4:$B$63,0))</f>
        <v>Ração Seca Natural Dots para Gatos Castrados - Pacote 1 kg</v>
      </c>
      <c r="C459" s="11" t="str">
        <f aca="false">INDEX(PRODUTOS!$H$4:$H$63,MATCH($A459,PRODUTOS!$B$4:$B$63,0))</f>
        <v>1 kg</v>
      </c>
      <c r="D459" s="11" t="s">
        <v>338</v>
      </c>
      <c r="E459" s="16" t="str">
        <f aca="false">$A459&amp;"."&amp;$D459&amp;".jpg"</f>
        <v>7898968541375.AP05.jpg</v>
      </c>
      <c r="F459" s="11" t="str">
        <f aca="false">IF(INDEX(PRODUTOS!$I$4:$I$63,MATCH($A459,PRODUTOS!$B$4:$B$63,0))="B",INDEX(MODELOS!$F$3:$F$19,MATCH($D459,MODELOS!$A$3:$A$19,0)),INDEX(MODELOS!$B$3:$B$19,MATCH($D459,MODELOS!$A$3:$A$19,0)))</f>
        <v>A+ · Módulo 3 · Benefício 3 de 4</v>
      </c>
      <c r="G459" s="11" t="str">
        <f aca="false">IF(INDEX(PRODUTOS!$F$4:$F$63,MATCH($A459,PRODUTOS!$B$4:$B$63,0))="Ração",IF(INDEX(PRODUTOS!$I$4:$I$63,MATCH($A459,PRODUTOS!$B$4:$B$63,0))="B",INDEX(MODELOS!$G$3:$G$19,MATCH($D459,MODELOS!$A$3:$A$19,0)),INDEX(MODELOS!$C$3:$C$19,MATCH($D459,MODELOS!$A$3:$A$19,0))),IF(INDEX(PRODUTOS!$I$4:$I$63,MATCH($A459,PRODUTOS!$B$4:$B$63,0))="B",INDEX(MODELOS!$H$3:$H$19,MATCH($D459,MODELOS!$A$3:$A$19,0)),INDEX(MODELOS!$D$3:$D$19,MATCH($D459,MODELOS!$A$3:$A$19,0))))</f>
        <v>Foto/ilustração do benefício 3</v>
      </c>
      <c r="H459" s="11" t="str">
        <f aca="false">IF(INDEX(PRODUTOS!$I$4:$I$63,MATCH($A459,PRODUTOS!$B$4:$B$63,0))="B",INDEX(MODELOS!$I$3:$I$19,MATCH($D459,MODELOS!$A$3:$A$19,0)),INDEX(MODELOS!$E$3:$E$19,MATCH($D459,MODELOS!$A$3:$A$19,0)))</f>
        <v>220 × 200</v>
      </c>
      <c r="I459" s="11" t="str">
        <f aca="false">INDEX(MODELOS!$J$3:$J$19,MATCH($D459,MODELOS!$A$3:$A$19,0))</f>
        <v>Conforme modelo</v>
      </c>
      <c r="J459" s="11" t="str">
        <f aca="false">IF(LEFT($D459,2)&lt;&gt;"AP",IF($I459="SIM","SIM","RECOMENDADA"),IF(INDEX(PRODUTOS!$J$4:$J$63,MATCH($A459,PRODUTOS!$B$4:$B$63,0))&lt;&gt;"","NÃO (usa o A+ do EAN "&amp;INDEX(PRODUTOS!$J$4:$J$63,MATCH($A459,PRODUTOS!$B$4:$B$63,0))&amp;")",IF(AND(INDEX(PRODUTOS!$I$4:$I$63,MATCH($A459,PRODUTOS!$B$4:$B$63,0))="B",$D459="AP07"),"NÃO (modelo B)","SIM")))</f>
        <v>NÃO (usa o A+ do EAN 7898968541399)</v>
      </c>
      <c r="K459" s="13" t="s">
        <v>325</v>
      </c>
      <c r="L459" s="13"/>
    </row>
    <row r="460" customFormat="false" ht="15" hidden="false" customHeight="false" outlineLevel="0" collapsed="false">
      <c r="A460" s="15" t="s">
        <v>159</v>
      </c>
      <c r="B460" s="11" t="str">
        <f aca="false">INDEX(PRODUTOS!$E$4:$E$63,MATCH($A460,PRODUTOS!$B$4:$B$63,0))</f>
        <v>Ração Seca Natural Dots para Gatos Castrados - Pacote 1 kg</v>
      </c>
      <c r="C460" s="11" t="str">
        <f aca="false">INDEX(PRODUTOS!$H$4:$H$63,MATCH($A460,PRODUTOS!$B$4:$B$63,0))</f>
        <v>1 kg</v>
      </c>
      <c r="D460" s="11" t="s">
        <v>339</v>
      </c>
      <c r="E460" s="16" t="str">
        <f aca="false">$A460&amp;"."&amp;$D460&amp;".jpg"</f>
        <v>7898968541375.AP06.jpg</v>
      </c>
      <c r="F460" s="11" t="str">
        <f aca="false">IF(INDEX(PRODUTOS!$I$4:$I$63,MATCH($A460,PRODUTOS!$B$4:$B$63,0))="B",INDEX(MODELOS!$F$3:$F$19,MATCH($D460,MODELOS!$A$3:$A$19,0)),INDEX(MODELOS!$B$3:$B$19,MATCH($D460,MODELOS!$A$3:$A$19,0)))</f>
        <v>A+ · Módulo 3 · Benefício 4 de 4</v>
      </c>
      <c r="G460" s="11" t="str">
        <f aca="false">IF(INDEX(PRODUTOS!$F$4:$F$63,MATCH($A460,PRODUTOS!$B$4:$B$63,0))="Ração",IF(INDEX(PRODUTOS!$I$4:$I$63,MATCH($A460,PRODUTOS!$B$4:$B$63,0))="B",INDEX(MODELOS!$G$3:$G$19,MATCH($D460,MODELOS!$A$3:$A$19,0)),INDEX(MODELOS!$C$3:$C$19,MATCH($D460,MODELOS!$A$3:$A$19,0))),IF(INDEX(PRODUTOS!$I$4:$I$63,MATCH($A460,PRODUTOS!$B$4:$B$63,0))="B",INDEX(MODELOS!$H$3:$H$19,MATCH($D460,MODELOS!$A$3:$A$19,0)),INDEX(MODELOS!$D$3:$D$19,MATCH($D460,MODELOS!$A$3:$A$19,0))))</f>
        <v>Foto/ilustração do benefício 4</v>
      </c>
      <c r="H460" s="11" t="str">
        <f aca="false">IF(INDEX(PRODUTOS!$I$4:$I$63,MATCH($A460,PRODUTOS!$B$4:$B$63,0))="B",INDEX(MODELOS!$I$3:$I$19,MATCH($D460,MODELOS!$A$3:$A$19,0)),INDEX(MODELOS!$E$3:$E$19,MATCH($D460,MODELOS!$A$3:$A$19,0)))</f>
        <v>220 × 200</v>
      </c>
      <c r="I460" s="11" t="str">
        <f aca="false">INDEX(MODELOS!$J$3:$J$19,MATCH($D460,MODELOS!$A$3:$A$19,0))</f>
        <v>Conforme modelo</v>
      </c>
      <c r="J460" s="11" t="str">
        <f aca="false">IF(LEFT($D460,2)&lt;&gt;"AP",IF($I460="SIM","SIM","RECOMENDADA"),IF(INDEX(PRODUTOS!$J$4:$J$63,MATCH($A460,PRODUTOS!$B$4:$B$63,0))&lt;&gt;"","NÃO (usa o A+ do EAN "&amp;INDEX(PRODUTOS!$J$4:$J$63,MATCH($A460,PRODUTOS!$B$4:$B$63,0))&amp;")",IF(AND(INDEX(PRODUTOS!$I$4:$I$63,MATCH($A460,PRODUTOS!$B$4:$B$63,0))="B",$D460="AP07"),"NÃO (modelo B)","SIM")))</f>
        <v>NÃO (usa o A+ do EAN 7898968541399)</v>
      </c>
      <c r="K460" s="13" t="s">
        <v>325</v>
      </c>
      <c r="L460" s="13"/>
    </row>
    <row r="461" customFormat="false" ht="15" hidden="false" customHeight="false" outlineLevel="0" collapsed="false">
      <c r="A461" s="15" t="s">
        <v>159</v>
      </c>
      <c r="B461" s="11" t="str">
        <f aca="false">INDEX(PRODUTOS!$E$4:$E$63,MATCH($A461,PRODUTOS!$B$4:$B$63,0))</f>
        <v>Ração Seca Natural Dots para Gatos Castrados - Pacote 1 kg</v>
      </c>
      <c r="C461" s="11" t="str">
        <f aca="false">INDEX(PRODUTOS!$H$4:$H$63,MATCH($A461,PRODUTOS!$B$4:$B$63,0))</f>
        <v>1 kg</v>
      </c>
      <c r="D461" s="11" t="s">
        <v>340</v>
      </c>
      <c r="E461" s="16" t="str">
        <f aca="false">$A461&amp;"."&amp;$D461&amp;".jpg"</f>
        <v>7898968541375.AP07.jpg</v>
      </c>
      <c r="F461" s="11" t="str">
        <f aca="false">IF(INDEX(PRODUTOS!$I$4:$I$63,MATCH($A461,PRODUTOS!$B$4:$B$63,0))="B",INDEX(MODELOS!$F$3:$F$19,MATCH($D461,MODELOS!$A$3:$A$19,0)),INDEX(MODELOS!$B$3:$B$19,MATCH($D461,MODELOS!$A$3:$A$19,0)))</f>
        <v>A+ · Módulo 4 · Especificações</v>
      </c>
      <c r="G461" s="11" t="str">
        <f aca="false">IF(INDEX(PRODUTOS!$F$4:$F$63,MATCH($A461,PRODUTOS!$B$4:$B$63,0))="Ração",IF(INDEX(PRODUTOS!$I$4:$I$63,MATCH($A461,PRODUTOS!$B$4:$B$63,0))="B",INDEX(MODELOS!$G$3:$G$19,MATCH($D461,MODELOS!$A$3:$A$19,0)),INDEX(MODELOS!$C$3:$C$19,MATCH($D461,MODELOS!$A$3:$A$19,0))),IF(INDEX(PRODUTOS!$I$4:$I$63,MATCH($A461,PRODUTOS!$B$4:$B$63,0))="B",INDEX(MODELOS!$H$3:$H$19,MATCH($D461,MODELOS!$A$3:$A$19,0)),INDEX(MODELOS!$D$3:$D$19,MATCH($D461,MODELOS!$A$3:$A$19,0))))</f>
        <v>Grão ou pacote em destaque</v>
      </c>
      <c r="H461" s="11" t="str">
        <f aca="false">IF(INDEX(PRODUTOS!$I$4:$I$63,MATCH($A461,PRODUTOS!$B$4:$B$63,0))="B",INDEX(MODELOS!$I$3:$I$19,MATCH($D461,MODELOS!$A$3:$A$19,0)),INDEX(MODELOS!$E$3:$E$19,MATCH($D461,MODELOS!$A$3:$A$19,0)))</f>
        <v>300 × 300</v>
      </c>
      <c r="I461" s="11" t="str">
        <f aca="false">INDEX(MODELOS!$J$3:$J$19,MATCH($D461,MODELOS!$A$3:$A$19,0))</f>
        <v>Conforme modelo</v>
      </c>
      <c r="J461" s="11" t="str">
        <f aca="false">IF(LEFT($D461,2)&lt;&gt;"AP",IF($I461="SIM","SIM","RECOMENDADA"),IF(INDEX(PRODUTOS!$J$4:$J$63,MATCH($A461,PRODUTOS!$B$4:$B$63,0))&lt;&gt;"","NÃO (usa o A+ do EAN "&amp;INDEX(PRODUTOS!$J$4:$J$63,MATCH($A461,PRODUTOS!$B$4:$B$63,0))&amp;")",IF(AND(INDEX(PRODUTOS!$I$4:$I$63,MATCH($A461,PRODUTOS!$B$4:$B$63,0))="B",$D461="AP07"),"NÃO (modelo B)","SIM")))</f>
        <v>NÃO (usa o A+ do EAN 7898968541399)</v>
      </c>
      <c r="K461" s="13" t="s">
        <v>325</v>
      </c>
      <c r="L461" s="13"/>
    </row>
    <row r="462" customFormat="false" ht="15" hidden="false" customHeight="false" outlineLevel="0" collapsed="false">
      <c r="A462" s="15" t="s">
        <v>159</v>
      </c>
      <c r="B462" s="11" t="str">
        <f aca="false">INDEX(PRODUTOS!$E$4:$E$63,MATCH($A462,PRODUTOS!$B$4:$B$63,0))</f>
        <v>Ração Seca Natural Dots para Gatos Castrados - Pacote 1 kg</v>
      </c>
      <c r="C462" s="11" t="str">
        <f aca="false">INDEX(PRODUTOS!$H$4:$H$63,MATCH($A462,PRODUTOS!$B$4:$B$63,0))</f>
        <v>1 kg</v>
      </c>
      <c r="D462" s="11" t="s">
        <v>341</v>
      </c>
      <c r="E462" s="16" t="str">
        <f aca="false">$A462&amp;"."&amp;$D462&amp;".jpg"</f>
        <v>7898968541375.COMP.jpg</v>
      </c>
      <c r="F462" s="11" t="str">
        <f aca="false">IF(INDEX(PRODUTOS!$I$4:$I$63,MATCH($A462,PRODUTOS!$B$4:$B$63,0))="B",INDEX(MODELOS!$F$3:$F$19,MATCH($D462,MODELOS!$A$3:$A$19,0)),INDEX(MODELOS!$B$3:$B$19,MATCH($D462,MODELOS!$A$3:$A$19,0)))</f>
        <v>A+ · Tabela comparativa</v>
      </c>
      <c r="G462" s="11" t="str">
        <f aca="false">IF(INDEX(PRODUTOS!$F$4:$F$63,MATCH($A462,PRODUTOS!$B$4:$B$63,0))="Ração",IF(INDEX(PRODUTOS!$I$4:$I$63,MATCH($A462,PRODUTOS!$B$4:$B$63,0))="B",INDEX(MODELOS!$G$3:$G$19,MATCH($D462,MODELOS!$A$3:$A$19,0)),INDEX(MODELOS!$C$3:$C$19,MATCH($D462,MODELOS!$A$3:$A$19,0))),IF(INDEX(PRODUTOS!$I$4:$I$63,MATCH($A462,PRODUTOS!$B$4:$B$63,0))="B",INDEX(MODELOS!$H$3:$H$19,MATCH($D462,MODELOS!$A$3:$A$19,0)),INDEX(MODELOS!$D$3:$D$19,MATCH($D462,MODELOS!$A$3:$A$19,0))))</f>
        <v>Pacote na vertical, sem fundo colorido</v>
      </c>
      <c r="H462" s="11" t="str">
        <f aca="false">IF(INDEX(PRODUTOS!$I$4:$I$63,MATCH($A462,PRODUTOS!$B$4:$B$63,0))="B",INDEX(MODELOS!$I$3:$I$19,MATCH($D462,MODELOS!$A$3:$A$19,0)),INDEX(MODELOS!$E$3:$E$19,MATCH($D462,MODELOS!$A$3:$A$19,0)))</f>
        <v>150 × 300</v>
      </c>
      <c r="I462" s="11" t="str">
        <f aca="false">INDEX(MODELOS!$J$3:$J$19,MATCH($D462,MODELOS!$A$3:$A$19,0))</f>
        <v>SIM</v>
      </c>
      <c r="J462" s="11" t="str">
        <f aca="false">IF(LEFT($D462,2)&lt;&gt;"AP",IF($I462="SIM","SIM","RECOMENDADA"),IF(INDEX(PRODUTOS!$J$4:$J$63,MATCH($A462,PRODUTOS!$B$4:$B$63,0))&lt;&gt;"","NÃO (usa o A+ do EAN "&amp;INDEX(PRODUTOS!$J$4:$J$63,MATCH($A462,PRODUTOS!$B$4:$B$63,0))&amp;")",IF(AND(INDEX(PRODUTOS!$I$4:$I$63,MATCH($A462,PRODUTOS!$B$4:$B$63,0))="B",$D462="AP07"),"NÃO (modelo B)","SIM")))</f>
        <v>SIM</v>
      </c>
      <c r="K462" s="13" t="s">
        <v>325</v>
      </c>
      <c r="L462" s="13"/>
    </row>
    <row r="463" customFormat="false" ht="15" hidden="false" customHeight="false" outlineLevel="0" collapsed="false">
      <c r="A463" s="15" t="s">
        <v>163</v>
      </c>
      <c r="B463" s="11" t="str">
        <f aca="false">INDEX(PRODUTOS!$E$4:$E$63,MATCH($A463,PRODUTOS!$B$4:$B$63,0))</f>
        <v>Ração Seca Natural Dots para Gatos Filhotes - Pacote 11 kg</v>
      </c>
      <c r="C463" s="11" t="str">
        <f aca="false">INDEX(PRODUTOS!$H$4:$H$63,MATCH($A463,PRODUTOS!$B$4:$B$63,0))</f>
        <v>11 kg</v>
      </c>
      <c r="D463" s="11" t="s">
        <v>324</v>
      </c>
      <c r="E463" s="16" t="str">
        <f aca="false">$A463&amp;"."&amp;$D463&amp;".jpg"</f>
        <v>7898968541412.MAIN.jpg</v>
      </c>
      <c r="F463" s="11" t="str">
        <f aca="false">IF(INDEX(PRODUTOS!$I$4:$I$63,MATCH($A463,PRODUTOS!$B$4:$B$63,0))="B",INDEX(MODELOS!$F$3:$F$19,MATCH($D463,MODELOS!$A$3:$A$19,0)),INDEX(MODELOS!$B$3:$B$19,MATCH($D463,MODELOS!$A$3:$A$19,0)))</f>
        <v>Capa (posição 1)</v>
      </c>
      <c r="G463" s="11" t="str">
        <f aca="false">IF(INDEX(PRODUTOS!$F$4:$F$63,MATCH($A463,PRODUTOS!$B$4:$B$63,0))="Ração",IF(INDEX(PRODUTOS!$I$4:$I$63,MATCH($A463,PRODUTOS!$B$4:$B$63,0))="B",INDEX(MODELOS!$G$3:$G$19,MATCH($D463,MODELOS!$A$3:$A$19,0)),INDEX(MODELOS!$C$3:$C$19,MATCH($D463,MODELOS!$A$3:$A$19,0))),IF(INDEX(PRODUTOS!$I$4:$I$63,MATCH($A463,PRODUTOS!$B$4:$B$63,0))="B",INDEX(MODELOS!$H$3:$H$19,MATCH($D463,MODELOS!$A$3:$A$19,0)),INDEX(MODELOS!$D$3:$D$19,MATCH($D463,MODELOS!$A$3:$A$19,0))))</f>
        <v>Embalagem de frente, fundo branco puro, 85% da área, nada adicionado</v>
      </c>
      <c r="H463" s="11" t="str">
        <f aca="false">IF(INDEX(PRODUTOS!$I$4:$I$63,MATCH($A463,PRODUTOS!$B$4:$B$63,0))="B",INDEX(MODELOS!$I$3:$I$19,MATCH($D463,MODELOS!$A$3:$A$19,0)),INDEX(MODELOS!$E$3:$E$19,MATCH($D463,MODELOS!$A$3:$A$19,0)))</f>
        <v>2000 × 2000</v>
      </c>
      <c r="I463" s="11" t="str">
        <f aca="false">INDEX(MODELOS!$J$3:$J$19,MATCH($D463,MODELOS!$A$3:$A$19,0))</f>
        <v>SIM</v>
      </c>
      <c r="J463" s="11" t="str">
        <f aca="false">IF(LEFT($D463,2)&lt;&gt;"AP",IF($I463="SIM","SIM","RECOMENDADA"),IF(INDEX(PRODUTOS!$J$4:$J$63,MATCH($A463,PRODUTOS!$B$4:$B$63,0))&lt;&gt;"","NÃO (usa o A+ do EAN "&amp;INDEX(PRODUTOS!$J$4:$J$63,MATCH($A463,PRODUTOS!$B$4:$B$63,0))&amp;")",IF(AND(INDEX(PRODUTOS!$I$4:$I$63,MATCH($A463,PRODUTOS!$B$4:$B$63,0))="B",$D463="AP07"),"NÃO (modelo B)","SIM")))</f>
        <v>SIM</v>
      </c>
      <c r="K463" s="13" t="s">
        <v>325</v>
      </c>
      <c r="L463" s="13"/>
    </row>
    <row r="464" customFormat="false" ht="15" hidden="false" customHeight="false" outlineLevel="0" collapsed="false">
      <c r="A464" s="15" t="s">
        <v>163</v>
      </c>
      <c r="B464" s="11" t="str">
        <f aca="false">INDEX(PRODUTOS!$E$4:$E$63,MATCH($A464,PRODUTOS!$B$4:$B$63,0))</f>
        <v>Ração Seca Natural Dots para Gatos Filhotes - Pacote 11 kg</v>
      </c>
      <c r="C464" s="11" t="str">
        <f aca="false">INDEX(PRODUTOS!$H$4:$H$63,MATCH($A464,PRODUTOS!$B$4:$B$63,0))</f>
        <v>11 kg</v>
      </c>
      <c r="D464" s="11" t="s">
        <v>326</v>
      </c>
      <c r="E464" s="16" t="str">
        <f aca="false">$A464&amp;"."&amp;$D464&amp;".jpg"</f>
        <v>7898968541412.PT01.jpg</v>
      </c>
      <c r="F464" s="11" t="str">
        <f aca="false">IF(INDEX(PRODUTOS!$I$4:$I$63,MATCH($A464,PRODUTOS!$B$4:$B$63,0))="B",INDEX(MODELOS!$F$3:$F$19,MATCH($D464,MODELOS!$A$3:$A$19,0)),INDEX(MODELOS!$B$3:$B$19,MATCH($D464,MODELOS!$A$3:$A$19,0)))</f>
        <v>Galeria · posição 2</v>
      </c>
      <c r="G464" s="11" t="str">
        <f aca="false">IF(INDEX(PRODUTOS!$F$4:$F$63,MATCH($A464,PRODUTOS!$B$4:$B$63,0))="Ração",IF(INDEX(PRODUTOS!$I$4:$I$63,MATCH($A464,PRODUTOS!$B$4:$B$63,0))="B",INDEX(MODELOS!$G$3:$G$19,MATCH($D464,MODELOS!$A$3:$A$19,0)),INDEX(MODELOS!$C$3:$C$19,MATCH($D464,MODELOS!$A$3:$A$19,0))),IF(INDEX(PRODUTOS!$I$4:$I$63,MATCH($A464,PRODUTOS!$B$4:$B$63,0))="B",INDEX(MODELOS!$H$3:$H$19,MATCH($D464,MODELOS!$A$3:$A$19,0)),INDEX(MODELOS!$D$3:$D$19,MATCH($D464,MODELOS!$A$3:$A$19,0))))</f>
        <v>Grande diferencial da linha (número ou promessa forte + grão e ingrediente)</v>
      </c>
      <c r="H464" s="11" t="str">
        <f aca="false">IF(INDEX(PRODUTOS!$I$4:$I$63,MATCH($A464,PRODUTOS!$B$4:$B$63,0))="B",INDEX(MODELOS!$I$3:$I$19,MATCH($D464,MODELOS!$A$3:$A$19,0)),INDEX(MODELOS!$E$3:$E$19,MATCH($D464,MODELOS!$A$3:$A$19,0)))</f>
        <v>2000 × 2000</v>
      </c>
      <c r="I464" s="11" t="str">
        <f aca="false">INDEX(MODELOS!$J$3:$J$19,MATCH($D464,MODELOS!$A$3:$A$19,0))</f>
        <v>SIM</v>
      </c>
      <c r="J464" s="11" t="str">
        <f aca="false">IF(LEFT($D464,2)&lt;&gt;"AP",IF($I464="SIM","SIM","RECOMENDADA"),IF(INDEX(PRODUTOS!$J$4:$J$63,MATCH($A464,PRODUTOS!$B$4:$B$63,0))&lt;&gt;"","NÃO (usa o A+ do EAN "&amp;INDEX(PRODUTOS!$J$4:$J$63,MATCH($A464,PRODUTOS!$B$4:$B$63,0))&amp;")",IF(AND(INDEX(PRODUTOS!$I$4:$I$63,MATCH($A464,PRODUTOS!$B$4:$B$63,0))="B",$D464="AP07"),"NÃO (modelo B)","SIM")))</f>
        <v>SIM</v>
      </c>
      <c r="K464" s="13" t="s">
        <v>325</v>
      </c>
      <c r="L464" s="13"/>
    </row>
    <row r="465" customFormat="false" ht="15" hidden="false" customHeight="false" outlineLevel="0" collapsed="false">
      <c r="A465" s="15" t="s">
        <v>163</v>
      </c>
      <c r="B465" s="11" t="str">
        <f aca="false">INDEX(PRODUTOS!$E$4:$E$63,MATCH($A465,PRODUTOS!$B$4:$B$63,0))</f>
        <v>Ração Seca Natural Dots para Gatos Filhotes - Pacote 11 kg</v>
      </c>
      <c r="C465" s="11" t="str">
        <f aca="false">INDEX(PRODUTOS!$H$4:$H$63,MATCH($A465,PRODUTOS!$B$4:$B$63,0))</f>
        <v>11 kg</v>
      </c>
      <c r="D465" s="11" t="s">
        <v>327</v>
      </c>
      <c r="E465" s="16" t="str">
        <f aca="false">$A465&amp;"."&amp;$D465&amp;".jpg"</f>
        <v>7898968541412.PT02.jpg</v>
      </c>
      <c r="F465" s="11" t="str">
        <f aca="false">IF(INDEX(PRODUTOS!$I$4:$I$63,MATCH($A465,PRODUTOS!$B$4:$B$63,0))="B",INDEX(MODELOS!$F$3:$F$19,MATCH($D465,MODELOS!$A$3:$A$19,0)),INDEX(MODELOS!$B$3:$B$19,MATCH($D465,MODELOS!$A$3:$A$19,0)))</f>
        <v>Galeria · posição 3</v>
      </c>
      <c r="G465" s="11" t="str">
        <f aca="false">IF(INDEX(PRODUTOS!$F$4:$F$63,MATCH($A465,PRODUTOS!$B$4:$B$63,0))="Ração",IF(INDEX(PRODUTOS!$I$4:$I$63,MATCH($A465,PRODUTOS!$B$4:$B$63,0))="B",INDEX(MODELOS!$G$3:$G$19,MATCH($D465,MODELOS!$A$3:$A$19,0)),INDEX(MODELOS!$C$3:$C$19,MATCH($D465,MODELOS!$A$3:$A$19,0))),IF(INDEX(PRODUTOS!$I$4:$I$63,MATCH($A465,PRODUTOS!$B$4:$B$63,0))="B",INDEX(MODELOS!$H$3:$H$19,MATCH($D465,MODELOS!$A$3:$A$19,0)),INDEX(MODELOS!$D$3:$D$19,MATCH($D465,MODELOS!$A$3:$A$19,0))))</f>
        <v>Benefícios com ícones (4 a 6, impressos na embalagem) + ingrediente</v>
      </c>
      <c r="H465" s="11" t="str">
        <f aca="false">IF(INDEX(PRODUTOS!$I$4:$I$63,MATCH($A465,PRODUTOS!$B$4:$B$63,0))="B",INDEX(MODELOS!$I$3:$I$19,MATCH($D465,MODELOS!$A$3:$A$19,0)),INDEX(MODELOS!$E$3:$E$19,MATCH($D465,MODELOS!$A$3:$A$19,0)))</f>
        <v>2000 × 2000</v>
      </c>
      <c r="I465" s="11" t="str">
        <f aca="false">INDEX(MODELOS!$J$3:$J$19,MATCH($D465,MODELOS!$A$3:$A$19,0))</f>
        <v>SIM</v>
      </c>
      <c r="J465" s="11" t="str">
        <f aca="false">IF(LEFT($D465,2)&lt;&gt;"AP",IF($I465="SIM","SIM","RECOMENDADA"),IF(INDEX(PRODUTOS!$J$4:$J$63,MATCH($A465,PRODUTOS!$B$4:$B$63,0))&lt;&gt;"","NÃO (usa o A+ do EAN "&amp;INDEX(PRODUTOS!$J$4:$J$63,MATCH($A465,PRODUTOS!$B$4:$B$63,0))&amp;")",IF(AND(INDEX(PRODUTOS!$I$4:$I$63,MATCH($A465,PRODUTOS!$B$4:$B$63,0))="B",$D465="AP07"),"NÃO (modelo B)","SIM")))</f>
        <v>SIM</v>
      </c>
      <c r="K465" s="13" t="s">
        <v>325</v>
      </c>
      <c r="L465" s="13"/>
    </row>
    <row r="466" customFormat="false" ht="15" hidden="false" customHeight="false" outlineLevel="0" collapsed="false">
      <c r="A466" s="15" t="s">
        <v>163</v>
      </c>
      <c r="B466" s="11" t="str">
        <f aca="false">INDEX(PRODUTOS!$E$4:$E$63,MATCH($A466,PRODUTOS!$B$4:$B$63,0))</f>
        <v>Ração Seca Natural Dots para Gatos Filhotes - Pacote 11 kg</v>
      </c>
      <c r="C466" s="11" t="str">
        <f aca="false">INDEX(PRODUTOS!$H$4:$H$63,MATCH($A466,PRODUTOS!$B$4:$B$63,0))</f>
        <v>11 kg</v>
      </c>
      <c r="D466" s="11" t="s">
        <v>328</v>
      </c>
      <c r="E466" s="16" t="str">
        <f aca="false">$A466&amp;"."&amp;$D466&amp;".jpg"</f>
        <v>7898968541412.PT03.jpg</v>
      </c>
      <c r="F466" s="11" t="str">
        <f aca="false">IF(INDEX(PRODUTOS!$I$4:$I$63,MATCH($A466,PRODUTOS!$B$4:$B$63,0))="B",INDEX(MODELOS!$F$3:$F$19,MATCH($D466,MODELOS!$A$3:$A$19,0)),INDEX(MODELOS!$B$3:$B$19,MATCH($D466,MODELOS!$A$3:$A$19,0)))</f>
        <v>Galeria · posição 4</v>
      </c>
      <c r="G466" s="11" t="str">
        <f aca="false">IF(INDEX(PRODUTOS!$F$4:$F$63,MATCH($A466,PRODUTOS!$B$4:$B$63,0))="Ração",IF(INDEX(PRODUTOS!$I$4:$I$63,MATCH($A466,PRODUTOS!$B$4:$B$63,0))="B",INDEX(MODELOS!$G$3:$G$19,MATCH($D466,MODELOS!$A$3:$A$19,0)),INDEX(MODELOS!$C$3:$C$19,MATCH($D466,MODELOS!$A$3:$A$19,0))),IF(INDEX(PRODUTOS!$I$4:$I$63,MATCH($A466,PRODUTOS!$B$4:$B$63,0))="B",INDEX(MODELOS!$H$3:$H$19,MATCH($D466,MODELOS!$A$3:$A$19,0)),INDEX(MODELOS!$D$3:$D$19,MATCH($D466,MODELOS!$A$3:$A$19,0))))</f>
        <v>Formato e tamanho do grão, com medida em mm e referência de tamanho</v>
      </c>
      <c r="H466" s="11" t="str">
        <f aca="false">IF(INDEX(PRODUTOS!$I$4:$I$63,MATCH($A466,PRODUTOS!$B$4:$B$63,0))="B",INDEX(MODELOS!$I$3:$I$19,MATCH($D466,MODELOS!$A$3:$A$19,0)),INDEX(MODELOS!$E$3:$E$19,MATCH($D466,MODELOS!$A$3:$A$19,0)))</f>
        <v>2000 × 2000</v>
      </c>
      <c r="I466" s="11" t="str">
        <f aca="false">INDEX(MODELOS!$J$3:$J$19,MATCH($D466,MODELOS!$A$3:$A$19,0))</f>
        <v>SIM</v>
      </c>
      <c r="J466" s="11" t="str">
        <f aca="false">IF(LEFT($D466,2)&lt;&gt;"AP",IF($I466="SIM","SIM","RECOMENDADA"),IF(INDEX(PRODUTOS!$J$4:$J$63,MATCH($A466,PRODUTOS!$B$4:$B$63,0))&lt;&gt;"","NÃO (usa o A+ do EAN "&amp;INDEX(PRODUTOS!$J$4:$J$63,MATCH($A466,PRODUTOS!$B$4:$B$63,0))&amp;")",IF(AND(INDEX(PRODUTOS!$I$4:$I$63,MATCH($A466,PRODUTOS!$B$4:$B$63,0))="B",$D466="AP07"),"NÃO (modelo B)","SIM")))</f>
        <v>SIM</v>
      </c>
      <c r="K466" s="13" t="s">
        <v>325</v>
      </c>
      <c r="L466" s="13"/>
    </row>
    <row r="467" customFormat="false" ht="15" hidden="false" customHeight="false" outlineLevel="0" collapsed="false">
      <c r="A467" s="15" t="s">
        <v>163</v>
      </c>
      <c r="B467" s="11" t="str">
        <f aca="false">INDEX(PRODUTOS!$E$4:$E$63,MATCH($A467,PRODUTOS!$B$4:$B$63,0))</f>
        <v>Ração Seca Natural Dots para Gatos Filhotes - Pacote 11 kg</v>
      </c>
      <c r="C467" s="11" t="str">
        <f aca="false">INDEX(PRODUTOS!$H$4:$H$63,MATCH($A467,PRODUTOS!$B$4:$B$63,0))</f>
        <v>11 kg</v>
      </c>
      <c r="D467" s="11" t="s">
        <v>329</v>
      </c>
      <c r="E467" s="16" t="str">
        <f aca="false">$A467&amp;"."&amp;$D467&amp;".jpg"</f>
        <v>7898968541412.PT04.jpg</v>
      </c>
      <c r="F467" s="11" t="str">
        <f aca="false">IF(INDEX(PRODUTOS!$I$4:$I$63,MATCH($A467,PRODUTOS!$B$4:$B$63,0))="B",INDEX(MODELOS!$F$3:$F$19,MATCH($D467,MODELOS!$A$3:$A$19,0)),INDEX(MODELOS!$B$3:$B$19,MATCH($D467,MODELOS!$A$3:$A$19,0)))</f>
        <v>Galeria · posição 5</v>
      </c>
      <c r="G467" s="11" t="str">
        <f aca="false">IF(INDEX(PRODUTOS!$F$4:$F$63,MATCH($A467,PRODUTOS!$B$4:$B$63,0))="Ração",IF(INDEX(PRODUTOS!$I$4:$I$63,MATCH($A467,PRODUTOS!$B$4:$B$63,0))="B",INDEX(MODELOS!$G$3:$G$19,MATCH($D467,MODELOS!$A$3:$A$19,0)),INDEX(MODELOS!$C$3:$C$19,MATCH($D467,MODELOS!$A$3:$A$19,0))),IF(INDEX(PRODUTOS!$I$4:$I$63,MATCH($A467,PRODUTOS!$B$4:$B$63,0))="B",INDEX(MODELOS!$H$3:$H$19,MATCH($D467,MODELOS!$A$3:$A$19,0)),INDEX(MODELOS!$D$3:$D$19,MATCH($D467,MODELOS!$A$3:$A$19,0))))</f>
        <v>Quantidade diária por peso do cão/gato (números idênticos à embalagem)</v>
      </c>
      <c r="H467" s="11" t="str">
        <f aca="false">IF(INDEX(PRODUTOS!$I$4:$I$63,MATCH($A467,PRODUTOS!$B$4:$B$63,0))="B",INDEX(MODELOS!$I$3:$I$19,MATCH($D467,MODELOS!$A$3:$A$19,0)),INDEX(MODELOS!$E$3:$E$19,MATCH($D467,MODELOS!$A$3:$A$19,0)))</f>
        <v>2000 × 2000</v>
      </c>
      <c r="I467" s="11" t="str">
        <f aca="false">INDEX(MODELOS!$J$3:$J$19,MATCH($D467,MODELOS!$A$3:$A$19,0))</f>
        <v>SIM</v>
      </c>
      <c r="J467" s="11" t="str">
        <f aca="false">IF(LEFT($D467,2)&lt;&gt;"AP",IF($I467="SIM","SIM","RECOMENDADA"),IF(INDEX(PRODUTOS!$J$4:$J$63,MATCH($A467,PRODUTOS!$B$4:$B$63,0))&lt;&gt;"","NÃO (usa o A+ do EAN "&amp;INDEX(PRODUTOS!$J$4:$J$63,MATCH($A467,PRODUTOS!$B$4:$B$63,0))&amp;")",IF(AND(INDEX(PRODUTOS!$I$4:$I$63,MATCH($A467,PRODUTOS!$B$4:$B$63,0))="B",$D467="AP07"),"NÃO (modelo B)","SIM")))</f>
        <v>SIM</v>
      </c>
      <c r="K467" s="13" t="s">
        <v>325</v>
      </c>
      <c r="L467" s="13"/>
    </row>
    <row r="468" customFormat="false" ht="15" hidden="false" customHeight="false" outlineLevel="0" collapsed="false">
      <c r="A468" s="15" t="s">
        <v>163</v>
      </c>
      <c r="B468" s="11" t="str">
        <f aca="false">INDEX(PRODUTOS!$E$4:$E$63,MATCH($A468,PRODUTOS!$B$4:$B$63,0))</f>
        <v>Ração Seca Natural Dots para Gatos Filhotes - Pacote 11 kg</v>
      </c>
      <c r="C468" s="11" t="str">
        <f aca="false">INDEX(PRODUTOS!$H$4:$H$63,MATCH($A468,PRODUTOS!$B$4:$B$63,0))</f>
        <v>11 kg</v>
      </c>
      <c r="D468" s="11" t="s">
        <v>330</v>
      </c>
      <c r="E468" s="16" t="str">
        <f aca="false">$A468&amp;"."&amp;$D468&amp;".jpg"</f>
        <v>7898968541412.PT05.jpg</v>
      </c>
      <c r="F468" s="11" t="str">
        <f aca="false">IF(INDEX(PRODUTOS!$I$4:$I$63,MATCH($A468,PRODUTOS!$B$4:$B$63,0))="B",INDEX(MODELOS!$F$3:$F$19,MATCH($D468,MODELOS!$A$3:$A$19,0)),INDEX(MODELOS!$B$3:$B$19,MATCH($D468,MODELOS!$A$3:$A$19,0)))</f>
        <v>Galeria · posição 6</v>
      </c>
      <c r="G468" s="11" t="str">
        <f aca="false">IF(INDEX(PRODUTOS!$F$4:$F$63,MATCH($A468,PRODUTOS!$B$4:$B$63,0))="Ração",IF(INDEX(PRODUTOS!$I$4:$I$63,MATCH($A468,PRODUTOS!$B$4:$B$63,0))="B",INDEX(MODELOS!$G$3:$G$19,MATCH($D468,MODELOS!$A$3:$A$19,0)),INDEX(MODELOS!$C$3:$C$19,MATCH($D468,MODELOS!$A$3:$A$19,0))),IF(INDEX(PRODUTOS!$I$4:$I$63,MATCH($A468,PRODUTOS!$B$4:$B$63,0))="B",INDEX(MODELOS!$H$3:$H$19,MATCH($D468,MODELOS!$A$3:$A$19,0)),INDEX(MODELOS!$D$3:$D$19,MATCH($D468,MODELOS!$A$3:$A$19,0))))</f>
        <v>Transição alimentar dia a dia (igual ao verso da embalagem)</v>
      </c>
      <c r="H468" s="11" t="str">
        <f aca="false">IF(INDEX(PRODUTOS!$I$4:$I$63,MATCH($A468,PRODUTOS!$B$4:$B$63,0))="B",INDEX(MODELOS!$I$3:$I$19,MATCH($D468,MODELOS!$A$3:$A$19,0)),INDEX(MODELOS!$E$3:$E$19,MATCH($D468,MODELOS!$A$3:$A$19,0)))</f>
        <v>2000 × 2000</v>
      </c>
      <c r="I468" s="11" t="str">
        <f aca="false">INDEX(MODELOS!$J$3:$J$19,MATCH($D468,MODELOS!$A$3:$A$19,0))</f>
        <v>Recomendada</v>
      </c>
      <c r="J468" s="11" t="str">
        <f aca="false">IF(LEFT($D468,2)&lt;&gt;"AP",IF($I468="SIM","SIM","RECOMENDADA"),IF(INDEX(PRODUTOS!$J$4:$J$63,MATCH($A468,PRODUTOS!$B$4:$B$63,0))&lt;&gt;"","NÃO (usa o A+ do EAN "&amp;INDEX(PRODUTOS!$J$4:$J$63,MATCH($A468,PRODUTOS!$B$4:$B$63,0))&amp;")",IF(AND(INDEX(PRODUTOS!$I$4:$I$63,MATCH($A468,PRODUTOS!$B$4:$B$63,0))="B",$D468="AP07"),"NÃO (modelo B)","SIM")))</f>
        <v>RECOMENDADA</v>
      </c>
      <c r="K468" s="13" t="s">
        <v>325</v>
      </c>
      <c r="L468" s="13"/>
    </row>
    <row r="469" customFormat="false" ht="15" hidden="false" customHeight="false" outlineLevel="0" collapsed="false">
      <c r="A469" s="15" t="s">
        <v>163</v>
      </c>
      <c r="B469" s="11" t="str">
        <f aca="false">INDEX(PRODUTOS!$E$4:$E$63,MATCH($A469,PRODUTOS!$B$4:$B$63,0))</f>
        <v>Ração Seca Natural Dots para Gatos Filhotes - Pacote 11 kg</v>
      </c>
      <c r="C469" s="11" t="str">
        <f aca="false">INDEX(PRODUTOS!$H$4:$H$63,MATCH($A469,PRODUTOS!$B$4:$B$63,0))</f>
        <v>11 kg</v>
      </c>
      <c r="D469" s="11" t="s">
        <v>331</v>
      </c>
      <c r="E469" s="16" t="str">
        <f aca="false">$A469&amp;"."&amp;$D469&amp;".jpg"</f>
        <v>7898968541412.PT06.jpg</v>
      </c>
      <c r="F469" s="11" t="str">
        <f aca="false">IF(INDEX(PRODUTOS!$I$4:$I$63,MATCH($A469,PRODUTOS!$B$4:$B$63,0))="B",INDEX(MODELOS!$F$3:$F$19,MATCH($D469,MODELOS!$A$3:$A$19,0)),INDEX(MODELOS!$B$3:$B$19,MATCH($D469,MODELOS!$A$3:$A$19,0)))</f>
        <v>Galeria · posição 7</v>
      </c>
      <c r="G469" s="11" t="str">
        <f aca="false">IF(INDEX(PRODUTOS!$F$4:$F$63,MATCH($A469,PRODUTOS!$B$4:$B$63,0))="Ração",IF(INDEX(PRODUTOS!$I$4:$I$63,MATCH($A469,PRODUTOS!$B$4:$B$63,0))="B",INDEX(MODELOS!$G$3:$G$19,MATCH($D469,MODELOS!$A$3:$A$19,0)),INDEX(MODELOS!$C$3:$C$19,MATCH($D469,MODELOS!$A$3:$A$19,0))),IF(INDEX(PRODUTOS!$I$4:$I$63,MATCH($A469,PRODUTOS!$B$4:$B$63,0))="B",INDEX(MODELOS!$H$3:$H$19,MATCH($D469,MODELOS!$A$3:$A$19,0)),INDEX(MODELOS!$D$3:$D$19,MATCH($D469,MODELOS!$A$3:$A$19,0))))</f>
        <v>Composição e níveis de garantia em letra grande</v>
      </c>
      <c r="H469" s="11" t="str">
        <f aca="false">IF(INDEX(PRODUTOS!$I$4:$I$63,MATCH($A469,PRODUTOS!$B$4:$B$63,0))="B",INDEX(MODELOS!$I$3:$I$19,MATCH($D469,MODELOS!$A$3:$A$19,0)),INDEX(MODELOS!$E$3:$E$19,MATCH($D469,MODELOS!$A$3:$A$19,0)))</f>
        <v>2000 × 2000</v>
      </c>
      <c r="I469" s="11" t="str">
        <f aca="false">INDEX(MODELOS!$J$3:$J$19,MATCH($D469,MODELOS!$A$3:$A$19,0))</f>
        <v>SIM</v>
      </c>
      <c r="J469" s="11" t="str">
        <f aca="false">IF(LEFT($D469,2)&lt;&gt;"AP",IF($I469="SIM","SIM","RECOMENDADA"),IF(INDEX(PRODUTOS!$J$4:$J$63,MATCH($A469,PRODUTOS!$B$4:$B$63,0))&lt;&gt;"","NÃO (usa o A+ do EAN "&amp;INDEX(PRODUTOS!$J$4:$J$63,MATCH($A469,PRODUTOS!$B$4:$B$63,0))&amp;")",IF(AND(INDEX(PRODUTOS!$I$4:$I$63,MATCH($A469,PRODUTOS!$B$4:$B$63,0))="B",$D469="AP07"),"NÃO (modelo B)","SIM")))</f>
        <v>SIM</v>
      </c>
      <c r="K469" s="13" t="s">
        <v>325</v>
      </c>
      <c r="L469" s="13"/>
    </row>
    <row r="470" customFormat="false" ht="15" hidden="false" customHeight="false" outlineLevel="0" collapsed="false">
      <c r="A470" s="15" t="s">
        <v>163</v>
      </c>
      <c r="B470" s="11" t="str">
        <f aca="false">INDEX(PRODUTOS!$E$4:$E$63,MATCH($A470,PRODUTOS!$B$4:$B$63,0))</f>
        <v>Ração Seca Natural Dots para Gatos Filhotes - Pacote 11 kg</v>
      </c>
      <c r="C470" s="11" t="str">
        <f aca="false">INDEX(PRODUTOS!$H$4:$H$63,MATCH($A470,PRODUTOS!$B$4:$B$63,0))</f>
        <v>11 kg</v>
      </c>
      <c r="D470" s="11" t="s">
        <v>332</v>
      </c>
      <c r="E470" s="16" t="str">
        <f aca="false">$A470&amp;"."&amp;$D470&amp;".jpg"</f>
        <v>7898968541412.PT07.jpg</v>
      </c>
      <c r="F470" s="11" t="str">
        <f aca="false">IF(INDEX(PRODUTOS!$I$4:$I$63,MATCH($A470,PRODUTOS!$B$4:$B$63,0))="B",INDEX(MODELOS!$F$3:$F$19,MATCH($D470,MODELOS!$A$3:$A$19,0)),INDEX(MODELOS!$B$3:$B$19,MATCH($D470,MODELOS!$A$3:$A$19,0)))</f>
        <v>Galeria · posição 8</v>
      </c>
      <c r="G470" s="11" t="str">
        <f aca="false">IF(INDEX(PRODUTOS!$F$4:$F$63,MATCH($A470,PRODUTOS!$B$4:$B$63,0))="Ração",IF(INDEX(PRODUTOS!$I$4:$I$63,MATCH($A470,PRODUTOS!$B$4:$B$63,0))="B",INDEX(MODELOS!$G$3:$G$19,MATCH($D470,MODELOS!$A$3:$A$19,0)),INDEX(MODELOS!$C$3:$C$19,MATCH($D470,MODELOS!$A$3:$A$19,0))),IF(INDEX(PRODUTOS!$I$4:$I$63,MATCH($A470,PRODUTOS!$B$4:$B$63,0))="B",INDEX(MODELOS!$H$3:$H$19,MATCH($D470,MODELOS!$A$3:$A$19,0)),INDEX(MODELOS!$D$3:$D$19,MATCH($D470,MODELOS!$A$3:$A$19,0))))</f>
        <v>Emocional / momento de uso (pet do porte certo, pote cheio)</v>
      </c>
      <c r="H470" s="11" t="str">
        <f aca="false">IF(INDEX(PRODUTOS!$I$4:$I$63,MATCH($A470,PRODUTOS!$B$4:$B$63,0))="B",INDEX(MODELOS!$I$3:$I$19,MATCH($D470,MODELOS!$A$3:$A$19,0)),INDEX(MODELOS!$E$3:$E$19,MATCH($D470,MODELOS!$A$3:$A$19,0)))</f>
        <v>2000 × 2000</v>
      </c>
      <c r="I470" s="11" t="str">
        <f aca="false">INDEX(MODELOS!$J$3:$J$19,MATCH($D470,MODELOS!$A$3:$A$19,0))</f>
        <v>Recomendada</v>
      </c>
      <c r="J470" s="11" t="str">
        <f aca="false">IF(LEFT($D470,2)&lt;&gt;"AP",IF($I470="SIM","SIM","RECOMENDADA"),IF(INDEX(PRODUTOS!$J$4:$J$63,MATCH($A470,PRODUTOS!$B$4:$B$63,0))&lt;&gt;"","NÃO (usa o A+ do EAN "&amp;INDEX(PRODUTOS!$J$4:$J$63,MATCH($A470,PRODUTOS!$B$4:$B$63,0))&amp;")",IF(AND(INDEX(PRODUTOS!$I$4:$I$63,MATCH($A470,PRODUTOS!$B$4:$B$63,0))="B",$D470="AP07"),"NÃO (modelo B)","SIM")))</f>
        <v>RECOMENDADA</v>
      </c>
      <c r="K470" s="13" t="s">
        <v>325</v>
      </c>
      <c r="L470" s="13"/>
    </row>
    <row r="471" customFormat="false" ht="15" hidden="false" customHeight="false" outlineLevel="0" collapsed="false">
      <c r="A471" s="15" t="s">
        <v>163</v>
      </c>
      <c r="B471" s="11" t="str">
        <f aca="false">INDEX(PRODUTOS!$E$4:$E$63,MATCH($A471,PRODUTOS!$B$4:$B$63,0))</f>
        <v>Ração Seca Natural Dots para Gatos Filhotes - Pacote 11 kg</v>
      </c>
      <c r="C471" s="11" t="str">
        <f aca="false">INDEX(PRODUTOS!$H$4:$H$63,MATCH($A471,PRODUTOS!$B$4:$B$63,0))</f>
        <v>11 kg</v>
      </c>
      <c r="D471" s="11" t="s">
        <v>333</v>
      </c>
      <c r="E471" s="16" t="str">
        <f aca="false">$A471&amp;"."&amp;$D471&amp;".jpg"</f>
        <v>7898968541412.PT08.jpg</v>
      </c>
      <c r="F471" s="11" t="str">
        <f aca="false">IF(INDEX(PRODUTOS!$I$4:$I$63,MATCH($A471,PRODUTOS!$B$4:$B$63,0))="B",INDEX(MODELOS!$F$3:$F$19,MATCH($D471,MODELOS!$A$3:$A$19,0)),INDEX(MODELOS!$B$3:$B$19,MATCH($D471,MODELOS!$A$3:$A$19,0)))</f>
        <v>Galeria · posição 9</v>
      </c>
      <c r="G471" s="11" t="str">
        <f aca="false">IF(INDEX(PRODUTOS!$F$4:$F$63,MATCH($A471,PRODUTOS!$B$4:$B$63,0))="Ração",IF(INDEX(PRODUTOS!$I$4:$I$63,MATCH($A471,PRODUTOS!$B$4:$B$63,0))="B",INDEX(MODELOS!$G$3:$G$19,MATCH($D471,MODELOS!$A$3:$A$19,0)),INDEX(MODELOS!$C$3:$C$19,MATCH($D471,MODELOS!$A$3:$A$19,0))),IF(INDEX(PRODUTOS!$I$4:$I$63,MATCH($A471,PRODUTOS!$B$4:$B$63,0))="B",INDEX(MODELOS!$H$3:$H$19,MATCH($D471,MODELOS!$A$3:$A$19,0)),INDEX(MODELOS!$D$3:$D$19,MATCH($D471,MODELOS!$A$3:$A$19,0))))</f>
        <v>Linha da marca ou embalagem anterior × nova</v>
      </c>
      <c r="H471" s="11" t="str">
        <f aca="false">IF(INDEX(PRODUTOS!$I$4:$I$63,MATCH($A471,PRODUTOS!$B$4:$B$63,0))="B",INDEX(MODELOS!$I$3:$I$19,MATCH($D471,MODELOS!$A$3:$A$19,0)),INDEX(MODELOS!$E$3:$E$19,MATCH($D471,MODELOS!$A$3:$A$19,0)))</f>
        <v>2000 × 2000</v>
      </c>
      <c r="I471" s="11" t="str">
        <f aca="false">INDEX(MODELOS!$J$3:$J$19,MATCH($D471,MODELOS!$A$3:$A$19,0))</f>
        <v>Recomendada</v>
      </c>
      <c r="J471" s="11" t="str">
        <f aca="false">IF(LEFT($D471,2)&lt;&gt;"AP",IF($I471="SIM","SIM","RECOMENDADA"),IF(INDEX(PRODUTOS!$J$4:$J$63,MATCH($A471,PRODUTOS!$B$4:$B$63,0))&lt;&gt;"","NÃO (usa o A+ do EAN "&amp;INDEX(PRODUTOS!$J$4:$J$63,MATCH($A471,PRODUTOS!$B$4:$B$63,0))&amp;")",IF(AND(INDEX(PRODUTOS!$I$4:$I$63,MATCH($A471,PRODUTOS!$B$4:$B$63,0))="B",$D471="AP07"),"NÃO (modelo B)","SIM")))</f>
        <v>RECOMENDADA</v>
      </c>
      <c r="K471" s="13" t="s">
        <v>325</v>
      </c>
      <c r="L471" s="13"/>
    </row>
    <row r="472" customFormat="false" ht="15" hidden="false" customHeight="false" outlineLevel="0" collapsed="false">
      <c r="A472" s="15" t="s">
        <v>163</v>
      </c>
      <c r="B472" s="11" t="str">
        <f aca="false">INDEX(PRODUTOS!$E$4:$E$63,MATCH($A472,PRODUTOS!$B$4:$B$63,0))</f>
        <v>Ração Seca Natural Dots para Gatos Filhotes - Pacote 11 kg</v>
      </c>
      <c r="C472" s="11" t="str">
        <f aca="false">INDEX(PRODUTOS!$H$4:$H$63,MATCH($A472,PRODUTOS!$B$4:$B$63,0))</f>
        <v>11 kg</v>
      </c>
      <c r="D472" s="11" t="s">
        <v>334</v>
      </c>
      <c r="E472" s="16" t="str">
        <f aca="false">$A472&amp;"."&amp;$D472&amp;".jpg"</f>
        <v>7898968541412.AP01.jpg</v>
      </c>
      <c r="F472" s="11" t="str">
        <f aca="false">IF(INDEX(PRODUTOS!$I$4:$I$63,MATCH($A472,PRODUTOS!$B$4:$B$63,0))="B",INDEX(MODELOS!$F$3:$F$19,MATCH($D472,MODELOS!$A$3:$A$19,0)),INDEX(MODELOS!$B$3:$B$19,MATCH($D472,MODELOS!$A$3:$A$19,0)))</f>
        <v>A+ · Módulo 1 · Banner</v>
      </c>
      <c r="G472" s="11" t="str">
        <f aca="false">IF(INDEX(PRODUTOS!$F$4:$F$63,MATCH($A472,PRODUTOS!$B$4:$B$63,0))="Ração",IF(INDEX(PRODUTOS!$I$4:$I$63,MATCH($A472,PRODUTOS!$B$4:$B$63,0))="B",INDEX(MODELOS!$G$3:$G$19,MATCH($D472,MODELOS!$A$3:$A$19,0)),INDEX(MODELOS!$C$3:$C$19,MATCH($D472,MODELOS!$A$3:$A$19,0))),IF(INDEX(PRODUTOS!$I$4:$I$63,MATCH($A472,PRODUTOS!$B$4:$B$63,0))="B",INDEX(MODELOS!$H$3:$H$19,MATCH($D472,MODELOS!$A$3:$A$19,0)),INDEX(MODELOS!$D$3:$D$19,MATCH($D472,MODELOS!$A$3:$A$19,0))))</f>
        <v>Embalagem + pet + ingredientes, com o nome da linha</v>
      </c>
      <c r="H472" s="11" t="str">
        <f aca="false">IF(INDEX(PRODUTOS!$I$4:$I$63,MATCH($A472,PRODUTOS!$B$4:$B$63,0))="B",INDEX(MODELOS!$I$3:$I$19,MATCH($D472,MODELOS!$A$3:$A$19,0)),INDEX(MODELOS!$E$3:$E$19,MATCH($D472,MODELOS!$A$3:$A$19,0)))</f>
        <v>970 × 600</v>
      </c>
      <c r="I472" s="11" t="str">
        <f aca="false">INDEX(MODELOS!$J$3:$J$19,MATCH($D472,MODELOS!$A$3:$A$19,0))</f>
        <v>Conforme modelo</v>
      </c>
      <c r="J472" s="11" t="str">
        <f aca="false">IF(LEFT($D472,2)&lt;&gt;"AP",IF($I472="SIM","SIM","RECOMENDADA"),IF(INDEX(PRODUTOS!$J$4:$J$63,MATCH($A472,PRODUTOS!$B$4:$B$63,0))&lt;&gt;"","NÃO (usa o A+ do EAN "&amp;INDEX(PRODUTOS!$J$4:$J$63,MATCH($A472,PRODUTOS!$B$4:$B$63,0))&amp;")",IF(AND(INDEX(PRODUTOS!$I$4:$I$63,MATCH($A472,PRODUTOS!$B$4:$B$63,0))="B",$D472="AP07"),"NÃO (modelo B)","SIM")))</f>
        <v>SIM</v>
      </c>
      <c r="K472" s="13" t="s">
        <v>325</v>
      </c>
      <c r="L472" s="13"/>
    </row>
    <row r="473" customFormat="false" ht="15" hidden="false" customHeight="false" outlineLevel="0" collapsed="false">
      <c r="A473" s="15" t="s">
        <v>163</v>
      </c>
      <c r="B473" s="11" t="str">
        <f aca="false">INDEX(PRODUTOS!$E$4:$E$63,MATCH($A473,PRODUTOS!$B$4:$B$63,0))</f>
        <v>Ração Seca Natural Dots para Gatos Filhotes - Pacote 11 kg</v>
      </c>
      <c r="C473" s="11" t="str">
        <f aca="false">INDEX(PRODUTOS!$H$4:$H$63,MATCH($A473,PRODUTOS!$B$4:$B$63,0))</f>
        <v>11 kg</v>
      </c>
      <c r="D473" s="11" t="s">
        <v>335</v>
      </c>
      <c r="E473" s="16" t="str">
        <f aca="false">$A473&amp;"."&amp;$D473&amp;".jpg"</f>
        <v>7898968541412.AP02.jpg</v>
      </c>
      <c r="F473" s="11" t="str">
        <f aca="false">IF(INDEX(PRODUTOS!$I$4:$I$63,MATCH($A473,PRODUTOS!$B$4:$B$63,0))="B",INDEX(MODELOS!$F$3:$F$19,MATCH($D473,MODELOS!$A$3:$A$19,0)),INDEX(MODELOS!$B$3:$B$19,MATCH($D473,MODELOS!$A$3:$A$19,0)))</f>
        <v>A+ · Módulo 2 · Texto sobreposto</v>
      </c>
      <c r="G473" s="11" t="str">
        <f aca="false">IF(INDEX(PRODUTOS!$F$4:$F$63,MATCH($A473,PRODUTOS!$B$4:$B$63,0))="Ração",IF(INDEX(PRODUTOS!$I$4:$I$63,MATCH($A473,PRODUTOS!$B$4:$B$63,0))="B",INDEX(MODELOS!$G$3:$G$19,MATCH($D473,MODELOS!$A$3:$A$19,0)),INDEX(MODELOS!$C$3:$C$19,MATCH($D473,MODELOS!$A$3:$A$19,0))),IF(INDEX(PRODUTOS!$I$4:$I$63,MATCH($A473,PRODUTOS!$B$4:$B$63,0))="B",INDEX(MODELOS!$H$3:$H$19,MATCH($D473,MODELOS!$A$3:$A$19,0)),INDEX(MODELOS!$D$3:$D$19,MATCH($D473,MODELOS!$A$3:$A$19,0))))</f>
        <v>Principal diferencial; deixar o lado direito limpo</v>
      </c>
      <c r="H473" s="11" t="str">
        <f aca="false">IF(INDEX(PRODUTOS!$I$4:$I$63,MATCH($A473,PRODUTOS!$B$4:$B$63,0))="B",INDEX(MODELOS!$I$3:$I$19,MATCH($D473,MODELOS!$A$3:$A$19,0)),INDEX(MODELOS!$E$3:$E$19,MATCH($D473,MODELOS!$A$3:$A$19,0)))</f>
        <v>970 × 300</v>
      </c>
      <c r="I473" s="11" t="str">
        <f aca="false">INDEX(MODELOS!$J$3:$J$19,MATCH($D473,MODELOS!$A$3:$A$19,0))</f>
        <v>Conforme modelo</v>
      </c>
      <c r="J473" s="11" t="str">
        <f aca="false">IF(LEFT($D473,2)&lt;&gt;"AP",IF($I473="SIM","SIM","RECOMENDADA"),IF(INDEX(PRODUTOS!$J$4:$J$63,MATCH($A473,PRODUTOS!$B$4:$B$63,0))&lt;&gt;"","NÃO (usa o A+ do EAN "&amp;INDEX(PRODUTOS!$J$4:$J$63,MATCH($A473,PRODUTOS!$B$4:$B$63,0))&amp;")",IF(AND(INDEX(PRODUTOS!$I$4:$I$63,MATCH($A473,PRODUTOS!$B$4:$B$63,0))="B",$D473="AP07"),"NÃO (modelo B)","SIM")))</f>
        <v>SIM</v>
      </c>
      <c r="K473" s="13" t="s">
        <v>325</v>
      </c>
      <c r="L473" s="13"/>
    </row>
    <row r="474" customFormat="false" ht="15" hidden="false" customHeight="false" outlineLevel="0" collapsed="false">
      <c r="A474" s="15" t="s">
        <v>163</v>
      </c>
      <c r="B474" s="11" t="str">
        <f aca="false">INDEX(PRODUTOS!$E$4:$E$63,MATCH($A474,PRODUTOS!$B$4:$B$63,0))</f>
        <v>Ração Seca Natural Dots para Gatos Filhotes - Pacote 11 kg</v>
      </c>
      <c r="C474" s="11" t="str">
        <f aca="false">INDEX(PRODUTOS!$H$4:$H$63,MATCH($A474,PRODUTOS!$B$4:$B$63,0))</f>
        <v>11 kg</v>
      </c>
      <c r="D474" s="11" t="s">
        <v>336</v>
      </c>
      <c r="E474" s="16" t="str">
        <f aca="false">$A474&amp;"."&amp;$D474&amp;".jpg"</f>
        <v>7898968541412.AP03.jpg</v>
      </c>
      <c r="F474" s="11" t="str">
        <f aca="false">IF(INDEX(PRODUTOS!$I$4:$I$63,MATCH($A474,PRODUTOS!$B$4:$B$63,0))="B",INDEX(MODELOS!$F$3:$F$19,MATCH($D474,MODELOS!$A$3:$A$19,0)),INDEX(MODELOS!$B$3:$B$19,MATCH($D474,MODELOS!$A$3:$A$19,0)))</f>
        <v>A+ · Módulo 3 · Benefício 1 de 4</v>
      </c>
      <c r="G474" s="11" t="str">
        <f aca="false">IF(INDEX(PRODUTOS!$F$4:$F$63,MATCH($A474,PRODUTOS!$B$4:$B$63,0))="Ração",IF(INDEX(PRODUTOS!$I$4:$I$63,MATCH($A474,PRODUTOS!$B$4:$B$63,0))="B",INDEX(MODELOS!$G$3:$G$19,MATCH($D474,MODELOS!$A$3:$A$19,0)),INDEX(MODELOS!$C$3:$C$19,MATCH($D474,MODELOS!$A$3:$A$19,0))),IF(INDEX(PRODUTOS!$I$4:$I$63,MATCH($A474,PRODUTOS!$B$4:$B$63,0))="B",INDEX(MODELOS!$H$3:$H$19,MATCH($D474,MODELOS!$A$3:$A$19,0)),INDEX(MODELOS!$D$3:$D$19,MATCH($D474,MODELOS!$A$3:$A$19,0))))</f>
        <v>Foto/ilustração do benefício 1</v>
      </c>
      <c r="H474" s="11" t="str">
        <f aca="false">IF(INDEX(PRODUTOS!$I$4:$I$63,MATCH($A474,PRODUTOS!$B$4:$B$63,0))="B",INDEX(MODELOS!$I$3:$I$19,MATCH($D474,MODELOS!$A$3:$A$19,0)),INDEX(MODELOS!$E$3:$E$19,MATCH($D474,MODELOS!$A$3:$A$19,0)))</f>
        <v>220 × 200</v>
      </c>
      <c r="I474" s="11" t="str">
        <f aca="false">INDEX(MODELOS!$J$3:$J$19,MATCH($D474,MODELOS!$A$3:$A$19,0))</f>
        <v>Conforme modelo</v>
      </c>
      <c r="J474" s="11" t="str">
        <f aca="false">IF(LEFT($D474,2)&lt;&gt;"AP",IF($I474="SIM","SIM","RECOMENDADA"),IF(INDEX(PRODUTOS!$J$4:$J$63,MATCH($A474,PRODUTOS!$B$4:$B$63,0))&lt;&gt;"","NÃO (usa o A+ do EAN "&amp;INDEX(PRODUTOS!$J$4:$J$63,MATCH($A474,PRODUTOS!$B$4:$B$63,0))&amp;")",IF(AND(INDEX(PRODUTOS!$I$4:$I$63,MATCH($A474,PRODUTOS!$B$4:$B$63,0))="B",$D474="AP07"),"NÃO (modelo B)","SIM")))</f>
        <v>SIM</v>
      </c>
      <c r="K474" s="13" t="s">
        <v>325</v>
      </c>
      <c r="L474" s="13"/>
    </row>
    <row r="475" customFormat="false" ht="15" hidden="false" customHeight="false" outlineLevel="0" collapsed="false">
      <c r="A475" s="15" t="s">
        <v>163</v>
      </c>
      <c r="B475" s="11" t="str">
        <f aca="false">INDEX(PRODUTOS!$E$4:$E$63,MATCH($A475,PRODUTOS!$B$4:$B$63,0))</f>
        <v>Ração Seca Natural Dots para Gatos Filhotes - Pacote 11 kg</v>
      </c>
      <c r="C475" s="11" t="str">
        <f aca="false">INDEX(PRODUTOS!$H$4:$H$63,MATCH($A475,PRODUTOS!$B$4:$B$63,0))</f>
        <v>11 kg</v>
      </c>
      <c r="D475" s="11" t="s">
        <v>337</v>
      </c>
      <c r="E475" s="16" t="str">
        <f aca="false">$A475&amp;"."&amp;$D475&amp;".jpg"</f>
        <v>7898968541412.AP04.jpg</v>
      </c>
      <c r="F475" s="11" t="str">
        <f aca="false">IF(INDEX(PRODUTOS!$I$4:$I$63,MATCH($A475,PRODUTOS!$B$4:$B$63,0))="B",INDEX(MODELOS!$F$3:$F$19,MATCH($D475,MODELOS!$A$3:$A$19,0)),INDEX(MODELOS!$B$3:$B$19,MATCH($D475,MODELOS!$A$3:$A$19,0)))</f>
        <v>A+ · Módulo 3 · Benefício 2 de 4</v>
      </c>
      <c r="G475" s="11" t="str">
        <f aca="false">IF(INDEX(PRODUTOS!$F$4:$F$63,MATCH($A475,PRODUTOS!$B$4:$B$63,0))="Ração",IF(INDEX(PRODUTOS!$I$4:$I$63,MATCH($A475,PRODUTOS!$B$4:$B$63,0))="B",INDEX(MODELOS!$G$3:$G$19,MATCH($D475,MODELOS!$A$3:$A$19,0)),INDEX(MODELOS!$C$3:$C$19,MATCH($D475,MODELOS!$A$3:$A$19,0))),IF(INDEX(PRODUTOS!$I$4:$I$63,MATCH($A475,PRODUTOS!$B$4:$B$63,0))="B",INDEX(MODELOS!$H$3:$H$19,MATCH($D475,MODELOS!$A$3:$A$19,0)),INDEX(MODELOS!$D$3:$D$19,MATCH($D475,MODELOS!$A$3:$A$19,0))))</f>
        <v>Foto/ilustração do benefício 2</v>
      </c>
      <c r="H475" s="11" t="str">
        <f aca="false">IF(INDEX(PRODUTOS!$I$4:$I$63,MATCH($A475,PRODUTOS!$B$4:$B$63,0))="B",INDEX(MODELOS!$I$3:$I$19,MATCH($D475,MODELOS!$A$3:$A$19,0)),INDEX(MODELOS!$E$3:$E$19,MATCH($D475,MODELOS!$A$3:$A$19,0)))</f>
        <v>220 × 200</v>
      </c>
      <c r="I475" s="11" t="str">
        <f aca="false">INDEX(MODELOS!$J$3:$J$19,MATCH($D475,MODELOS!$A$3:$A$19,0))</f>
        <v>Conforme modelo</v>
      </c>
      <c r="J475" s="11" t="str">
        <f aca="false">IF(LEFT($D475,2)&lt;&gt;"AP",IF($I475="SIM","SIM","RECOMENDADA"),IF(INDEX(PRODUTOS!$J$4:$J$63,MATCH($A475,PRODUTOS!$B$4:$B$63,0))&lt;&gt;"","NÃO (usa o A+ do EAN "&amp;INDEX(PRODUTOS!$J$4:$J$63,MATCH($A475,PRODUTOS!$B$4:$B$63,0))&amp;")",IF(AND(INDEX(PRODUTOS!$I$4:$I$63,MATCH($A475,PRODUTOS!$B$4:$B$63,0))="B",$D475="AP07"),"NÃO (modelo B)","SIM")))</f>
        <v>SIM</v>
      </c>
      <c r="K475" s="13" t="s">
        <v>325</v>
      </c>
      <c r="L475" s="13"/>
    </row>
    <row r="476" customFormat="false" ht="15" hidden="false" customHeight="false" outlineLevel="0" collapsed="false">
      <c r="A476" s="15" t="s">
        <v>163</v>
      </c>
      <c r="B476" s="11" t="str">
        <f aca="false">INDEX(PRODUTOS!$E$4:$E$63,MATCH($A476,PRODUTOS!$B$4:$B$63,0))</f>
        <v>Ração Seca Natural Dots para Gatos Filhotes - Pacote 11 kg</v>
      </c>
      <c r="C476" s="11" t="str">
        <f aca="false">INDEX(PRODUTOS!$H$4:$H$63,MATCH($A476,PRODUTOS!$B$4:$B$63,0))</f>
        <v>11 kg</v>
      </c>
      <c r="D476" s="11" t="s">
        <v>338</v>
      </c>
      <c r="E476" s="16" t="str">
        <f aca="false">$A476&amp;"."&amp;$D476&amp;".jpg"</f>
        <v>7898968541412.AP05.jpg</v>
      </c>
      <c r="F476" s="11" t="str">
        <f aca="false">IF(INDEX(PRODUTOS!$I$4:$I$63,MATCH($A476,PRODUTOS!$B$4:$B$63,0))="B",INDEX(MODELOS!$F$3:$F$19,MATCH($D476,MODELOS!$A$3:$A$19,0)),INDEX(MODELOS!$B$3:$B$19,MATCH($D476,MODELOS!$A$3:$A$19,0)))</f>
        <v>A+ · Módulo 3 · Benefício 3 de 4</v>
      </c>
      <c r="G476" s="11" t="str">
        <f aca="false">IF(INDEX(PRODUTOS!$F$4:$F$63,MATCH($A476,PRODUTOS!$B$4:$B$63,0))="Ração",IF(INDEX(PRODUTOS!$I$4:$I$63,MATCH($A476,PRODUTOS!$B$4:$B$63,0))="B",INDEX(MODELOS!$G$3:$G$19,MATCH($D476,MODELOS!$A$3:$A$19,0)),INDEX(MODELOS!$C$3:$C$19,MATCH($D476,MODELOS!$A$3:$A$19,0))),IF(INDEX(PRODUTOS!$I$4:$I$63,MATCH($A476,PRODUTOS!$B$4:$B$63,0))="B",INDEX(MODELOS!$H$3:$H$19,MATCH($D476,MODELOS!$A$3:$A$19,0)),INDEX(MODELOS!$D$3:$D$19,MATCH($D476,MODELOS!$A$3:$A$19,0))))</f>
        <v>Foto/ilustração do benefício 3</v>
      </c>
      <c r="H476" s="11" t="str">
        <f aca="false">IF(INDEX(PRODUTOS!$I$4:$I$63,MATCH($A476,PRODUTOS!$B$4:$B$63,0))="B",INDEX(MODELOS!$I$3:$I$19,MATCH($D476,MODELOS!$A$3:$A$19,0)),INDEX(MODELOS!$E$3:$E$19,MATCH($D476,MODELOS!$A$3:$A$19,0)))</f>
        <v>220 × 200</v>
      </c>
      <c r="I476" s="11" t="str">
        <f aca="false">INDEX(MODELOS!$J$3:$J$19,MATCH($D476,MODELOS!$A$3:$A$19,0))</f>
        <v>Conforme modelo</v>
      </c>
      <c r="J476" s="11" t="str">
        <f aca="false">IF(LEFT($D476,2)&lt;&gt;"AP",IF($I476="SIM","SIM","RECOMENDADA"),IF(INDEX(PRODUTOS!$J$4:$J$63,MATCH($A476,PRODUTOS!$B$4:$B$63,0))&lt;&gt;"","NÃO (usa o A+ do EAN "&amp;INDEX(PRODUTOS!$J$4:$J$63,MATCH($A476,PRODUTOS!$B$4:$B$63,0))&amp;")",IF(AND(INDEX(PRODUTOS!$I$4:$I$63,MATCH($A476,PRODUTOS!$B$4:$B$63,0))="B",$D476="AP07"),"NÃO (modelo B)","SIM")))</f>
        <v>SIM</v>
      </c>
      <c r="K476" s="13" t="s">
        <v>325</v>
      </c>
      <c r="L476" s="13"/>
    </row>
    <row r="477" customFormat="false" ht="15" hidden="false" customHeight="false" outlineLevel="0" collapsed="false">
      <c r="A477" s="15" t="s">
        <v>163</v>
      </c>
      <c r="B477" s="11" t="str">
        <f aca="false">INDEX(PRODUTOS!$E$4:$E$63,MATCH($A477,PRODUTOS!$B$4:$B$63,0))</f>
        <v>Ração Seca Natural Dots para Gatos Filhotes - Pacote 11 kg</v>
      </c>
      <c r="C477" s="11" t="str">
        <f aca="false">INDEX(PRODUTOS!$H$4:$H$63,MATCH($A477,PRODUTOS!$B$4:$B$63,0))</f>
        <v>11 kg</v>
      </c>
      <c r="D477" s="11" t="s">
        <v>339</v>
      </c>
      <c r="E477" s="16" t="str">
        <f aca="false">$A477&amp;"."&amp;$D477&amp;".jpg"</f>
        <v>7898968541412.AP06.jpg</v>
      </c>
      <c r="F477" s="11" t="str">
        <f aca="false">IF(INDEX(PRODUTOS!$I$4:$I$63,MATCH($A477,PRODUTOS!$B$4:$B$63,0))="B",INDEX(MODELOS!$F$3:$F$19,MATCH($D477,MODELOS!$A$3:$A$19,0)),INDEX(MODELOS!$B$3:$B$19,MATCH($D477,MODELOS!$A$3:$A$19,0)))</f>
        <v>A+ · Módulo 3 · Benefício 4 de 4</v>
      </c>
      <c r="G477" s="11" t="str">
        <f aca="false">IF(INDEX(PRODUTOS!$F$4:$F$63,MATCH($A477,PRODUTOS!$B$4:$B$63,0))="Ração",IF(INDEX(PRODUTOS!$I$4:$I$63,MATCH($A477,PRODUTOS!$B$4:$B$63,0))="B",INDEX(MODELOS!$G$3:$G$19,MATCH($D477,MODELOS!$A$3:$A$19,0)),INDEX(MODELOS!$C$3:$C$19,MATCH($D477,MODELOS!$A$3:$A$19,0))),IF(INDEX(PRODUTOS!$I$4:$I$63,MATCH($A477,PRODUTOS!$B$4:$B$63,0))="B",INDEX(MODELOS!$H$3:$H$19,MATCH($D477,MODELOS!$A$3:$A$19,0)),INDEX(MODELOS!$D$3:$D$19,MATCH($D477,MODELOS!$A$3:$A$19,0))))</f>
        <v>Foto/ilustração do benefício 4</v>
      </c>
      <c r="H477" s="11" t="str">
        <f aca="false">IF(INDEX(PRODUTOS!$I$4:$I$63,MATCH($A477,PRODUTOS!$B$4:$B$63,0))="B",INDEX(MODELOS!$I$3:$I$19,MATCH($D477,MODELOS!$A$3:$A$19,0)),INDEX(MODELOS!$E$3:$E$19,MATCH($D477,MODELOS!$A$3:$A$19,0)))</f>
        <v>220 × 200</v>
      </c>
      <c r="I477" s="11" t="str">
        <f aca="false">INDEX(MODELOS!$J$3:$J$19,MATCH($D477,MODELOS!$A$3:$A$19,0))</f>
        <v>Conforme modelo</v>
      </c>
      <c r="J477" s="11" t="str">
        <f aca="false">IF(LEFT($D477,2)&lt;&gt;"AP",IF($I477="SIM","SIM","RECOMENDADA"),IF(INDEX(PRODUTOS!$J$4:$J$63,MATCH($A477,PRODUTOS!$B$4:$B$63,0))&lt;&gt;"","NÃO (usa o A+ do EAN "&amp;INDEX(PRODUTOS!$J$4:$J$63,MATCH($A477,PRODUTOS!$B$4:$B$63,0))&amp;")",IF(AND(INDEX(PRODUTOS!$I$4:$I$63,MATCH($A477,PRODUTOS!$B$4:$B$63,0))="B",$D477="AP07"),"NÃO (modelo B)","SIM")))</f>
        <v>SIM</v>
      </c>
      <c r="K477" s="13" t="s">
        <v>325</v>
      </c>
      <c r="L477" s="13"/>
    </row>
    <row r="478" customFormat="false" ht="15" hidden="false" customHeight="false" outlineLevel="0" collapsed="false">
      <c r="A478" s="15" t="s">
        <v>163</v>
      </c>
      <c r="B478" s="11" t="str">
        <f aca="false">INDEX(PRODUTOS!$E$4:$E$63,MATCH($A478,PRODUTOS!$B$4:$B$63,0))</f>
        <v>Ração Seca Natural Dots para Gatos Filhotes - Pacote 11 kg</v>
      </c>
      <c r="C478" s="11" t="str">
        <f aca="false">INDEX(PRODUTOS!$H$4:$H$63,MATCH($A478,PRODUTOS!$B$4:$B$63,0))</f>
        <v>11 kg</v>
      </c>
      <c r="D478" s="11" t="s">
        <v>340</v>
      </c>
      <c r="E478" s="16" t="str">
        <f aca="false">$A478&amp;"."&amp;$D478&amp;".jpg"</f>
        <v>7898968541412.AP07.jpg</v>
      </c>
      <c r="F478" s="11" t="str">
        <f aca="false">IF(INDEX(PRODUTOS!$I$4:$I$63,MATCH($A478,PRODUTOS!$B$4:$B$63,0))="B",INDEX(MODELOS!$F$3:$F$19,MATCH($D478,MODELOS!$A$3:$A$19,0)),INDEX(MODELOS!$B$3:$B$19,MATCH($D478,MODELOS!$A$3:$A$19,0)))</f>
        <v>A+ · Módulo 4 · Especificações</v>
      </c>
      <c r="G478" s="11" t="str">
        <f aca="false">IF(INDEX(PRODUTOS!$F$4:$F$63,MATCH($A478,PRODUTOS!$B$4:$B$63,0))="Ração",IF(INDEX(PRODUTOS!$I$4:$I$63,MATCH($A478,PRODUTOS!$B$4:$B$63,0))="B",INDEX(MODELOS!$G$3:$G$19,MATCH($D478,MODELOS!$A$3:$A$19,0)),INDEX(MODELOS!$C$3:$C$19,MATCH($D478,MODELOS!$A$3:$A$19,0))),IF(INDEX(PRODUTOS!$I$4:$I$63,MATCH($A478,PRODUTOS!$B$4:$B$63,0))="B",INDEX(MODELOS!$H$3:$H$19,MATCH($D478,MODELOS!$A$3:$A$19,0)),INDEX(MODELOS!$D$3:$D$19,MATCH($D478,MODELOS!$A$3:$A$19,0))))</f>
        <v>Grão ou pacote em destaque</v>
      </c>
      <c r="H478" s="11" t="str">
        <f aca="false">IF(INDEX(PRODUTOS!$I$4:$I$63,MATCH($A478,PRODUTOS!$B$4:$B$63,0))="B",INDEX(MODELOS!$I$3:$I$19,MATCH($D478,MODELOS!$A$3:$A$19,0)),INDEX(MODELOS!$E$3:$E$19,MATCH($D478,MODELOS!$A$3:$A$19,0)))</f>
        <v>300 × 300</v>
      </c>
      <c r="I478" s="11" t="str">
        <f aca="false">INDEX(MODELOS!$J$3:$J$19,MATCH($D478,MODELOS!$A$3:$A$19,0))</f>
        <v>Conforme modelo</v>
      </c>
      <c r="J478" s="11" t="str">
        <f aca="false">IF(LEFT($D478,2)&lt;&gt;"AP",IF($I478="SIM","SIM","RECOMENDADA"),IF(INDEX(PRODUTOS!$J$4:$J$63,MATCH($A478,PRODUTOS!$B$4:$B$63,0))&lt;&gt;"","NÃO (usa o A+ do EAN "&amp;INDEX(PRODUTOS!$J$4:$J$63,MATCH($A478,PRODUTOS!$B$4:$B$63,0))&amp;")",IF(AND(INDEX(PRODUTOS!$I$4:$I$63,MATCH($A478,PRODUTOS!$B$4:$B$63,0))="B",$D478="AP07"),"NÃO (modelo B)","SIM")))</f>
        <v>SIM</v>
      </c>
      <c r="K478" s="13" t="s">
        <v>325</v>
      </c>
      <c r="L478" s="13"/>
    </row>
    <row r="479" customFormat="false" ht="15" hidden="false" customHeight="false" outlineLevel="0" collapsed="false">
      <c r="A479" s="15" t="s">
        <v>163</v>
      </c>
      <c r="B479" s="11" t="str">
        <f aca="false">INDEX(PRODUTOS!$E$4:$E$63,MATCH($A479,PRODUTOS!$B$4:$B$63,0))</f>
        <v>Ração Seca Natural Dots para Gatos Filhotes - Pacote 11 kg</v>
      </c>
      <c r="C479" s="11" t="str">
        <f aca="false">INDEX(PRODUTOS!$H$4:$H$63,MATCH($A479,PRODUTOS!$B$4:$B$63,0))</f>
        <v>11 kg</v>
      </c>
      <c r="D479" s="11" t="s">
        <v>341</v>
      </c>
      <c r="E479" s="16" t="str">
        <f aca="false">$A479&amp;"."&amp;$D479&amp;".jpg"</f>
        <v>7898968541412.COMP.jpg</v>
      </c>
      <c r="F479" s="11" t="str">
        <f aca="false">IF(INDEX(PRODUTOS!$I$4:$I$63,MATCH($A479,PRODUTOS!$B$4:$B$63,0))="B",INDEX(MODELOS!$F$3:$F$19,MATCH($D479,MODELOS!$A$3:$A$19,0)),INDEX(MODELOS!$B$3:$B$19,MATCH($D479,MODELOS!$A$3:$A$19,0)))</f>
        <v>A+ · Tabela comparativa</v>
      </c>
      <c r="G479" s="11" t="str">
        <f aca="false">IF(INDEX(PRODUTOS!$F$4:$F$63,MATCH($A479,PRODUTOS!$B$4:$B$63,0))="Ração",IF(INDEX(PRODUTOS!$I$4:$I$63,MATCH($A479,PRODUTOS!$B$4:$B$63,0))="B",INDEX(MODELOS!$G$3:$G$19,MATCH($D479,MODELOS!$A$3:$A$19,0)),INDEX(MODELOS!$C$3:$C$19,MATCH($D479,MODELOS!$A$3:$A$19,0))),IF(INDEX(PRODUTOS!$I$4:$I$63,MATCH($A479,PRODUTOS!$B$4:$B$63,0))="B",INDEX(MODELOS!$H$3:$H$19,MATCH($D479,MODELOS!$A$3:$A$19,0)),INDEX(MODELOS!$D$3:$D$19,MATCH($D479,MODELOS!$A$3:$A$19,0))))</f>
        <v>Pacote na vertical, sem fundo colorido</v>
      </c>
      <c r="H479" s="11" t="str">
        <f aca="false">IF(INDEX(PRODUTOS!$I$4:$I$63,MATCH($A479,PRODUTOS!$B$4:$B$63,0))="B",INDEX(MODELOS!$I$3:$I$19,MATCH($D479,MODELOS!$A$3:$A$19,0)),INDEX(MODELOS!$E$3:$E$19,MATCH($D479,MODELOS!$A$3:$A$19,0)))</f>
        <v>150 × 300</v>
      </c>
      <c r="I479" s="11" t="str">
        <f aca="false">INDEX(MODELOS!$J$3:$J$19,MATCH($D479,MODELOS!$A$3:$A$19,0))</f>
        <v>SIM</v>
      </c>
      <c r="J479" s="11" t="str">
        <f aca="false">IF(LEFT($D479,2)&lt;&gt;"AP",IF($I479="SIM","SIM","RECOMENDADA"),IF(INDEX(PRODUTOS!$J$4:$J$63,MATCH($A479,PRODUTOS!$B$4:$B$63,0))&lt;&gt;"","NÃO (usa o A+ do EAN "&amp;INDEX(PRODUTOS!$J$4:$J$63,MATCH($A479,PRODUTOS!$B$4:$B$63,0))&amp;")",IF(AND(INDEX(PRODUTOS!$I$4:$I$63,MATCH($A479,PRODUTOS!$B$4:$B$63,0))="B",$D479="AP07"),"NÃO (modelo B)","SIM")))</f>
        <v>SIM</v>
      </c>
      <c r="K479" s="13" t="s">
        <v>325</v>
      </c>
      <c r="L479" s="13"/>
    </row>
    <row r="480" customFormat="false" ht="15" hidden="false" customHeight="false" outlineLevel="0" collapsed="false">
      <c r="A480" s="15" t="s">
        <v>168</v>
      </c>
      <c r="B480" s="11" t="str">
        <f aca="false">INDEX(PRODUTOS!$E$4:$E$63,MATCH($A480,PRODUTOS!$B$4:$B$63,0))</f>
        <v>Ração Seca Natural Dots para Gatos Filhotes - Pacote 1 kg</v>
      </c>
      <c r="C480" s="11" t="str">
        <f aca="false">INDEX(PRODUTOS!$H$4:$H$63,MATCH($A480,PRODUTOS!$B$4:$B$63,0))</f>
        <v>1 kg</v>
      </c>
      <c r="D480" s="11" t="s">
        <v>324</v>
      </c>
      <c r="E480" s="16" t="str">
        <f aca="false">$A480&amp;"."&amp;$D480&amp;".jpg"</f>
        <v>7898968541405.MAIN.jpg</v>
      </c>
      <c r="F480" s="11" t="str">
        <f aca="false">IF(INDEX(PRODUTOS!$I$4:$I$63,MATCH($A480,PRODUTOS!$B$4:$B$63,0))="B",INDEX(MODELOS!$F$3:$F$19,MATCH($D480,MODELOS!$A$3:$A$19,0)),INDEX(MODELOS!$B$3:$B$19,MATCH($D480,MODELOS!$A$3:$A$19,0)))</f>
        <v>Capa (posição 1)</v>
      </c>
      <c r="G480" s="11" t="str">
        <f aca="false">IF(INDEX(PRODUTOS!$F$4:$F$63,MATCH($A480,PRODUTOS!$B$4:$B$63,0))="Ração",IF(INDEX(PRODUTOS!$I$4:$I$63,MATCH($A480,PRODUTOS!$B$4:$B$63,0))="B",INDEX(MODELOS!$G$3:$G$19,MATCH($D480,MODELOS!$A$3:$A$19,0)),INDEX(MODELOS!$C$3:$C$19,MATCH($D480,MODELOS!$A$3:$A$19,0))),IF(INDEX(PRODUTOS!$I$4:$I$63,MATCH($A480,PRODUTOS!$B$4:$B$63,0))="B",INDEX(MODELOS!$H$3:$H$19,MATCH($D480,MODELOS!$A$3:$A$19,0)),INDEX(MODELOS!$D$3:$D$19,MATCH($D480,MODELOS!$A$3:$A$19,0))))</f>
        <v>Embalagem de frente, fundo branco puro, 85% da área, nada adicionado</v>
      </c>
      <c r="H480" s="11" t="str">
        <f aca="false">IF(INDEX(PRODUTOS!$I$4:$I$63,MATCH($A480,PRODUTOS!$B$4:$B$63,0))="B",INDEX(MODELOS!$I$3:$I$19,MATCH($D480,MODELOS!$A$3:$A$19,0)),INDEX(MODELOS!$E$3:$E$19,MATCH($D480,MODELOS!$A$3:$A$19,0)))</f>
        <v>2000 × 2000</v>
      </c>
      <c r="I480" s="11" t="str">
        <f aca="false">INDEX(MODELOS!$J$3:$J$19,MATCH($D480,MODELOS!$A$3:$A$19,0))</f>
        <v>SIM</v>
      </c>
      <c r="J480" s="11" t="str">
        <f aca="false">IF(LEFT($D480,2)&lt;&gt;"AP",IF($I480="SIM","SIM","RECOMENDADA"),IF(INDEX(PRODUTOS!$J$4:$J$63,MATCH($A480,PRODUTOS!$B$4:$B$63,0))&lt;&gt;"","NÃO (usa o A+ do EAN "&amp;INDEX(PRODUTOS!$J$4:$J$63,MATCH($A480,PRODUTOS!$B$4:$B$63,0))&amp;")",IF(AND(INDEX(PRODUTOS!$I$4:$I$63,MATCH($A480,PRODUTOS!$B$4:$B$63,0))="B",$D480="AP07"),"NÃO (modelo B)","SIM")))</f>
        <v>SIM</v>
      </c>
      <c r="K480" s="13" t="s">
        <v>325</v>
      </c>
      <c r="L480" s="13"/>
    </row>
    <row r="481" customFormat="false" ht="15" hidden="false" customHeight="false" outlineLevel="0" collapsed="false">
      <c r="A481" s="15" t="s">
        <v>168</v>
      </c>
      <c r="B481" s="11" t="str">
        <f aca="false">INDEX(PRODUTOS!$E$4:$E$63,MATCH($A481,PRODUTOS!$B$4:$B$63,0))</f>
        <v>Ração Seca Natural Dots para Gatos Filhotes - Pacote 1 kg</v>
      </c>
      <c r="C481" s="11" t="str">
        <f aca="false">INDEX(PRODUTOS!$H$4:$H$63,MATCH($A481,PRODUTOS!$B$4:$B$63,0))</f>
        <v>1 kg</v>
      </c>
      <c r="D481" s="11" t="s">
        <v>326</v>
      </c>
      <c r="E481" s="16" t="str">
        <f aca="false">$A481&amp;"."&amp;$D481&amp;".jpg"</f>
        <v>7898968541405.PT01.jpg</v>
      </c>
      <c r="F481" s="11" t="str">
        <f aca="false">IF(INDEX(PRODUTOS!$I$4:$I$63,MATCH($A481,PRODUTOS!$B$4:$B$63,0))="B",INDEX(MODELOS!$F$3:$F$19,MATCH($D481,MODELOS!$A$3:$A$19,0)),INDEX(MODELOS!$B$3:$B$19,MATCH($D481,MODELOS!$A$3:$A$19,0)))</f>
        <v>Galeria · posição 2</v>
      </c>
      <c r="G481" s="11" t="str">
        <f aca="false">IF(INDEX(PRODUTOS!$F$4:$F$63,MATCH($A481,PRODUTOS!$B$4:$B$63,0))="Ração",IF(INDEX(PRODUTOS!$I$4:$I$63,MATCH($A481,PRODUTOS!$B$4:$B$63,0))="B",INDEX(MODELOS!$G$3:$G$19,MATCH($D481,MODELOS!$A$3:$A$19,0)),INDEX(MODELOS!$C$3:$C$19,MATCH($D481,MODELOS!$A$3:$A$19,0))),IF(INDEX(PRODUTOS!$I$4:$I$63,MATCH($A481,PRODUTOS!$B$4:$B$63,0))="B",INDEX(MODELOS!$H$3:$H$19,MATCH($D481,MODELOS!$A$3:$A$19,0)),INDEX(MODELOS!$D$3:$D$19,MATCH($D481,MODELOS!$A$3:$A$19,0))))</f>
        <v>Grande diferencial da linha (número ou promessa forte + grão e ingrediente)</v>
      </c>
      <c r="H481" s="11" t="str">
        <f aca="false">IF(INDEX(PRODUTOS!$I$4:$I$63,MATCH($A481,PRODUTOS!$B$4:$B$63,0))="B",INDEX(MODELOS!$I$3:$I$19,MATCH($D481,MODELOS!$A$3:$A$19,0)),INDEX(MODELOS!$E$3:$E$19,MATCH($D481,MODELOS!$A$3:$A$19,0)))</f>
        <v>2000 × 2000</v>
      </c>
      <c r="I481" s="11" t="str">
        <f aca="false">INDEX(MODELOS!$J$3:$J$19,MATCH($D481,MODELOS!$A$3:$A$19,0))</f>
        <v>SIM</v>
      </c>
      <c r="J481" s="11" t="str">
        <f aca="false">IF(LEFT($D481,2)&lt;&gt;"AP",IF($I481="SIM","SIM","RECOMENDADA"),IF(INDEX(PRODUTOS!$J$4:$J$63,MATCH($A481,PRODUTOS!$B$4:$B$63,0))&lt;&gt;"","NÃO (usa o A+ do EAN "&amp;INDEX(PRODUTOS!$J$4:$J$63,MATCH($A481,PRODUTOS!$B$4:$B$63,0))&amp;")",IF(AND(INDEX(PRODUTOS!$I$4:$I$63,MATCH($A481,PRODUTOS!$B$4:$B$63,0))="B",$D481="AP07"),"NÃO (modelo B)","SIM")))</f>
        <v>SIM</v>
      </c>
      <c r="K481" s="13" t="s">
        <v>325</v>
      </c>
      <c r="L481" s="13"/>
    </row>
    <row r="482" customFormat="false" ht="15" hidden="false" customHeight="false" outlineLevel="0" collapsed="false">
      <c r="A482" s="15" t="s">
        <v>168</v>
      </c>
      <c r="B482" s="11" t="str">
        <f aca="false">INDEX(PRODUTOS!$E$4:$E$63,MATCH($A482,PRODUTOS!$B$4:$B$63,0))</f>
        <v>Ração Seca Natural Dots para Gatos Filhotes - Pacote 1 kg</v>
      </c>
      <c r="C482" s="11" t="str">
        <f aca="false">INDEX(PRODUTOS!$H$4:$H$63,MATCH($A482,PRODUTOS!$B$4:$B$63,0))</f>
        <v>1 kg</v>
      </c>
      <c r="D482" s="11" t="s">
        <v>327</v>
      </c>
      <c r="E482" s="16" t="str">
        <f aca="false">$A482&amp;"."&amp;$D482&amp;".jpg"</f>
        <v>7898968541405.PT02.jpg</v>
      </c>
      <c r="F482" s="11" t="str">
        <f aca="false">IF(INDEX(PRODUTOS!$I$4:$I$63,MATCH($A482,PRODUTOS!$B$4:$B$63,0))="B",INDEX(MODELOS!$F$3:$F$19,MATCH($D482,MODELOS!$A$3:$A$19,0)),INDEX(MODELOS!$B$3:$B$19,MATCH($D482,MODELOS!$A$3:$A$19,0)))</f>
        <v>Galeria · posição 3</v>
      </c>
      <c r="G482" s="11" t="str">
        <f aca="false">IF(INDEX(PRODUTOS!$F$4:$F$63,MATCH($A482,PRODUTOS!$B$4:$B$63,0))="Ração",IF(INDEX(PRODUTOS!$I$4:$I$63,MATCH($A482,PRODUTOS!$B$4:$B$63,0))="B",INDEX(MODELOS!$G$3:$G$19,MATCH($D482,MODELOS!$A$3:$A$19,0)),INDEX(MODELOS!$C$3:$C$19,MATCH($D482,MODELOS!$A$3:$A$19,0))),IF(INDEX(PRODUTOS!$I$4:$I$63,MATCH($A482,PRODUTOS!$B$4:$B$63,0))="B",INDEX(MODELOS!$H$3:$H$19,MATCH($D482,MODELOS!$A$3:$A$19,0)),INDEX(MODELOS!$D$3:$D$19,MATCH($D482,MODELOS!$A$3:$A$19,0))))</f>
        <v>Benefícios com ícones (4 a 6, impressos na embalagem) + ingrediente</v>
      </c>
      <c r="H482" s="11" t="str">
        <f aca="false">IF(INDEX(PRODUTOS!$I$4:$I$63,MATCH($A482,PRODUTOS!$B$4:$B$63,0))="B",INDEX(MODELOS!$I$3:$I$19,MATCH($D482,MODELOS!$A$3:$A$19,0)),INDEX(MODELOS!$E$3:$E$19,MATCH($D482,MODELOS!$A$3:$A$19,0)))</f>
        <v>2000 × 2000</v>
      </c>
      <c r="I482" s="11" t="str">
        <f aca="false">INDEX(MODELOS!$J$3:$J$19,MATCH($D482,MODELOS!$A$3:$A$19,0))</f>
        <v>SIM</v>
      </c>
      <c r="J482" s="11" t="str">
        <f aca="false">IF(LEFT($D482,2)&lt;&gt;"AP",IF($I482="SIM","SIM","RECOMENDADA"),IF(INDEX(PRODUTOS!$J$4:$J$63,MATCH($A482,PRODUTOS!$B$4:$B$63,0))&lt;&gt;"","NÃO (usa o A+ do EAN "&amp;INDEX(PRODUTOS!$J$4:$J$63,MATCH($A482,PRODUTOS!$B$4:$B$63,0))&amp;")",IF(AND(INDEX(PRODUTOS!$I$4:$I$63,MATCH($A482,PRODUTOS!$B$4:$B$63,0))="B",$D482="AP07"),"NÃO (modelo B)","SIM")))</f>
        <v>SIM</v>
      </c>
      <c r="K482" s="13" t="s">
        <v>325</v>
      </c>
      <c r="L482" s="13"/>
    </row>
    <row r="483" customFormat="false" ht="15" hidden="false" customHeight="false" outlineLevel="0" collapsed="false">
      <c r="A483" s="15" t="s">
        <v>168</v>
      </c>
      <c r="B483" s="11" t="str">
        <f aca="false">INDEX(PRODUTOS!$E$4:$E$63,MATCH($A483,PRODUTOS!$B$4:$B$63,0))</f>
        <v>Ração Seca Natural Dots para Gatos Filhotes - Pacote 1 kg</v>
      </c>
      <c r="C483" s="11" t="str">
        <f aca="false">INDEX(PRODUTOS!$H$4:$H$63,MATCH($A483,PRODUTOS!$B$4:$B$63,0))</f>
        <v>1 kg</v>
      </c>
      <c r="D483" s="11" t="s">
        <v>328</v>
      </c>
      <c r="E483" s="16" t="str">
        <f aca="false">$A483&amp;"."&amp;$D483&amp;".jpg"</f>
        <v>7898968541405.PT03.jpg</v>
      </c>
      <c r="F483" s="11" t="str">
        <f aca="false">IF(INDEX(PRODUTOS!$I$4:$I$63,MATCH($A483,PRODUTOS!$B$4:$B$63,0))="B",INDEX(MODELOS!$F$3:$F$19,MATCH($D483,MODELOS!$A$3:$A$19,0)),INDEX(MODELOS!$B$3:$B$19,MATCH($D483,MODELOS!$A$3:$A$19,0)))</f>
        <v>Galeria · posição 4</v>
      </c>
      <c r="G483" s="11" t="str">
        <f aca="false">IF(INDEX(PRODUTOS!$F$4:$F$63,MATCH($A483,PRODUTOS!$B$4:$B$63,0))="Ração",IF(INDEX(PRODUTOS!$I$4:$I$63,MATCH($A483,PRODUTOS!$B$4:$B$63,0))="B",INDEX(MODELOS!$G$3:$G$19,MATCH($D483,MODELOS!$A$3:$A$19,0)),INDEX(MODELOS!$C$3:$C$19,MATCH($D483,MODELOS!$A$3:$A$19,0))),IF(INDEX(PRODUTOS!$I$4:$I$63,MATCH($A483,PRODUTOS!$B$4:$B$63,0))="B",INDEX(MODELOS!$H$3:$H$19,MATCH($D483,MODELOS!$A$3:$A$19,0)),INDEX(MODELOS!$D$3:$D$19,MATCH($D483,MODELOS!$A$3:$A$19,0))))</f>
        <v>Formato e tamanho do grão, com medida em mm e referência de tamanho</v>
      </c>
      <c r="H483" s="11" t="str">
        <f aca="false">IF(INDEX(PRODUTOS!$I$4:$I$63,MATCH($A483,PRODUTOS!$B$4:$B$63,0))="B",INDEX(MODELOS!$I$3:$I$19,MATCH($D483,MODELOS!$A$3:$A$19,0)),INDEX(MODELOS!$E$3:$E$19,MATCH($D483,MODELOS!$A$3:$A$19,0)))</f>
        <v>2000 × 2000</v>
      </c>
      <c r="I483" s="11" t="str">
        <f aca="false">INDEX(MODELOS!$J$3:$J$19,MATCH($D483,MODELOS!$A$3:$A$19,0))</f>
        <v>SIM</v>
      </c>
      <c r="J483" s="11" t="str">
        <f aca="false">IF(LEFT($D483,2)&lt;&gt;"AP",IF($I483="SIM","SIM","RECOMENDADA"),IF(INDEX(PRODUTOS!$J$4:$J$63,MATCH($A483,PRODUTOS!$B$4:$B$63,0))&lt;&gt;"","NÃO (usa o A+ do EAN "&amp;INDEX(PRODUTOS!$J$4:$J$63,MATCH($A483,PRODUTOS!$B$4:$B$63,0))&amp;")",IF(AND(INDEX(PRODUTOS!$I$4:$I$63,MATCH($A483,PRODUTOS!$B$4:$B$63,0))="B",$D483="AP07"),"NÃO (modelo B)","SIM")))</f>
        <v>SIM</v>
      </c>
      <c r="K483" s="13" t="s">
        <v>325</v>
      </c>
      <c r="L483" s="13"/>
    </row>
    <row r="484" customFormat="false" ht="15" hidden="false" customHeight="false" outlineLevel="0" collapsed="false">
      <c r="A484" s="15" t="s">
        <v>168</v>
      </c>
      <c r="B484" s="11" t="str">
        <f aca="false">INDEX(PRODUTOS!$E$4:$E$63,MATCH($A484,PRODUTOS!$B$4:$B$63,0))</f>
        <v>Ração Seca Natural Dots para Gatos Filhotes - Pacote 1 kg</v>
      </c>
      <c r="C484" s="11" t="str">
        <f aca="false">INDEX(PRODUTOS!$H$4:$H$63,MATCH($A484,PRODUTOS!$B$4:$B$63,0))</f>
        <v>1 kg</v>
      </c>
      <c r="D484" s="11" t="s">
        <v>329</v>
      </c>
      <c r="E484" s="16" t="str">
        <f aca="false">$A484&amp;"."&amp;$D484&amp;".jpg"</f>
        <v>7898968541405.PT04.jpg</v>
      </c>
      <c r="F484" s="11" t="str">
        <f aca="false">IF(INDEX(PRODUTOS!$I$4:$I$63,MATCH($A484,PRODUTOS!$B$4:$B$63,0))="B",INDEX(MODELOS!$F$3:$F$19,MATCH($D484,MODELOS!$A$3:$A$19,0)),INDEX(MODELOS!$B$3:$B$19,MATCH($D484,MODELOS!$A$3:$A$19,0)))</f>
        <v>Galeria · posição 5</v>
      </c>
      <c r="G484" s="11" t="str">
        <f aca="false">IF(INDEX(PRODUTOS!$F$4:$F$63,MATCH($A484,PRODUTOS!$B$4:$B$63,0))="Ração",IF(INDEX(PRODUTOS!$I$4:$I$63,MATCH($A484,PRODUTOS!$B$4:$B$63,0))="B",INDEX(MODELOS!$G$3:$G$19,MATCH($D484,MODELOS!$A$3:$A$19,0)),INDEX(MODELOS!$C$3:$C$19,MATCH($D484,MODELOS!$A$3:$A$19,0))),IF(INDEX(PRODUTOS!$I$4:$I$63,MATCH($A484,PRODUTOS!$B$4:$B$63,0))="B",INDEX(MODELOS!$H$3:$H$19,MATCH($D484,MODELOS!$A$3:$A$19,0)),INDEX(MODELOS!$D$3:$D$19,MATCH($D484,MODELOS!$A$3:$A$19,0))))</f>
        <v>Quantidade diária por peso do cão/gato (números idênticos à embalagem)</v>
      </c>
      <c r="H484" s="11" t="str">
        <f aca="false">IF(INDEX(PRODUTOS!$I$4:$I$63,MATCH($A484,PRODUTOS!$B$4:$B$63,0))="B",INDEX(MODELOS!$I$3:$I$19,MATCH($D484,MODELOS!$A$3:$A$19,0)),INDEX(MODELOS!$E$3:$E$19,MATCH($D484,MODELOS!$A$3:$A$19,0)))</f>
        <v>2000 × 2000</v>
      </c>
      <c r="I484" s="11" t="str">
        <f aca="false">INDEX(MODELOS!$J$3:$J$19,MATCH($D484,MODELOS!$A$3:$A$19,0))</f>
        <v>SIM</v>
      </c>
      <c r="J484" s="11" t="str">
        <f aca="false">IF(LEFT($D484,2)&lt;&gt;"AP",IF($I484="SIM","SIM","RECOMENDADA"),IF(INDEX(PRODUTOS!$J$4:$J$63,MATCH($A484,PRODUTOS!$B$4:$B$63,0))&lt;&gt;"","NÃO (usa o A+ do EAN "&amp;INDEX(PRODUTOS!$J$4:$J$63,MATCH($A484,PRODUTOS!$B$4:$B$63,0))&amp;")",IF(AND(INDEX(PRODUTOS!$I$4:$I$63,MATCH($A484,PRODUTOS!$B$4:$B$63,0))="B",$D484="AP07"),"NÃO (modelo B)","SIM")))</f>
        <v>SIM</v>
      </c>
      <c r="K484" s="13" t="s">
        <v>325</v>
      </c>
      <c r="L484" s="13"/>
    </row>
    <row r="485" customFormat="false" ht="15" hidden="false" customHeight="false" outlineLevel="0" collapsed="false">
      <c r="A485" s="15" t="s">
        <v>168</v>
      </c>
      <c r="B485" s="11" t="str">
        <f aca="false">INDEX(PRODUTOS!$E$4:$E$63,MATCH($A485,PRODUTOS!$B$4:$B$63,0))</f>
        <v>Ração Seca Natural Dots para Gatos Filhotes - Pacote 1 kg</v>
      </c>
      <c r="C485" s="11" t="str">
        <f aca="false">INDEX(PRODUTOS!$H$4:$H$63,MATCH($A485,PRODUTOS!$B$4:$B$63,0))</f>
        <v>1 kg</v>
      </c>
      <c r="D485" s="11" t="s">
        <v>330</v>
      </c>
      <c r="E485" s="16" t="str">
        <f aca="false">$A485&amp;"."&amp;$D485&amp;".jpg"</f>
        <v>7898968541405.PT05.jpg</v>
      </c>
      <c r="F485" s="11" t="str">
        <f aca="false">IF(INDEX(PRODUTOS!$I$4:$I$63,MATCH($A485,PRODUTOS!$B$4:$B$63,0))="B",INDEX(MODELOS!$F$3:$F$19,MATCH($D485,MODELOS!$A$3:$A$19,0)),INDEX(MODELOS!$B$3:$B$19,MATCH($D485,MODELOS!$A$3:$A$19,0)))</f>
        <v>Galeria · posição 6</v>
      </c>
      <c r="G485" s="11" t="str">
        <f aca="false">IF(INDEX(PRODUTOS!$F$4:$F$63,MATCH($A485,PRODUTOS!$B$4:$B$63,0))="Ração",IF(INDEX(PRODUTOS!$I$4:$I$63,MATCH($A485,PRODUTOS!$B$4:$B$63,0))="B",INDEX(MODELOS!$G$3:$G$19,MATCH($D485,MODELOS!$A$3:$A$19,0)),INDEX(MODELOS!$C$3:$C$19,MATCH($D485,MODELOS!$A$3:$A$19,0))),IF(INDEX(PRODUTOS!$I$4:$I$63,MATCH($A485,PRODUTOS!$B$4:$B$63,0))="B",INDEX(MODELOS!$H$3:$H$19,MATCH($D485,MODELOS!$A$3:$A$19,0)),INDEX(MODELOS!$D$3:$D$19,MATCH($D485,MODELOS!$A$3:$A$19,0))))</f>
        <v>Transição alimentar dia a dia (igual ao verso da embalagem)</v>
      </c>
      <c r="H485" s="11" t="str">
        <f aca="false">IF(INDEX(PRODUTOS!$I$4:$I$63,MATCH($A485,PRODUTOS!$B$4:$B$63,0))="B",INDEX(MODELOS!$I$3:$I$19,MATCH($D485,MODELOS!$A$3:$A$19,0)),INDEX(MODELOS!$E$3:$E$19,MATCH($D485,MODELOS!$A$3:$A$19,0)))</f>
        <v>2000 × 2000</v>
      </c>
      <c r="I485" s="11" t="str">
        <f aca="false">INDEX(MODELOS!$J$3:$J$19,MATCH($D485,MODELOS!$A$3:$A$19,0))</f>
        <v>Recomendada</v>
      </c>
      <c r="J485" s="11" t="str">
        <f aca="false">IF(LEFT($D485,2)&lt;&gt;"AP",IF($I485="SIM","SIM","RECOMENDADA"),IF(INDEX(PRODUTOS!$J$4:$J$63,MATCH($A485,PRODUTOS!$B$4:$B$63,0))&lt;&gt;"","NÃO (usa o A+ do EAN "&amp;INDEX(PRODUTOS!$J$4:$J$63,MATCH($A485,PRODUTOS!$B$4:$B$63,0))&amp;")",IF(AND(INDEX(PRODUTOS!$I$4:$I$63,MATCH($A485,PRODUTOS!$B$4:$B$63,0))="B",$D485="AP07"),"NÃO (modelo B)","SIM")))</f>
        <v>RECOMENDADA</v>
      </c>
      <c r="K485" s="13" t="s">
        <v>325</v>
      </c>
      <c r="L485" s="13"/>
    </row>
    <row r="486" customFormat="false" ht="15" hidden="false" customHeight="false" outlineLevel="0" collapsed="false">
      <c r="A486" s="15" t="s">
        <v>168</v>
      </c>
      <c r="B486" s="11" t="str">
        <f aca="false">INDEX(PRODUTOS!$E$4:$E$63,MATCH($A486,PRODUTOS!$B$4:$B$63,0))</f>
        <v>Ração Seca Natural Dots para Gatos Filhotes - Pacote 1 kg</v>
      </c>
      <c r="C486" s="11" t="str">
        <f aca="false">INDEX(PRODUTOS!$H$4:$H$63,MATCH($A486,PRODUTOS!$B$4:$B$63,0))</f>
        <v>1 kg</v>
      </c>
      <c r="D486" s="11" t="s">
        <v>331</v>
      </c>
      <c r="E486" s="16" t="str">
        <f aca="false">$A486&amp;"."&amp;$D486&amp;".jpg"</f>
        <v>7898968541405.PT06.jpg</v>
      </c>
      <c r="F486" s="11" t="str">
        <f aca="false">IF(INDEX(PRODUTOS!$I$4:$I$63,MATCH($A486,PRODUTOS!$B$4:$B$63,0))="B",INDEX(MODELOS!$F$3:$F$19,MATCH($D486,MODELOS!$A$3:$A$19,0)),INDEX(MODELOS!$B$3:$B$19,MATCH($D486,MODELOS!$A$3:$A$19,0)))</f>
        <v>Galeria · posição 7</v>
      </c>
      <c r="G486" s="11" t="str">
        <f aca="false">IF(INDEX(PRODUTOS!$F$4:$F$63,MATCH($A486,PRODUTOS!$B$4:$B$63,0))="Ração",IF(INDEX(PRODUTOS!$I$4:$I$63,MATCH($A486,PRODUTOS!$B$4:$B$63,0))="B",INDEX(MODELOS!$G$3:$G$19,MATCH($D486,MODELOS!$A$3:$A$19,0)),INDEX(MODELOS!$C$3:$C$19,MATCH($D486,MODELOS!$A$3:$A$19,0))),IF(INDEX(PRODUTOS!$I$4:$I$63,MATCH($A486,PRODUTOS!$B$4:$B$63,0))="B",INDEX(MODELOS!$H$3:$H$19,MATCH($D486,MODELOS!$A$3:$A$19,0)),INDEX(MODELOS!$D$3:$D$19,MATCH($D486,MODELOS!$A$3:$A$19,0))))</f>
        <v>Composição e níveis de garantia em letra grande</v>
      </c>
      <c r="H486" s="11" t="str">
        <f aca="false">IF(INDEX(PRODUTOS!$I$4:$I$63,MATCH($A486,PRODUTOS!$B$4:$B$63,0))="B",INDEX(MODELOS!$I$3:$I$19,MATCH($D486,MODELOS!$A$3:$A$19,0)),INDEX(MODELOS!$E$3:$E$19,MATCH($D486,MODELOS!$A$3:$A$19,0)))</f>
        <v>2000 × 2000</v>
      </c>
      <c r="I486" s="11" t="str">
        <f aca="false">INDEX(MODELOS!$J$3:$J$19,MATCH($D486,MODELOS!$A$3:$A$19,0))</f>
        <v>SIM</v>
      </c>
      <c r="J486" s="11" t="str">
        <f aca="false">IF(LEFT($D486,2)&lt;&gt;"AP",IF($I486="SIM","SIM","RECOMENDADA"),IF(INDEX(PRODUTOS!$J$4:$J$63,MATCH($A486,PRODUTOS!$B$4:$B$63,0))&lt;&gt;"","NÃO (usa o A+ do EAN "&amp;INDEX(PRODUTOS!$J$4:$J$63,MATCH($A486,PRODUTOS!$B$4:$B$63,0))&amp;")",IF(AND(INDEX(PRODUTOS!$I$4:$I$63,MATCH($A486,PRODUTOS!$B$4:$B$63,0))="B",$D486="AP07"),"NÃO (modelo B)","SIM")))</f>
        <v>SIM</v>
      </c>
      <c r="K486" s="13" t="s">
        <v>325</v>
      </c>
      <c r="L486" s="13"/>
    </row>
    <row r="487" customFormat="false" ht="15" hidden="false" customHeight="false" outlineLevel="0" collapsed="false">
      <c r="A487" s="15" t="s">
        <v>168</v>
      </c>
      <c r="B487" s="11" t="str">
        <f aca="false">INDEX(PRODUTOS!$E$4:$E$63,MATCH($A487,PRODUTOS!$B$4:$B$63,0))</f>
        <v>Ração Seca Natural Dots para Gatos Filhotes - Pacote 1 kg</v>
      </c>
      <c r="C487" s="11" t="str">
        <f aca="false">INDEX(PRODUTOS!$H$4:$H$63,MATCH($A487,PRODUTOS!$B$4:$B$63,0))</f>
        <v>1 kg</v>
      </c>
      <c r="D487" s="11" t="s">
        <v>332</v>
      </c>
      <c r="E487" s="16" t="str">
        <f aca="false">$A487&amp;"."&amp;$D487&amp;".jpg"</f>
        <v>7898968541405.PT07.jpg</v>
      </c>
      <c r="F487" s="11" t="str">
        <f aca="false">IF(INDEX(PRODUTOS!$I$4:$I$63,MATCH($A487,PRODUTOS!$B$4:$B$63,0))="B",INDEX(MODELOS!$F$3:$F$19,MATCH($D487,MODELOS!$A$3:$A$19,0)),INDEX(MODELOS!$B$3:$B$19,MATCH($D487,MODELOS!$A$3:$A$19,0)))</f>
        <v>Galeria · posição 8</v>
      </c>
      <c r="G487" s="11" t="str">
        <f aca="false">IF(INDEX(PRODUTOS!$F$4:$F$63,MATCH($A487,PRODUTOS!$B$4:$B$63,0))="Ração",IF(INDEX(PRODUTOS!$I$4:$I$63,MATCH($A487,PRODUTOS!$B$4:$B$63,0))="B",INDEX(MODELOS!$G$3:$G$19,MATCH($D487,MODELOS!$A$3:$A$19,0)),INDEX(MODELOS!$C$3:$C$19,MATCH($D487,MODELOS!$A$3:$A$19,0))),IF(INDEX(PRODUTOS!$I$4:$I$63,MATCH($A487,PRODUTOS!$B$4:$B$63,0))="B",INDEX(MODELOS!$H$3:$H$19,MATCH($D487,MODELOS!$A$3:$A$19,0)),INDEX(MODELOS!$D$3:$D$19,MATCH($D487,MODELOS!$A$3:$A$19,0))))</f>
        <v>Emocional / momento de uso (pet do porte certo, pote cheio)</v>
      </c>
      <c r="H487" s="11" t="str">
        <f aca="false">IF(INDEX(PRODUTOS!$I$4:$I$63,MATCH($A487,PRODUTOS!$B$4:$B$63,0))="B",INDEX(MODELOS!$I$3:$I$19,MATCH($D487,MODELOS!$A$3:$A$19,0)),INDEX(MODELOS!$E$3:$E$19,MATCH($D487,MODELOS!$A$3:$A$19,0)))</f>
        <v>2000 × 2000</v>
      </c>
      <c r="I487" s="11" t="str">
        <f aca="false">INDEX(MODELOS!$J$3:$J$19,MATCH($D487,MODELOS!$A$3:$A$19,0))</f>
        <v>Recomendada</v>
      </c>
      <c r="J487" s="11" t="str">
        <f aca="false">IF(LEFT($D487,2)&lt;&gt;"AP",IF($I487="SIM","SIM","RECOMENDADA"),IF(INDEX(PRODUTOS!$J$4:$J$63,MATCH($A487,PRODUTOS!$B$4:$B$63,0))&lt;&gt;"","NÃO (usa o A+ do EAN "&amp;INDEX(PRODUTOS!$J$4:$J$63,MATCH($A487,PRODUTOS!$B$4:$B$63,0))&amp;")",IF(AND(INDEX(PRODUTOS!$I$4:$I$63,MATCH($A487,PRODUTOS!$B$4:$B$63,0))="B",$D487="AP07"),"NÃO (modelo B)","SIM")))</f>
        <v>RECOMENDADA</v>
      </c>
      <c r="K487" s="13" t="s">
        <v>325</v>
      </c>
      <c r="L487" s="13"/>
    </row>
    <row r="488" customFormat="false" ht="15" hidden="false" customHeight="false" outlineLevel="0" collapsed="false">
      <c r="A488" s="15" t="s">
        <v>168</v>
      </c>
      <c r="B488" s="11" t="str">
        <f aca="false">INDEX(PRODUTOS!$E$4:$E$63,MATCH($A488,PRODUTOS!$B$4:$B$63,0))</f>
        <v>Ração Seca Natural Dots para Gatos Filhotes - Pacote 1 kg</v>
      </c>
      <c r="C488" s="11" t="str">
        <f aca="false">INDEX(PRODUTOS!$H$4:$H$63,MATCH($A488,PRODUTOS!$B$4:$B$63,0))</f>
        <v>1 kg</v>
      </c>
      <c r="D488" s="11" t="s">
        <v>333</v>
      </c>
      <c r="E488" s="16" t="str">
        <f aca="false">$A488&amp;"."&amp;$D488&amp;".jpg"</f>
        <v>7898968541405.PT08.jpg</v>
      </c>
      <c r="F488" s="11" t="str">
        <f aca="false">IF(INDEX(PRODUTOS!$I$4:$I$63,MATCH($A488,PRODUTOS!$B$4:$B$63,0))="B",INDEX(MODELOS!$F$3:$F$19,MATCH($D488,MODELOS!$A$3:$A$19,0)),INDEX(MODELOS!$B$3:$B$19,MATCH($D488,MODELOS!$A$3:$A$19,0)))</f>
        <v>Galeria · posição 9</v>
      </c>
      <c r="G488" s="11" t="str">
        <f aca="false">IF(INDEX(PRODUTOS!$F$4:$F$63,MATCH($A488,PRODUTOS!$B$4:$B$63,0))="Ração",IF(INDEX(PRODUTOS!$I$4:$I$63,MATCH($A488,PRODUTOS!$B$4:$B$63,0))="B",INDEX(MODELOS!$G$3:$G$19,MATCH($D488,MODELOS!$A$3:$A$19,0)),INDEX(MODELOS!$C$3:$C$19,MATCH($D488,MODELOS!$A$3:$A$19,0))),IF(INDEX(PRODUTOS!$I$4:$I$63,MATCH($A488,PRODUTOS!$B$4:$B$63,0))="B",INDEX(MODELOS!$H$3:$H$19,MATCH($D488,MODELOS!$A$3:$A$19,0)),INDEX(MODELOS!$D$3:$D$19,MATCH($D488,MODELOS!$A$3:$A$19,0))))</f>
        <v>Linha da marca ou embalagem anterior × nova</v>
      </c>
      <c r="H488" s="11" t="str">
        <f aca="false">IF(INDEX(PRODUTOS!$I$4:$I$63,MATCH($A488,PRODUTOS!$B$4:$B$63,0))="B",INDEX(MODELOS!$I$3:$I$19,MATCH($D488,MODELOS!$A$3:$A$19,0)),INDEX(MODELOS!$E$3:$E$19,MATCH($D488,MODELOS!$A$3:$A$19,0)))</f>
        <v>2000 × 2000</v>
      </c>
      <c r="I488" s="11" t="str">
        <f aca="false">INDEX(MODELOS!$J$3:$J$19,MATCH($D488,MODELOS!$A$3:$A$19,0))</f>
        <v>Recomendada</v>
      </c>
      <c r="J488" s="11" t="str">
        <f aca="false">IF(LEFT($D488,2)&lt;&gt;"AP",IF($I488="SIM","SIM","RECOMENDADA"),IF(INDEX(PRODUTOS!$J$4:$J$63,MATCH($A488,PRODUTOS!$B$4:$B$63,0))&lt;&gt;"","NÃO (usa o A+ do EAN "&amp;INDEX(PRODUTOS!$J$4:$J$63,MATCH($A488,PRODUTOS!$B$4:$B$63,0))&amp;")",IF(AND(INDEX(PRODUTOS!$I$4:$I$63,MATCH($A488,PRODUTOS!$B$4:$B$63,0))="B",$D488="AP07"),"NÃO (modelo B)","SIM")))</f>
        <v>RECOMENDADA</v>
      </c>
      <c r="K488" s="13" t="s">
        <v>325</v>
      </c>
      <c r="L488" s="13"/>
    </row>
    <row r="489" customFormat="false" ht="15" hidden="false" customHeight="false" outlineLevel="0" collapsed="false">
      <c r="A489" s="15" t="s">
        <v>168</v>
      </c>
      <c r="B489" s="11" t="str">
        <f aca="false">INDEX(PRODUTOS!$E$4:$E$63,MATCH($A489,PRODUTOS!$B$4:$B$63,0))</f>
        <v>Ração Seca Natural Dots para Gatos Filhotes - Pacote 1 kg</v>
      </c>
      <c r="C489" s="11" t="str">
        <f aca="false">INDEX(PRODUTOS!$H$4:$H$63,MATCH($A489,PRODUTOS!$B$4:$B$63,0))</f>
        <v>1 kg</v>
      </c>
      <c r="D489" s="11" t="s">
        <v>334</v>
      </c>
      <c r="E489" s="16" t="str">
        <f aca="false">$A489&amp;"."&amp;$D489&amp;".jpg"</f>
        <v>7898968541405.AP01.jpg</v>
      </c>
      <c r="F489" s="11" t="str">
        <f aca="false">IF(INDEX(PRODUTOS!$I$4:$I$63,MATCH($A489,PRODUTOS!$B$4:$B$63,0))="B",INDEX(MODELOS!$F$3:$F$19,MATCH($D489,MODELOS!$A$3:$A$19,0)),INDEX(MODELOS!$B$3:$B$19,MATCH($D489,MODELOS!$A$3:$A$19,0)))</f>
        <v>A+ · Módulo 1 · Banner</v>
      </c>
      <c r="G489" s="11" t="str">
        <f aca="false">IF(INDEX(PRODUTOS!$F$4:$F$63,MATCH($A489,PRODUTOS!$B$4:$B$63,0))="Ração",IF(INDEX(PRODUTOS!$I$4:$I$63,MATCH($A489,PRODUTOS!$B$4:$B$63,0))="B",INDEX(MODELOS!$G$3:$G$19,MATCH($D489,MODELOS!$A$3:$A$19,0)),INDEX(MODELOS!$C$3:$C$19,MATCH($D489,MODELOS!$A$3:$A$19,0))),IF(INDEX(PRODUTOS!$I$4:$I$63,MATCH($A489,PRODUTOS!$B$4:$B$63,0))="B",INDEX(MODELOS!$H$3:$H$19,MATCH($D489,MODELOS!$A$3:$A$19,0)),INDEX(MODELOS!$D$3:$D$19,MATCH($D489,MODELOS!$A$3:$A$19,0))))</f>
        <v>Embalagem + pet + ingredientes, com o nome da linha</v>
      </c>
      <c r="H489" s="11" t="str">
        <f aca="false">IF(INDEX(PRODUTOS!$I$4:$I$63,MATCH($A489,PRODUTOS!$B$4:$B$63,0))="B",INDEX(MODELOS!$I$3:$I$19,MATCH($D489,MODELOS!$A$3:$A$19,0)),INDEX(MODELOS!$E$3:$E$19,MATCH($D489,MODELOS!$A$3:$A$19,0)))</f>
        <v>970 × 600</v>
      </c>
      <c r="I489" s="11" t="str">
        <f aca="false">INDEX(MODELOS!$J$3:$J$19,MATCH($D489,MODELOS!$A$3:$A$19,0))</f>
        <v>Conforme modelo</v>
      </c>
      <c r="J489" s="11" t="str">
        <f aca="false">IF(LEFT($D489,2)&lt;&gt;"AP",IF($I489="SIM","SIM","RECOMENDADA"),IF(INDEX(PRODUTOS!$J$4:$J$63,MATCH($A489,PRODUTOS!$B$4:$B$63,0))&lt;&gt;"","NÃO (usa o A+ do EAN "&amp;INDEX(PRODUTOS!$J$4:$J$63,MATCH($A489,PRODUTOS!$B$4:$B$63,0))&amp;")",IF(AND(INDEX(PRODUTOS!$I$4:$I$63,MATCH($A489,PRODUTOS!$B$4:$B$63,0))="B",$D489="AP07"),"NÃO (modelo B)","SIM")))</f>
        <v>NÃO (usa o A+ do EAN 7898968541412)</v>
      </c>
      <c r="K489" s="13" t="s">
        <v>325</v>
      </c>
      <c r="L489" s="13"/>
    </row>
    <row r="490" customFormat="false" ht="15" hidden="false" customHeight="false" outlineLevel="0" collapsed="false">
      <c r="A490" s="15" t="s">
        <v>168</v>
      </c>
      <c r="B490" s="11" t="str">
        <f aca="false">INDEX(PRODUTOS!$E$4:$E$63,MATCH($A490,PRODUTOS!$B$4:$B$63,0))</f>
        <v>Ração Seca Natural Dots para Gatos Filhotes - Pacote 1 kg</v>
      </c>
      <c r="C490" s="11" t="str">
        <f aca="false">INDEX(PRODUTOS!$H$4:$H$63,MATCH($A490,PRODUTOS!$B$4:$B$63,0))</f>
        <v>1 kg</v>
      </c>
      <c r="D490" s="11" t="s">
        <v>335</v>
      </c>
      <c r="E490" s="16" t="str">
        <f aca="false">$A490&amp;"."&amp;$D490&amp;".jpg"</f>
        <v>7898968541405.AP02.jpg</v>
      </c>
      <c r="F490" s="11" t="str">
        <f aca="false">IF(INDEX(PRODUTOS!$I$4:$I$63,MATCH($A490,PRODUTOS!$B$4:$B$63,0))="B",INDEX(MODELOS!$F$3:$F$19,MATCH($D490,MODELOS!$A$3:$A$19,0)),INDEX(MODELOS!$B$3:$B$19,MATCH($D490,MODELOS!$A$3:$A$19,0)))</f>
        <v>A+ · Módulo 2 · Texto sobreposto</v>
      </c>
      <c r="G490" s="11" t="str">
        <f aca="false">IF(INDEX(PRODUTOS!$F$4:$F$63,MATCH($A490,PRODUTOS!$B$4:$B$63,0))="Ração",IF(INDEX(PRODUTOS!$I$4:$I$63,MATCH($A490,PRODUTOS!$B$4:$B$63,0))="B",INDEX(MODELOS!$G$3:$G$19,MATCH($D490,MODELOS!$A$3:$A$19,0)),INDEX(MODELOS!$C$3:$C$19,MATCH($D490,MODELOS!$A$3:$A$19,0))),IF(INDEX(PRODUTOS!$I$4:$I$63,MATCH($A490,PRODUTOS!$B$4:$B$63,0))="B",INDEX(MODELOS!$H$3:$H$19,MATCH($D490,MODELOS!$A$3:$A$19,0)),INDEX(MODELOS!$D$3:$D$19,MATCH($D490,MODELOS!$A$3:$A$19,0))))</f>
        <v>Principal diferencial; deixar o lado direito limpo</v>
      </c>
      <c r="H490" s="11" t="str">
        <f aca="false">IF(INDEX(PRODUTOS!$I$4:$I$63,MATCH($A490,PRODUTOS!$B$4:$B$63,0))="B",INDEX(MODELOS!$I$3:$I$19,MATCH($D490,MODELOS!$A$3:$A$19,0)),INDEX(MODELOS!$E$3:$E$19,MATCH($D490,MODELOS!$A$3:$A$19,0)))</f>
        <v>970 × 300</v>
      </c>
      <c r="I490" s="11" t="str">
        <f aca="false">INDEX(MODELOS!$J$3:$J$19,MATCH($D490,MODELOS!$A$3:$A$19,0))</f>
        <v>Conforme modelo</v>
      </c>
      <c r="J490" s="11" t="str">
        <f aca="false">IF(LEFT($D490,2)&lt;&gt;"AP",IF($I490="SIM","SIM","RECOMENDADA"),IF(INDEX(PRODUTOS!$J$4:$J$63,MATCH($A490,PRODUTOS!$B$4:$B$63,0))&lt;&gt;"","NÃO (usa o A+ do EAN "&amp;INDEX(PRODUTOS!$J$4:$J$63,MATCH($A490,PRODUTOS!$B$4:$B$63,0))&amp;")",IF(AND(INDEX(PRODUTOS!$I$4:$I$63,MATCH($A490,PRODUTOS!$B$4:$B$63,0))="B",$D490="AP07"),"NÃO (modelo B)","SIM")))</f>
        <v>NÃO (usa o A+ do EAN 7898968541412)</v>
      </c>
      <c r="K490" s="13" t="s">
        <v>325</v>
      </c>
      <c r="L490" s="13"/>
    </row>
    <row r="491" customFormat="false" ht="15" hidden="false" customHeight="false" outlineLevel="0" collapsed="false">
      <c r="A491" s="15" t="s">
        <v>168</v>
      </c>
      <c r="B491" s="11" t="str">
        <f aca="false">INDEX(PRODUTOS!$E$4:$E$63,MATCH($A491,PRODUTOS!$B$4:$B$63,0))</f>
        <v>Ração Seca Natural Dots para Gatos Filhotes - Pacote 1 kg</v>
      </c>
      <c r="C491" s="11" t="str">
        <f aca="false">INDEX(PRODUTOS!$H$4:$H$63,MATCH($A491,PRODUTOS!$B$4:$B$63,0))</f>
        <v>1 kg</v>
      </c>
      <c r="D491" s="11" t="s">
        <v>336</v>
      </c>
      <c r="E491" s="16" t="str">
        <f aca="false">$A491&amp;"."&amp;$D491&amp;".jpg"</f>
        <v>7898968541405.AP03.jpg</v>
      </c>
      <c r="F491" s="11" t="str">
        <f aca="false">IF(INDEX(PRODUTOS!$I$4:$I$63,MATCH($A491,PRODUTOS!$B$4:$B$63,0))="B",INDEX(MODELOS!$F$3:$F$19,MATCH($D491,MODELOS!$A$3:$A$19,0)),INDEX(MODELOS!$B$3:$B$19,MATCH($D491,MODELOS!$A$3:$A$19,0)))</f>
        <v>A+ · Módulo 3 · Benefício 1 de 4</v>
      </c>
      <c r="G491" s="11" t="str">
        <f aca="false">IF(INDEX(PRODUTOS!$F$4:$F$63,MATCH($A491,PRODUTOS!$B$4:$B$63,0))="Ração",IF(INDEX(PRODUTOS!$I$4:$I$63,MATCH($A491,PRODUTOS!$B$4:$B$63,0))="B",INDEX(MODELOS!$G$3:$G$19,MATCH($D491,MODELOS!$A$3:$A$19,0)),INDEX(MODELOS!$C$3:$C$19,MATCH($D491,MODELOS!$A$3:$A$19,0))),IF(INDEX(PRODUTOS!$I$4:$I$63,MATCH($A491,PRODUTOS!$B$4:$B$63,0))="B",INDEX(MODELOS!$H$3:$H$19,MATCH($D491,MODELOS!$A$3:$A$19,0)),INDEX(MODELOS!$D$3:$D$19,MATCH($D491,MODELOS!$A$3:$A$19,0))))</f>
        <v>Foto/ilustração do benefício 1</v>
      </c>
      <c r="H491" s="11" t="str">
        <f aca="false">IF(INDEX(PRODUTOS!$I$4:$I$63,MATCH($A491,PRODUTOS!$B$4:$B$63,0))="B",INDEX(MODELOS!$I$3:$I$19,MATCH($D491,MODELOS!$A$3:$A$19,0)),INDEX(MODELOS!$E$3:$E$19,MATCH($D491,MODELOS!$A$3:$A$19,0)))</f>
        <v>220 × 200</v>
      </c>
      <c r="I491" s="11" t="str">
        <f aca="false">INDEX(MODELOS!$J$3:$J$19,MATCH($D491,MODELOS!$A$3:$A$19,0))</f>
        <v>Conforme modelo</v>
      </c>
      <c r="J491" s="11" t="str">
        <f aca="false">IF(LEFT($D491,2)&lt;&gt;"AP",IF($I491="SIM","SIM","RECOMENDADA"),IF(INDEX(PRODUTOS!$J$4:$J$63,MATCH($A491,PRODUTOS!$B$4:$B$63,0))&lt;&gt;"","NÃO (usa o A+ do EAN "&amp;INDEX(PRODUTOS!$J$4:$J$63,MATCH($A491,PRODUTOS!$B$4:$B$63,0))&amp;")",IF(AND(INDEX(PRODUTOS!$I$4:$I$63,MATCH($A491,PRODUTOS!$B$4:$B$63,0))="B",$D491="AP07"),"NÃO (modelo B)","SIM")))</f>
        <v>NÃO (usa o A+ do EAN 7898968541412)</v>
      </c>
      <c r="K491" s="13" t="s">
        <v>325</v>
      </c>
      <c r="L491" s="13"/>
    </row>
    <row r="492" customFormat="false" ht="15" hidden="false" customHeight="false" outlineLevel="0" collapsed="false">
      <c r="A492" s="15" t="s">
        <v>168</v>
      </c>
      <c r="B492" s="11" t="str">
        <f aca="false">INDEX(PRODUTOS!$E$4:$E$63,MATCH($A492,PRODUTOS!$B$4:$B$63,0))</f>
        <v>Ração Seca Natural Dots para Gatos Filhotes - Pacote 1 kg</v>
      </c>
      <c r="C492" s="11" t="str">
        <f aca="false">INDEX(PRODUTOS!$H$4:$H$63,MATCH($A492,PRODUTOS!$B$4:$B$63,0))</f>
        <v>1 kg</v>
      </c>
      <c r="D492" s="11" t="s">
        <v>337</v>
      </c>
      <c r="E492" s="16" t="str">
        <f aca="false">$A492&amp;"."&amp;$D492&amp;".jpg"</f>
        <v>7898968541405.AP04.jpg</v>
      </c>
      <c r="F492" s="11" t="str">
        <f aca="false">IF(INDEX(PRODUTOS!$I$4:$I$63,MATCH($A492,PRODUTOS!$B$4:$B$63,0))="B",INDEX(MODELOS!$F$3:$F$19,MATCH($D492,MODELOS!$A$3:$A$19,0)),INDEX(MODELOS!$B$3:$B$19,MATCH($D492,MODELOS!$A$3:$A$19,0)))</f>
        <v>A+ · Módulo 3 · Benefício 2 de 4</v>
      </c>
      <c r="G492" s="11" t="str">
        <f aca="false">IF(INDEX(PRODUTOS!$F$4:$F$63,MATCH($A492,PRODUTOS!$B$4:$B$63,0))="Ração",IF(INDEX(PRODUTOS!$I$4:$I$63,MATCH($A492,PRODUTOS!$B$4:$B$63,0))="B",INDEX(MODELOS!$G$3:$G$19,MATCH($D492,MODELOS!$A$3:$A$19,0)),INDEX(MODELOS!$C$3:$C$19,MATCH($D492,MODELOS!$A$3:$A$19,0))),IF(INDEX(PRODUTOS!$I$4:$I$63,MATCH($A492,PRODUTOS!$B$4:$B$63,0))="B",INDEX(MODELOS!$H$3:$H$19,MATCH($D492,MODELOS!$A$3:$A$19,0)),INDEX(MODELOS!$D$3:$D$19,MATCH($D492,MODELOS!$A$3:$A$19,0))))</f>
        <v>Foto/ilustração do benefício 2</v>
      </c>
      <c r="H492" s="11" t="str">
        <f aca="false">IF(INDEX(PRODUTOS!$I$4:$I$63,MATCH($A492,PRODUTOS!$B$4:$B$63,0))="B",INDEX(MODELOS!$I$3:$I$19,MATCH($D492,MODELOS!$A$3:$A$19,0)),INDEX(MODELOS!$E$3:$E$19,MATCH($D492,MODELOS!$A$3:$A$19,0)))</f>
        <v>220 × 200</v>
      </c>
      <c r="I492" s="11" t="str">
        <f aca="false">INDEX(MODELOS!$J$3:$J$19,MATCH($D492,MODELOS!$A$3:$A$19,0))</f>
        <v>Conforme modelo</v>
      </c>
      <c r="J492" s="11" t="str">
        <f aca="false">IF(LEFT($D492,2)&lt;&gt;"AP",IF($I492="SIM","SIM","RECOMENDADA"),IF(INDEX(PRODUTOS!$J$4:$J$63,MATCH($A492,PRODUTOS!$B$4:$B$63,0))&lt;&gt;"","NÃO (usa o A+ do EAN "&amp;INDEX(PRODUTOS!$J$4:$J$63,MATCH($A492,PRODUTOS!$B$4:$B$63,0))&amp;")",IF(AND(INDEX(PRODUTOS!$I$4:$I$63,MATCH($A492,PRODUTOS!$B$4:$B$63,0))="B",$D492="AP07"),"NÃO (modelo B)","SIM")))</f>
        <v>NÃO (usa o A+ do EAN 7898968541412)</v>
      </c>
      <c r="K492" s="13" t="s">
        <v>325</v>
      </c>
      <c r="L492" s="13"/>
    </row>
    <row r="493" customFormat="false" ht="15" hidden="false" customHeight="false" outlineLevel="0" collapsed="false">
      <c r="A493" s="15" t="s">
        <v>168</v>
      </c>
      <c r="B493" s="11" t="str">
        <f aca="false">INDEX(PRODUTOS!$E$4:$E$63,MATCH($A493,PRODUTOS!$B$4:$B$63,0))</f>
        <v>Ração Seca Natural Dots para Gatos Filhotes - Pacote 1 kg</v>
      </c>
      <c r="C493" s="11" t="str">
        <f aca="false">INDEX(PRODUTOS!$H$4:$H$63,MATCH($A493,PRODUTOS!$B$4:$B$63,0))</f>
        <v>1 kg</v>
      </c>
      <c r="D493" s="11" t="s">
        <v>338</v>
      </c>
      <c r="E493" s="16" t="str">
        <f aca="false">$A493&amp;"."&amp;$D493&amp;".jpg"</f>
        <v>7898968541405.AP05.jpg</v>
      </c>
      <c r="F493" s="11" t="str">
        <f aca="false">IF(INDEX(PRODUTOS!$I$4:$I$63,MATCH($A493,PRODUTOS!$B$4:$B$63,0))="B",INDEX(MODELOS!$F$3:$F$19,MATCH($D493,MODELOS!$A$3:$A$19,0)),INDEX(MODELOS!$B$3:$B$19,MATCH($D493,MODELOS!$A$3:$A$19,0)))</f>
        <v>A+ · Módulo 3 · Benefício 3 de 4</v>
      </c>
      <c r="G493" s="11" t="str">
        <f aca="false">IF(INDEX(PRODUTOS!$F$4:$F$63,MATCH($A493,PRODUTOS!$B$4:$B$63,0))="Ração",IF(INDEX(PRODUTOS!$I$4:$I$63,MATCH($A493,PRODUTOS!$B$4:$B$63,0))="B",INDEX(MODELOS!$G$3:$G$19,MATCH($D493,MODELOS!$A$3:$A$19,0)),INDEX(MODELOS!$C$3:$C$19,MATCH($D493,MODELOS!$A$3:$A$19,0))),IF(INDEX(PRODUTOS!$I$4:$I$63,MATCH($A493,PRODUTOS!$B$4:$B$63,0))="B",INDEX(MODELOS!$H$3:$H$19,MATCH($D493,MODELOS!$A$3:$A$19,0)),INDEX(MODELOS!$D$3:$D$19,MATCH($D493,MODELOS!$A$3:$A$19,0))))</f>
        <v>Foto/ilustração do benefício 3</v>
      </c>
      <c r="H493" s="11" t="str">
        <f aca="false">IF(INDEX(PRODUTOS!$I$4:$I$63,MATCH($A493,PRODUTOS!$B$4:$B$63,0))="B",INDEX(MODELOS!$I$3:$I$19,MATCH($D493,MODELOS!$A$3:$A$19,0)),INDEX(MODELOS!$E$3:$E$19,MATCH($D493,MODELOS!$A$3:$A$19,0)))</f>
        <v>220 × 200</v>
      </c>
      <c r="I493" s="11" t="str">
        <f aca="false">INDEX(MODELOS!$J$3:$J$19,MATCH($D493,MODELOS!$A$3:$A$19,0))</f>
        <v>Conforme modelo</v>
      </c>
      <c r="J493" s="11" t="str">
        <f aca="false">IF(LEFT($D493,2)&lt;&gt;"AP",IF($I493="SIM","SIM","RECOMENDADA"),IF(INDEX(PRODUTOS!$J$4:$J$63,MATCH($A493,PRODUTOS!$B$4:$B$63,0))&lt;&gt;"","NÃO (usa o A+ do EAN "&amp;INDEX(PRODUTOS!$J$4:$J$63,MATCH($A493,PRODUTOS!$B$4:$B$63,0))&amp;")",IF(AND(INDEX(PRODUTOS!$I$4:$I$63,MATCH($A493,PRODUTOS!$B$4:$B$63,0))="B",$D493="AP07"),"NÃO (modelo B)","SIM")))</f>
        <v>NÃO (usa o A+ do EAN 7898968541412)</v>
      </c>
      <c r="K493" s="13" t="s">
        <v>325</v>
      </c>
      <c r="L493" s="13"/>
    </row>
    <row r="494" customFormat="false" ht="15" hidden="false" customHeight="false" outlineLevel="0" collapsed="false">
      <c r="A494" s="15" t="s">
        <v>168</v>
      </c>
      <c r="B494" s="11" t="str">
        <f aca="false">INDEX(PRODUTOS!$E$4:$E$63,MATCH($A494,PRODUTOS!$B$4:$B$63,0))</f>
        <v>Ração Seca Natural Dots para Gatos Filhotes - Pacote 1 kg</v>
      </c>
      <c r="C494" s="11" t="str">
        <f aca="false">INDEX(PRODUTOS!$H$4:$H$63,MATCH($A494,PRODUTOS!$B$4:$B$63,0))</f>
        <v>1 kg</v>
      </c>
      <c r="D494" s="11" t="s">
        <v>339</v>
      </c>
      <c r="E494" s="16" t="str">
        <f aca="false">$A494&amp;"."&amp;$D494&amp;".jpg"</f>
        <v>7898968541405.AP06.jpg</v>
      </c>
      <c r="F494" s="11" t="str">
        <f aca="false">IF(INDEX(PRODUTOS!$I$4:$I$63,MATCH($A494,PRODUTOS!$B$4:$B$63,0))="B",INDEX(MODELOS!$F$3:$F$19,MATCH($D494,MODELOS!$A$3:$A$19,0)),INDEX(MODELOS!$B$3:$B$19,MATCH($D494,MODELOS!$A$3:$A$19,0)))</f>
        <v>A+ · Módulo 3 · Benefício 4 de 4</v>
      </c>
      <c r="G494" s="11" t="str">
        <f aca="false">IF(INDEX(PRODUTOS!$F$4:$F$63,MATCH($A494,PRODUTOS!$B$4:$B$63,0))="Ração",IF(INDEX(PRODUTOS!$I$4:$I$63,MATCH($A494,PRODUTOS!$B$4:$B$63,0))="B",INDEX(MODELOS!$G$3:$G$19,MATCH($D494,MODELOS!$A$3:$A$19,0)),INDEX(MODELOS!$C$3:$C$19,MATCH($D494,MODELOS!$A$3:$A$19,0))),IF(INDEX(PRODUTOS!$I$4:$I$63,MATCH($A494,PRODUTOS!$B$4:$B$63,0))="B",INDEX(MODELOS!$H$3:$H$19,MATCH($D494,MODELOS!$A$3:$A$19,0)),INDEX(MODELOS!$D$3:$D$19,MATCH($D494,MODELOS!$A$3:$A$19,0))))</f>
        <v>Foto/ilustração do benefício 4</v>
      </c>
      <c r="H494" s="11" t="str">
        <f aca="false">IF(INDEX(PRODUTOS!$I$4:$I$63,MATCH($A494,PRODUTOS!$B$4:$B$63,0))="B",INDEX(MODELOS!$I$3:$I$19,MATCH($D494,MODELOS!$A$3:$A$19,0)),INDEX(MODELOS!$E$3:$E$19,MATCH($D494,MODELOS!$A$3:$A$19,0)))</f>
        <v>220 × 200</v>
      </c>
      <c r="I494" s="11" t="str">
        <f aca="false">INDEX(MODELOS!$J$3:$J$19,MATCH($D494,MODELOS!$A$3:$A$19,0))</f>
        <v>Conforme modelo</v>
      </c>
      <c r="J494" s="11" t="str">
        <f aca="false">IF(LEFT($D494,2)&lt;&gt;"AP",IF($I494="SIM","SIM","RECOMENDADA"),IF(INDEX(PRODUTOS!$J$4:$J$63,MATCH($A494,PRODUTOS!$B$4:$B$63,0))&lt;&gt;"","NÃO (usa o A+ do EAN "&amp;INDEX(PRODUTOS!$J$4:$J$63,MATCH($A494,PRODUTOS!$B$4:$B$63,0))&amp;")",IF(AND(INDEX(PRODUTOS!$I$4:$I$63,MATCH($A494,PRODUTOS!$B$4:$B$63,0))="B",$D494="AP07"),"NÃO (modelo B)","SIM")))</f>
        <v>NÃO (usa o A+ do EAN 7898968541412)</v>
      </c>
      <c r="K494" s="13" t="s">
        <v>325</v>
      </c>
      <c r="L494" s="13"/>
    </row>
    <row r="495" customFormat="false" ht="15" hidden="false" customHeight="false" outlineLevel="0" collapsed="false">
      <c r="A495" s="15" t="s">
        <v>168</v>
      </c>
      <c r="B495" s="11" t="str">
        <f aca="false">INDEX(PRODUTOS!$E$4:$E$63,MATCH($A495,PRODUTOS!$B$4:$B$63,0))</f>
        <v>Ração Seca Natural Dots para Gatos Filhotes - Pacote 1 kg</v>
      </c>
      <c r="C495" s="11" t="str">
        <f aca="false">INDEX(PRODUTOS!$H$4:$H$63,MATCH($A495,PRODUTOS!$B$4:$B$63,0))</f>
        <v>1 kg</v>
      </c>
      <c r="D495" s="11" t="s">
        <v>340</v>
      </c>
      <c r="E495" s="16" t="str">
        <f aca="false">$A495&amp;"."&amp;$D495&amp;".jpg"</f>
        <v>7898968541405.AP07.jpg</v>
      </c>
      <c r="F495" s="11" t="str">
        <f aca="false">IF(INDEX(PRODUTOS!$I$4:$I$63,MATCH($A495,PRODUTOS!$B$4:$B$63,0))="B",INDEX(MODELOS!$F$3:$F$19,MATCH($D495,MODELOS!$A$3:$A$19,0)),INDEX(MODELOS!$B$3:$B$19,MATCH($D495,MODELOS!$A$3:$A$19,0)))</f>
        <v>A+ · Módulo 4 · Especificações</v>
      </c>
      <c r="G495" s="11" t="str">
        <f aca="false">IF(INDEX(PRODUTOS!$F$4:$F$63,MATCH($A495,PRODUTOS!$B$4:$B$63,0))="Ração",IF(INDEX(PRODUTOS!$I$4:$I$63,MATCH($A495,PRODUTOS!$B$4:$B$63,0))="B",INDEX(MODELOS!$G$3:$G$19,MATCH($D495,MODELOS!$A$3:$A$19,0)),INDEX(MODELOS!$C$3:$C$19,MATCH($D495,MODELOS!$A$3:$A$19,0))),IF(INDEX(PRODUTOS!$I$4:$I$63,MATCH($A495,PRODUTOS!$B$4:$B$63,0))="B",INDEX(MODELOS!$H$3:$H$19,MATCH($D495,MODELOS!$A$3:$A$19,0)),INDEX(MODELOS!$D$3:$D$19,MATCH($D495,MODELOS!$A$3:$A$19,0))))</f>
        <v>Grão ou pacote em destaque</v>
      </c>
      <c r="H495" s="11" t="str">
        <f aca="false">IF(INDEX(PRODUTOS!$I$4:$I$63,MATCH($A495,PRODUTOS!$B$4:$B$63,0))="B",INDEX(MODELOS!$I$3:$I$19,MATCH($D495,MODELOS!$A$3:$A$19,0)),INDEX(MODELOS!$E$3:$E$19,MATCH($D495,MODELOS!$A$3:$A$19,0)))</f>
        <v>300 × 300</v>
      </c>
      <c r="I495" s="11" t="str">
        <f aca="false">INDEX(MODELOS!$J$3:$J$19,MATCH($D495,MODELOS!$A$3:$A$19,0))</f>
        <v>Conforme modelo</v>
      </c>
      <c r="J495" s="11" t="str">
        <f aca="false">IF(LEFT($D495,2)&lt;&gt;"AP",IF($I495="SIM","SIM","RECOMENDADA"),IF(INDEX(PRODUTOS!$J$4:$J$63,MATCH($A495,PRODUTOS!$B$4:$B$63,0))&lt;&gt;"","NÃO (usa o A+ do EAN "&amp;INDEX(PRODUTOS!$J$4:$J$63,MATCH($A495,PRODUTOS!$B$4:$B$63,0))&amp;")",IF(AND(INDEX(PRODUTOS!$I$4:$I$63,MATCH($A495,PRODUTOS!$B$4:$B$63,0))="B",$D495="AP07"),"NÃO (modelo B)","SIM")))</f>
        <v>NÃO (usa o A+ do EAN 7898968541412)</v>
      </c>
      <c r="K495" s="13" t="s">
        <v>325</v>
      </c>
      <c r="L495" s="13"/>
    </row>
    <row r="496" customFormat="false" ht="15" hidden="false" customHeight="false" outlineLevel="0" collapsed="false">
      <c r="A496" s="15" t="s">
        <v>168</v>
      </c>
      <c r="B496" s="11" t="str">
        <f aca="false">INDEX(PRODUTOS!$E$4:$E$63,MATCH($A496,PRODUTOS!$B$4:$B$63,0))</f>
        <v>Ração Seca Natural Dots para Gatos Filhotes - Pacote 1 kg</v>
      </c>
      <c r="C496" s="11" t="str">
        <f aca="false">INDEX(PRODUTOS!$H$4:$H$63,MATCH($A496,PRODUTOS!$B$4:$B$63,0))</f>
        <v>1 kg</v>
      </c>
      <c r="D496" s="11" t="s">
        <v>341</v>
      </c>
      <c r="E496" s="16" t="str">
        <f aca="false">$A496&amp;"."&amp;$D496&amp;".jpg"</f>
        <v>7898968541405.COMP.jpg</v>
      </c>
      <c r="F496" s="11" t="str">
        <f aca="false">IF(INDEX(PRODUTOS!$I$4:$I$63,MATCH($A496,PRODUTOS!$B$4:$B$63,0))="B",INDEX(MODELOS!$F$3:$F$19,MATCH($D496,MODELOS!$A$3:$A$19,0)),INDEX(MODELOS!$B$3:$B$19,MATCH($D496,MODELOS!$A$3:$A$19,0)))</f>
        <v>A+ · Tabela comparativa</v>
      </c>
      <c r="G496" s="11" t="str">
        <f aca="false">IF(INDEX(PRODUTOS!$F$4:$F$63,MATCH($A496,PRODUTOS!$B$4:$B$63,0))="Ração",IF(INDEX(PRODUTOS!$I$4:$I$63,MATCH($A496,PRODUTOS!$B$4:$B$63,0))="B",INDEX(MODELOS!$G$3:$G$19,MATCH($D496,MODELOS!$A$3:$A$19,0)),INDEX(MODELOS!$C$3:$C$19,MATCH($D496,MODELOS!$A$3:$A$19,0))),IF(INDEX(PRODUTOS!$I$4:$I$63,MATCH($A496,PRODUTOS!$B$4:$B$63,0))="B",INDEX(MODELOS!$H$3:$H$19,MATCH($D496,MODELOS!$A$3:$A$19,0)),INDEX(MODELOS!$D$3:$D$19,MATCH($D496,MODELOS!$A$3:$A$19,0))))</f>
        <v>Pacote na vertical, sem fundo colorido</v>
      </c>
      <c r="H496" s="11" t="str">
        <f aca="false">IF(INDEX(PRODUTOS!$I$4:$I$63,MATCH($A496,PRODUTOS!$B$4:$B$63,0))="B",INDEX(MODELOS!$I$3:$I$19,MATCH($D496,MODELOS!$A$3:$A$19,0)),INDEX(MODELOS!$E$3:$E$19,MATCH($D496,MODELOS!$A$3:$A$19,0)))</f>
        <v>150 × 300</v>
      </c>
      <c r="I496" s="11" t="str">
        <f aca="false">INDEX(MODELOS!$J$3:$J$19,MATCH($D496,MODELOS!$A$3:$A$19,0))</f>
        <v>SIM</v>
      </c>
      <c r="J496" s="11" t="str">
        <f aca="false">IF(LEFT($D496,2)&lt;&gt;"AP",IF($I496="SIM","SIM","RECOMENDADA"),IF(INDEX(PRODUTOS!$J$4:$J$63,MATCH($A496,PRODUTOS!$B$4:$B$63,0))&lt;&gt;"","NÃO (usa o A+ do EAN "&amp;INDEX(PRODUTOS!$J$4:$J$63,MATCH($A496,PRODUTOS!$B$4:$B$63,0))&amp;")",IF(AND(INDEX(PRODUTOS!$I$4:$I$63,MATCH($A496,PRODUTOS!$B$4:$B$63,0))="B",$D496="AP07"),"NÃO (modelo B)","SIM")))</f>
        <v>SIM</v>
      </c>
      <c r="K496" s="13" t="s">
        <v>325</v>
      </c>
      <c r="L496" s="13"/>
    </row>
    <row r="497" customFormat="false" ht="15" hidden="false" customHeight="false" outlineLevel="0" collapsed="false">
      <c r="A497" s="15" t="s">
        <v>172</v>
      </c>
      <c r="B497" s="11" t="str">
        <f aca="false">INDEX(PRODUTOS!$E$4:$E$63,MATCH($A497,PRODUTOS!$B$4:$B$63,0))</f>
        <v>Ração Natural Dots Super Premium Cães Adultos Sabor Frango 2,5 kg</v>
      </c>
      <c r="C497" s="11" t="str">
        <f aca="false">INDEX(PRODUTOS!$H$4:$H$63,MATCH($A497,PRODUTOS!$B$4:$B$63,0))</f>
        <v>2,5 kg</v>
      </c>
      <c r="D497" s="11" t="s">
        <v>324</v>
      </c>
      <c r="E497" s="16" t="str">
        <f aca="false">$A497&amp;"."&amp;$D497&amp;".jpg"</f>
        <v>7908591301007.MAIN.jpg</v>
      </c>
      <c r="F497" s="11" t="str">
        <f aca="false">IF(INDEX(PRODUTOS!$I$4:$I$63,MATCH($A497,PRODUTOS!$B$4:$B$63,0))="B",INDEX(MODELOS!$F$3:$F$19,MATCH($D497,MODELOS!$A$3:$A$19,0)),INDEX(MODELOS!$B$3:$B$19,MATCH($D497,MODELOS!$A$3:$A$19,0)))</f>
        <v>Capa (posição 1)</v>
      </c>
      <c r="G497" s="11" t="str">
        <f aca="false">IF(INDEX(PRODUTOS!$F$4:$F$63,MATCH($A497,PRODUTOS!$B$4:$B$63,0))="Ração",IF(INDEX(PRODUTOS!$I$4:$I$63,MATCH($A497,PRODUTOS!$B$4:$B$63,0))="B",INDEX(MODELOS!$G$3:$G$19,MATCH($D497,MODELOS!$A$3:$A$19,0)),INDEX(MODELOS!$C$3:$C$19,MATCH($D497,MODELOS!$A$3:$A$19,0))),IF(INDEX(PRODUTOS!$I$4:$I$63,MATCH($A497,PRODUTOS!$B$4:$B$63,0))="B",INDEX(MODELOS!$H$3:$H$19,MATCH($D497,MODELOS!$A$3:$A$19,0)),INDEX(MODELOS!$D$3:$D$19,MATCH($D497,MODELOS!$A$3:$A$19,0))))</f>
        <v>Embalagem de frente, fundo branco puro, 85% da área, nada adicionado</v>
      </c>
      <c r="H497" s="11" t="str">
        <f aca="false">IF(INDEX(PRODUTOS!$I$4:$I$63,MATCH($A497,PRODUTOS!$B$4:$B$63,0))="B",INDEX(MODELOS!$I$3:$I$19,MATCH($D497,MODELOS!$A$3:$A$19,0)),INDEX(MODELOS!$E$3:$E$19,MATCH($D497,MODELOS!$A$3:$A$19,0)))</f>
        <v>2000 × 2000</v>
      </c>
      <c r="I497" s="11" t="str">
        <f aca="false">INDEX(MODELOS!$J$3:$J$19,MATCH($D497,MODELOS!$A$3:$A$19,0))</f>
        <v>SIM</v>
      </c>
      <c r="J497" s="11" t="str">
        <f aca="false">IF(LEFT($D497,2)&lt;&gt;"AP",IF($I497="SIM","SIM","RECOMENDADA"),IF(INDEX(PRODUTOS!$J$4:$J$63,MATCH($A497,PRODUTOS!$B$4:$B$63,0))&lt;&gt;"","NÃO (usa o A+ do EAN "&amp;INDEX(PRODUTOS!$J$4:$J$63,MATCH($A497,PRODUTOS!$B$4:$B$63,0))&amp;")",IF(AND(INDEX(PRODUTOS!$I$4:$I$63,MATCH($A497,PRODUTOS!$B$4:$B$63,0))="B",$D497="AP07"),"NÃO (modelo B)","SIM")))</f>
        <v>SIM</v>
      </c>
      <c r="K497" s="13" t="s">
        <v>325</v>
      </c>
      <c r="L497" s="13"/>
    </row>
    <row r="498" customFormat="false" ht="15" hidden="false" customHeight="false" outlineLevel="0" collapsed="false">
      <c r="A498" s="15" t="s">
        <v>172</v>
      </c>
      <c r="B498" s="11" t="str">
        <f aca="false">INDEX(PRODUTOS!$E$4:$E$63,MATCH($A498,PRODUTOS!$B$4:$B$63,0))</f>
        <v>Ração Natural Dots Super Premium Cães Adultos Sabor Frango 2,5 kg</v>
      </c>
      <c r="C498" s="11" t="str">
        <f aca="false">INDEX(PRODUTOS!$H$4:$H$63,MATCH($A498,PRODUTOS!$B$4:$B$63,0))</f>
        <v>2,5 kg</v>
      </c>
      <c r="D498" s="11" t="s">
        <v>326</v>
      </c>
      <c r="E498" s="16" t="str">
        <f aca="false">$A498&amp;"."&amp;$D498&amp;".jpg"</f>
        <v>7908591301007.PT01.jpg</v>
      </c>
      <c r="F498" s="11" t="str">
        <f aca="false">IF(INDEX(PRODUTOS!$I$4:$I$63,MATCH($A498,PRODUTOS!$B$4:$B$63,0))="B",INDEX(MODELOS!$F$3:$F$19,MATCH($D498,MODELOS!$A$3:$A$19,0)),INDEX(MODELOS!$B$3:$B$19,MATCH($D498,MODELOS!$A$3:$A$19,0)))</f>
        <v>Galeria · posição 2</v>
      </c>
      <c r="G498" s="11" t="str">
        <f aca="false">IF(INDEX(PRODUTOS!$F$4:$F$63,MATCH($A498,PRODUTOS!$B$4:$B$63,0))="Ração",IF(INDEX(PRODUTOS!$I$4:$I$63,MATCH($A498,PRODUTOS!$B$4:$B$63,0))="B",INDEX(MODELOS!$G$3:$G$19,MATCH($D498,MODELOS!$A$3:$A$19,0)),INDEX(MODELOS!$C$3:$C$19,MATCH($D498,MODELOS!$A$3:$A$19,0))),IF(INDEX(PRODUTOS!$I$4:$I$63,MATCH($A498,PRODUTOS!$B$4:$B$63,0))="B",INDEX(MODELOS!$H$3:$H$19,MATCH($D498,MODELOS!$A$3:$A$19,0)),INDEX(MODELOS!$D$3:$D$19,MATCH($D498,MODELOS!$A$3:$A$19,0))))</f>
        <v>Grande diferencial da linha (número ou promessa forte + grão e ingrediente)</v>
      </c>
      <c r="H498" s="11" t="str">
        <f aca="false">IF(INDEX(PRODUTOS!$I$4:$I$63,MATCH($A498,PRODUTOS!$B$4:$B$63,0))="B",INDEX(MODELOS!$I$3:$I$19,MATCH($D498,MODELOS!$A$3:$A$19,0)),INDEX(MODELOS!$E$3:$E$19,MATCH($D498,MODELOS!$A$3:$A$19,0)))</f>
        <v>2000 × 2000</v>
      </c>
      <c r="I498" s="11" t="str">
        <f aca="false">INDEX(MODELOS!$J$3:$J$19,MATCH($D498,MODELOS!$A$3:$A$19,0))</f>
        <v>SIM</v>
      </c>
      <c r="J498" s="11" t="str">
        <f aca="false">IF(LEFT($D498,2)&lt;&gt;"AP",IF($I498="SIM","SIM","RECOMENDADA"),IF(INDEX(PRODUTOS!$J$4:$J$63,MATCH($A498,PRODUTOS!$B$4:$B$63,0))&lt;&gt;"","NÃO (usa o A+ do EAN "&amp;INDEX(PRODUTOS!$J$4:$J$63,MATCH($A498,PRODUTOS!$B$4:$B$63,0))&amp;")",IF(AND(INDEX(PRODUTOS!$I$4:$I$63,MATCH($A498,PRODUTOS!$B$4:$B$63,0))="B",$D498="AP07"),"NÃO (modelo B)","SIM")))</f>
        <v>SIM</v>
      </c>
      <c r="K498" s="13" t="s">
        <v>325</v>
      </c>
      <c r="L498" s="13"/>
    </row>
    <row r="499" customFormat="false" ht="15" hidden="false" customHeight="false" outlineLevel="0" collapsed="false">
      <c r="A499" s="15" t="s">
        <v>172</v>
      </c>
      <c r="B499" s="11" t="str">
        <f aca="false">INDEX(PRODUTOS!$E$4:$E$63,MATCH($A499,PRODUTOS!$B$4:$B$63,0))</f>
        <v>Ração Natural Dots Super Premium Cães Adultos Sabor Frango 2,5 kg</v>
      </c>
      <c r="C499" s="11" t="str">
        <f aca="false">INDEX(PRODUTOS!$H$4:$H$63,MATCH($A499,PRODUTOS!$B$4:$B$63,0))</f>
        <v>2,5 kg</v>
      </c>
      <c r="D499" s="11" t="s">
        <v>327</v>
      </c>
      <c r="E499" s="16" t="str">
        <f aca="false">$A499&amp;"."&amp;$D499&amp;".jpg"</f>
        <v>7908591301007.PT02.jpg</v>
      </c>
      <c r="F499" s="11" t="str">
        <f aca="false">IF(INDEX(PRODUTOS!$I$4:$I$63,MATCH($A499,PRODUTOS!$B$4:$B$63,0))="B",INDEX(MODELOS!$F$3:$F$19,MATCH($D499,MODELOS!$A$3:$A$19,0)),INDEX(MODELOS!$B$3:$B$19,MATCH($D499,MODELOS!$A$3:$A$19,0)))</f>
        <v>Galeria · posição 3</v>
      </c>
      <c r="G499" s="11" t="str">
        <f aca="false">IF(INDEX(PRODUTOS!$F$4:$F$63,MATCH($A499,PRODUTOS!$B$4:$B$63,0))="Ração",IF(INDEX(PRODUTOS!$I$4:$I$63,MATCH($A499,PRODUTOS!$B$4:$B$63,0))="B",INDEX(MODELOS!$G$3:$G$19,MATCH($D499,MODELOS!$A$3:$A$19,0)),INDEX(MODELOS!$C$3:$C$19,MATCH($D499,MODELOS!$A$3:$A$19,0))),IF(INDEX(PRODUTOS!$I$4:$I$63,MATCH($A499,PRODUTOS!$B$4:$B$63,0))="B",INDEX(MODELOS!$H$3:$H$19,MATCH($D499,MODELOS!$A$3:$A$19,0)),INDEX(MODELOS!$D$3:$D$19,MATCH($D499,MODELOS!$A$3:$A$19,0))))</f>
        <v>Benefícios com ícones (4 a 6, impressos na embalagem) + ingrediente</v>
      </c>
      <c r="H499" s="11" t="str">
        <f aca="false">IF(INDEX(PRODUTOS!$I$4:$I$63,MATCH($A499,PRODUTOS!$B$4:$B$63,0))="B",INDEX(MODELOS!$I$3:$I$19,MATCH($D499,MODELOS!$A$3:$A$19,0)),INDEX(MODELOS!$E$3:$E$19,MATCH($D499,MODELOS!$A$3:$A$19,0)))</f>
        <v>2000 × 2000</v>
      </c>
      <c r="I499" s="11" t="str">
        <f aca="false">INDEX(MODELOS!$J$3:$J$19,MATCH($D499,MODELOS!$A$3:$A$19,0))</f>
        <v>SIM</v>
      </c>
      <c r="J499" s="11" t="str">
        <f aca="false">IF(LEFT($D499,2)&lt;&gt;"AP",IF($I499="SIM","SIM","RECOMENDADA"),IF(INDEX(PRODUTOS!$J$4:$J$63,MATCH($A499,PRODUTOS!$B$4:$B$63,0))&lt;&gt;"","NÃO (usa o A+ do EAN "&amp;INDEX(PRODUTOS!$J$4:$J$63,MATCH($A499,PRODUTOS!$B$4:$B$63,0))&amp;")",IF(AND(INDEX(PRODUTOS!$I$4:$I$63,MATCH($A499,PRODUTOS!$B$4:$B$63,0))="B",$D499="AP07"),"NÃO (modelo B)","SIM")))</f>
        <v>SIM</v>
      </c>
      <c r="K499" s="13" t="s">
        <v>325</v>
      </c>
      <c r="L499" s="13"/>
    </row>
    <row r="500" customFormat="false" ht="15" hidden="false" customHeight="false" outlineLevel="0" collapsed="false">
      <c r="A500" s="15" t="s">
        <v>172</v>
      </c>
      <c r="B500" s="11" t="str">
        <f aca="false">INDEX(PRODUTOS!$E$4:$E$63,MATCH($A500,PRODUTOS!$B$4:$B$63,0))</f>
        <v>Ração Natural Dots Super Premium Cães Adultos Sabor Frango 2,5 kg</v>
      </c>
      <c r="C500" s="11" t="str">
        <f aca="false">INDEX(PRODUTOS!$H$4:$H$63,MATCH($A500,PRODUTOS!$B$4:$B$63,0))</f>
        <v>2,5 kg</v>
      </c>
      <c r="D500" s="11" t="s">
        <v>328</v>
      </c>
      <c r="E500" s="16" t="str">
        <f aca="false">$A500&amp;"."&amp;$D500&amp;".jpg"</f>
        <v>7908591301007.PT03.jpg</v>
      </c>
      <c r="F500" s="11" t="str">
        <f aca="false">IF(INDEX(PRODUTOS!$I$4:$I$63,MATCH($A500,PRODUTOS!$B$4:$B$63,0))="B",INDEX(MODELOS!$F$3:$F$19,MATCH($D500,MODELOS!$A$3:$A$19,0)),INDEX(MODELOS!$B$3:$B$19,MATCH($D500,MODELOS!$A$3:$A$19,0)))</f>
        <v>Galeria · posição 4</v>
      </c>
      <c r="G500" s="11" t="str">
        <f aca="false">IF(INDEX(PRODUTOS!$F$4:$F$63,MATCH($A500,PRODUTOS!$B$4:$B$63,0))="Ração",IF(INDEX(PRODUTOS!$I$4:$I$63,MATCH($A500,PRODUTOS!$B$4:$B$63,0))="B",INDEX(MODELOS!$G$3:$G$19,MATCH($D500,MODELOS!$A$3:$A$19,0)),INDEX(MODELOS!$C$3:$C$19,MATCH($D500,MODELOS!$A$3:$A$19,0))),IF(INDEX(PRODUTOS!$I$4:$I$63,MATCH($A500,PRODUTOS!$B$4:$B$63,0))="B",INDEX(MODELOS!$H$3:$H$19,MATCH($D500,MODELOS!$A$3:$A$19,0)),INDEX(MODELOS!$D$3:$D$19,MATCH($D500,MODELOS!$A$3:$A$19,0))))</f>
        <v>Formato e tamanho do grão, com medida em mm e referência de tamanho</v>
      </c>
      <c r="H500" s="11" t="str">
        <f aca="false">IF(INDEX(PRODUTOS!$I$4:$I$63,MATCH($A500,PRODUTOS!$B$4:$B$63,0))="B",INDEX(MODELOS!$I$3:$I$19,MATCH($D500,MODELOS!$A$3:$A$19,0)),INDEX(MODELOS!$E$3:$E$19,MATCH($D500,MODELOS!$A$3:$A$19,0)))</f>
        <v>2000 × 2000</v>
      </c>
      <c r="I500" s="11" t="str">
        <f aca="false">INDEX(MODELOS!$J$3:$J$19,MATCH($D500,MODELOS!$A$3:$A$19,0))</f>
        <v>SIM</v>
      </c>
      <c r="J500" s="11" t="str">
        <f aca="false">IF(LEFT($D500,2)&lt;&gt;"AP",IF($I500="SIM","SIM","RECOMENDADA"),IF(INDEX(PRODUTOS!$J$4:$J$63,MATCH($A500,PRODUTOS!$B$4:$B$63,0))&lt;&gt;"","NÃO (usa o A+ do EAN "&amp;INDEX(PRODUTOS!$J$4:$J$63,MATCH($A500,PRODUTOS!$B$4:$B$63,0))&amp;")",IF(AND(INDEX(PRODUTOS!$I$4:$I$63,MATCH($A500,PRODUTOS!$B$4:$B$63,0))="B",$D500="AP07"),"NÃO (modelo B)","SIM")))</f>
        <v>SIM</v>
      </c>
      <c r="K500" s="13" t="s">
        <v>325</v>
      </c>
      <c r="L500" s="13"/>
    </row>
    <row r="501" customFormat="false" ht="15" hidden="false" customHeight="false" outlineLevel="0" collapsed="false">
      <c r="A501" s="15" t="s">
        <v>172</v>
      </c>
      <c r="B501" s="11" t="str">
        <f aca="false">INDEX(PRODUTOS!$E$4:$E$63,MATCH($A501,PRODUTOS!$B$4:$B$63,0))</f>
        <v>Ração Natural Dots Super Premium Cães Adultos Sabor Frango 2,5 kg</v>
      </c>
      <c r="C501" s="11" t="str">
        <f aca="false">INDEX(PRODUTOS!$H$4:$H$63,MATCH($A501,PRODUTOS!$B$4:$B$63,0))</f>
        <v>2,5 kg</v>
      </c>
      <c r="D501" s="11" t="s">
        <v>329</v>
      </c>
      <c r="E501" s="16" t="str">
        <f aca="false">$A501&amp;"."&amp;$D501&amp;".jpg"</f>
        <v>7908591301007.PT04.jpg</v>
      </c>
      <c r="F501" s="11" t="str">
        <f aca="false">IF(INDEX(PRODUTOS!$I$4:$I$63,MATCH($A501,PRODUTOS!$B$4:$B$63,0))="B",INDEX(MODELOS!$F$3:$F$19,MATCH($D501,MODELOS!$A$3:$A$19,0)),INDEX(MODELOS!$B$3:$B$19,MATCH($D501,MODELOS!$A$3:$A$19,0)))</f>
        <v>Galeria · posição 5</v>
      </c>
      <c r="G501" s="11" t="str">
        <f aca="false">IF(INDEX(PRODUTOS!$F$4:$F$63,MATCH($A501,PRODUTOS!$B$4:$B$63,0))="Ração",IF(INDEX(PRODUTOS!$I$4:$I$63,MATCH($A501,PRODUTOS!$B$4:$B$63,0))="B",INDEX(MODELOS!$G$3:$G$19,MATCH($D501,MODELOS!$A$3:$A$19,0)),INDEX(MODELOS!$C$3:$C$19,MATCH($D501,MODELOS!$A$3:$A$19,0))),IF(INDEX(PRODUTOS!$I$4:$I$63,MATCH($A501,PRODUTOS!$B$4:$B$63,0))="B",INDEX(MODELOS!$H$3:$H$19,MATCH($D501,MODELOS!$A$3:$A$19,0)),INDEX(MODELOS!$D$3:$D$19,MATCH($D501,MODELOS!$A$3:$A$19,0))))</f>
        <v>Quantidade diária por peso do cão/gato (números idênticos à embalagem)</v>
      </c>
      <c r="H501" s="11" t="str">
        <f aca="false">IF(INDEX(PRODUTOS!$I$4:$I$63,MATCH($A501,PRODUTOS!$B$4:$B$63,0))="B",INDEX(MODELOS!$I$3:$I$19,MATCH($D501,MODELOS!$A$3:$A$19,0)),INDEX(MODELOS!$E$3:$E$19,MATCH($D501,MODELOS!$A$3:$A$19,0)))</f>
        <v>2000 × 2000</v>
      </c>
      <c r="I501" s="11" t="str">
        <f aca="false">INDEX(MODELOS!$J$3:$J$19,MATCH($D501,MODELOS!$A$3:$A$19,0))</f>
        <v>SIM</v>
      </c>
      <c r="J501" s="11" t="str">
        <f aca="false">IF(LEFT($D501,2)&lt;&gt;"AP",IF($I501="SIM","SIM","RECOMENDADA"),IF(INDEX(PRODUTOS!$J$4:$J$63,MATCH($A501,PRODUTOS!$B$4:$B$63,0))&lt;&gt;"","NÃO (usa o A+ do EAN "&amp;INDEX(PRODUTOS!$J$4:$J$63,MATCH($A501,PRODUTOS!$B$4:$B$63,0))&amp;")",IF(AND(INDEX(PRODUTOS!$I$4:$I$63,MATCH($A501,PRODUTOS!$B$4:$B$63,0))="B",$D501="AP07"),"NÃO (modelo B)","SIM")))</f>
        <v>SIM</v>
      </c>
      <c r="K501" s="13" t="s">
        <v>325</v>
      </c>
      <c r="L501" s="13"/>
    </row>
    <row r="502" customFormat="false" ht="15" hidden="false" customHeight="false" outlineLevel="0" collapsed="false">
      <c r="A502" s="15" t="s">
        <v>172</v>
      </c>
      <c r="B502" s="11" t="str">
        <f aca="false">INDEX(PRODUTOS!$E$4:$E$63,MATCH($A502,PRODUTOS!$B$4:$B$63,0))</f>
        <v>Ração Natural Dots Super Premium Cães Adultos Sabor Frango 2,5 kg</v>
      </c>
      <c r="C502" s="11" t="str">
        <f aca="false">INDEX(PRODUTOS!$H$4:$H$63,MATCH($A502,PRODUTOS!$B$4:$B$63,0))</f>
        <v>2,5 kg</v>
      </c>
      <c r="D502" s="11" t="s">
        <v>330</v>
      </c>
      <c r="E502" s="16" t="str">
        <f aca="false">$A502&amp;"."&amp;$D502&amp;".jpg"</f>
        <v>7908591301007.PT05.jpg</v>
      </c>
      <c r="F502" s="11" t="str">
        <f aca="false">IF(INDEX(PRODUTOS!$I$4:$I$63,MATCH($A502,PRODUTOS!$B$4:$B$63,0))="B",INDEX(MODELOS!$F$3:$F$19,MATCH($D502,MODELOS!$A$3:$A$19,0)),INDEX(MODELOS!$B$3:$B$19,MATCH($D502,MODELOS!$A$3:$A$19,0)))</f>
        <v>Galeria · posição 6</v>
      </c>
      <c r="G502" s="11" t="str">
        <f aca="false">IF(INDEX(PRODUTOS!$F$4:$F$63,MATCH($A502,PRODUTOS!$B$4:$B$63,0))="Ração",IF(INDEX(PRODUTOS!$I$4:$I$63,MATCH($A502,PRODUTOS!$B$4:$B$63,0))="B",INDEX(MODELOS!$G$3:$G$19,MATCH($D502,MODELOS!$A$3:$A$19,0)),INDEX(MODELOS!$C$3:$C$19,MATCH($D502,MODELOS!$A$3:$A$19,0))),IF(INDEX(PRODUTOS!$I$4:$I$63,MATCH($A502,PRODUTOS!$B$4:$B$63,0))="B",INDEX(MODELOS!$H$3:$H$19,MATCH($D502,MODELOS!$A$3:$A$19,0)),INDEX(MODELOS!$D$3:$D$19,MATCH($D502,MODELOS!$A$3:$A$19,0))))</f>
        <v>Transição alimentar dia a dia (igual ao verso da embalagem)</v>
      </c>
      <c r="H502" s="11" t="str">
        <f aca="false">IF(INDEX(PRODUTOS!$I$4:$I$63,MATCH($A502,PRODUTOS!$B$4:$B$63,0))="B",INDEX(MODELOS!$I$3:$I$19,MATCH($D502,MODELOS!$A$3:$A$19,0)),INDEX(MODELOS!$E$3:$E$19,MATCH($D502,MODELOS!$A$3:$A$19,0)))</f>
        <v>2000 × 2000</v>
      </c>
      <c r="I502" s="11" t="str">
        <f aca="false">INDEX(MODELOS!$J$3:$J$19,MATCH($D502,MODELOS!$A$3:$A$19,0))</f>
        <v>Recomendada</v>
      </c>
      <c r="J502" s="11" t="str">
        <f aca="false">IF(LEFT($D502,2)&lt;&gt;"AP",IF($I502="SIM","SIM","RECOMENDADA"),IF(INDEX(PRODUTOS!$J$4:$J$63,MATCH($A502,PRODUTOS!$B$4:$B$63,0))&lt;&gt;"","NÃO (usa o A+ do EAN "&amp;INDEX(PRODUTOS!$J$4:$J$63,MATCH($A502,PRODUTOS!$B$4:$B$63,0))&amp;")",IF(AND(INDEX(PRODUTOS!$I$4:$I$63,MATCH($A502,PRODUTOS!$B$4:$B$63,0))="B",$D502="AP07"),"NÃO (modelo B)","SIM")))</f>
        <v>RECOMENDADA</v>
      </c>
      <c r="K502" s="13" t="s">
        <v>325</v>
      </c>
      <c r="L502" s="13"/>
    </row>
    <row r="503" customFormat="false" ht="15" hidden="false" customHeight="false" outlineLevel="0" collapsed="false">
      <c r="A503" s="15" t="s">
        <v>172</v>
      </c>
      <c r="B503" s="11" t="str">
        <f aca="false">INDEX(PRODUTOS!$E$4:$E$63,MATCH($A503,PRODUTOS!$B$4:$B$63,0))</f>
        <v>Ração Natural Dots Super Premium Cães Adultos Sabor Frango 2,5 kg</v>
      </c>
      <c r="C503" s="11" t="str">
        <f aca="false">INDEX(PRODUTOS!$H$4:$H$63,MATCH($A503,PRODUTOS!$B$4:$B$63,0))</f>
        <v>2,5 kg</v>
      </c>
      <c r="D503" s="11" t="s">
        <v>331</v>
      </c>
      <c r="E503" s="16" t="str">
        <f aca="false">$A503&amp;"."&amp;$D503&amp;".jpg"</f>
        <v>7908591301007.PT06.jpg</v>
      </c>
      <c r="F503" s="11" t="str">
        <f aca="false">IF(INDEX(PRODUTOS!$I$4:$I$63,MATCH($A503,PRODUTOS!$B$4:$B$63,0))="B",INDEX(MODELOS!$F$3:$F$19,MATCH($D503,MODELOS!$A$3:$A$19,0)),INDEX(MODELOS!$B$3:$B$19,MATCH($D503,MODELOS!$A$3:$A$19,0)))</f>
        <v>Galeria · posição 7</v>
      </c>
      <c r="G503" s="11" t="str">
        <f aca="false">IF(INDEX(PRODUTOS!$F$4:$F$63,MATCH($A503,PRODUTOS!$B$4:$B$63,0))="Ração",IF(INDEX(PRODUTOS!$I$4:$I$63,MATCH($A503,PRODUTOS!$B$4:$B$63,0))="B",INDEX(MODELOS!$G$3:$G$19,MATCH($D503,MODELOS!$A$3:$A$19,0)),INDEX(MODELOS!$C$3:$C$19,MATCH($D503,MODELOS!$A$3:$A$19,0))),IF(INDEX(PRODUTOS!$I$4:$I$63,MATCH($A503,PRODUTOS!$B$4:$B$63,0))="B",INDEX(MODELOS!$H$3:$H$19,MATCH($D503,MODELOS!$A$3:$A$19,0)),INDEX(MODELOS!$D$3:$D$19,MATCH($D503,MODELOS!$A$3:$A$19,0))))</f>
        <v>Composição e níveis de garantia em letra grande</v>
      </c>
      <c r="H503" s="11" t="str">
        <f aca="false">IF(INDEX(PRODUTOS!$I$4:$I$63,MATCH($A503,PRODUTOS!$B$4:$B$63,0))="B",INDEX(MODELOS!$I$3:$I$19,MATCH($D503,MODELOS!$A$3:$A$19,0)),INDEX(MODELOS!$E$3:$E$19,MATCH($D503,MODELOS!$A$3:$A$19,0)))</f>
        <v>2000 × 2000</v>
      </c>
      <c r="I503" s="11" t="str">
        <f aca="false">INDEX(MODELOS!$J$3:$J$19,MATCH($D503,MODELOS!$A$3:$A$19,0))</f>
        <v>SIM</v>
      </c>
      <c r="J503" s="11" t="str">
        <f aca="false">IF(LEFT($D503,2)&lt;&gt;"AP",IF($I503="SIM","SIM","RECOMENDADA"),IF(INDEX(PRODUTOS!$J$4:$J$63,MATCH($A503,PRODUTOS!$B$4:$B$63,0))&lt;&gt;"","NÃO (usa o A+ do EAN "&amp;INDEX(PRODUTOS!$J$4:$J$63,MATCH($A503,PRODUTOS!$B$4:$B$63,0))&amp;")",IF(AND(INDEX(PRODUTOS!$I$4:$I$63,MATCH($A503,PRODUTOS!$B$4:$B$63,0))="B",$D503="AP07"),"NÃO (modelo B)","SIM")))</f>
        <v>SIM</v>
      </c>
      <c r="K503" s="13" t="s">
        <v>325</v>
      </c>
      <c r="L503" s="13"/>
    </row>
    <row r="504" customFormat="false" ht="15" hidden="false" customHeight="false" outlineLevel="0" collapsed="false">
      <c r="A504" s="15" t="s">
        <v>172</v>
      </c>
      <c r="B504" s="11" t="str">
        <f aca="false">INDEX(PRODUTOS!$E$4:$E$63,MATCH($A504,PRODUTOS!$B$4:$B$63,0))</f>
        <v>Ração Natural Dots Super Premium Cães Adultos Sabor Frango 2,5 kg</v>
      </c>
      <c r="C504" s="11" t="str">
        <f aca="false">INDEX(PRODUTOS!$H$4:$H$63,MATCH($A504,PRODUTOS!$B$4:$B$63,0))</f>
        <v>2,5 kg</v>
      </c>
      <c r="D504" s="11" t="s">
        <v>332</v>
      </c>
      <c r="E504" s="16" t="str">
        <f aca="false">$A504&amp;"."&amp;$D504&amp;".jpg"</f>
        <v>7908591301007.PT07.jpg</v>
      </c>
      <c r="F504" s="11" t="str">
        <f aca="false">IF(INDEX(PRODUTOS!$I$4:$I$63,MATCH($A504,PRODUTOS!$B$4:$B$63,0))="B",INDEX(MODELOS!$F$3:$F$19,MATCH($D504,MODELOS!$A$3:$A$19,0)),INDEX(MODELOS!$B$3:$B$19,MATCH($D504,MODELOS!$A$3:$A$19,0)))</f>
        <v>Galeria · posição 8</v>
      </c>
      <c r="G504" s="11" t="str">
        <f aca="false">IF(INDEX(PRODUTOS!$F$4:$F$63,MATCH($A504,PRODUTOS!$B$4:$B$63,0))="Ração",IF(INDEX(PRODUTOS!$I$4:$I$63,MATCH($A504,PRODUTOS!$B$4:$B$63,0))="B",INDEX(MODELOS!$G$3:$G$19,MATCH($D504,MODELOS!$A$3:$A$19,0)),INDEX(MODELOS!$C$3:$C$19,MATCH($D504,MODELOS!$A$3:$A$19,0))),IF(INDEX(PRODUTOS!$I$4:$I$63,MATCH($A504,PRODUTOS!$B$4:$B$63,0))="B",INDEX(MODELOS!$H$3:$H$19,MATCH($D504,MODELOS!$A$3:$A$19,0)),INDEX(MODELOS!$D$3:$D$19,MATCH($D504,MODELOS!$A$3:$A$19,0))))</f>
        <v>Emocional / momento de uso (pet do porte certo, pote cheio)</v>
      </c>
      <c r="H504" s="11" t="str">
        <f aca="false">IF(INDEX(PRODUTOS!$I$4:$I$63,MATCH($A504,PRODUTOS!$B$4:$B$63,0))="B",INDEX(MODELOS!$I$3:$I$19,MATCH($D504,MODELOS!$A$3:$A$19,0)),INDEX(MODELOS!$E$3:$E$19,MATCH($D504,MODELOS!$A$3:$A$19,0)))</f>
        <v>2000 × 2000</v>
      </c>
      <c r="I504" s="11" t="str">
        <f aca="false">INDEX(MODELOS!$J$3:$J$19,MATCH($D504,MODELOS!$A$3:$A$19,0))</f>
        <v>Recomendada</v>
      </c>
      <c r="J504" s="11" t="str">
        <f aca="false">IF(LEFT($D504,2)&lt;&gt;"AP",IF($I504="SIM","SIM","RECOMENDADA"),IF(INDEX(PRODUTOS!$J$4:$J$63,MATCH($A504,PRODUTOS!$B$4:$B$63,0))&lt;&gt;"","NÃO (usa o A+ do EAN "&amp;INDEX(PRODUTOS!$J$4:$J$63,MATCH($A504,PRODUTOS!$B$4:$B$63,0))&amp;")",IF(AND(INDEX(PRODUTOS!$I$4:$I$63,MATCH($A504,PRODUTOS!$B$4:$B$63,0))="B",$D504="AP07"),"NÃO (modelo B)","SIM")))</f>
        <v>RECOMENDADA</v>
      </c>
      <c r="K504" s="13" t="s">
        <v>325</v>
      </c>
      <c r="L504" s="13"/>
    </row>
    <row r="505" customFormat="false" ht="15" hidden="false" customHeight="false" outlineLevel="0" collapsed="false">
      <c r="A505" s="15" t="s">
        <v>172</v>
      </c>
      <c r="B505" s="11" t="str">
        <f aca="false">INDEX(PRODUTOS!$E$4:$E$63,MATCH($A505,PRODUTOS!$B$4:$B$63,0))</f>
        <v>Ração Natural Dots Super Premium Cães Adultos Sabor Frango 2,5 kg</v>
      </c>
      <c r="C505" s="11" t="str">
        <f aca="false">INDEX(PRODUTOS!$H$4:$H$63,MATCH($A505,PRODUTOS!$B$4:$B$63,0))</f>
        <v>2,5 kg</v>
      </c>
      <c r="D505" s="11" t="s">
        <v>333</v>
      </c>
      <c r="E505" s="16" t="str">
        <f aca="false">$A505&amp;"."&amp;$D505&amp;".jpg"</f>
        <v>7908591301007.PT08.jpg</v>
      </c>
      <c r="F505" s="11" t="str">
        <f aca="false">IF(INDEX(PRODUTOS!$I$4:$I$63,MATCH($A505,PRODUTOS!$B$4:$B$63,0))="B",INDEX(MODELOS!$F$3:$F$19,MATCH($D505,MODELOS!$A$3:$A$19,0)),INDEX(MODELOS!$B$3:$B$19,MATCH($D505,MODELOS!$A$3:$A$19,0)))</f>
        <v>Galeria · posição 9</v>
      </c>
      <c r="G505" s="11" t="str">
        <f aca="false">IF(INDEX(PRODUTOS!$F$4:$F$63,MATCH($A505,PRODUTOS!$B$4:$B$63,0))="Ração",IF(INDEX(PRODUTOS!$I$4:$I$63,MATCH($A505,PRODUTOS!$B$4:$B$63,0))="B",INDEX(MODELOS!$G$3:$G$19,MATCH($D505,MODELOS!$A$3:$A$19,0)),INDEX(MODELOS!$C$3:$C$19,MATCH($D505,MODELOS!$A$3:$A$19,0))),IF(INDEX(PRODUTOS!$I$4:$I$63,MATCH($A505,PRODUTOS!$B$4:$B$63,0))="B",INDEX(MODELOS!$H$3:$H$19,MATCH($D505,MODELOS!$A$3:$A$19,0)),INDEX(MODELOS!$D$3:$D$19,MATCH($D505,MODELOS!$A$3:$A$19,0))))</f>
        <v>Linha da marca ou embalagem anterior × nova</v>
      </c>
      <c r="H505" s="11" t="str">
        <f aca="false">IF(INDEX(PRODUTOS!$I$4:$I$63,MATCH($A505,PRODUTOS!$B$4:$B$63,0))="B",INDEX(MODELOS!$I$3:$I$19,MATCH($D505,MODELOS!$A$3:$A$19,0)),INDEX(MODELOS!$E$3:$E$19,MATCH($D505,MODELOS!$A$3:$A$19,0)))</f>
        <v>2000 × 2000</v>
      </c>
      <c r="I505" s="11" t="str">
        <f aca="false">INDEX(MODELOS!$J$3:$J$19,MATCH($D505,MODELOS!$A$3:$A$19,0))</f>
        <v>Recomendada</v>
      </c>
      <c r="J505" s="11" t="str">
        <f aca="false">IF(LEFT($D505,2)&lt;&gt;"AP",IF($I505="SIM","SIM","RECOMENDADA"),IF(INDEX(PRODUTOS!$J$4:$J$63,MATCH($A505,PRODUTOS!$B$4:$B$63,0))&lt;&gt;"","NÃO (usa o A+ do EAN "&amp;INDEX(PRODUTOS!$J$4:$J$63,MATCH($A505,PRODUTOS!$B$4:$B$63,0))&amp;")",IF(AND(INDEX(PRODUTOS!$I$4:$I$63,MATCH($A505,PRODUTOS!$B$4:$B$63,0))="B",$D505="AP07"),"NÃO (modelo B)","SIM")))</f>
        <v>RECOMENDADA</v>
      </c>
      <c r="K505" s="13" t="s">
        <v>325</v>
      </c>
      <c r="L505" s="13"/>
    </row>
    <row r="506" customFormat="false" ht="15" hidden="false" customHeight="false" outlineLevel="0" collapsed="false">
      <c r="A506" s="15" t="s">
        <v>172</v>
      </c>
      <c r="B506" s="11" t="str">
        <f aca="false">INDEX(PRODUTOS!$E$4:$E$63,MATCH($A506,PRODUTOS!$B$4:$B$63,0))</f>
        <v>Ração Natural Dots Super Premium Cães Adultos Sabor Frango 2,5 kg</v>
      </c>
      <c r="C506" s="11" t="str">
        <f aca="false">INDEX(PRODUTOS!$H$4:$H$63,MATCH($A506,PRODUTOS!$B$4:$B$63,0))</f>
        <v>2,5 kg</v>
      </c>
      <c r="D506" s="11" t="s">
        <v>334</v>
      </c>
      <c r="E506" s="16" t="str">
        <f aca="false">$A506&amp;"."&amp;$D506&amp;".jpg"</f>
        <v>7908591301007.AP01.jpg</v>
      </c>
      <c r="F506" s="11" t="str">
        <f aca="false">IF(INDEX(PRODUTOS!$I$4:$I$63,MATCH($A506,PRODUTOS!$B$4:$B$63,0))="B",INDEX(MODELOS!$F$3:$F$19,MATCH($D506,MODELOS!$A$3:$A$19,0)),INDEX(MODELOS!$B$3:$B$19,MATCH($D506,MODELOS!$A$3:$A$19,0)))</f>
        <v>A+ · Módulo 1 · Banner</v>
      </c>
      <c r="G506" s="11" t="str">
        <f aca="false">IF(INDEX(PRODUTOS!$F$4:$F$63,MATCH($A506,PRODUTOS!$B$4:$B$63,0))="Ração",IF(INDEX(PRODUTOS!$I$4:$I$63,MATCH($A506,PRODUTOS!$B$4:$B$63,0))="B",INDEX(MODELOS!$G$3:$G$19,MATCH($D506,MODELOS!$A$3:$A$19,0)),INDEX(MODELOS!$C$3:$C$19,MATCH($D506,MODELOS!$A$3:$A$19,0))),IF(INDEX(PRODUTOS!$I$4:$I$63,MATCH($A506,PRODUTOS!$B$4:$B$63,0))="B",INDEX(MODELOS!$H$3:$H$19,MATCH($D506,MODELOS!$A$3:$A$19,0)),INDEX(MODELOS!$D$3:$D$19,MATCH($D506,MODELOS!$A$3:$A$19,0))))</f>
        <v>Embalagem + pet + ingredientes, com o nome da linha</v>
      </c>
      <c r="H506" s="11" t="str">
        <f aca="false">IF(INDEX(PRODUTOS!$I$4:$I$63,MATCH($A506,PRODUTOS!$B$4:$B$63,0))="B",INDEX(MODELOS!$I$3:$I$19,MATCH($D506,MODELOS!$A$3:$A$19,0)),INDEX(MODELOS!$E$3:$E$19,MATCH($D506,MODELOS!$A$3:$A$19,0)))</f>
        <v>970 × 600</v>
      </c>
      <c r="I506" s="11" t="str">
        <f aca="false">INDEX(MODELOS!$J$3:$J$19,MATCH($D506,MODELOS!$A$3:$A$19,0))</f>
        <v>Conforme modelo</v>
      </c>
      <c r="J506" s="11" t="str">
        <f aca="false">IF(LEFT($D506,2)&lt;&gt;"AP",IF($I506="SIM","SIM","RECOMENDADA"),IF(INDEX(PRODUTOS!$J$4:$J$63,MATCH($A506,PRODUTOS!$B$4:$B$63,0))&lt;&gt;"","NÃO (usa o A+ do EAN "&amp;INDEX(PRODUTOS!$J$4:$J$63,MATCH($A506,PRODUTOS!$B$4:$B$63,0))&amp;")",IF(AND(INDEX(PRODUTOS!$I$4:$I$63,MATCH($A506,PRODUTOS!$B$4:$B$63,0))="B",$D506="AP07"),"NÃO (modelo B)","SIM")))</f>
        <v>SIM</v>
      </c>
      <c r="K506" s="13" t="s">
        <v>325</v>
      </c>
      <c r="L506" s="13"/>
    </row>
    <row r="507" customFormat="false" ht="15" hidden="false" customHeight="false" outlineLevel="0" collapsed="false">
      <c r="A507" s="15" t="s">
        <v>172</v>
      </c>
      <c r="B507" s="11" t="str">
        <f aca="false">INDEX(PRODUTOS!$E$4:$E$63,MATCH($A507,PRODUTOS!$B$4:$B$63,0))</f>
        <v>Ração Natural Dots Super Premium Cães Adultos Sabor Frango 2,5 kg</v>
      </c>
      <c r="C507" s="11" t="str">
        <f aca="false">INDEX(PRODUTOS!$H$4:$H$63,MATCH($A507,PRODUTOS!$B$4:$B$63,0))</f>
        <v>2,5 kg</v>
      </c>
      <c r="D507" s="11" t="s">
        <v>335</v>
      </c>
      <c r="E507" s="16" t="str">
        <f aca="false">$A507&amp;"."&amp;$D507&amp;".jpg"</f>
        <v>7908591301007.AP02.jpg</v>
      </c>
      <c r="F507" s="11" t="str">
        <f aca="false">IF(INDEX(PRODUTOS!$I$4:$I$63,MATCH($A507,PRODUTOS!$B$4:$B$63,0))="B",INDEX(MODELOS!$F$3:$F$19,MATCH($D507,MODELOS!$A$3:$A$19,0)),INDEX(MODELOS!$B$3:$B$19,MATCH($D507,MODELOS!$A$3:$A$19,0)))</f>
        <v>A+ · Módulo 2 · Texto sobreposto</v>
      </c>
      <c r="G507" s="11" t="str">
        <f aca="false">IF(INDEX(PRODUTOS!$F$4:$F$63,MATCH($A507,PRODUTOS!$B$4:$B$63,0))="Ração",IF(INDEX(PRODUTOS!$I$4:$I$63,MATCH($A507,PRODUTOS!$B$4:$B$63,0))="B",INDEX(MODELOS!$G$3:$G$19,MATCH($D507,MODELOS!$A$3:$A$19,0)),INDEX(MODELOS!$C$3:$C$19,MATCH($D507,MODELOS!$A$3:$A$19,0))),IF(INDEX(PRODUTOS!$I$4:$I$63,MATCH($A507,PRODUTOS!$B$4:$B$63,0))="B",INDEX(MODELOS!$H$3:$H$19,MATCH($D507,MODELOS!$A$3:$A$19,0)),INDEX(MODELOS!$D$3:$D$19,MATCH($D507,MODELOS!$A$3:$A$19,0))))</f>
        <v>Principal diferencial; deixar o lado direito limpo</v>
      </c>
      <c r="H507" s="11" t="str">
        <f aca="false">IF(INDEX(PRODUTOS!$I$4:$I$63,MATCH($A507,PRODUTOS!$B$4:$B$63,0))="B",INDEX(MODELOS!$I$3:$I$19,MATCH($D507,MODELOS!$A$3:$A$19,0)),INDEX(MODELOS!$E$3:$E$19,MATCH($D507,MODELOS!$A$3:$A$19,0)))</f>
        <v>970 × 300</v>
      </c>
      <c r="I507" s="11" t="str">
        <f aca="false">INDEX(MODELOS!$J$3:$J$19,MATCH($D507,MODELOS!$A$3:$A$19,0))</f>
        <v>Conforme modelo</v>
      </c>
      <c r="J507" s="11" t="str">
        <f aca="false">IF(LEFT($D507,2)&lt;&gt;"AP",IF($I507="SIM","SIM","RECOMENDADA"),IF(INDEX(PRODUTOS!$J$4:$J$63,MATCH($A507,PRODUTOS!$B$4:$B$63,0))&lt;&gt;"","NÃO (usa o A+ do EAN "&amp;INDEX(PRODUTOS!$J$4:$J$63,MATCH($A507,PRODUTOS!$B$4:$B$63,0))&amp;")",IF(AND(INDEX(PRODUTOS!$I$4:$I$63,MATCH($A507,PRODUTOS!$B$4:$B$63,0))="B",$D507="AP07"),"NÃO (modelo B)","SIM")))</f>
        <v>SIM</v>
      </c>
      <c r="K507" s="13" t="s">
        <v>325</v>
      </c>
      <c r="L507" s="13"/>
    </row>
    <row r="508" customFormat="false" ht="15" hidden="false" customHeight="false" outlineLevel="0" collapsed="false">
      <c r="A508" s="15" t="s">
        <v>172</v>
      </c>
      <c r="B508" s="11" t="str">
        <f aca="false">INDEX(PRODUTOS!$E$4:$E$63,MATCH($A508,PRODUTOS!$B$4:$B$63,0))</f>
        <v>Ração Natural Dots Super Premium Cães Adultos Sabor Frango 2,5 kg</v>
      </c>
      <c r="C508" s="11" t="str">
        <f aca="false">INDEX(PRODUTOS!$H$4:$H$63,MATCH($A508,PRODUTOS!$B$4:$B$63,0))</f>
        <v>2,5 kg</v>
      </c>
      <c r="D508" s="11" t="s">
        <v>336</v>
      </c>
      <c r="E508" s="16" t="str">
        <f aca="false">$A508&amp;"."&amp;$D508&amp;".jpg"</f>
        <v>7908591301007.AP03.jpg</v>
      </c>
      <c r="F508" s="11" t="str">
        <f aca="false">IF(INDEX(PRODUTOS!$I$4:$I$63,MATCH($A508,PRODUTOS!$B$4:$B$63,0))="B",INDEX(MODELOS!$F$3:$F$19,MATCH($D508,MODELOS!$A$3:$A$19,0)),INDEX(MODELOS!$B$3:$B$19,MATCH($D508,MODELOS!$A$3:$A$19,0)))</f>
        <v>A+ · Módulo 3 · Benefício 1 de 4</v>
      </c>
      <c r="G508" s="11" t="str">
        <f aca="false">IF(INDEX(PRODUTOS!$F$4:$F$63,MATCH($A508,PRODUTOS!$B$4:$B$63,0))="Ração",IF(INDEX(PRODUTOS!$I$4:$I$63,MATCH($A508,PRODUTOS!$B$4:$B$63,0))="B",INDEX(MODELOS!$G$3:$G$19,MATCH($D508,MODELOS!$A$3:$A$19,0)),INDEX(MODELOS!$C$3:$C$19,MATCH($D508,MODELOS!$A$3:$A$19,0))),IF(INDEX(PRODUTOS!$I$4:$I$63,MATCH($A508,PRODUTOS!$B$4:$B$63,0))="B",INDEX(MODELOS!$H$3:$H$19,MATCH($D508,MODELOS!$A$3:$A$19,0)),INDEX(MODELOS!$D$3:$D$19,MATCH($D508,MODELOS!$A$3:$A$19,0))))</f>
        <v>Foto/ilustração do benefício 1</v>
      </c>
      <c r="H508" s="11" t="str">
        <f aca="false">IF(INDEX(PRODUTOS!$I$4:$I$63,MATCH($A508,PRODUTOS!$B$4:$B$63,0))="B",INDEX(MODELOS!$I$3:$I$19,MATCH($D508,MODELOS!$A$3:$A$19,0)),INDEX(MODELOS!$E$3:$E$19,MATCH($D508,MODELOS!$A$3:$A$19,0)))</f>
        <v>220 × 200</v>
      </c>
      <c r="I508" s="11" t="str">
        <f aca="false">INDEX(MODELOS!$J$3:$J$19,MATCH($D508,MODELOS!$A$3:$A$19,0))</f>
        <v>Conforme modelo</v>
      </c>
      <c r="J508" s="11" t="str">
        <f aca="false">IF(LEFT($D508,2)&lt;&gt;"AP",IF($I508="SIM","SIM","RECOMENDADA"),IF(INDEX(PRODUTOS!$J$4:$J$63,MATCH($A508,PRODUTOS!$B$4:$B$63,0))&lt;&gt;"","NÃO (usa o A+ do EAN "&amp;INDEX(PRODUTOS!$J$4:$J$63,MATCH($A508,PRODUTOS!$B$4:$B$63,0))&amp;")",IF(AND(INDEX(PRODUTOS!$I$4:$I$63,MATCH($A508,PRODUTOS!$B$4:$B$63,0))="B",$D508="AP07"),"NÃO (modelo B)","SIM")))</f>
        <v>SIM</v>
      </c>
      <c r="K508" s="13" t="s">
        <v>325</v>
      </c>
      <c r="L508" s="13"/>
    </row>
    <row r="509" customFormat="false" ht="15" hidden="false" customHeight="false" outlineLevel="0" collapsed="false">
      <c r="A509" s="15" t="s">
        <v>172</v>
      </c>
      <c r="B509" s="11" t="str">
        <f aca="false">INDEX(PRODUTOS!$E$4:$E$63,MATCH($A509,PRODUTOS!$B$4:$B$63,0))</f>
        <v>Ração Natural Dots Super Premium Cães Adultos Sabor Frango 2,5 kg</v>
      </c>
      <c r="C509" s="11" t="str">
        <f aca="false">INDEX(PRODUTOS!$H$4:$H$63,MATCH($A509,PRODUTOS!$B$4:$B$63,0))</f>
        <v>2,5 kg</v>
      </c>
      <c r="D509" s="11" t="s">
        <v>337</v>
      </c>
      <c r="E509" s="16" t="str">
        <f aca="false">$A509&amp;"."&amp;$D509&amp;".jpg"</f>
        <v>7908591301007.AP04.jpg</v>
      </c>
      <c r="F509" s="11" t="str">
        <f aca="false">IF(INDEX(PRODUTOS!$I$4:$I$63,MATCH($A509,PRODUTOS!$B$4:$B$63,0))="B",INDEX(MODELOS!$F$3:$F$19,MATCH($D509,MODELOS!$A$3:$A$19,0)),INDEX(MODELOS!$B$3:$B$19,MATCH($D509,MODELOS!$A$3:$A$19,0)))</f>
        <v>A+ · Módulo 3 · Benefício 2 de 4</v>
      </c>
      <c r="G509" s="11" t="str">
        <f aca="false">IF(INDEX(PRODUTOS!$F$4:$F$63,MATCH($A509,PRODUTOS!$B$4:$B$63,0))="Ração",IF(INDEX(PRODUTOS!$I$4:$I$63,MATCH($A509,PRODUTOS!$B$4:$B$63,0))="B",INDEX(MODELOS!$G$3:$G$19,MATCH($D509,MODELOS!$A$3:$A$19,0)),INDEX(MODELOS!$C$3:$C$19,MATCH($D509,MODELOS!$A$3:$A$19,0))),IF(INDEX(PRODUTOS!$I$4:$I$63,MATCH($A509,PRODUTOS!$B$4:$B$63,0))="B",INDEX(MODELOS!$H$3:$H$19,MATCH($D509,MODELOS!$A$3:$A$19,0)),INDEX(MODELOS!$D$3:$D$19,MATCH($D509,MODELOS!$A$3:$A$19,0))))</f>
        <v>Foto/ilustração do benefício 2</v>
      </c>
      <c r="H509" s="11" t="str">
        <f aca="false">IF(INDEX(PRODUTOS!$I$4:$I$63,MATCH($A509,PRODUTOS!$B$4:$B$63,0))="B",INDEX(MODELOS!$I$3:$I$19,MATCH($D509,MODELOS!$A$3:$A$19,0)),INDEX(MODELOS!$E$3:$E$19,MATCH($D509,MODELOS!$A$3:$A$19,0)))</f>
        <v>220 × 200</v>
      </c>
      <c r="I509" s="11" t="str">
        <f aca="false">INDEX(MODELOS!$J$3:$J$19,MATCH($D509,MODELOS!$A$3:$A$19,0))</f>
        <v>Conforme modelo</v>
      </c>
      <c r="J509" s="11" t="str">
        <f aca="false">IF(LEFT($D509,2)&lt;&gt;"AP",IF($I509="SIM","SIM","RECOMENDADA"),IF(INDEX(PRODUTOS!$J$4:$J$63,MATCH($A509,PRODUTOS!$B$4:$B$63,0))&lt;&gt;"","NÃO (usa o A+ do EAN "&amp;INDEX(PRODUTOS!$J$4:$J$63,MATCH($A509,PRODUTOS!$B$4:$B$63,0))&amp;")",IF(AND(INDEX(PRODUTOS!$I$4:$I$63,MATCH($A509,PRODUTOS!$B$4:$B$63,0))="B",$D509="AP07"),"NÃO (modelo B)","SIM")))</f>
        <v>SIM</v>
      </c>
      <c r="K509" s="13" t="s">
        <v>325</v>
      </c>
      <c r="L509" s="13"/>
    </row>
    <row r="510" customFormat="false" ht="15" hidden="false" customHeight="false" outlineLevel="0" collapsed="false">
      <c r="A510" s="15" t="s">
        <v>172</v>
      </c>
      <c r="B510" s="11" t="str">
        <f aca="false">INDEX(PRODUTOS!$E$4:$E$63,MATCH($A510,PRODUTOS!$B$4:$B$63,0))</f>
        <v>Ração Natural Dots Super Premium Cães Adultos Sabor Frango 2,5 kg</v>
      </c>
      <c r="C510" s="11" t="str">
        <f aca="false">INDEX(PRODUTOS!$H$4:$H$63,MATCH($A510,PRODUTOS!$B$4:$B$63,0))</f>
        <v>2,5 kg</v>
      </c>
      <c r="D510" s="11" t="s">
        <v>338</v>
      </c>
      <c r="E510" s="16" t="str">
        <f aca="false">$A510&amp;"."&amp;$D510&amp;".jpg"</f>
        <v>7908591301007.AP05.jpg</v>
      </c>
      <c r="F510" s="11" t="str">
        <f aca="false">IF(INDEX(PRODUTOS!$I$4:$I$63,MATCH($A510,PRODUTOS!$B$4:$B$63,0))="B",INDEX(MODELOS!$F$3:$F$19,MATCH($D510,MODELOS!$A$3:$A$19,0)),INDEX(MODELOS!$B$3:$B$19,MATCH($D510,MODELOS!$A$3:$A$19,0)))</f>
        <v>A+ · Módulo 3 · Benefício 3 de 4</v>
      </c>
      <c r="G510" s="11" t="str">
        <f aca="false">IF(INDEX(PRODUTOS!$F$4:$F$63,MATCH($A510,PRODUTOS!$B$4:$B$63,0))="Ração",IF(INDEX(PRODUTOS!$I$4:$I$63,MATCH($A510,PRODUTOS!$B$4:$B$63,0))="B",INDEX(MODELOS!$G$3:$G$19,MATCH($D510,MODELOS!$A$3:$A$19,0)),INDEX(MODELOS!$C$3:$C$19,MATCH($D510,MODELOS!$A$3:$A$19,0))),IF(INDEX(PRODUTOS!$I$4:$I$63,MATCH($A510,PRODUTOS!$B$4:$B$63,0))="B",INDEX(MODELOS!$H$3:$H$19,MATCH($D510,MODELOS!$A$3:$A$19,0)),INDEX(MODELOS!$D$3:$D$19,MATCH($D510,MODELOS!$A$3:$A$19,0))))</f>
        <v>Foto/ilustração do benefício 3</v>
      </c>
      <c r="H510" s="11" t="str">
        <f aca="false">IF(INDEX(PRODUTOS!$I$4:$I$63,MATCH($A510,PRODUTOS!$B$4:$B$63,0))="B",INDEX(MODELOS!$I$3:$I$19,MATCH($D510,MODELOS!$A$3:$A$19,0)),INDEX(MODELOS!$E$3:$E$19,MATCH($D510,MODELOS!$A$3:$A$19,0)))</f>
        <v>220 × 200</v>
      </c>
      <c r="I510" s="11" t="str">
        <f aca="false">INDEX(MODELOS!$J$3:$J$19,MATCH($D510,MODELOS!$A$3:$A$19,0))</f>
        <v>Conforme modelo</v>
      </c>
      <c r="J510" s="11" t="str">
        <f aca="false">IF(LEFT($D510,2)&lt;&gt;"AP",IF($I510="SIM","SIM","RECOMENDADA"),IF(INDEX(PRODUTOS!$J$4:$J$63,MATCH($A510,PRODUTOS!$B$4:$B$63,0))&lt;&gt;"","NÃO (usa o A+ do EAN "&amp;INDEX(PRODUTOS!$J$4:$J$63,MATCH($A510,PRODUTOS!$B$4:$B$63,0))&amp;")",IF(AND(INDEX(PRODUTOS!$I$4:$I$63,MATCH($A510,PRODUTOS!$B$4:$B$63,0))="B",$D510="AP07"),"NÃO (modelo B)","SIM")))</f>
        <v>SIM</v>
      </c>
      <c r="K510" s="13" t="s">
        <v>325</v>
      </c>
      <c r="L510" s="13"/>
    </row>
    <row r="511" customFormat="false" ht="15" hidden="false" customHeight="false" outlineLevel="0" collapsed="false">
      <c r="A511" s="15" t="s">
        <v>172</v>
      </c>
      <c r="B511" s="11" t="str">
        <f aca="false">INDEX(PRODUTOS!$E$4:$E$63,MATCH($A511,PRODUTOS!$B$4:$B$63,0))</f>
        <v>Ração Natural Dots Super Premium Cães Adultos Sabor Frango 2,5 kg</v>
      </c>
      <c r="C511" s="11" t="str">
        <f aca="false">INDEX(PRODUTOS!$H$4:$H$63,MATCH($A511,PRODUTOS!$B$4:$B$63,0))</f>
        <v>2,5 kg</v>
      </c>
      <c r="D511" s="11" t="s">
        <v>339</v>
      </c>
      <c r="E511" s="16" t="str">
        <f aca="false">$A511&amp;"."&amp;$D511&amp;".jpg"</f>
        <v>7908591301007.AP06.jpg</v>
      </c>
      <c r="F511" s="11" t="str">
        <f aca="false">IF(INDEX(PRODUTOS!$I$4:$I$63,MATCH($A511,PRODUTOS!$B$4:$B$63,0))="B",INDEX(MODELOS!$F$3:$F$19,MATCH($D511,MODELOS!$A$3:$A$19,0)),INDEX(MODELOS!$B$3:$B$19,MATCH($D511,MODELOS!$A$3:$A$19,0)))</f>
        <v>A+ · Módulo 3 · Benefício 4 de 4</v>
      </c>
      <c r="G511" s="11" t="str">
        <f aca="false">IF(INDEX(PRODUTOS!$F$4:$F$63,MATCH($A511,PRODUTOS!$B$4:$B$63,0))="Ração",IF(INDEX(PRODUTOS!$I$4:$I$63,MATCH($A511,PRODUTOS!$B$4:$B$63,0))="B",INDEX(MODELOS!$G$3:$G$19,MATCH($D511,MODELOS!$A$3:$A$19,0)),INDEX(MODELOS!$C$3:$C$19,MATCH($D511,MODELOS!$A$3:$A$19,0))),IF(INDEX(PRODUTOS!$I$4:$I$63,MATCH($A511,PRODUTOS!$B$4:$B$63,0))="B",INDEX(MODELOS!$H$3:$H$19,MATCH($D511,MODELOS!$A$3:$A$19,0)),INDEX(MODELOS!$D$3:$D$19,MATCH($D511,MODELOS!$A$3:$A$19,0))))</f>
        <v>Foto/ilustração do benefício 4</v>
      </c>
      <c r="H511" s="11" t="str">
        <f aca="false">IF(INDEX(PRODUTOS!$I$4:$I$63,MATCH($A511,PRODUTOS!$B$4:$B$63,0))="B",INDEX(MODELOS!$I$3:$I$19,MATCH($D511,MODELOS!$A$3:$A$19,0)),INDEX(MODELOS!$E$3:$E$19,MATCH($D511,MODELOS!$A$3:$A$19,0)))</f>
        <v>220 × 200</v>
      </c>
      <c r="I511" s="11" t="str">
        <f aca="false">INDEX(MODELOS!$J$3:$J$19,MATCH($D511,MODELOS!$A$3:$A$19,0))</f>
        <v>Conforme modelo</v>
      </c>
      <c r="J511" s="11" t="str">
        <f aca="false">IF(LEFT($D511,2)&lt;&gt;"AP",IF($I511="SIM","SIM","RECOMENDADA"),IF(INDEX(PRODUTOS!$J$4:$J$63,MATCH($A511,PRODUTOS!$B$4:$B$63,0))&lt;&gt;"","NÃO (usa o A+ do EAN "&amp;INDEX(PRODUTOS!$J$4:$J$63,MATCH($A511,PRODUTOS!$B$4:$B$63,0))&amp;")",IF(AND(INDEX(PRODUTOS!$I$4:$I$63,MATCH($A511,PRODUTOS!$B$4:$B$63,0))="B",$D511="AP07"),"NÃO (modelo B)","SIM")))</f>
        <v>SIM</v>
      </c>
      <c r="K511" s="13" t="s">
        <v>325</v>
      </c>
      <c r="L511" s="13"/>
    </row>
    <row r="512" customFormat="false" ht="15" hidden="false" customHeight="false" outlineLevel="0" collapsed="false">
      <c r="A512" s="15" t="s">
        <v>172</v>
      </c>
      <c r="B512" s="11" t="str">
        <f aca="false">INDEX(PRODUTOS!$E$4:$E$63,MATCH($A512,PRODUTOS!$B$4:$B$63,0))</f>
        <v>Ração Natural Dots Super Premium Cães Adultos Sabor Frango 2,5 kg</v>
      </c>
      <c r="C512" s="11" t="str">
        <f aca="false">INDEX(PRODUTOS!$H$4:$H$63,MATCH($A512,PRODUTOS!$B$4:$B$63,0))</f>
        <v>2,5 kg</v>
      </c>
      <c r="D512" s="11" t="s">
        <v>340</v>
      </c>
      <c r="E512" s="16" t="str">
        <f aca="false">$A512&amp;"."&amp;$D512&amp;".jpg"</f>
        <v>7908591301007.AP07.jpg</v>
      </c>
      <c r="F512" s="11" t="str">
        <f aca="false">IF(INDEX(PRODUTOS!$I$4:$I$63,MATCH($A512,PRODUTOS!$B$4:$B$63,0))="B",INDEX(MODELOS!$F$3:$F$19,MATCH($D512,MODELOS!$A$3:$A$19,0)),INDEX(MODELOS!$B$3:$B$19,MATCH($D512,MODELOS!$A$3:$A$19,0)))</f>
        <v>A+ · Módulo 4 · Especificações</v>
      </c>
      <c r="G512" s="11" t="str">
        <f aca="false">IF(INDEX(PRODUTOS!$F$4:$F$63,MATCH($A512,PRODUTOS!$B$4:$B$63,0))="Ração",IF(INDEX(PRODUTOS!$I$4:$I$63,MATCH($A512,PRODUTOS!$B$4:$B$63,0))="B",INDEX(MODELOS!$G$3:$G$19,MATCH($D512,MODELOS!$A$3:$A$19,0)),INDEX(MODELOS!$C$3:$C$19,MATCH($D512,MODELOS!$A$3:$A$19,0))),IF(INDEX(PRODUTOS!$I$4:$I$63,MATCH($A512,PRODUTOS!$B$4:$B$63,0))="B",INDEX(MODELOS!$H$3:$H$19,MATCH($D512,MODELOS!$A$3:$A$19,0)),INDEX(MODELOS!$D$3:$D$19,MATCH($D512,MODELOS!$A$3:$A$19,0))))</f>
        <v>Grão ou pacote em destaque</v>
      </c>
      <c r="H512" s="11" t="str">
        <f aca="false">IF(INDEX(PRODUTOS!$I$4:$I$63,MATCH($A512,PRODUTOS!$B$4:$B$63,0))="B",INDEX(MODELOS!$I$3:$I$19,MATCH($D512,MODELOS!$A$3:$A$19,0)),INDEX(MODELOS!$E$3:$E$19,MATCH($D512,MODELOS!$A$3:$A$19,0)))</f>
        <v>300 × 300</v>
      </c>
      <c r="I512" s="11" t="str">
        <f aca="false">INDEX(MODELOS!$J$3:$J$19,MATCH($D512,MODELOS!$A$3:$A$19,0))</f>
        <v>Conforme modelo</v>
      </c>
      <c r="J512" s="11" t="str">
        <f aca="false">IF(LEFT($D512,2)&lt;&gt;"AP",IF($I512="SIM","SIM","RECOMENDADA"),IF(INDEX(PRODUTOS!$J$4:$J$63,MATCH($A512,PRODUTOS!$B$4:$B$63,0))&lt;&gt;"","NÃO (usa o A+ do EAN "&amp;INDEX(PRODUTOS!$J$4:$J$63,MATCH($A512,PRODUTOS!$B$4:$B$63,0))&amp;")",IF(AND(INDEX(PRODUTOS!$I$4:$I$63,MATCH($A512,PRODUTOS!$B$4:$B$63,0))="B",$D512="AP07"),"NÃO (modelo B)","SIM")))</f>
        <v>SIM</v>
      </c>
      <c r="K512" s="13" t="s">
        <v>325</v>
      </c>
      <c r="L512" s="13"/>
    </row>
    <row r="513" customFormat="false" ht="15" hidden="false" customHeight="false" outlineLevel="0" collapsed="false">
      <c r="A513" s="15" t="s">
        <v>172</v>
      </c>
      <c r="B513" s="11" t="str">
        <f aca="false">INDEX(PRODUTOS!$E$4:$E$63,MATCH($A513,PRODUTOS!$B$4:$B$63,0))</f>
        <v>Ração Natural Dots Super Premium Cães Adultos Sabor Frango 2,5 kg</v>
      </c>
      <c r="C513" s="11" t="str">
        <f aca="false">INDEX(PRODUTOS!$H$4:$H$63,MATCH($A513,PRODUTOS!$B$4:$B$63,0))</f>
        <v>2,5 kg</v>
      </c>
      <c r="D513" s="11" t="s">
        <v>341</v>
      </c>
      <c r="E513" s="16" t="str">
        <f aca="false">$A513&amp;"."&amp;$D513&amp;".jpg"</f>
        <v>7908591301007.COMP.jpg</v>
      </c>
      <c r="F513" s="11" t="str">
        <f aca="false">IF(INDEX(PRODUTOS!$I$4:$I$63,MATCH($A513,PRODUTOS!$B$4:$B$63,0))="B",INDEX(MODELOS!$F$3:$F$19,MATCH($D513,MODELOS!$A$3:$A$19,0)),INDEX(MODELOS!$B$3:$B$19,MATCH($D513,MODELOS!$A$3:$A$19,0)))</f>
        <v>A+ · Tabela comparativa</v>
      </c>
      <c r="G513" s="11" t="str">
        <f aca="false">IF(INDEX(PRODUTOS!$F$4:$F$63,MATCH($A513,PRODUTOS!$B$4:$B$63,0))="Ração",IF(INDEX(PRODUTOS!$I$4:$I$63,MATCH($A513,PRODUTOS!$B$4:$B$63,0))="B",INDEX(MODELOS!$G$3:$G$19,MATCH($D513,MODELOS!$A$3:$A$19,0)),INDEX(MODELOS!$C$3:$C$19,MATCH($D513,MODELOS!$A$3:$A$19,0))),IF(INDEX(PRODUTOS!$I$4:$I$63,MATCH($A513,PRODUTOS!$B$4:$B$63,0))="B",INDEX(MODELOS!$H$3:$H$19,MATCH($D513,MODELOS!$A$3:$A$19,0)),INDEX(MODELOS!$D$3:$D$19,MATCH($D513,MODELOS!$A$3:$A$19,0))))</f>
        <v>Pacote na vertical, sem fundo colorido</v>
      </c>
      <c r="H513" s="11" t="str">
        <f aca="false">IF(INDEX(PRODUTOS!$I$4:$I$63,MATCH($A513,PRODUTOS!$B$4:$B$63,0))="B",INDEX(MODELOS!$I$3:$I$19,MATCH($D513,MODELOS!$A$3:$A$19,0)),INDEX(MODELOS!$E$3:$E$19,MATCH($D513,MODELOS!$A$3:$A$19,0)))</f>
        <v>150 × 300</v>
      </c>
      <c r="I513" s="11" t="str">
        <f aca="false">INDEX(MODELOS!$J$3:$J$19,MATCH($D513,MODELOS!$A$3:$A$19,0))</f>
        <v>SIM</v>
      </c>
      <c r="J513" s="11" t="str">
        <f aca="false">IF(LEFT($D513,2)&lt;&gt;"AP",IF($I513="SIM","SIM","RECOMENDADA"),IF(INDEX(PRODUTOS!$J$4:$J$63,MATCH($A513,PRODUTOS!$B$4:$B$63,0))&lt;&gt;"","NÃO (usa o A+ do EAN "&amp;INDEX(PRODUTOS!$J$4:$J$63,MATCH($A513,PRODUTOS!$B$4:$B$63,0))&amp;")",IF(AND(INDEX(PRODUTOS!$I$4:$I$63,MATCH($A513,PRODUTOS!$B$4:$B$63,0))="B",$D513="AP07"),"NÃO (modelo B)","SIM")))</f>
        <v>SIM</v>
      </c>
      <c r="K513" s="13" t="s">
        <v>325</v>
      </c>
      <c r="L513" s="13"/>
    </row>
    <row r="514" customFormat="false" ht="15" hidden="false" customHeight="false" outlineLevel="0" collapsed="false">
      <c r="A514" s="15" t="s">
        <v>177</v>
      </c>
      <c r="B514" s="11" t="str">
        <f aca="false">INDEX(PRODUTOS!$E$4:$E$63,MATCH($A514,PRODUTOS!$B$4:$B$63,0))</f>
        <v>Ração Natural Dots Super Premium Cães Raças Pequenas Sabor Frango 1 kg</v>
      </c>
      <c r="C514" s="11" t="str">
        <f aca="false">INDEX(PRODUTOS!$H$4:$H$63,MATCH($A514,PRODUTOS!$B$4:$B$63,0))</f>
        <v>1 kg</v>
      </c>
      <c r="D514" s="11" t="s">
        <v>324</v>
      </c>
      <c r="E514" s="16" t="str">
        <f aca="false">$A514&amp;"."&amp;$D514&amp;".jpg"</f>
        <v>7908591301021.MAIN.jpg</v>
      </c>
      <c r="F514" s="11" t="str">
        <f aca="false">IF(INDEX(PRODUTOS!$I$4:$I$63,MATCH($A514,PRODUTOS!$B$4:$B$63,0))="B",INDEX(MODELOS!$F$3:$F$19,MATCH($D514,MODELOS!$A$3:$A$19,0)),INDEX(MODELOS!$B$3:$B$19,MATCH($D514,MODELOS!$A$3:$A$19,0)))</f>
        <v>Capa (posição 1)</v>
      </c>
      <c r="G514" s="11" t="str">
        <f aca="false">IF(INDEX(PRODUTOS!$F$4:$F$63,MATCH($A514,PRODUTOS!$B$4:$B$63,0))="Ração",IF(INDEX(PRODUTOS!$I$4:$I$63,MATCH($A514,PRODUTOS!$B$4:$B$63,0))="B",INDEX(MODELOS!$G$3:$G$19,MATCH($D514,MODELOS!$A$3:$A$19,0)),INDEX(MODELOS!$C$3:$C$19,MATCH($D514,MODELOS!$A$3:$A$19,0))),IF(INDEX(PRODUTOS!$I$4:$I$63,MATCH($A514,PRODUTOS!$B$4:$B$63,0))="B",INDEX(MODELOS!$H$3:$H$19,MATCH($D514,MODELOS!$A$3:$A$19,0)),INDEX(MODELOS!$D$3:$D$19,MATCH($D514,MODELOS!$A$3:$A$19,0))))</f>
        <v>Embalagem de frente, fundo branco puro, 85% da área, nada adicionado</v>
      </c>
      <c r="H514" s="11" t="str">
        <f aca="false">IF(INDEX(PRODUTOS!$I$4:$I$63,MATCH($A514,PRODUTOS!$B$4:$B$63,0))="B",INDEX(MODELOS!$I$3:$I$19,MATCH($D514,MODELOS!$A$3:$A$19,0)),INDEX(MODELOS!$E$3:$E$19,MATCH($D514,MODELOS!$A$3:$A$19,0)))</f>
        <v>2000 × 2000</v>
      </c>
      <c r="I514" s="11" t="str">
        <f aca="false">INDEX(MODELOS!$J$3:$J$19,MATCH($D514,MODELOS!$A$3:$A$19,0))</f>
        <v>SIM</v>
      </c>
      <c r="J514" s="11" t="str">
        <f aca="false">IF(LEFT($D514,2)&lt;&gt;"AP",IF($I514="SIM","SIM","RECOMENDADA"),IF(INDEX(PRODUTOS!$J$4:$J$63,MATCH($A514,PRODUTOS!$B$4:$B$63,0))&lt;&gt;"","NÃO (usa o A+ do EAN "&amp;INDEX(PRODUTOS!$J$4:$J$63,MATCH($A514,PRODUTOS!$B$4:$B$63,0))&amp;")",IF(AND(INDEX(PRODUTOS!$I$4:$I$63,MATCH($A514,PRODUTOS!$B$4:$B$63,0))="B",$D514="AP07"),"NÃO (modelo B)","SIM")))</f>
        <v>SIM</v>
      </c>
      <c r="K514" s="13" t="s">
        <v>325</v>
      </c>
      <c r="L514" s="13"/>
    </row>
    <row r="515" customFormat="false" ht="15" hidden="false" customHeight="false" outlineLevel="0" collapsed="false">
      <c r="A515" s="15" t="s">
        <v>177</v>
      </c>
      <c r="B515" s="11" t="str">
        <f aca="false">INDEX(PRODUTOS!$E$4:$E$63,MATCH($A515,PRODUTOS!$B$4:$B$63,0))</f>
        <v>Ração Natural Dots Super Premium Cães Raças Pequenas Sabor Frango 1 kg</v>
      </c>
      <c r="C515" s="11" t="str">
        <f aca="false">INDEX(PRODUTOS!$H$4:$H$63,MATCH($A515,PRODUTOS!$B$4:$B$63,0))</f>
        <v>1 kg</v>
      </c>
      <c r="D515" s="11" t="s">
        <v>326</v>
      </c>
      <c r="E515" s="16" t="str">
        <f aca="false">$A515&amp;"."&amp;$D515&amp;".jpg"</f>
        <v>7908591301021.PT01.jpg</v>
      </c>
      <c r="F515" s="11" t="str">
        <f aca="false">IF(INDEX(PRODUTOS!$I$4:$I$63,MATCH($A515,PRODUTOS!$B$4:$B$63,0))="B",INDEX(MODELOS!$F$3:$F$19,MATCH($D515,MODELOS!$A$3:$A$19,0)),INDEX(MODELOS!$B$3:$B$19,MATCH($D515,MODELOS!$A$3:$A$19,0)))</f>
        <v>Galeria · posição 2</v>
      </c>
      <c r="G515" s="11" t="str">
        <f aca="false">IF(INDEX(PRODUTOS!$F$4:$F$63,MATCH($A515,PRODUTOS!$B$4:$B$63,0))="Ração",IF(INDEX(PRODUTOS!$I$4:$I$63,MATCH($A515,PRODUTOS!$B$4:$B$63,0))="B",INDEX(MODELOS!$G$3:$G$19,MATCH($D515,MODELOS!$A$3:$A$19,0)),INDEX(MODELOS!$C$3:$C$19,MATCH($D515,MODELOS!$A$3:$A$19,0))),IF(INDEX(PRODUTOS!$I$4:$I$63,MATCH($A515,PRODUTOS!$B$4:$B$63,0))="B",INDEX(MODELOS!$H$3:$H$19,MATCH($D515,MODELOS!$A$3:$A$19,0)),INDEX(MODELOS!$D$3:$D$19,MATCH($D515,MODELOS!$A$3:$A$19,0))))</f>
        <v>Grande diferencial da linha (número ou promessa forte + grão e ingrediente)</v>
      </c>
      <c r="H515" s="11" t="str">
        <f aca="false">IF(INDEX(PRODUTOS!$I$4:$I$63,MATCH($A515,PRODUTOS!$B$4:$B$63,0))="B",INDEX(MODELOS!$I$3:$I$19,MATCH($D515,MODELOS!$A$3:$A$19,0)),INDEX(MODELOS!$E$3:$E$19,MATCH($D515,MODELOS!$A$3:$A$19,0)))</f>
        <v>2000 × 2000</v>
      </c>
      <c r="I515" s="11" t="str">
        <f aca="false">INDEX(MODELOS!$J$3:$J$19,MATCH($D515,MODELOS!$A$3:$A$19,0))</f>
        <v>SIM</v>
      </c>
      <c r="J515" s="11" t="str">
        <f aca="false">IF(LEFT($D515,2)&lt;&gt;"AP",IF($I515="SIM","SIM","RECOMENDADA"),IF(INDEX(PRODUTOS!$J$4:$J$63,MATCH($A515,PRODUTOS!$B$4:$B$63,0))&lt;&gt;"","NÃO (usa o A+ do EAN "&amp;INDEX(PRODUTOS!$J$4:$J$63,MATCH($A515,PRODUTOS!$B$4:$B$63,0))&amp;")",IF(AND(INDEX(PRODUTOS!$I$4:$I$63,MATCH($A515,PRODUTOS!$B$4:$B$63,0))="B",$D515="AP07"),"NÃO (modelo B)","SIM")))</f>
        <v>SIM</v>
      </c>
      <c r="K515" s="13" t="s">
        <v>325</v>
      </c>
      <c r="L515" s="13"/>
    </row>
    <row r="516" customFormat="false" ht="15" hidden="false" customHeight="false" outlineLevel="0" collapsed="false">
      <c r="A516" s="15" t="s">
        <v>177</v>
      </c>
      <c r="B516" s="11" t="str">
        <f aca="false">INDEX(PRODUTOS!$E$4:$E$63,MATCH($A516,PRODUTOS!$B$4:$B$63,0))</f>
        <v>Ração Natural Dots Super Premium Cães Raças Pequenas Sabor Frango 1 kg</v>
      </c>
      <c r="C516" s="11" t="str">
        <f aca="false">INDEX(PRODUTOS!$H$4:$H$63,MATCH($A516,PRODUTOS!$B$4:$B$63,0))</f>
        <v>1 kg</v>
      </c>
      <c r="D516" s="11" t="s">
        <v>327</v>
      </c>
      <c r="E516" s="16" t="str">
        <f aca="false">$A516&amp;"."&amp;$D516&amp;".jpg"</f>
        <v>7908591301021.PT02.jpg</v>
      </c>
      <c r="F516" s="11" t="str">
        <f aca="false">IF(INDEX(PRODUTOS!$I$4:$I$63,MATCH($A516,PRODUTOS!$B$4:$B$63,0))="B",INDEX(MODELOS!$F$3:$F$19,MATCH($D516,MODELOS!$A$3:$A$19,0)),INDEX(MODELOS!$B$3:$B$19,MATCH($D516,MODELOS!$A$3:$A$19,0)))</f>
        <v>Galeria · posição 3</v>
      </c>
      <c r="G516" s="11" t="str">
        <f aca="false">IF(INDEX(PRODUTOS!$F$4:$F$63,MATCH($A516,PRODUTOS!$B$4:$B$63,0))="Ração",IF(INDEX(PRODUTOS!$I$4:$I$63,MATCH($A516,PRODUTOS!$B$4:$B$63,0))="B",INDEX(MODELOS!$G$3:$G$19,MATCH($D516,MODELOS!$A$3:$A$19,0)),INDEX(MODELOS!$C$3:$C$19,MATCH($D516,MODELOS!$A$3:$A$19,0))),IF(INDEX(PRODUTOS!$I$4:$I$63,MATCH($A516,PRODUTOS!$B$4:$B$63,0))="B",INDEX(MODELOS!$H$3:$H$19,MATCH($D516,MODELOS!$A$3:$A$19,0)),INDEX(MODELOS!$D$3:$D$19,MATCH($D516,MODELOS!$A$3:$A$19,0))))</f>
        <v>Benefícios com ícones (4 a 6, impressos na embalagem) + ingrediente</v>
      </c>
      <c r="H516" s="11" t="str">
        <f aca="false">IF(INDEX(PRODUTOS!$I$4:$I$63,MATCH($A516,PRODUTOS!$B$4:$B$63,0))="B",INDEX(MODELOS!$I$3:$I$19,MATCH($D516,MODELOS!$A$3:$A$19,0)),INDEX(MODELOS!$E$3:$E$19,MATCH($D516,MODELOS!$A$3:$A$19,0)))</f>
        <v>2000 × 2000</v>
      </c>
      <c r="I516" s="11" t="str">
        <f aca="false">INDEX(MODELOS!$J$3:$J$19,MATCH($D516,MODELOS!$A$3:$A$19,0))</f>
        <v>SIM</v>
      </c>
      <c r="J516" s="11" t="str">
        <f aca="false">IF(LEFT($D516,2)&lt;&gt;"AP",IF($I516="SIM","SIM","RECOMENDADA"),IF(INDEX(PRODUTOS!$J$4:$J$63,MATCH($A516,PRODUTOS!$B$4:$B$63,0))&lt;&gt;"","NÃO (usa o A+ do EAN "&amp;INDEX(PRODUTOS!$J$4:$J$63,MATCH($A516,PRODUTOS!$B$4:$B$63,0))&amp;")",IF(AND(INDEX(PRODUTOS!$I$4:$I$63,MATCH($A516,PRODUTOS!$B$4:$B$63,0))="B",$D516="AP07"),"NÃO (modelo B)","SIM")))</f>
        <v>SIM</v>
      </c>
      <c r="K516" s="13" t="s">
        <v>325</v>
      </c>
      <c r="L516" s="13"/>
    </row>
    <row r="517" customFormat="false" ht="15" hidden="false" customHeight="false" outlineLevel="0" collapsed="false">
      <c r="A517" s="15" t="s">
        <v>177</v>
      </c>
      <c r="B517" s="11" t="str">
        <f aca="false">INDEX(PRODUTOS!$E$4:$E$63,MATCH($A517,PRODUTOS!$B$4:$B$63,0))</f>
        <v>Ração Natural Dots Super Premium Cães Raças Pequenas Sabor Frango 1 kg</v>
      </c>
      <c r="C517" s="11" t="str">
        <f aca="false">INDEX(PRODUTOS!$H$4:$H$63,MATCH($A517,PRODUTOS!$B$4:$B$63,0))</f>
        <v>1 kg</v>
      </c>
      <c r="D517" s="11" t="s">
        <v>328</v>
      </c>
      <c r="E517" s="16" t="str">
        <f aca="false">$A517&amp;"."&amp;$D517&amp;".jpg"</f>
        <v>7908591301021.PT03.jpg</v>
      </c>
      <c r="F517" s="11" t="str">
        <f aca="false">IF(INDEX(PRODUTOS!$I$4:$I$63,MATCH($A517,PRODUTOS!$B$4:$B$63,0))="B",INDEX(MODELOS!$F$3:$F$19,MATCH($D517,MODELOS!$A$3:$A$19,0)),INDEX(MODELOS!$B$3:$B$19,MATCH($D517,MODELOS!$A$3:$A$19,0)))</f>
        <v>Galeria · posição 4</v>
      </c>
      <c r="G517" s="11" t="str">
        <f aca="false">IF(INDEX(PRODUTOS!$F$4:$F$63,MATCH($A517,PRODUTOS!$B$4:$B$63,0))="Ração",IF(INDEX(PRODUTOS!$I$4:$I$63,MATCH($A517,PRODUTOS!$B$4:$B$63,0))="B",INDEX(MODELOS!$G$3:$G$19,MATCH($D517,MODELOS!$A$3:$A$19,0)),INDEX(MODELOS!$C$3:$C$19,MATCH($D517,MODELOS!$A$3:$A$19,0))),IF(INDEX(PRODUTOS!$I$4:$I$63,MATCH($A517,PRODUTOS!$B$4:$B$63,0))="B",INDEX(MODELOS!$H$3:$H$19,MATCH($D517,MODELOS!$A$3:$A$19,0)),INDEX(MODELOS!$D$3:$D$19,MATCH($D517,MODELOS!$A$3:$A$19,0))))</f>
        <v>Formato e tamanho do grão, com medida em mm e referência de tamanho</v>
      </c>
      <c r="H517" s="11" t="str">
        <f aca="false">IF(INDEX(PRODUTOS!$I$4:$I$63,MATCH($A517,PRODUTOS!$B$4:$B$63,0))="B",INDEX(MODELOS!$I$3:$I$19,MATCH($D517,MODELOS!$A$3:$A$19,0)),INDEX(MODELOS!$E$3:$E$19,MATCH($D517,MODELOS!$A$3:$A$19,0)))</f>
        <v>2000 × 2000</v>
      </c>
      <c r="I517" s="11" t="str">
        <f aca="false">INDEX(MODELOS!$J$3:$J$19,MATCH($D517,MODELOS!$A$3:$A$19,0))</f>
        <v>SIM</v>
      </c>
      <c r="J517" s="11" t="str">
        <f aca="false">IF(LEFT($D517,2)&lt;&gt;"AP",IF($I517="SIM","SIM","RECOMENDADA"),IF(INDEX(PRODUTOS!$J$4:$J$63,MATCH($A517,PRODUTOS!$B$4:$B$63,0))&lt;&gt;"","NÃO (usa o A+ do EAN "&amp;INDEX(PRODUTOS!$J$4:$J$63,MATCH($A517,PRODUTOS!$B$4:$B$63,0))&amp;")",IF(AND(INDEX(PRODUTOS!$I$4:$I$63,MATCH($A517,PRODUTOS!$B$4:$B$63,0))="B",$D517="AP07"),"NÃO (modelo B)","SIM")))</f>
        <v>SIM</v>
      </c>
      <c r="K517" s="13" t="s">
        <v>325</v>
      </c>
      <c r="L517" s="13"/>
    </row>
    <row r="518" customFormat="false" ht="15" hidden="false" customHeight="false" outlineLevel="0" collapsed="false">
      <c r="A518" s="15" t="s">
        <v>177</v>
      </c>
      <c r="B518" s="11" t="str">
        <f aca="false">INDEX(PRODUTOS!$E$4:$E$63,MATCH($A518,PRODUTOS!$B$4:$B$63,0))</f>
        <v>Ração Natural Dots Super Premium Cães Raças Pequenas Sabor Frango 1 kg</v>
      </c>
      <c r="C518" s="11" t="str">
        <f aca="false">INDEX(PRODUTOS!$H$4:$H$63,MATCH($A518,PRODUTOS!$B$4:$B$63,0))</f>
        <v>1 kg</v>
      </c>
      <c r="D518" s="11" t="s">
        <v>329</v>
      </c>
      <c r="E518" s="16" t="str">
        <f aca="false">$A518&amp;"."&amp;$D518&amp;".jpg"</f>
        <v>7908591301021.PT04.jpg</v>
      </c>
      <c r="F518" s="11" t="str">
        <f aca="false">IF(INDEX(PRODUTOS!$I$4:$I$63,MATCH($A518,PRODUTOS!$B$4:$B$63,0))="B",INDEX(MODELOS!$F$3:$F$19,MATCH($D518,MODELOS!$A$3:$A$19,0)),INDEX(MODELOS!$B$3:$B$19,MATCH($D518,MODELOS!$A$3:$A$19,0)))</f>
        <v>Galeria · posição 5</v>
      </c>
      <c r="G518" s="11" t="str">
        <f aca="false">IF(INDEX(PRODUTOS!$F$4:$F$63,MATCH($A518,PRODUTOS!$B$4:$B$63,0))="Ração",IF(INDEX(PRODUTOS!$I$4:$I$63,MATCH($A518,PRODUTOS!$B$4:$B$63,0))="B",INDEX(MODELOS!$G$3:$G$19,MATCH($D518,MODELOS!$A$3:$A$19,0)),INDEX(MODELOS!$C$3:$C$19,MATCH($D518,MODELOS!$A$3:$A$19,0))),IF(INDEX(PRODUTOS!$I$4:$I$63,MATCH($A518,PRODUTOS!$B$4:$B$63,0))="B",INDEX(MODELOS!$H$3:$H$19,MATCH($D518,MODELOS!$A$3:$A$19,0)),INDEX(MODELOS!$D$3:$D$19,MATCH($D518,MODELOS!$A$3:$A$19,0))))</f>
        <v>Quantidade diária por peso do cão/gato (números idênticos à embalagem)</v>
      </c>
      <c r="H518" s="11" t="str">
        <f aca="false">IF(INDEX(PRODUTOS!$I$4:$I$63,MATCH($A518,PRODUTOS!$B$4:$B$63,0))="B",INDEX(MODELOS!$I$3:$I$19,MATCH($D518,MODELOS!$A$3:$A$19,0)),INDEX(MODELOS!$E$3:$E$19,MATCH($D518,MODELOS!$A$3:$A$19,0)))</f>
        <v>2000 × 2000</v>
      </c>
      <c r="I518" s="11" t="str">
        <f aca="false">INDEX(MODELOS!$J$3:$J$19,MATCH($D518,MODELOS!$A$3:$A$19,0))</f>
        <v>SIM</v>
      </c>
      <c r="J518" s="11" t="str">
        <f aca="false">IF(LEFT($D518,2)&lt;&gt;"AP",IF($I518="SIM","SIM","RECOMENDADA"),IF(INDEX(PRODUTOS!$J$4:$J$63,MATCH($A518,PRODUTOS!$B$4:$B$63,0))&lt;&gt;"","NÃO (usa o A+ do EAN "&amp;INDEX(PRODUTOS!$J$4:$J$63,MATCH($A518,PRODUTOS!$B$4:$B$63,0))&amp;")",IF(AND(INDEX(PRODUTOS!$I$4:$I$63,MATCH($A518,PRODUTOS!$B$4:$B$63,0))="B",$D518="AP07"),"NÃO (modelo B)","SIM")))</f>
        <v>SIM</v>
      </c>
      <c r="K518" s="13" t="s">
        <v>325</v>
      </c>
      <c r="L518" s="13"/>
    </row>
    <row r="519" customFormat="false" ht="15" hidden="false" customHeight="false" outlineLevel="0" collapsed="false">
      <c r="A519" s="15" t="s">
        <v>177</v>
      </c>
      <c r="B519" s="11" t="str">
        <f aca="false">INDEX(PRODUTOS!$E$4:$E$63,MATCH($A519,PRODUTOS!$B$4:$B$63,0))</f>
        <v>Ração Natural Dots Super Premium Cães Raças Pequenas Sabor Frango 1 kg</v>
      </c>
      <c r="C519" s="11" t="str">
        <f aca="false">INDEX(PRODUTOS!$H$4:$H$63,MATCH($A519,PRODUTOS!$B$4:$B$63,0))</f>
        <v>1 kg</v>
      </c>
      <c r="D519" s="11" t="s">
        <v>330</v>
      </c>
      <c r="E519" s="16" t="str">
        <f aca="false">$A519&amp;"."&amp;$D519&amp;".jpg"</f>
        <v>7908591301021.PT05.jpg</v>
      </c>
      <c r="F519" s="11" t="str">
        <f aca="false">IF(INDEX(PRODUTOS!$I$4:$I$63,MATCH($A519,PRODUTOS!$B$4:$B$63,0))="B",INDEX(MODELOS!$F$3:$F$19,MATCH($D519,MODELOS!$A$3:$A$19,0)),INDEX(MODELOS!$B$3:$B$19,MATCH($D519,MODELOS!$A$3:$A$19,0)))</f>
        <v>Galeria · posição 6</v>
      </c>
      <c r="G519" s="11" t="str">
        <f aca="false">IF(INDEX(PRODUTOS!$F$4:$F$63,MATCH($A519,PRODUTOS!$B$4:$B$63,0))="Ração",IF(INDEX(PRODUTOS!$I$4:$I$63,MATCH($A519,PRODUTOS!$B$4:$B$63,0))="B",INDEX(MODELOS!$G$3:$G$19,MATCH($D519,MODELOS!$A$3:$A$19,0)),INDEX(MODELOS!$C$3:$C$19,MATCH($D519,MODELOS!$A$3:$A$19,0))),IF(INDEX(PRODUTOS!$I$4:$I$63,MATCH($A519,PRODUTOS!$B$4:$B$63,0))="B",INDEX(MODELOS!$H$3:$H$19,MATCH($D519,MODELOS!$A$3:$A$19,0)),INDEX(MODELOS!$D$3:$D$19,MATCH($D519,MODELOS!$A$3:$A$19,0))))</f>
        <v>Transição alimentar dia a dia (igual ao verso da embalagem)</v>
      </c>
      <c r="H519" s="11" t="str">
        <f aca="false">IF(INDEX(PRODUTOS!$I$4:$I$63,MATCH($A519,PRODUTOS!$B$4:$B$63,0))="B",INDEX(MODELOS!$I$3:$I$19,MATCH($D519,MODELOS!$A$3:$A$19,0)),INDEX(MODELOS!$E$3:$E$19,MATCH($D519,MODELOS!$A$3:$A$19,0)))</f>
        <v>2000 × 2000</v>
      </c>
      <c r="I519" s="11" t="str">
        <f aca="false">INDEX(MODELOS!$J$3:$J$19,MATCH($D519,MODELOS!$A$3:$A$19,0))</f>
        <v>Recomendada</v>
      </c>
      <c r="J519" s="11" t="str">
        <f aca="false">IF(LEFT($D519,2)&lt;&gt;"AP",IF($I519="SIM","SIM","RECOMENDADA"),IF(INDEX(PRODUTOS!$J$4:$J$63,MATCH($A519,PRODUTOS!$B$4:$B$63,0))&lt;&gt;"","NÃO (usa o A+ do EAN "&amp;INDEX(PRODUTOS!$J$4:$J$63,MATCH($A519,PRODUTOS!$B$4:$B$63,0))&amp;")",IF(AND(INDEX(PRODUTOS!$I$4:$I$63,MATCH($A519,PRODUTOS!$B$4:$B$63,0))="B",$D519="AP07"),"NÃO (modelo B)","SIM")))</f>
        <v>RECOMENDADA</v>
      </c>
      <c r="K519" s="13" t="s">
        <v>325</v>
      </c>
      <c r="L519" s="13"/>
    </row>
    <row r="520" customFormat="false" ht="15" hidden="false" customHeight="false" outlineLevel="0" collapsed="false">
      <c r="A520" s="15" t="s">
        <v>177</v>
      </c>
      <c r="B520" s="11" t="str">
        <f aca="false">INDEX(PRODUTOS!$E$4:$E$63,MATCH($A520,PRODUTOS!$B$4:$B$63,0))</f>
        <v>Ração Natural Dots Super Premium Cães Raças Pequenas Sabor Frango 1 kg</v>
      </c>
      <c r="C520" s="11" t="str">
        <f aca="false">INDEX(PRODUTOS!$H$4:$H$63,MATCH($A520,PRODUTOS!$B$4:$B$63,0))</f>
        <v>1 kg</v>
      </c>
      <c r="D520" s="11" t="s">
        <v>331</v>
      </c>
      <c r="E520" s="16" t="str">
        <f aca="false">$A520&amp;"."&amp;$D520&amp;".jpg"</f>
        <v>7908591301021.PT06.jpg</v>
      </c>
      <c r="F520" s="11" t="str">
        <f aca="false">IF(INDEX(PRODUTOS!$I$4:$I$63,MATCH($A520,PRODUTOS!$B$4:$B$63,0))="B",INDEX(MODELOS!$F$3:$F$19,MATCH($D520,MODELOS!$A$3:$A$19,0)),INDEX(MODELOS!$B$3:$B$19,MATCH($D520,MODELOS!$A$3:$A$19,0)))</f>
        <v>Galeria · posição 7</v>
      </c>
      <c r="G520" s="11" t="str">
        <f aca="false">IF(INDEX(PRODUTOS!$F$4:$F$63,MATCH($A520,PRODUTOS!$B$4:$B$63,0))="Ração",IF(INDEX(PRODUTOS!$I$4:$I$63,MATCH($A520,PRODUTOS!$B$4:$B$63,0))="B",INDEX(MODELOS!$G$3:$G$19,MATCH($D520,MODELOS!$A$3:$A$19,0)),INDEX(MODELOS!$C$3:$C$19,MATCH($D520,MODELOS!$A$3:$A$19,0))),IF(INDEX(PRODUTOS!$I$4:$I$63,MATCH($A520,PRODUTOS!$B$4:$B$63,0))="B",INDEX(MODELOS!$H$3:$H$19,MATCH($D520,MODELOS!$A$3:$A$19,0)),INDEX(MODELOS!$D$3:$D$19,MATCH($D520,MODELOS!$A$3:$A$19,0))))</f>
        <v>Composição e níveis de garantia em letra grande</v>
      </c>
      <c r="H520" s="11" t="str">
        <f aca="false">IF(INDEX(PRODUTOS!$I$4:$I$63,MATCH($A520,PRODUTOS!$B$4:$B$63,0))="B",INDEX(MODELOS!$I$3:$I$19,MATCH($D520,MODELOS!$A$3:$A$19,0)),INDEX(MODELOS!$E$3:$E$19,MATCH($D520,MODELOS!$A$3:$A$19,0)))</f>
        <v>2000 × 2000</v>
      </c>
      <c r="I520" s="11" t="str">
        <f aca="false">INDEX(MODELOS!$J$3:$J$19,MATCH($D520,MODELOS!$A$3:$A$19,0))</f>
        <v>SIM</v>
      </c>
      <c r="J520" s="11" t="str">
        <f aca="false">IF(LEFT($D520,2)&lt;&gt;"AP",IF($I520="SIM","SIM","RECOMENDADA"),IF(INDEX(PRODUTOS!$J$4:$J$63,MATCH($A520,PRODUTOS!$B$4:$B$63,0))&lt;&gt;"","NÃO (usa o A+ do EAN "&amp;INDEX(PRODUTOS!$J$4:$J$63,MATCH($A520,PRODUTOS!$B$4:$B$63,0))&amp;")",IF(AND(INDEX(PRODUTOS!$I$4:$I$63,MATCH($A520,PRODUTOS!$B$4:$B$63,0))="B",$D520="AP07"),"NÃO (modelo B)","SIM")))</f>
        <v>SIM</v>
      </c>
      <c r="K520" s="13" t="s">
        <v>325</v>
      </c>
      <c r="L520" s="13"/>
    </row>
    <row r="521" customFormat="false" ht="15" hidden="false" customHeight="false" outlineLevel="0" collapsed="false">
      <c r="A521" s="15" t="s">
        <v>177</v>
      </c>
      <c r="B521" s="11" t="str">
        <f aca="false">INDEX(PRODUTOS!$E$4:$E$63,MATCH($A521,PRODUTOS!$B$4:$B$63,0))</f>
        <v>Ração Natural Dots Super Premium Cães Raças Pequenas Sabor Frango 1 kg</v>
      </c>
      <c r="C521" s="11" t="str">
        <f aca="false">INDEX(PRODUTOS!$H$4:$H$63,MATCH($A521,PRODUTOS!$B$4:$B$63,0))</f>
        <v>1 kg</v>
      </c>
      <c r="D521" s="11" t="s">
        <v>332</v>
      </c>
      <c r="E521" s="16" t="str">
        <f aca="false">$A521&amp;"."&amp;$D521&amp;".jpg"</f>
        <v>7908591301021.PT07.jpg</v>
      </c>
      <c r="F521" s="11" t="str">
        <f aca="false">IF(INDEX(PRODUTOS!$I$4:$I$63,MATCH($A521,PRODUTOS!$B$4:$B$63,0))="B",INDEX(MODELOS!$F$3:$F$19,MATCH($D521,MODELOS!$A$3:$A$19,0)),INDEX(MODELOS!$B$3:$B$19,MATCH($D521,MODELOS!$A$3:$A$19,0)))</f>
        <v>Galeria · posição 8</v>
      </c>
      <c r="G521" s="11" t="str">
        <f aca="false">IF(INDEX(PRODUTOS!$F$4:$F$63,MATCH($A521,PRODUTOS!$B$4:$B$63,0))="Ração",IF(INDEX(PRODUTOS!$I$4:$I$63,MATCH($A521,PRODUTOS!$B$4:$B$63,0))="B",INDEX(MODELOS!$G$3:$G$19,MATCH($D521,MODELOS!$A$3:$A$19,0)),INDEX(MODELOS!$C$3:$C$19,MATCH($D521,MODELOS!$A$3:$A$19,0))),IF(INDEX(PRODUTOS!$I$4:$I$63,MATCH($A521,PRODUTOS!$B$4:$B$63,0))="B",INDEX(MODELOS!$H$3:$H$19,MATCH($D521,MODELOS!$A$3:$A$19,0)),INDEX(MODELOS!$D$3:$D$19,MATCH($D521,MODELOS!$A$3:$A$19,0))))</f>
        <v>Emocional / momento de uso (pet do porte certo, pote cheio)</v>
      </c>
      <c r="H521" s="11" t="str">
        <f aca="false">IF(INDEX(PRODUTOS!$I$4:$I$63,MATCH($A521,PRODUTOS!$B$4:$B$63,0))="B",INDEX(MODELOS!$I$3:$I$19,MATCH($D521,MODELOS!$A$3:$A$19,0)),INDEX(MODELOS!$E$3:$E$19,MATCH($D521,MODELOS!$A$3:$A$19,0)))</f>
        <v>2000 × 2000</v>
      </c>
      <c r="I521" s="11" t="str">
        <f aca="false">INDEX(MODELOS!$J$3:$J$19,MATCH($D521,MODELOS!$A$3:$A$19,0))</f>
        <v>Recomendada</v>
      </c>
      <c r="J521" s="11" t="str">
        <f aca="false">IF(LEFT($D521,2)&lt;&gt;"AP",IF($I521="SIM","SIM","RECOMENDADA"),IF(INDEX(PRODUTOS!$J$4:$J$63,MATCH($A521,PRODUTOS!$B$4:$B$63,0))&lt;&gt;"","NÃO (usa o A+ do EAN "&amp;INDEX(PRODUTOS!$J$4:$J$63,MATCH($A521,PRODUTOS!$B$4:$B$63,0))&amp;")",IF(AND(INDEX(PRODUTOS!$I$4:$I$63,MATCH($A521,PRODUTOS!$B$4:$B$63,0))="B",$D521="AP07"),"NÃO (modelo B)","SIM")))</f>
        <v>RECOMENDADA</v>
      </c>
      <c r="K521" s="13" t="s">
        <v>325</v>
      </c>
      <c r="L521" s="13"/>
    </row>
    <row r="522" customFormat="false" ht="15" hidden="false" customHeight="false" outlineLevel="0" collapsed="false">
      <c r="A522" s="15" t="s">
        <v>177</v>
      </c>
      <c r="B522" s="11" t="str">
        <f aca="false">INDEX(PRODUTOS!$E$4:$E$63,MATCH($A522,PRODUTOS!$B$4:$B$63,0))</f>
        <v>Ração Natural Dots Super Premium Cães Raças Pequenas Sabor Frango 1 kg</v>
      </c>
      <c r="C522" s="11" t="str">
        <f aca="false">INDEX(PRODUTOS!$H$4:$H$63,MATCH($A522,PRODUTOS!$B$4:$B$63,0))</f>
        <v>1 kg</v>
      </c>
      <c r="D522" s="11" t="s">
        <v>333</v>
      </c>
      <c r="E522" s="16" t="str">
        <f aca="false">$A522&amp;"."&amp;$D522&amp;".jpg"</f>
        <v>7908591301021.PT08.jpg</v>
      </c>
      <c r="F522" s="11" t="str">
        <f aca="false">IF(INDEX(PRODUTOS!$I$4:$I$63,MATCH($A522,PRODUTOS!$B$4:$B$63,0))="B",INDEX(MODELOS!$F$3:$F$19,MATCH($D522,MODELOS!$A$3:$A$19,0)),INDEX(MODELOS!$B$3:$B$19,MATCH($D522,MODELOS!$A$3:$A$19,0)))</f>
        <v>Galeria · posição 9</v>
      </c>
      <c r="G522" s="11" t="str">
        <f aca="false">IF(INDEX(PRODUTOS!$F$4:$F$63,MATCH($A522,PRODUTOS!$B$4:$B$63,0))="Ração",IF(INDEX(PRODUTOS!$I$4:$I$63,MATCH($A522,PRODUTOS!$B$4:$B$63,0))="B",INDEX(MODELOS!$G$3:$G$19,MATCH($D522,MODELOS!$A$3:$A$19,0)),INDEX(MODELOS!$C$3:$C$19,MATCH($D522,MODELOS!$A$3:$A$19,0))),IF(INDEX(PRODUTOS!$I$4:$I$63,MATCH($A522,PRODUTOS!$B$4:$B$63,0))="B",INDEX(MODELOS!$H$3:$H$19,MATCH($D522,MODELOS!$A$3:$A$19,0)),INDEX(MODELOS!$D$3:$D$19,MATCH($D522,MODELOS!$A$3:$A$19,0))))</f>
        <v>Linha da marca ou embalagem anterior × nova</v>
      </c>
      <c r="H522" s="11" t="str">
        <f aca="false">IF(INDEX(PRODUTOS!$I$4:$I$63,MATCH($A522,PRODUTOS!$B$4:$B$63,0))="B",INDEX(MODELOS!$I$3:$I$19,MATCH($D522,MODELOS!$A$3:$A$19,0)),INDEX(MODELOS!$E$3:$E$19,MATCH($D522,MODELOS!$A$3:$A$19,0)))</f>
        <v>2000 × 2000</v>
      </c>
      <c r="I522" s="11" t="str">
        <f aca="false">INDEX(MODELOS!$J$3:$J$19,MATCH($D522,MODELOS!$A$3:$A$19,0))</f>
        <v>Recomendada</v>
      </c>
      <c r="J522" s="11" t="str">
        <f aca="false">IF(LEFT($D522,2)&lt;&gt;"AP",IF($I522="SIM","SIM","RECOMENDADA"),IF(INDEX(PRODUTOS!$J$4:$J$63,MATCH($A522,PRODUTOS!$B$4:$B$63,0))&lt;&gt;"","NÃO (usa o A+ do EAN "&amp;INDEX(PRODUTOS!$J$4:$J$63,MATCH($A522,PRODUTOS!$B$4:$B$63,0))&amp;")",IF(AND(INDEX(PRODUTOS!$I$4:$I$63,MATCH($A522,PRODUTOS!$B$4:$B$63,0))="B",$D522="AP07"),"NÃO (modelo B)","SIM")))</f>
        <v>RECOMENDADA</v>
      </c>
      <c r="K522" s="13" t="s">
        <v>325</v>
      </c>
      <c r="L522" s="13"/>
    </row>
    <row r="523" customFormat="false" ht="15" hidden="false" customHeight="false" outlineLevel="0" collapsed="false">
      <c r="A523" s="15" t="s">
        <v>177</v>
      </c>
      <c r="B523" s="11" t="str">
        <f aca="false">INDEX(PRODUTOS!$E$4:$E$63,MATCH($A523,PRODUTOS!$B$4:$B$63,0))</f>
        <v>Ração Natural Dots Super Premium Cães Raças Pequenas Sabor Frango 1 kg</v>
      </c>
      <c r="C523" s="11" t="str">
        <f aca="false">INDEX(PRODUTOS!$H$4:$H$63,MATCH($A523,PRODUTOS!$B$4:$B$63,0))</f>
        <v>1 kg</v>
      </c>
      <c r="D523" s="11" t="s">
        <v>334</v>
      </c>
      <c r="E523" s="16" t="str">
        <f aca="false">$A523&amp;"."&amp;$D523&amp;".jpg"</f>
        <v>7908591301021.AP01.jpg</v>
      </c>
      <c r="F523" s="11" t="str">
        <f aca="false">IF(INDEX(PRODUTOS!$I$4:$I$63,MATCH($A523,PRODUTOS!$B$4:$B$63,0))="B",INDEX(MODELOS!$F$3:$F$19,MATCH($D523,MODELOS!$A$3:$A$19,0)),INDEX(MODELOS!$B$3:$B$19,MATCH($D523,MODELOS!$A$3:$A$19,0)))</f>
        <v>A+ · Módulo 1 · Banner</v>
      </c>
      <c r="G523" s="11" t="str">
        <f aca="false">IF(INDEX(PRODUTOS!$F$4:$F$63,MATCH($A523,PRODUTOS!$B$4:$B$63,0))="Ração",IF(INDEX(PRODUTOS!$I$4:$I$63,MATCH($A523,PRODUTOS!$B$4:$B$63,0))="B",INDEX(MODELOS!$G$3:$G$19,MATCH($D523,MODELOS!$A$3:$A$19,0)),INDEX(MODELOS!$C$3:$C$19,MATCH($D523,MODELOS!$A$3:$A$19,0))),IF(INDEX(PRODUTOS!$I$4:$I$63,MATCH($A523,PRODUTOS!$B$4:$B$63,0))="B",INDEX(MODELOS!$H$3:$H$19,MATCH($D523,MODELOS!$A$3:$A$19,0)),INDEX(MODELOS!$D$3:$D$19,MATCH($D523,MODELOS!$A$3:$A$19,0))))</f>
        <v>Embalagem + pet + ingredientes, com o nome da linha</v>
      </c>
      <c r="H523" s="11" t="str">
        <f aca="false">IF(INDEX(PRODUTOS!$I$4:$I$63,MATCH($A523,PRODUTOS!$B$4:$B$63,0))="B",INDEX(MODELOS!$I$3:$I$19,MATCH($D523,MODELOS!$A$3:$A$19,0)),INDEX(MODELOS!$E$3:$E$19,MATCH($D523,MODELOS!$A$3:$A$19,0)))</f>
        <v>970 × 600</v>
      </c>
      <c r="I523" s="11" t="str">
        <f aca="false">INDEX(MODELOS!$J$3:$J$19,MATCH($D523,MODELOS!$A$3:$A$19,0))</f>
        <v>Conforme modelo</v>
      </c>
      <c r="J523" s="11" t="str">
        <f aca="false">IF(LEFT($D523,2)&lt;&gt;"AP",IF($I523="SIM","SIM","RECOMENDADA"),IF(INDEX(PRODUTOS!$J$4:$J$63,MATCH($A523,PRODUTOS!$B$4:$B$63,0))&lt;&gt;"","NÃO (usa o A+ do EAN "&amp;INDEX(PRODUTOS!$J$4:$J$63,MATCH($A523,PRODUTOS!$B$4:$B$63,0))&amp;")",IF(AND(INDEX(PRODUTOS!$I$4:$I$63,MATCH($A523,PRODUTOS!$B$4:$B$63,0))="B",$D523="AP07"),"NÃO (modelo B)","SIM")))</f>
        <v>SIM</v>
      </c>
      <c r="K523" s="13" t="s">
        <v>325</v>
      </c>
      <c r="L523" s="13"/>
    </row>
    <row r="524" customFormat="false" ht="15" hidden="false" customHeight="false" outlineLevel="0" collapsed="false">
      <c r="A524" s="15" t="s">
        <v>177</v>
      </c>
      <c r="B524" s="11" t="str">
        <f aca="false">INDEX(PRODUTOS!$E$4:$E$63,MATCH($A524,PRODUTOS!$B$4:$B$63,0))</f>
        <v>Ração Natural Dots Super Premium Cães Raças Pequenas Sabor Frango 1 kg</v>
      </c>
      <c r="C524" s="11" t="str">
        <f aca="false">INDEX(PRODUTOS!$H$4:$H$63,MATCH($A524,PRODUTOS!$B$4:$B$63,0))</f>
        <v>1 kg</v>
      </c>
      <c r="D524" s="11" t="s">
        <v>335</v>
      </c>
      <c r="E524" s="16" t="str">
        <f aca="false">$A524&amp;"."&amp;$D524&amp;".jpg"</f>
        <v>7908591301021.AP02.jpg</v>
      </c>
      <c r="F524" s="11" t="str">
        <f aca="false">IF(INDEX(PRODUTOS!$I$4:$I$63,MATCH($A524,PRODUTOS!$B$4:$B$63,0))="B",INDEX(MODELOS!$F$3:$F$19,MATCH($D524,MODELOS!$A$3:$A$19,0)),INDEX(MODELOS!$B$3:$B$19,MATCH($D524,MODELOS!$A$3:$A$19,0)))</f>
        <v>A+ · Módulo 2 · Texto sobreposto</v>
      </c>
      <c r="G524" s="11" t="str">
        <f aca="false">IF(INDEX(PRODUTOS!$F$4:$F$63,MATCH($A524,PRODUTOS!$B$4:$B$63,0))="Ração",IF(INDEX(PRODUTOS!$I$4:$I$63,MATCH($A524,PRODUTOS!$B$4:$B$63,0))="B",INDEX(MODELOS!$G$3:$G$19,MATCH($D524,MODELOS!$A$3:$A$19,0)),INDEX(MODELOS!$C$3:$C$19,MATCH($D524,MODELOS!$A$3:$A$19,0))),IF(INDEX(PRODUTOS!$I$4:$I$63,MATCH($A524,PRODUTOS!$B$4:$B$63,0))="B",INDEX(MODELOS!$H$3:$H$19,MATCH($D524,MODELOS!$A$3:$A$19,0)),INDEX(MODELOS!$D$3:$D$19,MATCH($D524,MODELOS!$A$3:$A$19,0))))</f>
        <v>Principal diferencial; deixar o lado direito limpo</v>
      </c>
      <c r="H524" s="11" t="str">
        <f aca="false">IF(INDEX(PRODUTOS!$I$4:$I$63,MATCH($A524,PRODUTOS!$B$4:$B$63,0))="B",INDEX(MODELOS!$I$3:$I$19,MATCH($D524,MODELOS!$A$3:$A$19,0)),INDEX(MODELOS!$E$3:$E$19,MATCH($D524,MODELOS!$A$3:$A$19,0)))</f>
        <v>970 × 300</v>
      </c>
      <c r="I524" s="11" t="str">
        <f aca="false">INDEX(MODELOS!$J$3:$J$19,MATCH($D524,MODELOS!$A$3:$A$19,0))</f>
        <v>Conforme modelo</v>
      </c>
      <c r="J524" s="11" t="str">
        <f aca="false">IF(LEFT($D524,2)&lt;&gt;"AP",IF($I524="SIM","SIM","RECOMENDADA"),IF(INDEX(PRODUTOS!$J$4:$J$63,MATCH($A524,PRODUTOS!$B$4:$B$63,0))&lt;&gt;"","NÃO (usa o A+ do EAN "&amp;INDEX(PRODUTOS!$J$4:$J$63,MATCH($A524,PRODUTOS!$B$4:$B$63,0))&amp;")",IF(AND(INDEX(PRODUTOS!$I$4:$I$63,MATCH($A524,PRODUTOS!$B$4:$B$63,0))="B",$D524="AP07"),"NÃO (modelo B)","SIM")))</f>
        <v>SIM</v>
      </c>
      <c r="K524" s="13" t="s">
        <v>325</v>
      </c>
      <c r="L524" s="13"/>
    </row>
    <row r="525" customFormat="false" ht="15" hidden="false" customHeight="false" outlineLevel="0" collapsed="false">
      <c r="A525" s="15" t="s">
        <v>177</v>
      </c>
      <c r="B525" s="11" t="str">
        <f aca="false">INDEX(PRODUTOS!$E$4:$E$63,MATCH($A525,PRODUTOS!$B$4:$B$63,0))</f>
        <v>Ração Natural Dots Super Premium Cães Raças Pequenas Sabor Frango 1 kg</v>
      </c>
      <c r="C525" s="11" t="str">
        <f aca="false">INDEX(PRODUTOS!$H$4:$H$63,MATCH($A525,PRODUTOS!$B$4:$B$63,0))</f>
        <v>1 kg</v>
      </c>
      <c r="D525" s="11" t="s">
        <v>336</v>
      </c>
      <c r="E525" s="16" t="str">
        <f aca="false">$A525&amp;"."&amp;$D525&amp;".jpg"</f>
        <v>7908591301021.AP03.jpg</v>
      </c>
      <c r="F525" s="11" t="str">
        <f aca="false">IF(INDEX(PRODUTOS!$I$4:$I$63,MATCH($A525,PRODUTOS!$B$4:$B$63,0))="B",INDEX(MODELOS!$F$3:$F$19,MATCH($D525,MODELOS!$A$3:$A$19,0)),INDEX(MODELOS!$B$3:$B$19,MATCH($D525,MODELOS!$A$3:$A$19,0)))</f>
        <v>A+ · Módulo 3 · Benefício 1 de 4</v>
      </c>
      <c r="G525" s="11" t="str">
        <f aca="false">IF(INDEX(PRODUTOS!$F$4:$F$63,MATCH($A525,PRODUTOS!$B$4:$B$63,0))="Ração",IF(INDEX(PRODUTOS!$I$4:$I$63,MATCH($A525,PRODUTOS!$B$4:$B$63,0))="B",INDEX(MODELOS!$G$3:$G$19,MATCH($D525,MODELOS!$A$3:$A$19,0)),INDEX(MODELOS!$C$3:$C$19,MATCH($D525,MODELOS!$A$3:$A$19,0))),IF(INDEX(PRODUTOS!$I$4:$I$63,MATCH($A525,PRODUTOS!$B$4:$B$63,0))="B",INDEX(MODELOS!$H$3:$H$19,MATCH($D525,MODELOS!$A$3:$A$19,0)),INDEX(MODELOS!$D$3:$D$19,MATCH($D525,MODELOS!$A$3:$A$19,0))))</f>
        <v>Foto/ilustração do benefício 1</v>
      </c>
      <c r="H525" s="11" t="str">
        <f aca="false">IF(INDEX(PRODUTOS!$I$4:$I$63,MATCH($A525,PRODUTOS!$B$4:$B$63,0))="B",INDEX(MODELOS!$I$3:$I$19,MATCH($D525,MODELOS!$A$3:$A$19,0)),INDEX(MODELOS!$E$3:$E$19,MATCH($D525,MODELOS!$A$3:$A$19,0)))</f>
        <v>220 × 200</v>
      </c>
      <c r="I525" s="11" t="str">
        <f aca="false">INDEX(MODELOS!$J$3:$J$19,MATCH($D525,MODELOS!$A$3:$A$19,0))</f>
        <v>Conforme modelo</v>
      </c>
      <c r="J525" s="11" t="str">
        <f aca="false">IF(LEFT($D525,2)&lt;&gt;"AP",IF($I525="SIM","SIM","RECOMENDADA"),IF(INDEX(PRODUTOS!$J$4:$J$63,MATCH($A525,PRODUTOS!$B$4:$B$63,0))&lt;&gt;"","NÃO (usa o A+ do EAN "&amp;INDEX(PRODUTOS!$J$4:$J$63,MATCH($A525,PRODUTOS!$B$4:$B$63,0))&amp;")",IF(AND(INDEX(PRODUTOS!$I$4:$I$63,MATCH($A525,PRODUTOS!$B$4:$B$63,0))="B",$D525="AP07"),"NÃO (modelo B)","SIM")))</f>
        <v>SIM</v>
      </c>
      <c r="K525" s="13" t="s">
        <v>325</v>
      </c>
      <c r="L525" s="13"/>
    </row>
    <row r="526" customFormat="false" ht="15" hidden="false" customHeight="false" outlineLevel="0" collapsed="false">
      <c r="A526" s="15" t="s">
        <v>177</v>
      </c>
      <c r="B526" s="11" t="str">
        <f aca="false">INDEX(PRODUTOS!$E$4:$E$63,MATCH($A526,PRODUTOS!$B$4:$B$63,0))</f>
        <v>Ração Natural Dots Super Premium Cães Raças Pequenas Sabor Frango 1 kg</v>
      </c>
      <c r="C526" s="11" t="str">
        <f aca="false">INDEX(PRODUTOS!$H$4:$H$63,MATCH($A526,PRODUTOS!$B$4:$B$63,0))</f>
        <v>1 kg</v>
      </c>
      <c r="D526" s="11" t="s">
        <v>337</v>
      </c>
      <c r="E526" s="16" t="str">
        <f aca="false">$A526&amp;"."&amp;$D526&amp;".jpg"</f>
        <v>7908591301021.AP04.jpg</v>
      </c>
      <c r="F526" s="11" t="str">
        <f aca="false">IF(INDEX(PRODUTOS!$I$4:$I$63,MATCH($A526,PRODUTOS!$B$4:$B$63,0))="B",INDEX(MODELOS!$F$3:$F$19,MATCH($D526,MODELOS!$A$3:$A$19,0)),INDEX(MODELOS!$B$3:$B$19,MATCH($D526,MODELOS!$A$3:$A$19,0)))</f>
        <v>A+ · Módulo 3 · Benefício 2 de 4</v>
      </c>
      <c r="G526" s="11" t="str">
        <f aca="false">IF(INDEX(PRODUTOS!$F$4:$F$63,MATCH($A526,PRODUTOS!$B$4:$B$63,0))="Ração",IF(INDEX(PRODUTOS!$I$4:$I$63,MATCH($A526,PRODUTOS!$B$4:$B$63,0))="B",INDEX(MODELOS!$G$3:$G$19,MATCH($D526,MODELOS!$A$3:$A$19,0)),INDEX(MODELOS!$C$3:$C$19,MATCH($D526,MODELOS!$A$3:$A$19,0))),IF(INDEX(PRODUTOS!$I$4:$I$63,MATCH($A526,PRODUTOS!$B$4:$B$63,0))="B",INDEX(MODELOS!$H$3:$H$19,MATCH($D526,MODELOS!$A$3:$A$19,0)),INDEX(MODELOS!$D$3:$D$19,MATCH($D526,MODELOS!$A$3:$A$19,0))))</f>
        <v>Foto/ilustração do benefício 2</v>
      </c>
      <c r="H526" s="11" t="str">
        <f aca="false">IF(INDEX(PRODUTOS!$I$4:$I$63,MATCH($A526,PRODUTOS!$B$4:$B$63,0))="B",INDEX(MODELOS!$I$3:$I$19,MATCH($D526,MODELOS!$A$3:$A$19,0)),INDEX(MODELOS!$E$3:$E$19,MATCH($D526,MODELOS!$A$3:$A$19,0)))</f>
        <v>220 × 200</v>
      </c>
      <c r="I526" s="11" t="str">
        <f aca="false">INDEX(MODELOS!$J$3:$J$19,MATCH($D526,MODELOS!$A$3:$A$19,0))</f>
        <v>Conforme modelo</v>
      </c>
      <c r="J526" s="11" t="str">
        <f aca="false">IF(LEFT($D526,2)&lt;&gt;"AP",IF($I526="SIM","SIM","RECOMENDADA"),IF(INDEX(PRODUTOS!$J$4:$J$63,MATCH($A526,PRODUTOS!$B$4:$B$63,0))&lt;&gt;"","NÃO (usa o A+ do EAN "&amp;INDEX(PRODUTOS!$J$4:$J$63,MATCH($A526,PRODUTOS!$B$4:$B$63,0))&amp;")",IF(AND(INDEX(PRODUTOS!$I$4:$I$63,MATCH($A526,PRODUTOS!$B$4:$B$63,0))="B",$D526="AP07"),"NÃO (modelo B)","SIM")))</f>
        <v>SIM</v>
      </c>
      <c r="K526" s="13" t="s">
        <v>325</v>
      </c>
      <c r="L526" s="13"/>
    </row>
    <row r="527" customFormat="false" ht="15" hidden="false" customHeight="false" outlineLevel="0" collapsed="false">
      <c r="A527" s="15" t="s">
        <v>177</v>
      </c>
      <c r="B527" s="11" t="str">
        <f aca="false">INDEX(PRODUTOS!$E$4:$E$63,MATCH($A527,PRODUTOS!$B$4:$B$63,0))</f>
        <v>Ração Natural Dots Super Premium Cães Raças Pequenas Sabor Frango 1 kg</v>
      </c>
      <c r="C527" s="11" t="str">
        <f aca="false">INDEX(PRODUTOS!$H$4:$H$63,MATCH($A527,PRODUTOS!$B$4:$B$63,0))</f>
        <v>1 kg</v>
      </c>
      <c r="D527" s="11" t="s">
        <v>338</v>
      </c>
      <c r="E527" s="16" t="str">
        <f aca="false">$A527&amp;"."&amp;$D527&amp;".jpg"</f>
        <v>7908591301021.AP05.jpg</v>
      </c>
      <c r="F527" s="11" t="str">
        <f aca="false">IF(INDEX(PRODUTOS!$I$4:$I$63,MATCH($A527,PRODUTOS!$B$4:$B$63,0))="B",INDEX(MODELOS!$F$3:$F$19,MATCH($D527,MODELOS!$A$3:$A$19,0)),INDEX(MODELOS!$B$3:$B$19,MATCH($D527,MODELOS!$A$3:$A$19,0)))</f>
        <v>A+ · Módulo 3 · Benefício 3 de 4</v>
      </c>
      <c r="G527" s="11" t="str">
        <f aca="false">IF(INDEX(PRODUTOS!$F$4:$F$63,MATCH($A527,PRODUTOS!$B$4:$B$63,0))="Ração",IF(INDEX(PRODUTOS!$I$4:$I$63,MATCH($A527,PRODUTOS!$B$4:$B$63,0))="B",INDEX(MODELOS!$G$3:$G$19,MATCH($D527,MODELOS!$A$3:$A$19,0)),INDEX(MODELOS!$C$3:$C$19,MATCH($D527,MODELOS!$A$3:$A$19,0))),IF(INDEX(PRODUTOS!$I$4:$I$63,MATCH($A527,PRODUTOS!$B$4:$B$63,0))="B",INDEX(MODELOS!$H$3:$H$19,MATCH($D527,MODELOS!$A$3:$A$19,0)),INDEX(MODELOS!$D$3:$D$19,MATCH($D527,MODELOS!$A$3:$A$19,0))))</f>
        <v>Foto/ilustração do benefício 3</v>
      </c>
      <c r="H527" s="11" t="str">
        <f aca="false">IF(INDEX(PRODUTOS!$I$4:$I$63,MATCH($A527,PRODUTOS!$B$4:$B$63,0))="B",INDEX(MODELOS!$I$3:$I$19,MATCH($D527,MODELOS!$A$3:$A$19,0)),INDEX(MODELOS!$E$3:$E$19,MATCH($D527,MODELOS!$A$3:$A$19,0)))</f>
        <v>220 × 200</v>
      </c>
      <c r="I527" s="11" t="str">
        <f aca="false">INDEX(MODELOS!$J$3:$J$19,MATCH($D527,MODELOS!$A$3:$A$19,0))</f>
        <v>Conforme modelo</v>
      </c>
      <c r="J527" s="11" t="str">
        <f aca="false">IF(LEFT($D527,2)&lt;&gt;"AP",IF($I527="SIM","SIM","RECOMENDADA"),IF(INDEX(PRODUTOS!$J$4:$J$63,MATCH($A527,PRODUTOS!$B$4:$B$63,0))&lt;&gt;"","NÃO (usa o A+ do EAN "&amp;INDEX(PRODUTOS!$J$4:$J$63,MATCH($A527,PRODUTOS!$B$4:$B$63,0))&amp;")",IF(AND(INDEX(PRODUTOS!$I$4:$I$63,MATCH($A527,PRODUTOS!$B$4:$B$63,0))="B",$D527="AP07"),"NÃO (modelo B)","SIM")))</f>
        <v>SIM</v>
      </c>
      <c r="K527" s="13" t="s">
        <v>325</v>
      </c>
      <c r="L527" s="13"/>
    </row>
    <row r="528" customFormat="false" ht="15" hidden="false" customHeight="false" outlineLevel="0" collapsed="false">
      <c r="A528" s="15" t="s">
        <v>177</v>
      </c>
      <c r="B528" s="11" t="str">
        <f aca="false">INDEX(PRODUTOS!$E$4:$E$63,MATCH($A528,PRODUTOS!$B$4:$B$63,0))</f>
        <v>Ração Natural Dots Super Premium Cães Raças Pequenas Sabor Frango 1 kg</v>
      </c>
      <c r="C528" s="11" t="str">
        <f aca="false">INDEX(PRODUTOS!$H$4:$H$63,MATCH($A528,PRODUTOS!$B$4:$B$63,0))</f>
        <v>1 kg</v>
      </c>
      <c r="D528" s="11" t="s">
        <v>339</v>
      </c>
      <c r="E528" s="16" t="str">
        <f aca="false">$A528&amp;"."&amp;$D528&amp;".jpg"</f>
        <v>7908591301021.AP06.jpg</v>
      </c>
      <c r="F528" s="11" t="str">
        <f aca="false">IF(INDEX(PRODUTOS!$I$4:$I$63,MATCH($A528,PRODUTOS!$B$4:$B$63,0))="B",INDEX(MODELOS!$F$3:$F$19,MATCH($D528,MODELOS!$A$3:$A$19,0)),INDEX(MODELOS!$B$3:$B$19,MATCH($D528,MODELOS!$A$3:$A$19,0)))</f>
        <v>A+ · Módulo 3 · Benefício 4 de 4</v>
      </c>
      <c r="G528" s="11" t="str">
        <f aca="false">IF(INDEX(PRODUTOS!$F$4:$F$63,MATCH($A528,PRODUTOS!$B$4:$B$63,0))="Ração",IF(INDEX(PRODUTOS!$I$4:$I$63,MATCH($A528,PRODUTOS!$B$4:$B$63,0))="B",INDEX(MODELOS!$G$3:$G$19,MATCH($D528,MODELOS!$A$3:$A$19,0)),INDEX(MODELOS!$C$3:$C$19,MATCH($D528,MODELOS!$A$3:$A$19,0))),IF(INDEX(PRODUTOS!$I$4:$I$63,MATCH($A528,PRODUTOS!$B$4:$B$63,0))="B",INDEX(MODELOS!$H$3:$H$19,MATCH($D528,MODELOS!$A$3:$A$19,0)),INDEX(MODELOS!$D$3:$D$19,MATCH($D528,MODELOS!$A$3:$A$19,0))))</f>
        <v>Foto/ilustração do benefício 4</v>
      </c>
      <c r="H528" s="11" t="str">
        <f aca="false">IF(INDEX(PRODUTOS!$I$4:$I$63,MATCH($A528,PRODUTOS!$B$4:$B$63,0))="B",INDEX(MODELOS!$I$3:$I$19,MATCH($D528,MODELOS!$A$3:$A$19,0)),INDEX(MODELOS!$E$3:$E$19,MATCH($D528,MODELOS!$A$3:$A$19,0)))</f>
        <v>220 × 200</v>
      </c>
      <c r="I528" s="11" t="str">
        <f aca="false">INDEX(MODELOS!$J$3:$J$19,MATCH($D528,MODELOS!$A$3:$A$19,0))</f>
        <v>Conforme modelo</v>
      </c>
      <c r="J528" s="11" t="str">
        <f aca="false">IF(LEFT($D528,2)&lt;&gt;"AP",IF($I528="SIM","SIM","RECOMENDADA"),IF(INDEX(PRODUTOS!$J$4:$J$63,MATCH($A528,PRODUTOS!$B$4:$B$63,0))&lt;&gt;"","NÃO (usa o A+ do EAN "&amp;INDEX(PRODUTOS!$J$4:$J$63,MATCH($A528,PRODUTOS!$B$4:$B$63,0))&amp;")",IF(AND(INDEX(PRODUTOS!$I$4:$I$63,MATCH($A528,PRODUTOS!$B$4:$B$63,0))="B",$D528="AP07"),"NÃO (modelo B)","SIM")))</f>
        <v>SIM</v>
      </c>
      <c r="K528" s="13" t="s">
        <v>325</v>
      </c>
      <c r="L528" s="13"/>
    </row>
    <row r="529" customFormat="false" ht="15" hidden="false" customHeight="false" outlineLevel="0" collapsed="false">
      <c r="A529" s="15" t="s">
        <v>177</v>
      </c>
      <c r="B529" s="11" t="str">
        <f aca="false">INDEX(PRODUTOS!$E$4:$E$63,MATCH($A529,PRODUTOS!$B$4:$B$63,0))</f>
        <v>Ração Natural Dots Super Premium Cães Raças Pequenas Sabor Frango 1 kg</v>
      </c>
      <c r="C529" s="11" t="str">
        <f aca="false">INDEX(PRODUTOS!$H$4:$H$63,MATCH($A529,PRODUTOS!$B$4:$B$63,0))</f>
        <v>1 kg</v>
      </c>
      <c r="D529" s="11" t="s">
        <v>340</v>
      </c>
      <c r="E529" s="16" t="str">
        <f aca="false">$A529&amp;"."&amp;$D529&amp;".jpg"</f>
        <v>7908591301021.AP07.jpg</v>
      </c>
      <c r="F529" s="11" t="str">
        <f aca="false">IF(INDEX(PRODUTOS!$I$4:$I$63,MATCH($A529,PRODUTOS!$B$4:$B$63,0))="B",INDEX(MODELOS!$F$3:$F$19,MATCH($D529,MODELOS!$A$3:$A$19,0)),INDEX(MODELOS!$B$3:$B$19,MATCH($D529,MODELOS!$A$3:$A$19,0)))</f>
        <v>A+ · Módulo 4 · Especificações</v>
      </c>
      <c r="G529" s="11" t="str">
        <f aca="false">IF(INDEX(PRODUTOS!$F$4:$F$63,MATCH($A529,PRODUTOS!$B$4:$B$63,0))="Ração",IF(INDEX(PRODUTOS!$I$4:$I$63,MATCH($A529,PRODUTOS!$B$4:$B$63,0))="B",INDEX(MODELOS!$G$3:$G$19,MATCH($D529,MODELOS!$A$3:$A$19,0)),INDEX(MODELOS!$C$3:$C$19,MATCH($D529,MODELOS!$A$3:$A$19,0))),IF(INDEX(PRODUTOS!$I$4:$I$63,MATCH($A529,PRODUTOS!$B$4:$B$63,0))="B",INDEX(MODELOS!$H$3:$H$19,MATCH($D529,MODELOS!$A$3:$A$19,0)),INDEX(MODELOS!$D$3:$D$19,MATCH($D529,MODELOS!$A$3:$A$19,0))))</f>
        <v>Grão ou pacote em destaque</v>
      </c>
      <c r="H529" s="11" t="str">
        <f aca="false">IF(INDEX(PRODUTOS!$I$4:$I$63,MATCH($A529,PRODUTOS!$B$4:$B$63,0))="B",INDEX(MODELOS!$I$3:$I$19,MATCH($D529,MODELOS!$A$3:$A$19,0)),INDEX(MODELOS!$E$3:$E$19,MATCH($D529,MODELOS!$A$3:$A$19,0)))</f>
        <v>300 × 300</v>
      </c>
      <c r="I529" s="11" t="str">
        <f aca="false">INDEX(MODELOS!$J$3:$J$19,MATCH($D529,MODELOS!$A$3:$A$19,0))</f>
        <v>Conforme modelo</v>
      </c>
      <c r="J529" s="11" t="str">
        <f aca="false">IF(LEFT($D529,2)&lt;&gt;"AP",IF($I529="SIM","SIM","RECOMENDADA"),IF(INDEX(PRODUTOS!$J$4:$J$63,MATCH($A529,PRODUTOS!$B$4:$B$63,0))&lt;&gt;"","NÃO (usa o A+ do EAN "&amp;INDEX(PRODUTOS!$J$4:$J$63,MATCH($A529,PRODUTOS!$B$4:$B$63,0))&amp;")",IF(AND(INDEX(PRODUTOS!$I$4:$I$63,MATCH($A529,PRODUTOS!$B$4:$B$63,0))="B",$D529="AP07"),"NÃO (modelo B)","SIM")))</f>
        <v>SIM</v>
      </c>
      <c r="K529" s="13" t="s">
        <v>325</v>
      </c>
      <c r="L529" s="13"/>
    </row>
    <row r="530" customFormat="false" ht="15" hidden="false" customHeight="false" outlineLevel="0" collapsed="false">
      <c r="A530" s="15" t="s">
        <v>177</v>
      </c>
      <c r="B530" s="11" t="str">
        <f aca="false">INDEX(PRODUTOS!$E$4:$E$63,MATCH($A530,PRODUTOS!$B$4:$B$63,0))</f>
        <v>Ração Natural Dots Super Premium Cães Raças Pequenas Sabor Frango 1 kg</v>
      </c>
      <c r="C530" s="11" t="str">
        <f aca="false">INDEX(PRODUTOS!$H$4:$H$63,MATCH($A530,PRODUTOS!$B$4:$B$63,0))</f>
        <v>1 kg</v>
      </c>
      <c r="D530" s="11" t="s">
        <v>341</v>
      </c>
      <c r="E530" s="16" t="str">
        <f aca="false">$A530&amp;"."&amp;$D530&amp;".jpg"</f>
        <v>7908591301021.COMP.jpg</v>
      </c>
      <c r="F530" s="11" t="str">
        <f aca="false">IF(INDEX(PRODUTOS!$I$4:$I$63,MATCH($A530,PRODUTOS!$B$4:$B$63,0))="B",INDEX(MODELOS!$F$3:$F$19,MATCH($D530,MODELOS!$A$3:$A$19,0)),INDEX(MODELOS!$B$3:$B$19,MATCH($D530,MODELOS!$A$3:$A$19,0)))</f>
        <v>A+ · Tabela comparativa</v>
      </c>
      <c r="G530" s="11" t="str">
        <f aca="false">IF(INDEX(PRODUTOS!$F$4:$F$63,MATCH($A530,PRODUTOS!$B$4:$B$63,0))="Ração",IF(INDEX(PRODUTOS!$I$4:$I$63,MATCH($A530,PRODUTOS!$B$4:$B$63,0))="B",INDEX(MODELOS!$G$3:$G$19,MATCH($D530,MODELOS!$A$3:$A$19,0)),INDEX(MODELOS!$C$3:$C$19,MATCH($D530,MODELOS!$A$3:$A$19,0))),IF(INDEX(PRODUTOS!$I$4:$I$63,MATCH($A530,PRODUTOS!$B$4:$B$63,0))="B",INDEX(MODELOS!$H$3:$H$19,MATCH($D530,MODELOS!$A$3:$A$19,0)),INDEX(MODELOS!$D$3:$D$19,MATCH($D530,MODELOS!$A$3:$A$19,0))))</f>
        <v>Pacote na vertical, sem fundo colorido</v>
      </c>
      <c r="H530" s="11" t="str">
        <f aca="false">IF(INDEX(PRODUTOS!$I$4:$I$63,MATCH($A530,PRODUTOS!$B$4:$B$63,0))="B",INDEX(MODELOS!$I$3:$I$19,MATCH($D530,MODELOS!$A$3:$A$19,0)),INDEX(MODELOS!$E$3:$E$19,MATCH($D530,MODELOS!$A$3:$A$19,0)))</f>
        <v>150 × 300</v>
      </c>
      <c r="I530" s="11" t="str">
        <f aca="false">INDEX(MODELOS!$J$3:$J$19,MATCH($D530,MODELOS!$A$3:$A$19,0))</f>
        <v>SIM</v>
      </c>
      <c r="J530" s="11" t="str">
        <f aca="false">IF(LEFT($D530,2)&lt;&gt;"AP",IF($I530="SIM","SIM","RECOMENDADA"),IF(INDEX(PRODUTOS!$J$4:$J$63,MATCH($A530,PRODUTOS!$B$4:$B$63,0))&lt;&gt;"","NÃO (usa o A+ do EAN "&amp;INDEX(PRODUTOS!$J$4:$J$63,MATCH($A530,PRODUTOS!$B$4:$B$63,0))&amp;")",IF(AND(INDEX(PRODUTOS!$I$4:$I$63,MATCH($A530,PRODUTOS!$B$4:$B$63,0))="B",$D530="AP07"),"NÃO (modelo B)","SIM")))</f>
        <v>SIM</v>
      </c>
      <c r="K530" s="13" t="s">
        <v>325</v>
      </c>
      <c r="L530" s="13"/>
    </row>
    <row r="531" customFormat="false" ht="15" hidden="false" customHeight="false" outlineLevel="0" collapsed="false">
      <c r="A531" s="15" t="s">
        <v>181</v>
      </c>
      <c r="B531" s="11" t="str">
        <f aca="false">INDEX(PRODUTOS!$E$4:$E$63,MATCH($A531,PRODUTOS!$B$4:$B$63,0))</f>
        <v>Ração Natural Dots Super Premium Gatos Castrados Sabor Peixe 1 kg</v>
      </c>
      <c r="C531" s="11" t="str">
        <f aca="false">INDEX(PRODUTOS!$H$4:$H$63,MATCH($A531,PRODUTOS!$B$4:$B$63,0))</f>
        <v>1 kg</v>
      </c>
      <c r="D531" s="11" t="s">
        <v>324</v>
      </c>
      <c r="E531" s="16" t="str">
        <f aca="false">$A531&amp;"."&amp;$D531&amp;".jpg"</f>
        <v>7908591301038.MAIN.jpg</v>
      </c>
      <c r="F531" s="11" t="str">
        <f aca="false">IF(INDEX(PRODUTOS!$I$4:$I$63,MATCH($A531,PRODUTOS!$B$4:$B$63,0))="B",INDEX(MODELOS!$F$3:$F$19,MATCH($D531,MODELOS!$A$3:$A$19,0)),INDEX(MODELOS!$B$3:$B$19,MATCH($D531,MODELOS!$A$3:$A$19,0)))</f>
        <v>Capa (posição 1)</v>
      </c>
      <c r="G531" s="11" t="str">
        <f aca="false">IF(INDEX(PRODUTOS!$F$4:$F$63,MATCH($A531,PRODUTOS!$B$4:$B$63,0))="Ração",IF(INDEX(PRODUTOS!$I$4:$I$63,MATCH($A531,PRODUTOS!$B$4:$B$63,0))="B",INDEX(MODELOS!$G$3:$G$19,MATCH($D531,MODELOS!$A$3:$A$19,0)),INDEX(MODELOS!$C$3:$C$19,MATCH($D531,MODELOS!$A$3:$A$19,0))),IF(INDEX(PRODUTOS!$I$4:$I$63,MATCH($A531,PRODUTOS!$B$4:$B$63,0))="B",INDEX(MODELOS!$H$3:$H$19,MATCH($D531,MODELOS!$A$3:$A$19,0)),INDEX(MODELOS!$D$3:$D$19,MATCH($D531,MODELOS!$A$3:$A$19,0))))</f>
        <v>Embalagem de frente, fundo branco puro, 85% da área, nada adicionado</v>
      </c>
      <c r="H531" s="11" t="str">
        <f aca="false">IF(INDEX(PRODUTOS!$I$4:$I$63,MATCH($A531,PRODUTOS!$B$4:$B$63,0))="B",INDEX(MODELOS!$I$3:$I$19,MATCH($D531,MODELOS!$A$3:$A$19,0)),INDEX(MODELOS!$E$3:$E$19,MATCH($D531,MODELOS!$A$3:$A$19,0)))</f>
        <v>2000 × 2000</v>
      </c>
      <c r="I531" s="11" t="str">
        <f aca="false">INDEX(MODELOS!$J$3:$J$19,MATCH($D531,MODELOS!$A$3:$A$19,0))</f>
        <v>SIM</v>
      </c>
      <c r="J531" s="11" t="str">
        <f aca="false">IF(LEFT($D531,2)&lt;&gt;"AP",IF($I531="SIM","SIM","RECOMENDADA"),IF(INDEX(PRODUTOS!$J$4:$J$63,MATCH($A531,PRODUTOS!$B$4:$B$63,0))&lt;&gt;"","NÃO (usa o A+ do EAN "&amp;INDEX(PRODUTOS!$J$4:$J$63,MATCH($A531,PRODUTOS!$B$4:$B$63,0))&amp;")",IF(AND(INDEX(PRODUTOS!$I$4:$I$63,MATCH($A531,PRODUTOS!$B$4:$B$63,0))="B",$D531="AP07"),"NÃO (modelo B)","SIM")))</f>
        <v>SIM</v>
      </c>
      <c r="K531" s="13" t="s">
        <v>325</v>
      </c>
      <c r="L531" s="13"/>
    </row>
    <row r="532" customFormat="false" ht="15" hidden="false" customHeight="false" outlineLevel="0" collapsed="false">
      <c r="A532" s="15" t="s">
        <v>181</v>
      </c>
      <c r="B532" s="11" t="str">
        <f aca="false">INDEX(PRODUTOS!$E$4:$E$63,MATCH($A532,PRODUTOS!$B$4:$B$63,0))</f>
        <v>Ração Natural Dots Super Premium Gatos Castrados Sabor Peixe 1 kg</v>
      </c>
      <c r="C532" s="11" t="str">
        <f aca="false">INDEX(PRODUTOS!$H$4:$H$63,MATCH($A532,PRODUTOS!$B$4:$B$63,0))</f>
        <v>1 kg</v>
      </c>
      <c r="D532" s="11" t="s">
        <v>326</v>
      </c>
      <c r="E532" s="16" t="str">
        <f aca="false">$A532&amp;"."&amp;$D532&amp;".jpg"</f>
        <v>7908591301038.PT01.jpg</v>
      </c>
      <c r="F532" s="11" t="str">
        <f aca="false">IF(INDEX(PRODUTOS!$I$4:$I$63,MATCH($A532,PRODUTOS!$B$4:$B$63,0))="B",INDEX(MODELOS!$F$3:$F$19,MATCH($D532,MODELOS!$A$3:$A$19,0)),INDEX(MODELOS!$B$3:$B$19,MATCH($D532,MODELOS!$A$3:$A$19,0)))</f>
        <v>Galeria · posição 2</v>
      </c>
      <c r="G532" s="11" t="str">
        <f aca="false">IF(INDEX(PRODUTOS!$F$4:$F$63,MATCH($A532,PRODUTOS!$B$4:$B$63,0))="Ração",IF(INDEX(PRODUTOS!$I$4:$I$63,MATCH($A532,PRODUTOS!$B$4:$B$63,0))="B",INDEX(MODELOS!$G$3:$G$19,MATCH($D532,MODELOS!$A$3:$A$19,0)),INDEX(MODELOS!$C$3:$C$19,MATCH($D532,MODELOS!$A$3:$A$19,0))),IF(INDEX(PRODUTOS!$I$4:$I$63,MATCH($A532,PRODUTOS!$B$4:$B$63,0))="B",INDEX(MODELOS!$H$3:$H$19,MATCH($D532,MODELOS!$A$3:$A$19,0)),INDEX(MODELOS!$D$3:$D$19,MATCH($D532,MODELOS!$A$3:$A$19,0))))</f>
        <v>Grande diferencial da linha (número ou promessa forte + grão e ingrediente)</v>
      </c>
      <c r="H532" s="11" t="str">
        <f aca="false">IF(INDEX(PRODUTOS!$I$4:$I$63,MATCH($A532,PRODUTOS!$B$4:$B$63,0))="B",INDEX(MODELOS!$I$3:$I$19,MATCH($D532,MODELOS!$A$3:$A$19,0)),INDEX(MODELOS!$E$3:$E$19,MATCH($D532,MODELOS!$A$3:$A$19,0)))</f>
        <v>2000 × 2000</v>
      </c>
      <c r="I532" s="11" t="str">
        <f aca="false">INDEX(MODELOS!$J$3:$J$19,MATCH($D532,MODELOS!$A$3:$A$19,0))</f>
        <v>SIM</v>
      </c>
      <c r="J532" s="11" t="str">
        <f aca="false">IF(LEFT($D532,2)&lt;&gt;"AP",IF($I532="SIM","SIM","RECOMENDADA"),IF(INDEX(PRODUTOS!$J$4:$J$63,MATCH($A532,PRODUTOS!$B$4:$B$63,0))&lt;&gt;"","NÃO (usa o A+ do EAN "&amp;INDEX(PRODUTOS!$J$4:$J$63,MATCH($A532,PRODUTOS!$B$4:$B$63,0))&amp;")",IF(AND(INDEX(PRODUTOS!$I$4:$I$63,MATCH($A532,PRODUTOS!$B$4:$B$63,0))="B",$D532="AP07"),"NÃO (modelo B)","SIM")))</f>
        <v>SIM</v>
      </c>
      <c r="K532" s="13" t="s">
        <v>325</v>
      </c>
      <c r="L532" s="13"/>
    </row>
    <row r="533" customFormat="false" ht="15" hidden="false" customHeight="false" outlineLevel="0" collapsed="false">
      <c r="A533" s="15" t="s">
        <v>181</v>
      </c>
      <c r="B533" s="11" t="str">
        <f aca="false">INDEX(PRODUTOS!$E$4:$E$63,MATCH($A533,PRODUTOS!$B$4:$B$63,0))</f>
        <v>Ração Natural Dots Super Premium Gatos Castrados Sabor Peixe 1 kg</v>
      </c>
      <c r="C533" s="11" t="str">
        <f aca="false">INDEX(PRODUTOS!$H$4:$H$63,MATCH($A533,PRODUTOS!$B$4:$B$63,0))</f>
        <v>1 kg</v>
      </c>
      <c r="D533" s="11" t="s">
        <v>327</v>
      </c>
      <c r="E533" s="16" t="str">
        <f aca="false">$A533&amp;"."&amp;$D533&amp;".jpg"</f>
        <v>7908591301038.PT02.jpg</v>
      </c>
      <c r="F533" s="11" t="str">
        <f aca="false">IF(INDEX(PRODUTOS!$I$4:$I$63,MATCH($A533,PRODUTOS!$B$4:$B$63,0))="B",INDEX(MODELOS!$F$3:$F$19,MATCH($D533,MODELOS!$A$3:$A$19,0)),INDEX(MODELOS!$B$3:$B$19,MATCH($D533,MODELOS!$A$3:$A$19,0)))</f>
        <v>Galeria · posição 3</v>
      </c>
      <c r="G533" s="11" t="str">
        <f aca="false">IF(INDEX(PRODUTOS!$F$4:$F$63,MATCH($A533,PRODUTOS!$B$4:$B$63,0))="Ração",IF(INDEX(PRODUTOS!$I$4:$I$63,MATCH($A533,PRODUTOS!$B$4:$B$63,0))="B",INDEX(MODELOS!$G$3:$G$19,MATCH($D533,MODELOS!$A$3:$A$19,0)),INDEX(MODELOS!$C$3:$C$19,MATCH($D533,MODELOS!$A$3:$A$19,0))),IF(INDEX(PRODUTOS!$I$4:$I$63,MATCH($A533,PRODUTOS!$B$4:$B$63,0))="B",INDEX(MODELOS!$H$3:$H$19,MATCH($D533,MODELOS!$A$3:$A$19,0)),INDEX(MODELOS!$D$3:$D$19,MATCH($D533,MODELOS!$A$3:$A$19,0))))</f>
        <v>Benefícios com ícones (4 a 6, impressos na embalagem) + ingrediente</v>
      </c>
      <c r="H533" s="11" t="str">
        <f aca="false">IF(INDEX(PRODUTOS!$I$4:$I$63,MATCH($A533,PRODUTOS!$B$4:$B$63,0))="B",INDEX(MODELOS!$I$3:$I$19,MATCH($D533,MODELOS!$A$3:$A$19,0)),INDEX(MODELOS!$E$3:$E$19,MATCH($D533,MODELOS!$A$3:$A$19,0)))</f>
        <v>2000 × 2000</v>
      </c>
      <c r="I533" s="11" t="str">
        <f aca="false">INDEX(MODELOS!$J$3:$J$19,MATCH($D533,MODELOS!$A$3:$A$19,0))</f>
        <v>SIM</v>
      </c>
      <c r="J533" s="11" t="str">
        <f aca="false">IF(LEFT($D533,2)&lt;&gt;"AP",IF($I533="SIM","SIM","RECOMENDADA"),IF(INDEX(PRODUTOS!$J$4:$J$63,MATCH($A533,PRODUTOS!$B$4:$B$63,0))&lt;&gt;"","NÃO (usa o A+ do EAN "&amp;INDEX(PRODUTOS!$J$4:$J$63,MATCH($A533,PRODUTOS!$B$4:$B$63,0))&amp;")",IF(AND(INDEX(PRODUTOS!$I$4:$I$63,MATCH($A533,PRODUTOS!$B$4:$B$63,0))="B",$D533="AP07"),"NÃO (modelo B)","SIM")))</f>
        <v>SIM</v>
      </c>
      <c r="K533" s="13" t="s">
        <v>325</v>
      </c>
      <c r="L533" s="13"/>
    </row>
    <row r="534" customFormat="false" ht="15" hidden="false" customHeight="false" outlineLevel="0" collapsed="false">
      <c r="A534" s="15" t="s">
        <v>181</v>
      </c>
      <c r="B534" s="11" t="str">
        <f aca="false">INDEX(PRODUTOS!$E$4:$E$63,MATCH($A534,PRODUTOS!$B$4:$B$63,0))</f>
        <v>Ração Natural Dots Super Premium Gatos Castrados Sabor Peixe 1 kg</v>
      </c>
      <c r="C534" s="11" t="str">
        <f aca="false">INDEX(PRODUTOS!$H$4:$H$63,MATCH($A534,PRODUTOS!$B$4:$B$63,0))</f>
        <v>1 kg</v>
      </c>
      <c r="D534" s="11" t="s">
        <v>328</v>
      </c>
      <c r="E534" s="16" t="str">
        <f aca="false">$A534&amp;"."&amp;$D534&amp;".jpg"</f>
        <v>7908591301038.PT03.jpg</v>
      </c>
      <c r="F534" s="11" t="str">
        <f aca="false">IF(INDEX(PRODUTOS!$I$4:$I$63,MATCH($A534,PRODUTOS!$B$4:$B$63,0))="B",INDEX(MODELOS!$F$3:$F$19,MATCH($D534,MODELOS!$A$3:$A$19,0)),INDEX(MODELOS!$B$3:$B$19,MATCH($D534,MODELOS!$A$3:$A$19,0)))</f>
        <v>Galeria · posição 4</v>
      </c>
      <c r="G534" s="11" t="str">
        <f aca="false">IF(INDEX(PRODUTOS!$F$4:$F$63,MATCH($A534,PRODUTOS!$B$4:$B$63,0))="Ração",IF(INDEX(PRODUTOS!$I$4:$I$63,MATCH($A534,PRODUTOS!$B$4:$B$63,0))="B",INDEX(MODELOS!$G$3:$G$19,MATCH($D534,MODELOS!$A$3:$A$19,0)),INDEX(MODELOS!$C$3:$C$19,MATCH($D534,MODELOS!$A$3:$A$19,0))),IF(INDEX(PRODUTOS!$I$4:$I$63,MATCH($A534,PRODUTOS!$B$4:$B$63,0))="B",INDEX(MODELOS!$H$3:$H$19,MATCH($D534,MODELOS!$A$3:$A$19,0)),INDEX(MODELOS!$D$3:$D$19,MATCH($D534,MODELOS!$A$3:$A$19,0))))</f>
        <v>Formato e tamanho do grão, com medida em mm e referência de tamanho</v>
      </c>
      <c r="H534" s="11" t="str">
        <f aca="false">IF(INDEX(PRODUTOS!$I$4:$I$63,MATCH($A534,PRODUTOS!$B$4:$B$63,0))="B",INDEX(MODELOS!$I$3:$I$19,MATCH($D534,MODELOS!$A$3:$A$19,0)),INDEX(MODELOS!$E$3:$E$19,MATCH($D534,MODELOS!$A$3:$A$19,0)))</f>
        <v>2000 × 2000</v>
      </c>
      <c r="I534" s="11" t="str">
        <f aca="false">INDEX(MODELOS!$J$3:$J$19,MATCH($D534,MODELOS!$A$3:$A$19,0))</f>
        <v>SIM</v>
      </c>
      <c r="J534" s="11" t="str">
        <f aca="false">IF(LEFT($D534,2)&lt;&gt;"AP",IF($I534="SIM","SIM","RECOMENDADA"),IF(INDEX(PRODUTOS!$J$4:$J$63,MATCH($A534,PRODUTOS!$B$4:$B$63,0))&lt;&gt;"","NÃO (usa o A+ do EAN "&amp;INDEX(PRODUTOS!$J$4:$J$63,MATCH($A534,PRODUTOS!$B$4:$B$63,0))&amp;")",IF(AND(INDEX(PRODUTOS!$I$4:$I$63,MATCH($A534,PRODUTOS!$B$4:$B$63,0))="B",$D534="AP07"),"NÃO (modelo B)","SIM")))</f>
        <v>SIM</v>
      </c>
      <c r="K534" s="13" t="s">
        <v>325</v>
      </c>
      <c r="L534" s="13"/>
    </row>
    <row r="535" customFormat="false" ht="15" hidden="false" customHeight="false" outlineLevel="0" collapsed="false">
      <c r="A535" s="15" t="s">
        <v>181</v>
      </c>
      <c r="B535" s="11" t="str">
        <f aca="false">INDEX(PRODUTOS!$E$4:$E$63,MATCH($A535,PRODUTOS!$B$4:$B$63,0))</f>
        <v>Ração Natural Dots Super Premium Gatos Castrados Sabor Peixe 1 kg</v>
      </c>
      <c r="C535" s="11" t="str">
        <f aca="false">INDEX(PRODUTOS!$H$4:$H$63,MATCH($A535,PRODUTOS!$B$4:$B$63,0))</f>
        <v>1 kg</v>
      </c>
      <c r="D535" s="11" t="s">
        <v>329</v>
      </c>
      <c r="E535" s="16" t="str">
        <f aca="false">$A535&amp;"."&amp;$D535&amp;".jpg"</f>
        <v>7908591301038.PT04.jpg</v>
      </c>
      <c r="F535" s="11" t="str">
        <f aca="false">IF(INDEX(PRODUTOS!$I$4:$I$63,MATCH($A535,PRODUTOS!$B$4:$B$63,0))="B",INDEX(MODELOS!$F$3:$F$19,MATCH($D535,MODELOS!$A$3:$A$19,0)),INDEX(MODELOS!$B$3:$B$19,MATCH($D535,MODELOS!$A$3:$A$19,0)))</f>
        <v>Galeria · posição 5</v>
      </c>
      <c r="G535" s="11" t="str">
        <f aca="false">IF(INDEX(PRODUTOS!$F$4:$F$63,MATCH($A535,PRODUTOS!$B$4:$B$63,0))="Ração",IF(INDEX(PRODUTOS!$I$4:$I$63,MATCH($A535,PRODUTOS!$B$4:$B$63,0))="B",INDEX(MODELOS!$G$3:$G$19,MATCH($D535,MODELOS!$A$3:$A$19,0)),INDEX(MODELOS!$C$3:$C$19,MATCH($D535,MODELOS!$A$3:$A$19,0))),IF(INDEX(PRODUTOS!$I$4:$I$63,MATCH($A535,PRODUTOS!$B$4:$B$63,0))="B",INDEX(MODELOS!$H$3:$H$19,MATCH($D535,MODELOS!$A$3:$A$19,0)),INDEX(MODELOS!$D$3:$D$19,MATCH($D535,MODELOS!$A$3:$A$19,0))))</f>
        <v>Quantidade diária por peso do cão/gato (números idênticos à embalagem)</v>
      </c>
      <c r="H535" s="11" t="str">
        <f aca="false">IF(INDEX(PRODUTOS!$I$4:$I$63,MATCH($A535,PRODUTOS!$B$4:$B$63,0))="B",INDEX(MODELOS!$I$3:$I$19,MATCH($D535,MODELOS!$A$3:$A$19,0)),INDEX(MODELOS!$E$3:$E$19,MATCH($D535,MODELOS!$A$3:$A$19,0)))</f>
        <v>2000 × 2000</v>
      </c>
      <c r="I535" s="11" t="str">
        <f aca="false">INDEX(MODELOS!$J$3:$J$19,MATCH($D535,MODELOS!$A$3:$A$19,0))</f>
        <v>SIM</v>
      </c>
      <c r="J535" s="11" t="str">
        <f aca="false">IF(LEFT($D535,2)&lt;&gt;"AP",IF($I535="SIM","SIM","RECOMENDADA"),IF(INDEX(PRODUTOS!$J$4:$J$63,MATCH($A535,PRODUTOS!$B$4:$B$63,0))&lt;&gt;"","NÃO (usa o A+ do EAN "&amp;INDEX(PRODUTOS!$J$4:$J$63,MATCH($A535,PRODUTOS!$B$4:$B$63,0))&amp;")",IF(AND(INDEX(PRODUTOS!$I$4:$I$63,MATCH($A535,PRODUTOS!$B$4:$B$63,0))="B",$D535="AP07"),"NÃO (modelo B)","SIM")))</f>
        <v>SIM</v>
      </c>
      <c r="K535" s="13" t="s">
        <v>325</v>
      </c>
      <c r="L535" s="13"/>
    </row>
    <row r="536" customFormat="false" ht="15" hidden="false" customHeight="false" outlineLevel="0" collapsed="false">
      <c r="A536" s="15" t="s">
        <v>181</v>
      </c>
      <c r="B536" s="11" t="str">
        <f aca="false">INDEX(PRODUTOS!$E$4:$E$63,MATCH($A536,PRODUTOS!$B$4:$B$63,0))</f>
        <v>Ração Natural Dots Super Premium Gatos Castrados Sabor Peixe 1 kg</v>
      </c>
      <c r="C536" s="11" t="str">
        <f aca="false">INDEX(PRODUTOS!$H$4:$H$63,MATCH($A536,PRODUTOS!$B$4:$B$63,0))</f>
        <v>1 kg</v>
      </c>
      <c r="D536" s="11" t="s">
        <v>330</v>
      </c>
      <c r="E536" s="16" t="str">
        <f aca="false">$A536&amp;"."&amp;$D536&amp;".jpg"</f>
        <v>7908591301038.PT05.jpg</v>
      </c>
      <c r="F536" s="11" t="str">
        <f aca="false">IF(INDEX(PRODUTOS!$I$4:$I$63,MATCH($A536,PRODUTOS!$B$4:$B$63,0))="B",INDEX(MODELOS!$F$3:$F$19,MATCH($D536,MODELOS!$A$3:$A$19,0)),INDEX(MODELOS!$B$3:$B$19,MATCH($D536,MODELOS!$A$3:$A$19,0)))</f>
        <v>Galeria · posição 6</v>
      </c>
      <c r="G536" s="11" t="str">
        <f aca="false">IF(INDEX(PRODUTOS!$F$4:$F$63,MATCH($A536,PRODUTOS!$B$4:$B$63,0))="Ração",IF(INDEX(PRODUTOS!$I$4:$I$63,MATCH($A536,PRODUTOS!$B$4:$B$63,0))="B",INDEX(MODELOS!$G$3:$G$19,MATCH($D536,MODELOS!$A$3:$A$19,0)),INDEX(MODELOS!$C$3:$C$19,MATCH($D536,MODELOS!$A$3:$A$19,0))),IF(INDEX(PRODUTOS!$I$4:$I$63,MATCH($A536,PRODUTOS!$B$4:$B$63,0))="B",INDEX(MODELOS!$H$3:$H$19,MATCH($D536,MODELOS!$A$3:$A$19,0)),INDEX(MODELOS!$D$3:$D$19,MATCH($D536,MODELOS!$A$3:$A$19,0))))</f>
        <v>Transição alimentar dia a dia (igual ao verso da embalagem)</v>
      </c>
      <c r="H536" s="11" t="str">
        <f aca="false">IF(INDEX(PRODUTOS!$I$4:$I$63,MATCH($A536,PRODUTOS!$B$4:$B$63,0))="B",INDEX(MODELOS!$I$3:$I$19,MATCH($D536,MODELOS!$A$3:$A$19,0)),INDEX(MODELOS!$E$3:$E$19,MATCH($D536,MODELOS!$A$3:$A$19,0)))</f>
        <v>2000 × 2000</v>
      </c>
      <c r="I536" s="11" t="str">
        <f aca="false">INDEX(MODELOS!$J$3:$J$19,MATCH($D536,MODELOS!$A$3:$A$19,0))</f>
        <v>Recomendada</v>
      </c>
      <c r="J536" s="11" t="str">
        <f aca="false">IF(LEFT($D536,2)&lt;&gt;"AP",IF($I536="SIM","SIM","RECOMENDADA"),IF(INDEX(PRODUTOS!$J$4:$J$63,MATCH($A536,PRODUTOS!$B$4:$B$63,0))&lt;&gt;"","NÃO (usa o A+ do EAN "&amp;INDEX(PRODUTOS!$J$4:$J$63,MATCH($A536,PRODUTOS!$B$4:$B$63,0))&amp;")",IF(AND(INDEX(PRODUTOS!$I$4:$I$63,MATCH($A536,PRODUTOS!$B$4:$B$63,0))="B",$D536="AP07"),"NÃO (modelo B)","SIM")))</f>
        <v>RECOMENDADA</v>
      </c>
      <c r="K536" s="13" t="s">
        <v>325</v>
      </c>
      <c r="L536" s="13"/>
    </row>
    <row r="537" customFormat="false" ht="15" hidden="false" customHeight="false" outlineLevel="0" collapsed="false">
      <c r="A537" s="15" t="s">
        <v>181</v>
      </c>
      <c r="B537" s="11" t="str">
        <f aca="false">INDEX(PRODUTOS!$E$4:$E$63,MATCH($A537,PRODUTOS!$B$4:$B$63,0))</f>
        <v>Ração Natural Dots Super Premium Gatos Castrados Sabor Peixe 1 kg</v>
      </c>
      <c r="C537" s="11" t="str">
        <f aca="false">INDEX(PRODUTOS!$H$4:$H$63,MATCH($A537,PRODUTOS!$B$4:$B$63,0))</f>
        <v>1 kg</v>
      </c>
      <c r="D537" s="11" t="s">
        <v>331</v>
      </c>
      <c r="E537" s="16" t="str">
        <f aca="false">$A537&amp;"."&amp;$D537&amp;".jpg"</f>
        <v>7908591301038.PT06.jpg</v>
      </c>
      <c r="F537" s="11" t="str">
        <f aca="false">IF(INDEX(PRODUTOS!$I$4:$I$63,MATCH($A537,PRODUTOS!$B$4:$B$63,0))="B",INDEX(MODELOS!$F$3:$F$19,MATCH($D537,MODELOS!$A$3:$A$19,0)),INDEX(MODELOS!$B$3:$B$19,MATCH($D537,MODELOS!$A$3:$A$19,0)))</f>
        <v>Galeria · posição 7</v>
      </c>
      <c r="G537" s="11" t="str">
        <f aca="false">IF(INDEX(PRODUTOS!$F$4:$F$63,MATCH($A537,PRODUTOS!$B$4:$B$63,0))="Ração",IF(INDEX(PRODUTOS!$I$4:$I$63,MATCH($A537,PRODUTOS!$B$4:$B$63,0))="B",INDEX(MODELOS!$G$3:$G$19,MATCH($D537,MODELOS!$A$3:$A$19,0)),INDEX(MODELOS!$C$3:$C$19,MATCH($D537,MODELOS!$A$3:$A$19,0))),IF(INDEX(PRODUTOS!$I$4:$I$63,MATCH($A537,PRODUTOS!$B$4:$B$63,0))="B",INDEX(MODELOS!$H$3:$H$19,MATCH($D537,MODELOS!$A$3:$A$19,0)),INDEX(MODELOS!$D$3:$D$19,MATCH($D537,MODELOS!$A$3:$A$19,0))))</f>
        <v>Composição e níveis de garantia em letra grande</v>
      </c>
      <c r="H537" s="11" t="str">
        <f aca="false">IF(INDEX(PRODUTOS!$I$4:$I$63,MATCH($A537,PRODUTOS!$B$4:$B$63,0))="B",INDEX(MODELOS!$I$3:$I$19,MATCH($D537,MODELOS!$A$3:$A$19,0)),INDEX(MODELOS!$E$3:$E$19,MATCH($D537,MODELOS!$A$3:$A$19,0)))</f>
        <v>2000 × 2000</v>
      </c>
      <c r="I537" s="11" t="str">
        <f aca="false">INDEX(MODELOS!$J$3:$J$19,MATCH($D537,MODELOS!$A$3:$A$19,0))</f>
        <v>SIM</v>
      </c>
      <c r="J537" s="11" t="str">
        <f aca="false">IF(LEFT($D537,2)&lt;&gt;"AP",IF($I537="SIM","SIM","RECOMENDADA"),IF(INDEX(PRODUTOS!$J$4:$J$63,MATCH($A537,PRODUTOS!$B$4:$B$63,0))&lt;&gt;"","NÃO (usa o A+ do EAN "&amp;INDEX(PRODUTOS!$J$4:$J$63,MATCH($A537,PRODUTOS!$B$4:$B$63,0))&amp;")",IF(AND(INDEX(PRODUTOS!$I$4:$I$63,MATCH($A537,PRODUTOS!$B$4:$B$63,0))="B",$D537="AP07"),"NÃO (modelo B)","SIM")))</f>
        <v>SIM</v>
      </c>
      <c r="K537" s="13" t="s">
        <v>325</v>
      </c>
      <c r="L537" s="13"/>
    </row>
    <row r="538" customFormat="false" ht="15" hidden="false" customHeight="false" outlineLevel="0" collapsed="false">
      <c r="A538" s="15" t="s">
        <v>181</v>
      </c>
      <c r="B538" s="11" t="str">
        <f aca="false">INDEX(PRODUTOS!$E$4:$E$63,MATCH($A538,PRODUTOS!$B$4:$B$63,0))</f>
        <v>Ração Natural Dots Super Premium Gatos Castrados Sabor Peixe 1 kg</v>
      </c>
      <c r="C538" s="11" t="str">
        <f aca="false">INDEX(PRODUTOS!$H$4:$H$63,MATCH($A538,PRODUTOS!$B$4:$B$63,0))</f>
        <v>1 kg</v>
      </c>
      <c r="D538" s="11" t="s">
        <v>332</v>
      </c>
      <c r="E538" s="16" t="str">
        <f aca="false">$A538&amp;"."&amp;$D538&amp;".jpg"</f>
        <v>7908591301038.PT07.jpg</v>
      </c>
      <c r="F538" s="11" t="str">
        <f aca="false">IF(INDEX(PRODUTOS!$I$4:$I$63,MATCH($A538,PRODUTOS!$B$4:$B$63,0))="B",INDEX(MODELOS!$F$3:$F$19,MATCH($D538,MODELOS!$A$3:$A$19,0)),INDEX(MODELOS!$B$3:$B$19,MATCH($D538,MODELOS!$A$3:$A$19,0)))</f>
        <v>Galeria · posição 8</v>
      </c>
      <c r="G538" s="11" t="str">
        <f aca="false">IF(INDEX(PRODUTOS!$F$4:$F$63,MATCH($A538,PRODUTOS!$B$4:$B$63,0))="Ração",IF(INDEX(PRODUTOS!$I$4:$I$63,MATCH($A538,PRODUTOS!$B$4:$B$63,0))="B",INDEX(MODELOS!$G$3:$G$19,MATCH($D538,MODELOS!$A$3:$A$19,0)),INDEX(MODELOS!$C$3:$C$19,MATCH($D538,MODELOS!$A$3:$A$19,0))),IF(INDEX(PRODUTOS!$I$4:$I$63,MATCH($A538,PRODUTOS!$B$4:$B$63,0))="B",INDEX(MODELOS!$H$3:$H$19,MATCH($D538,MODELOS!$A$3:$A$19,0)),INDEX(MODELOS!$D$3:$D$19,MATCH($D538,MODELOS!$A$3:$A$19,0))))</f>
        <v>Emocional / momento de uso (pet do porte certo, pote cheio)</v>
      </c>
      <c r="H538" s="11" t="str">
        <f aca="false">IF(INDEX(PRODUTOS!$I$4:$I$63,MATCH($A538,PRODUTOS!$B$4:$B$63,0))="B",INDEX(MODELOS!$I$3:$I$19,MATCH($D538,MODELOS!$A$3:$A$19,0)),INDEX(MODELOS!$E$3:$E$19,MATCH($D538,MODELOS!$A$3:$A$19,0)))</f>
        <v>2000 × 2000</v>
      </c>
      <c r="I538" s="11" t="str">
        <f aca="false">INDEX(MODELOS!$J$3:$J$19,MATCH($D538,MODELOS!$A$3:$A$19,0))</f>
        <v>Recomendada</v>
      </c>
      <c r="J538" s="11" t="str">
        <f aca="false">IF(LEFT($D538,2)&lt;&gt;"AP",IF($I538="SIM","SIM","RECOMENDADA"),IF(INDEX(PRODUTOS!$J$4:$J$63,MATCH($A538,PRODUTOS!$B$4:$B$63,0))&lt;&gt;"","NÃO (usa o A+ do EAN "&amp;INDEX(PRODUTOS!$J$4:$J$63,MATCH($A538,PRODUTOS!$B$4:$B$63,0))&amp;")",IF(AND(INDEX(PRODUTOS!$I$4:$I$63,MATCH($A538,PRODUTOS!$B$4:$B$63,0))="B",$D538="AP07"),"NÃO (modelo B)","SIM")))</f>
        <v>RECOMENDADA</v>
      </c>
      <c r="K538" s="13" t="s">
        <v>325</v>
      </c>
      <c r="L538" s="13"/>
    </row>
    <row r="539" customFormat="false" ht="15" hidden="false" customHeight="false" outlineLevel="0" collapsed="false">
      <c r="A539" s="15" t="s">
        <v>181</v>
      </c>
      <c r="B539" s="11" t="str">
        <f aca="false">INDEX(PRODUTOS!$E$4:$E$63,MATCH($A539,PRODUTOS!$B$4:$B$63,0))</f>
        <v>Ração Natural Dots Super Premium Gatos Castrados Sabor Peixe 1 kg</v>
      </c>
      <c r="C539" s="11" t="str">
        <f aca="false">INDEX(PRODUTOS!$H$4:$H$63,MATCH($A539,PRODUTOS!$B$4:$B$63,0))</f>
        <v>1 kg</v>
      </c>
      <c r="D539" s="11" t="s">
        <v>333</v>
      </c>
      <c r="E539" s="16" t="str">
        <f aca="false">$A539&amp;"."&amp;$D539&amp;".jpg"</f>
        <v>7908591301038.PT08.jpg</v>
      </c>
      <c r="F539" s="11" t="str">
        <f aca="false">IF(INDEX(PRODUTOS!$I$4:$I$63,MATCH($A539,PRODUTOS!$B$4:$B$63,0))="B",INDEX(MODELOS!$F$3:$F$19,MATCH($D539,MODELOS!$A$3:$A$19,0)),INDEX(MODELOS!$B$3:$B$19,MATCH($D539,MODELOS!$A$3:$A$19,0)))</f>
        <v>Galeria · posição 9</v>
      </c>
      <c r="G539" s="11" t="str">
        <f aca="false">IF(INDEX(PRODUTOS!$F$4:$F$63,MATCH($A539,PRODUTOS!$B$4:$B$63,0))="Ração",IF(INDEX(PRODUTOS!$I$4:$I$63,MATCH($A539,PRODUTOS!$B$4:$B$63,0))="B",INDEX(MODELOS!$G$3:$G$19,MATCH($D539,MODELOS!$A$3:$A$19,0)),INDEX(MODELOS!$C$3:$C$19,MATCH($D539,MODELOS!$A$3:$A$19,0))),IF(INDEX(PRODUTOS!$I$4:$I$63,MATCH($A539,PRODUTOS!$B$4:$B$63,0))="B",INDEX(MODELOS!$H$3:$H$19,MATCH($D539,MODELOS!$A$3:$A$19,0)),INDEX(MODELOS!$D$3:$D$19,MATCH($D539,MODELOS!$A$3:$A$19,0))))</f>
        <v>Linha da marca ou embalagem anterior × nova</v>
      </c>
      <c r="H539" s="11" t="str">
        <f aca="false">IF(INDEX(PRODUTOS!$I$4:$I$63,MATCH($A539,PRODUTOS!$B$4:$B$63,0))="B",INDEX(MODELOS!$I$3:$I$19,MATCH($D539,MODELOS!$A$3:$A$19,0)),INDEX(MODELOS!$E$3:$E$19,MATCH($D539,MODELOS!$A$3:$A$19,0)))</f>
        <v>2000 × 2000</v>
      </c>
      <c r="I539" s="11" t="str">
        <f aca="false">INDEX(MODELOS!$J$3:$J$19,MATCH($D539,MODELOS!$A$3:$A$19,0))</f>
        <v>Recomendada</v>
      </c>
      <c r="J539" s="11" t="str">
        <f aca="false">IF(LEFT($D539,2)&lt;&gt;"AP",IF($I539="SIM","SIM","RECOMENDADA"),IF(INDEX(PRODUTOS!$J$4:$J$63,MATCH($A539,PRODUTOS!$B$4:$B$63,0))&lt;&gt;"","NÃO (usa o A+ do EAN "&amp;INDEX(PRODUTOS!$J$4:$J$63,MATCH($A539,PRODUTOS!$B$4:$B$63,0))&amp;")",IF(AND(INDEX(PRODUTOS!$I$4:$I$63,MATCH($A539,PRODUTOS!$B$4:$B$63,0))="B",$D539="AP07"),"NÃO (modelo B)","SIM")))</f>
        <v>RECOMENDADA</v>
      </c>
      <c r="K539" s="13" t="s">
        <v>325</v>
      </c>
      <c r="L539" s="13"/>
    </row>
    <row r="540" customFormat="false" ht="15" hidden="false" customHeight="false" outlineLevel="0" collapsed="false">
      <c r="A540" s="15" t="s">
        <v>181</v>
      </c>
      <c r="B540" s="11" t="str">
        <f aca="false">INDEX(PRODUTOS!$E$4:$E$63,MATCH($A540,PRODUTOS!$B$4:$B$63,0))</f>
        <v>Ração Natural Dots Super Premium Gatos Castrados Sabor Peixe 1 kg</v>
      </c>
      <c r="C540" s="11" t="str">
        <f aca="false">INDEX(PRODUTOS!$H$4:$H$63,MATCH($A540,PRODUTOS!$B$4:$B$63,0))</f>
        <v>1 kg</v>
      </c>
      <c r="D540" s="11" t="s">
        <v>334</v>
      </c>
      <c r="E540" s="16" t="str">
        <f aca="false">$A540&amp;"."&amp;$D540&amp;".jpg"</f>
        <v>7908591301038.AP01.jpg</v>
      </c>
      <c r="F540" s="11" t="str">
        <f aca="false">IF(INDEX(PRODUTOS!$I$4:$I$63,MATCH($A540,PRODUTOS!$B$4:$B$63,0))="B",INDEX(MODELOS!$F$3:$F$19,MATCH($D540,MODELOS!$A$3:$A$19,0)),INDEX(MODELOS!$B$3:$B$19,MATCH($D540,MODELOS!$A$3:$A$19,0)))</f>
        <v>A+ · Módulo 1 · Banner</v>
      </c>
      <c r="G540" s="11" t="str">
        <f aca="false">IF(INDEX(PRODUTOS!$F$4:$F$63,MATCH($A540,PRODUTOS!$B$4:$B$63,0))="Ração",IF(INDEX(PRODUTOS!$I$4:$I$63,MATCH($A540,PRODUTOS!$B$4:$B$63,0))="B",INDEX(MODELOS!$G$3:$G$19,MATCH($D540,MODELOS!$A$3:$A$19,0)),INDEX(MODELOS!$C$3:$C$19,MATCH($D540,MODELOS!$A$3:$A$19,0))),IF(INDEX(PRODUTOS!$I$4:$I$63,MATCH($A540,PRODUTOS!$B$4:$B$63,0))="B",INDEX(MODELOS!$H$3:$H$19,MATCH($D540,MODELOS!$A$3:$A$19,0)),INDEX(MODELOS!$D$3:$D$19,MATCH($D540,MODELOS!$A$3:$A$19,0))))</f>
        <v>Embalagem + pet + ingredientes, com o nome da linha</v>
      </c>
      <c r="H540" s="11" t="str">
        <f aca="false">IF(INDEX(PRODUTOS!$I$4:$I$63,MATCH($A540,PRODUTOS!$B$4:$B$63,0))="B",INDEX(MODELOS!$I$3:$I$19,MATCH($D540,MODELOS!$A$3:$A$19,0)),INDEX(MODELOS!$E$3:$E$19,MATCH($D540,MODELOS!$A$3:$A$19,0)))</f>
        <v>970 × 600</v>
      </c>
      <c r="I540" s="11" t="str">
        <f aca="false">INDEX(MODELOS!$J$3:$J$19,MATCH($D540,MODELOS!$A$3:$A$19,0))</f>
        <v>Conforme modelo</v>
      </c>
      <c r="J540" s="11" t="str">
        <f aca="false">IF(LEFT($D540,2)&lt;&gt;"AP",IF($I540="SIM","SIM","RECOMENDADA"),IF(INDEX(PRODUTOS!$J$4:$J$63,MATCH($A540,PRODUTOS!$B$4:$B$63,0))&lt;&gt;"","NÃO (usa o A+ do EAN "&amp;INDEX(PRODUTOS!$J$4:$J$63,MATCH($A540,PRODUTOS!$B$4:$B$63,0))&amp;")",IF(AND(INDEX(PRODUTOS!$I$4:$I$63,MATCH($A540,PRODUTOS!$B$4:$B$63,0))="B",$D540="AP07"),"NÃO (modelo B)","SIM")))</f>
        <v>SIM</v>
      </c>
      <c r="K540" s="13" t="s">
        <v>325</v>
      </c>
      <c r="L540" s="13"/>
    </row>
    <row r="541" customFormat="false" ht="15" hidden="false" customHeight="false" outlineLevel="0" collapsed="false">
      <c r="A541" s="15" t="s">
        <v>181</v>
      </c>
      <c r="B541" s="11" t="str">
        <f aca="false">INDEX(PRODUTOS!$E$4:$E$63,MATCH($A541,PRODUTOS!$B$4:$B$63,0))</f>
        <v>Ração Natural Dots Super Premium Gatos Castrados Sabor Peixe 1 kg</v>
      </c>
      <c r="C541" s="11" t="str">
        <f aca="false">INDEX(PRODUTOS!$H$4:$H$63,MATCH($A541,PRODUTOS!$B$4:$B$63,0))</f>
        <v>1 kg</v>
      </c>
      <c r="D541" s="11" t="s">
        <v>335</v>
      </c>
      <c r="E541" s="16" t="str">
        <f aca="false">$A541&amp;"."&amp;$D541&amp;".jpg"</f>
        <v>7908591301038.AP02.jpg</v>
      </c>
      <c r="F541" s="11" t="str">
        <f aca="false">IF(INDEX(PRODUTOS!$I$4:$I$63,MATCH($A541,PRODUTOS!$B$4:$B$63,0))="B",INDEX(MODELOS!$F$3:$F$19,MATCH($D541,MODELOS!$A$3:$A$19,0)),INDEX(MODELOS!$B$3:$B$19,MATCH($D541,MODELOS!$A$3:$A$19,0)))</f>
        <v>A+ · Módulo 2 · Texto sobreposto</v>
      </c>
      <c r="G541" s="11" t="str">
        <f aca="false">IF(INDEX(PRODUTOS!$F$4:$F$63,MATCH($A541,PRODUTOS!$B$4:$B$63,0))="Ração",IF(INDEX(PRODUTOS!$I$4:$I$63,MATCH($A541,PRODUTOS!$B$4:$B$63,0))="B",INDEX(MODELOS!$G$3:$G$19,MATCH($D541,MODELOS!$A$3:$A$19,0)),INDEX(MODELOS!$C$3:$C$19,MATCH($D541,MODELOS!$A$3:$A$19,0))),IF(INDEX(PRODUTOS!$I$4:$I$63,MATCH($A541,PRODUTOS!$B$4:$B$63,0))="B",INDEX(MODELOS!$H$3:$H$19,MATCH($D541,MODELOS!$A$3:$A$19,0)),INDEX(MODELOS!$D$3:$D$19,MATCH($D541,MODELOS!$A$3:$A$19,0))))</f>
        <v>Principal diferencial; deixar o lado direito limpo</v>
      </c>
      <c r="H541" s="11" t="str">
        <f aca="false">IF(INDEX(PRODUTOS!$I$4:$I$63,MATCH($A541,PRODUTOS!$B$4:$B$63,0))="B",INDEX(MODELOS!$I$3:$I$19,MATCH($D541,MODELOS!$A$3:$A$19,0)),INDEX(MODELOS!$E$3:$E$19,MATCH($D541,MODELOS!$A$3:$A$19,0)))</f>
        <v>970 × 300</v>
      </c>
      <c r="I541" s="11" t="str">
        <f aca="false">INDEX(MODELOS!$J$3:$J$19,MATCH($D541,MODELOS!$A$3:$A$19,0))</f>
        <v>Conforme modelo</v>
      </c>
      <c r="J541" s="11" t="str">
        <f aca="false">IF(LEFT($D541,2)&lt;&gt;"AP",IF($I541="SIM","SIM","RECOMENDADA"),IF(INDEX(PRODUTOS!$J$4:$J$63,MATCH($A541,PRODUTOS!$B$4:$B$63,0))&lt;&gt;"","NÃO (usa o A+ do EAN "&amp;INDEX(PRODUTOS!$J$4:$J$63,MATCH($A541,PRODUTOS!$B$4:$B$63,0))&amp;")",IF(AND(INDEX(PRODUTOS!$I$4:$I$63,MATCH($A541,PRODUTOS!$B$4:$B$63,0))="B",$D541="AP07"),"NÃO (modelo B)","SIM")))</f>
        <v>SIM</v>
      </c>
      <c r="K541" s="13" t="s">
        <v>325</v>
      </c>
      <c r="L541" s="13"/>
    </row>
    <row r="542" customFormat="false" ht="15" hidden="false" customHeight="false" outlineLevel="0" collapsed="false">
      <c r="A542" s="15" t="s">
        <v>181</v>
      </c>
      <c r="B542" s="11" t="str">
        <f aca="false">INDEX(PRODUTOS!$E$4:$E$63,MATCH($A542,PRODUTOS!$B$4:$B$63,0))</f>
        <v>Ração Natural Dots Super Premium Gatos Castrados Sabor Peixe 1 kg</v>
      </c>
      <c r="C542" s="11" t="str">
        <f aca="false">INDEX(PRODUTOS!$H$4:$H$63,MATCH($A542,PRODUTOS!$B$4:$B$63,0))</f>
        <v>1 kg</v>
      </c>
      <c r="D542" s="11" t="s">
        <v>336</v>
      </c>
      <c r="E542" s="16" t="str">
        <f aca="false">$A542&amp;"."&amp;$D542&amp;".jpg"</f>
        <v>7908591301038.AP03.jpg</v>
      </c>
      <c r="F542" s="11" t="str">
        <f aca="false">IF(INDEX(PRODUTOS!$I$4:$I$63,MATCH($A542,PRODUTOS!$B$4:$B$63,0))="B",INDEX(MODELOS!$F$3:$F$19,MATCH($D542,MODELOS!$A$3:$A$19,0)),INDEX(MODELOS!$B$3:$B$19,MATCH($D542,MODELOS!$A$3:$A$19,0)))</f>
        <v>A+ · Módulo 3 · Benefício 1 de 4</v>
      </c>
      <c r="G542" s="11" t="str">
        <f aca="false">IF(INDEX(PRODUTOS!$F$4:$F$63,MATCH($A542,PRODUTOS!$B$4:$B$63,0))="Ração",IF(INDEX(PRODUTOS!$I$4:$I$63,MATCH($A542,PRODUTOS!$B$4:$B$63,0))="B",INDEX(MODELOS!$G$3:$G$19,MATCH($D542,MODELOS!$A$3:$A$19,0)),INDEX(MODELOS!$C$3:$C$19,MATCH($D542,MODELOS!$A$3:$A$19,0))),IF(INDEX(PRODUTOS!$I$4:$I$63,MATCH($A542,PRODUTOS!$B$4:$B$63,0))="B",INDEX(MODELOS!$H$3:$H$19,MATCH($D542,MODELOS!$A$3:$A$19,0)),INDEX(MODELOS!$D$3:$D$19,MATCH($D542,MODELOS!$A$3:$A$19,0))))</f>
        <v>Foto/ilustração do benefício 1</v>
      </c>
      <c r="H542" s="11" t="str">
        <f aca="false">IF(INDEX(PRODUTOS!$I$4:$I$63,MATCH($A542,PRODUTOS!$B$4:$B$63,0))="B",INDEX(MODELOS!$I$3:$I$19,MATCH($D542,MODELOS!$A$3:$A$19,0)),INDEX(MODELOS!$E$3:$E$19,MATCH($D542,MODELOS!$A$3:$A$19,0)))</f>
        <v>220 × 200</v>
      </c>
      <c r="I542" s="11" t="str">
        <f aca="false">INDEX(MODELOS!$J$3:$J$19,MATCH($D542,MODELOS!$A$3:$A$19,0))</f>
        <v>Conforme modelo</v>
      </c>
      <c r="J542" s="11" t="str">
        <f aca="false">IF(LEFT($D542,2)&lt;&gt;"AP",IF($I542="SIM","SIM","RECOMENDADA"),IF(INDEX(PRODUTOS!$J$4:$J$63,MATCH($A542,PRODUTOS!$B$4:$B$63,0))&lt;&gt;"","NÃO (usa o A+ do EAN "&amp;INDEX(PRODUTOS!$J$4:$J$63,MATCH($A542,PRODUTOS!$B$4:$B$63,0))&amp;")",IF(AND(INDEX(PRODUTOS!$I$4:$I$63,MATCH($A542,PRODUTOS!$B$4:$B$63,0))="B",$D542="AP07"),"NÃO (modelo B)","SIM")))</f>
        <v>SIM</v>
      </c>
      <c r="K542" s="13" t="s">
        <v>325</v>
      </c>
      <c r="L542" s="13"/>
    </row>
    <row r="543" customFormat="false" ht="15" hidden="false" customHeight="false" outlineLevel="0" collapsed="false">
      <c r="A543" s="15" t="s">
        <v>181</v>
      </c>
      <c r="B543" s="11" t="str">
        <f aca="false">INDEX(PRODUTOS!$E$4:$E$63,MATCH($A543,PRODUTOS!$B$4:$B$63,0))</f>
        <v>Ração Natural Dots Super Premium Gatos Castrados Sabor Peixe 1 kg</v>
      </c>
      <c r="C543" s="11" t="str">
        <f aca="false">INDEX(PRODUTOS!$H$4:$H$63,MATCH($A543,PRODUTOS!$B$4:$B$63,0))</f>
        <v>1 kg</v>
      </c>
      <c r="D543" s="11" t="s">
        <v>337</v>
      </c>
      <c r="E543" s="16" t="str">
        <f aca="false">$A543&amp;"."&amp;$D543&amp;".jpg"</f>
        <v>7908591301038.AP04.jpg</v>
      </c>
      <c r="F543" s="11" t="str">
        <f aca="false">IF(INDEX(PRODUTOS!$I$4:$I$63,MATCH($A543,PRODUTOS!$B$4:$B$63,0))="B",INDEX(MODELOS!$F$3:$F$19,MATCH($D543,MODELOS!$A$3:$A$19,0)),INDEX(MODELOS!$B$3:$B$19,MATCH($D543,MODELOS!$A$3:$A$19,0)))</f>
        <v>A+ · Módulo 3 · Benefício 2 de 4</v>
      </c>
      <c r="G543" s="11" t="str">
        <f aca="false">IF(INDEX(PRODUTOS!$F$4:$F$63,MATCH($A543,PRODUTOS!$B$4:$B$63,0))="Ração",IF(INDEX(PRODUTOS!$I$4:$I$63,MATCH($A543,PRODUTOS!$B$4:$B$63,0))="B",INDEX(MODELOS!$G$3:$G$19,MATCH($D543,MODELOS!$A$3:$A$19,0)),INDEX(MODELOS!$C$3:$C$19,MATCH($D543,MODELOS!$A$3:$A$19,0))),IF(INDEX(PRODUTOS!$I$4:$I$63,MATCH($A543,PRODUTOS!$B$4:$B$63,0))="B",INDEX(MODELOS!$H$3:$H$19,MATCH($D543,MODELOS!$A$3:$A$19,0)),INDEX(MODELOS!$D$3:$D$19,MATCH($D543,MODELOS!$A$3:$A$19,0))))</f>
        <v>Foto/ilustração do benefício 2</v>
      </c>
      <c r="H543" s="11" t="str">
        <f aca="false">IF(INDEX(PRODUTOS!$I$4:$I$63,MATCH($A543,PRODUTOS!$B$4:$B$63,0))="B",INDEX(MODELOS!$I$3:$I$19,MATCH($D543,MODELOS!$A$3:$A$19,0)),INDEX(MODELOS!$E$3:$E$19,MATCH($D543,MODELOS!$A$3:$A$19,0)))</f>
        <v>220 × 200</v>
      </c>
      <c r="I543" s="11" t="str">
        <f aca="false">INDEX(MODELOS!$J$3:$J$19,MATCH($D543,MODELOS!$A$3:$A$19,0))</f>
        <v>Conforme modelo</v>
      </c>
      <c r="J543" s="11" t="str">
        <f aca="false">IF(LEFT($D543,2)&lt;&gt;"AP",IF($I543="SIM","SIM","RECOMENDADA"),IF(INDEX(PRODUTOS!$J$4:$J$63,MATCH($A543,PRODUTOS!$B$4:$B$63,0))&lt;&gt;"","NÃO (usa o A+ do EAN "&amp;INDEX(PRODUTOS!$J$4:$J$63,MATCH($A543,PRODUTOS!$B$4:$B$63,0))&amp;")",IF(AND(INDEX(PRODUTOS!$I$4:$I$63,MATCH($A543,PRODUTOS!$B$4:$B$63,0))="B",$D543="AP07"),"NÃO (modelo B)","SIM")))</f>
        <v>SIM</v>
      </c>
      <c r="K543" s="13" t="s">
        <v>325</v>
      </c>
      <c r="L543" s="13"/>
    </row>
    <row r="544" customFormat="false" ht="15" hidden="false" customHeight="false" outlineLevel="0" collapsed="false">
      <c r="A544" s="15" t="s">
        <v>181</v>
      </c>
      <c r="B544" s="11" t="str">
        <f aca="false">INDEX(PRODUTOS!$E$4:$E$63,MATCH($A544,PRODUTOS!$B$4:$B$63,0))</f>
        <v>Ração Natural Dots Super Premium Gatos Castrados Sabor Peixe 1 kg</v>
      </c>
      <c r="C544" s="11" t="str">
        <f aca="false">INDEX(PRODUTOS!$H$4:$H$63,MATCH($A544,PRODUTOS!$B$4:$B$63,0))</f>
        <v>1 kg</v>
      </c>
      <c r="D544" s="11" t="s">
        <v>338</v>
      </c>
      <c r="E544" s="16" t="str">
        <f aca="false">$A544&amp;"."&amp;$D544&amp;".jpg"</f>
        <v>7908591301038.AP05.jpg</v>
      </c>
      <c r="F544" s="11" t="str">
        <f aca="false">IF(INDEX(PRODUTOS!$I$4:$I$63,MATCH($A544,PRODUTOS!$B$4:$B$63,0))="B",INDEX(MODELOS!$F$3:$F$19,MATCH($D544,MODELOS!$A$3:$A$19,0)),INDEX(MODELOS!$B$3:$B$19,MATCH($D544,MODELOS!$A$3:$A$19,0)))</f>
        <v>A+ · Módulo 3 · Benefício 3 de 4</v>
      </c>
      <c r="G544" s="11" t="str">
        <f aca="false">IF(INDEX(PRODUTOS!$F$4:$F$63,MATCH($A544,PRODUTOS!$B$4:$B$63,0))="Ração",IF(INDEX(PRODUTOS!$I$4:$I$63,MATCH($A544,PRODUTOS!$B$4:$B$63,0))="B",INDEX(MODELOS!$G$3:$G$19,MATCH($D544,MODELOS!$A$3:$A$19,0)),INDEX(MODELOS!$C$3:$C$19,MATCH($D544,MODELOS!$A$3:$A$19,0))),IF(INDEX(PRODUTOS!$I$4:$I$63,MATCH($A544,PRODUTOS!$B$4:$B$63,0))="B",INDEX(MODELOS!$H$3:$H$19,MATCH($D544,MODELOS!$A$3:$A$19,0)),INDEX(MODELOS!$D$3:$D$19,MATCH($D544,MODELOS!$A$3:$A$19,0))))</f>
        <v>Foto/ilustração do benefício 3</v>
      </c>
      <c r="H544" s="11" t="str">
        <f aca="false">IF(INDEX(PRODUTOS!$I$4:$I$63,MATCH($A544,PRODUTOS!$B$4:$B$63,0))="B",INDEX(MODELOS!$I$3:$I$19,MATCH($D544,MODELOS!$A$3:$A$19,0)),INDEX(MODELOS!$E$3:$E$19,MATCH($D544,MODELOS!$A$3:$A$19,0)))</f>
        <v>220 × 200</v>
      </c>
      <c r="I544" s="11" t="str">
        <f aca="false">INDEX(MODELOS!$J$3:$J$19,MATCH($D544,MODELOS!$A$3:$A$19,0))</f>
        <v>Conforme modelo</v>
      </c>
      <c r="J544" s="11" t="str">
        <f aca="false">IF(LEFT($D544,2)&lt;&gt;"AP",IF($I544="SIM","SIM","RECOMENDADA"),IF(INDEX(PRODUTOS!$J$4:$J$63,MATCH($A544,PRODUTOS!$B$4:$B$63,0))&lt;&gt;"","NÃO (usa o A+ do EAN "&amp;INDEX(PRODUTOS!$J$4:$J$63,MATCH($A544,PRODUTOS!$B$4:$B$63,0))&amp;")",IF(AND(INDEX(PRODUTOS!$I$4:$I$63,MATCH($A544,PRODUTOS!$B$4:$B$63,0))="B",$D544="AP07"),"NÃO (modelo B)","SIM")))</f>
        <v>SIM</v>
      </c>
      <c r="K544" s="13" t="s">
        <v>325</v>
      </c>
      <c r="L544" s="13"/>
    </row>
    <row r="545" customFormat="false" ht="15" hidden="false" customHeight="false" outlineLevel="0" collapsed="false">
      <c r="A545" s="15" t="s">
        <v>181</v>
      </c>
      <c r="B545" s="11" t="str">
        <f aca="false">INDEX(PRODUTOS!$E$4:$E$63,MATCH($A545,PRODUTOS!$B$4:$B$63,0))</f>
        <v>Ração Natural Dots Super Premium Gatos Castrados Sabor Peixe 1 kg</v>
      </c>
      <c r="C545" s="11" t="str">
        <f aca="false">INDEX(PRODUTOS!$H$4:$H$63,MATCH($A545,PRODUTOS!$B$4:$B$63,0))</f>
        <v>1 kg</v>
      </c>
      <c r="D545" s="11" t="s">
        <v>339</v>
      </c>
      <c r="E545" s="16" t="str">
        <f aca="false">$A545&amp;"."&amp;$D545&amp;".jpg"</f>
        <v>7908591301038.AP06.jpg</v>
      </c>
      <c r="F545" s="11" t="str">
        <f aca="false">IF(INDEX(PRODUTOS!$I$4:$I$63,MATCH($A545,PRODUTOS!$B$4:$B$63,0))="B",INDEX(MODELOS!$F$3:$F$19,MATCH($D545,MODELOS!$A$3:$A$19,0)),INDEX(MODELOS!$B$3:$B$19,MATCH($D545,MODELOS!$A$3:$A$19,0)))</f>
        <v>A+ · Módulo 3 · Benefício 4 de 4</v>
      </c>
      <c r="G545" s="11" t="str">
        <f aca="false">IF(INDEX(PRODUTOS!$F$4:$F$63,MATCH($A545,PRODUTOS!$B$4:$B$63,0))="Ração",IF(INDEX(PRODUTOS!$I$4:$I$63,MATCH($A545,PRODUTOS!$B$4:$B$63,0))="B",INDEX(MODELOS!$G$3:$G$19,MATCH($D545,MODELOS!$A$3:$A$19,0)),INDEX(MODELOS!$C$3:$C$19,MATCH($D545,MODELOS!$A$3:$A$19,0))),IF(INDEX(PRODUTOS!$I$4:$I$63,MATCH($A545,PRODUTOS!$B$4:$B$63,0))="B",INDEX(MODELOS!$H$3:$H$19,MATCH($D545,MODELOS!$A$3:$A$19,0)),INDEX(MODELOS!$D$3:$D$19,MATCH($D545,MODELOS!$A$3:$A$19,0))))</f>
        <v>Foto/ilustração do benefício 4</v>
      </c>
      <c r="H545" s="11" t="str">
        <f aca="false">IF(INDEX(PRODUTOS!$I$4:$I$63,MATCH($A545,PRODUTOS!$B$4:$B$63,0))="B",INDEX(MODELOS!$I$3:$I$19,MATCH($D545,MODELOS!$A$3:$A$19,0)),INDEX(MODELOS!$E$3:$E$19,MATCH($D545,MODELOS!$A$3:$A$19,0)))</f>
        <v>220 × 200</v>
      </c>
      <c r="I545" s="11" t="str">
        <f aca="false">INDEX(MODELOS!$J$3:$J$19,MATCH($D545,MODELOS!$A$3:$A$19,0))</f>
        <v>Conforme modelo</v>
      </c>
      <c r="J545" s="11" t="str">
        <f aca="false">IF(LEFT($D545,2)&lt;&gt;"AP",IF($I545="SIM","SIM","RECOMENDADA"),IF(INDEX(PRODUTOS!$J$4:$J$63,MATCH($A545,PRODUTOS!$B$4:$B$63,0))&lt;&gt;"","NÃO (usa o A+ do EAN "&amp;INDEX(PRODUTOS!$J$4:$J$63,MATCH($A545,PRODUTOS!$B$4:$B$63,0))&amp;")",IF(AND(INDEX(PRODUTOS!$I$4:$I$63,MATCH($A545,PRODUTOS!$B$4:$B$63,0))="B",$D545="AP07"),"NÃO (modelo B)","SIM")))</f>
        <v>SIM</v>
      </c>
      <c r="K545" s="13" t="s">
        <v>325</v>
      </c>
      <c r="L545" s="13"/>
    </row>
    <row r="546" customFormat="false" ht="15" hidden="false" customHeight="false" outlineLevel="0" collapsed="false">
      <c r="A546" s="15" t="s">
        <v>181</v>
      </c>
      <c r="B546" s="11" t="str">
        <f aca="false">INDEX(PRODUTOS!$E$4:$E$63,MATCH($A546,PRODUTOS!$B$4:$B$63,0))</f>
        <v>Ração Natural Dots Super Premium Gatos Castrados Sabor Peixe 1 kg</v>
      </c>
      <c r="C546" s="11" t="str">
        <f aca="false">INDEX(PRODUTOS!$H$4:$H$63,MATCH($A546,PRODUTOS!$B$4:$B$63,0))</f>
        <v>1 kg</v>
      </c>
      <c r="D546" s="11" t="s">
        <v>340</v>
      </c>
      <c r="E546" s="16" t="str">
        <f aca="false">$A546&amp;"."&amp;$D546&amp;".jpg"</f>
        <v>7908591301038.AP07.jpg</v>
      </c>
      <c r="F546" s="11" t="str">
        <f aca="false">IF(INDEX(PRODUTOS!$I$4:$I$63,MATCH($A546,PRODUTOS!$B$4:$B$63,0))="B",INDEX(MODELOS!$F$3:$F$19,MATCH($D546,MODELOS!$A$3:$A$19,0)),INDEX(MODELOS!$B$3:$B$19,MATCH($D546,MODELOS!$A$3:$A$19,0)))</f>
        <v>A+ · Módulo 4 · Especificações</v>
      </c>
      <c r="G546" s="11" t="str">
        <f aca="false">IF(INDEX(PRODUTOS!$F$4:$F$63,MATCH($A546,PRODUTOS!$B$4:$B$63,0))="Ração",IF(INDEX(PRODUTOS!$I$4:$I$63,MATCH($A546,PRODUTOS!$B$4:$B$63,0))="B",INDEX(MODELOS!$G$3:$G$19,MATCH($D546,MODELOS!$A$3:$A$19,0)),INDEX(MODELOS!$C$3:$C$19,MATCH($D546,MODELOS!$A$3:$A$19,0))),IF(INDEX(PRODUTOS!$I$4:$I$63,MATCH($A546,PRODUTOS!$B$4:$B$63,0))="B",INDEX(MODELOS!$H$3:$H$19,MATCH($D546,MODELOS!$A$3:$A$19,0)),INDEX(MODELOS!$D$3:$D$19,MATCH($D546,MODELOS!$A$3:$A$19,0))))</f>
        <v>Grão ou pacote em destaque</v>
      </c>
      <c r="H546" s="11" t="str">
        <f aca="false">IF(INDEX(PRODUTOS!$I$4:$I$63,MATCH($A546,PRODUTOS!$B$4:$B$63,0))="B",INDEX(MODELOS!$I$3:$I$19,MATCH($D546,MODELOS!$A$3:$A$19,0)),INDEX(MODELOS!$E$3:$E$19,MATCH($D546,MODELOS!$A$3:$A$19,0)))</f>
        <v>300 × 300</v>
      </c>
      <c r="I546" s="11" t="str">
        <f aca="false">INDEX(MODELOS!$J$3:$J$19,MATCH($D546,MODELOS!$A$3:$A$19,0))</f>
        <v>Conforme modelo</v>
      </c>
      <c r="J546" s="11" t="str">
        <f aca="false">IF(LEFT($D546,2)&lt;&gt;"AP",IF($I546="SIM","SIM","RECOMENDADA"),IF(INDEX(PRODUTOS!$J$4:$J$63,MATCH($A546,PRODUTOS!$B$4:$B$63,0))&lt;&gt;"","NÃO (usa o A+ do EAN "&amp;INDEX(PRODUTOS!$J$4:$J$63,MATCH($A546,PRODUTOS!$B$4:$B$63,0))&amp;")",IF(AND(INDEX(PRODUTOS!$I$4:$I$63,MATCH($A546,PRODUTOS!$B$4:$B$63,0))="B",$D546="AP07"),"NÃO (modelo B)","SIM")))</f>
        <v>SIM</v>
      </c>
      <c r="K546" s="13" t="s">
        <v>325</v>
      </c>
      <c r="L546" s="13"/>
    </row>
    <row r="547" customFormat="false" ht="15" hidden="false" customHeight="false" outlineLevel="0" collapsed="false">
      <c r="A547" s="15" t="s">
        <v>181</v>
      </c>
      <c r="B547" s="11" t="str">
        <f aca="false">INDEX(PRODUTOS!$E$4:$E$63,MATCH($A547,PRODUTOS!$B$4:$B$63,0))</f>
        <v>Ração Natural Dots Super Premium Gatos Castrados Sabor Peixe 1 kg</v>
      </c>
      <c r="C547" s="11" t="str">
        <f aca="false">INDEX(PRODUTOS!$H$4:$H$63,MATCH($A547,PRODUTOS!$B$4:$B$63,0))</f>
        <v>1 kg</v>
      </c>
      <c r="D547" s="11" t="s">
        <v>341</v>
      </c>
      <c r="E547" s="16" t="str">
        <f aca="false">$A547&amp;"."&amp;$D547&amp;".jpg"</f>
        <v>7908591301038.COMP.jpg</v>
      </c>
      <c r="F547" s="11" t="str">
        <f aca="false">IF(INDEX(PRODUTOS!$I$4:$I$63,MATCH($A547,PRODUTOS!$B$4:$B$63,0))="B",INDEX(MODELOS!$F$3:$F$19,MATCH($D547,MODELOS!$A$3:$A$19,0)),INDEX(MODELOS!$B$3:$B$19,MATCH($D547,MODELOS!$A$3:$A$19,0)))</f>
        <v>A+ · Tabela comparativa</v>
      </c>
      <c r="G547" s="11" t="str">
        <f aca="false">IF(INDEX(PRODUTOS!$F$4:$F$63,MATCH($A547,PRODUTOS!$B$4:$B$63,0))="Ração",IF(INDEX(PRODUTOS!$I$4:$I$63,MATCH($A547,PRODUTOS!$B$4:$B$63,0))="B",INDEX(MODELOS!$G$3:$G$19,MATCH($D547,MODELOS!$A$3:$A$19,0)),INDEX(MODELOS!$C$3:$C$19,MATCH($D547,MODELOS!$A$3:$A$19,0))),IF(INDEX(PRODUTOS!$I$4:$I$63,MATCH($A547,PRODUTOS!$B$4:$B$63,0))="B",INDEX(MODELOS!$H$3:$H$19,MATCH($D547,MODELOS!$A$3:$A$19,0)),INDEX(MODELOS!$D$3:$D$19,MATCH($D547,MODELOS!$A$3:$A$19,0))))</f>
        <v>Pacote na vertical, sem fundo colorido</v>
      </c>
      <c r="H547" s="11" t="str">
        <f aca="false">IF(INDEX(PRODUTOS!$I$4:$I$63,MATCH($A547,PRODUTOS!$B$4:$B$63,0))="B",INDEX(MODELOS!$I$3:$I$19,MATCH($D547,MODELOS!$A$3:$A$19,0)),INDEX(MODELOS!$E$3:$E$19,MATCH($D547,MODELOS!$A$3:$A$19,0)))</f>
        <v>150 × 300</v>
      </c>
      <c r="I547" s="11" t="str">
        <f aca="false">INDEX(MODELOS!$J$3:$J$19,MATCH($D547,MODELOS!$A$3:$A$19,0))</f>
        <v>SIM</v>
      </c>
      <c r="J547" s="11" t="str">
        <f aca="false">IF(LEFT($D547,2)&lt;&gt;"AP",IF($I547="SIM","SIM","RECOMENDADA"),IF(INDEX(PRODUTOS!$J$4:$J$63,MATCH($A547,PRODUTOS!$B$4:$B$63,0))&lt;&gt;"","NÃO (usa o A+ do EAN "&amp;INDEX(PRODUTOS!$J$4:$J$63,MATCH($A547,PRODUTOS!$B$4:$B$63,0))&amp;")",IF(AND(INDEX(PRODUTOS!$I$4:$I$63,MATCH($A547,PRODUTOS!$B$4:$B$63,0))="B",$D547="AP07"),"NÃO (modelo B)","SIM")))</f>
        <v>SIM</v>
      </c>
      <c r="K547" s="13" t="s">
        <v>325</v>
      </c>
      <c r="L547" s="13"/>
    </row>
    <row r="548" customFormat="false" ht="15" hidden="false" customHeight="false" outlineLevel="0" collapsed="false">
      <c r="A548" s="15" t="s">
        <v>185</v>
      </c>
      <c r="B548" s="11" t="str">
        <f aca="false">INDEX(PRODUTOS!$E$4:$E$63,MATCH($A548,PRODUTOS!$B$4:$B$63,0))</f>
        <v>Ração Seca Natural Dots Light para Cães - Pacote 1 kg</v>
      </c>
      <c r="C548" s="11" t="str">
        <f aca="false">INDEX(PRODUTOS!$H$4:$H$63,MATCH($A548,PRODUTOS!$B$4:$B$63,0))</f>
        <v>1 kg</v>
      </c>
      <c r="D548" s="11" t="s">
        <v>324</v>
      </c>
      <c r="E548" s="16" t="str">
        <f aca="false">$A548&amp;"."&amp;$D548&amp;".jpg"</f>
        <v>7908591300147.MAIN.jpg</v>
      </c>
      <c r="F548" s="11" t="str">
        <f aca="false">IF(INDEX(PRODUTOS!$I$4:$I$63,MATCH($A548,PRODUTOS!$B$4:$B$63,0))="B",INDEX(MODELOS!$F$3:$F$19,MATCH($D548,MODELOS!$A$3:$A$19,0)),INDEX(MODELOS!$B$3:$B$19,MATCH($D548,MODELOS!$A$3:$A$19,0)))</f>
        <v>Capa (posição 1)</v>
      </c>
      <c r="G548" s="11" t="str">
        <f aca="false">IF(INDEX(PRODUTOS!$F$4:$F$63,MATCH($A548,PRODUTOS!$B$4:$B$63,0))="Ração",IF(INDEX(PRODUTOS!$I$4:$I$63,MATCH($A548,PRODUTOS!$B$4:$B$63,0))="B",INDEX(MODELOS!$G$3:$G$19,MATCH($D548,MODELOS!$A$3:$A$19,0)),INDEX(MODELOS!$C$3:$C$19,MATCH($D548,MODELOS!$A$3:$A$19,0))),IF(INDEX(PRODUTOS!$I$4:$I$63,MATCH($A548,PRODUTOS!$B$4:$B$63,0))="B",INDEX(MODELOS!$H$3:$H$19,MATCH($D548,MODELOS!$A$3:$A$19,0)),INDEX(MODELOS!$D$3:$D$19,MATCH($D548,MODELOS!$A$3:$A$19,0))))</f>
        <v>Embalagem de frente, fundo branco puro, 85% da área, nada adicionado</v>
      </c>
      <c r="H548" s="11" t="str">
        <f aca="false">IF(INDEX(PRODUTOS!$I$4:$I$63,MATCH($A548,PRODUTOS!$B$4:$B$63,0))="B",INDEX(MODELOS!$I$3:$I$19,MATCH($D548,MODELOS!$A$3:$A$19,0)),INDEX(MODELOS!$E$3:$E$19,MATCH($D548,MODELOS!$A$3:$A$19,0)))</f>
        <v>2000 × 2000</v>
      </c>
      <c r="I548" s="11" t="str">
        <f aca="false">INDEX(MODELOS!$J$3:$J$19,MATCH($D548,MODELOS!$A$3:$A$19,0))</f>
        <v>SIM</v>
      </c>
      <c r="J548" s="11" t="str">
        <f aca="false">IF(LEFT($D548,2)&lt;&gt;"AP",IF($I548="SIM","SIM","RECOMENDADA"),IF(INDEX(PRODUTOS!$J$4:$J$63,MATCH($A548,PRODUTOS!$B$4:$B$63,0))&lt;&gt;"","NÃO (usa o A+ do EAN "&amp;INDEX(PRODUTOS!$J$4:$J$63,MATCH($A548,PRODUTOS!$B$4:$B$63,0))&amp;")",IF(AND(INDEX(PRODUTOS!$I$4:$I$63,MATCH($A548,PRODUTOS!$B$4:$B$63,0))="B",$D548="AP07"),"NÃO (modelo B)","SIM")))</f>
        <v>SIM</v>
      </c>
      <c r="K548" s="13" t="s">
        <v>325</v>
      </c>
      <c r="L548" s="13"/>
    </row>
    <row r="549" customFormat="false" ht="15" hidden="false" customHeight="false" outlineLevel="0" collapsed="false">
      <c r="A549" s="15" t="s">
        <v>185</v>
      </c>
      <c r="B549" s="11" t="str">
        <f aca="false">INDEX(PRODUTOS!$E$4:$E$63,MATCH($A549,PRODUTOS!$B$4:$B$63,0))</f>
        <v>Ração Seca Natural Dots Light para Cães - Pacote 1 kg</v>
      </c>
      <c r="C549" s="11" t="str">
        <f aca="false">INDEX(PRODUTOS!$H$4:$H$63,MATCH($A549,PRODUTOS!$B$4:$B$63,0))</f>
        <v>1 kg</v>
      </c>
      <c r="D549" s="11" t="s">
        <v>326</v>
      </c>
      <c r="E549" s="16" t="str">
        <f aca="false">$A549&amp;"."&amp;$D549&amp;".jpg"</f>
        <v>7908591300147.PT01.jpg</v>
      </c>
      <c r="F549" s="11" t="str">
        <f aca="false">IF(INDEX(PRODUTOS!$I$4:$I$63,MATCH($A549,PRODUTOS!$B$4:$B$63,0))="B",INDEX(MODELOS!$F$3:$F$19,MATCH($D549,MODELOS!$A$3:$A$19,0)),INDEX(MODELOS!$B$3:$B$19,MATCH($D549,MODELOS!$A$3:$A$19,0)))</f>
        <v>Galeria · posição 2</v>
      </c>
      <c r="G549" s="11" t="str">
        <f aca="false">IF(INDEX(PRODUTOS!$F$4:$F$63,MATCH($A549,PRODUTOS!$B$4:$B$63,0))="Ração",IF(INDEX(PRODUTOS!$I$4:$I$63,MATCH($A549,PRODUTOS!$B$4:$B$63,0))="B",INDEX(MODELOS!$G$3:$G$19,MATCH($D549,MODELOS!$A$3:$A$19,0)),INDEX(MODELOS!$C$3:$C$19,MATCH($D549,MODELOS!$A$3:$A$19,0))),IF(INDEX(PRODUTOS!$I$4:$I$63,MATCH($A549,PRODUTOS!$B$4:$B$63,0))="B",INDEX(MODELOS!$H$3:$H$19,MATCH($D549,MODELOS!$A$3:$A$19,0)),INDEX(MODELOS!$D$3:$D$19,MATCH($D549,MODELOS!$A$3:$A$19,0))))</f>
        <v>Grande diferencial da linha (número ou promessa forte + grão e ingrediente)</v>
      </c>
      <c r="H549" s="11" t="str">
        <f aca="false">IF(INDEX(PRODUTOS!$I$4:$I$63,MATCH($A549,PRODUTOS!$B$4:$B$63,0))="B",INDEX(MODELOS!$I$3:$I$19,MATCH($D549,MODELOS!$A$3:$A$19,0)),INDEX(MODELOS!$E$3:$E$19,MATCH($D549,MODELOS!$A$3:$A$19,0)))</f>
        <v>2000 × 2000</v>
      </c>
      <c r="I549" s="11" t="str">
        <f aca="false">INDEX(MODELOS!$J$3:$J$19,MATCH($D549,MODELOS!$A$3:$A$19,0))</f>
        <v>SIM</v>
      </c>
      <c r="J549" s="11" t="str">
        <f aca="false">IF(LEFT($D549,2)&lt;&gt;"AP",IF($I549="SIM","SIM","RECOMENDADA"),IF(INDEX(PRODUTOS!$J$4:$J$63,MATCH($A549,PRODUTOS!$B$4:$B$63,0))&lt;&gt;"","NÃO (usa o A+ do EAN "&amp;INDEX(PRODUTOS!$J$4:$J$63,MATCH($A549,PRODUTOS!$B$4:$B$63,0))&amp;")",IF(AND(INDEX(PRODUTOS!$I$4:$I$63,MATCH($A549,PRODUTOS!$B$4:$B$63,0))="B",$D549="AP07"),"NÃO (modelo B)","SIM")))</f>
        <v>SIM</v>
      </c>
      <c r="K549" s="13" t="s">
        <v>325</v>
      </c>
      <c r="L549" s="13"/>
    </row>
    <row r="550" customFormat="false" ht="15" hidden="false" customHeight="false" outlineLevel="0" collapsed="false">
      <c r="A550" s="15" t="s">
        <v>185</v>
      </c>
      <c r="B550" s="11" t="str">
        <f aca="false">INDEX(PRODUTOS!$E$4:$E$63,MATCH($A550,PRODUTOS!$B$4:$B$63,0))</f>
        <v>Ração Seca Natural Dots Light para Cães - Pacote 1 kg</v>
      </c>
      <c r="C550" s="11" t="str">
        <f aca="false">INDEX(PRODUTOS!$H$4:$H$63,MATCH($A550,PRODUTOS!$B$4:$B$63,0))</f>
        <v>1 kg</v>
      </c>
      <c r="D550" s="11" t="s">
        <v>327</v>
      </c>
      <c r="E550" s="16" t="str">
        <f aca="false">$A550&amp;"."&amp;$D550&amp;".jpg"</f>
        <v>7908591300147.PT02.jpg</v>
      </c>
      <c r="F550" s="11" t="str">
        <f aca="false">IF(INDEX(PRODUTOS!$I$4:$I$63,MATCH($A550,PRODUTOS!$B$4:$B$63,0))="B",INDEX(MODELOS!$F$3:$F$19,MATCH($D550,MODELOS!$A$3:$A$19,0)),INDEX(MODELOS!$B$3:$B$19,MATCH($D550,MODELOS!$A$3:$A$19,0)))</f>
        <v>Galeria · posição 3</v>
      </c>
      <c r="G550" s="11" t="str">
        <f aca="false">IF(INDEX(PRODUTOS!$F$4:$F$63,MATCH($A550,PRODUTOS!$B$4:$B$63,0))="Ração",IF(INDEX(PRODUTOS!$I$4:$I$63,MATCH($A550,PRODUTOS!$B$4:$B$63,0))="B",INDEX(MODELOS!$G$3:$G$19,MATCH($D550,MODELOS!$A$3:$A$19,0)),INDEX(MODELOS!$C$3:$C$19,MATCH($D550,MODELOS!$A$3:$A$19,0))),IF(INDEX(PRODUTOS!$I$4:$I$63,MATCH($A550,PRODUTOS!$B$4:$B$63,0))="B",INDEX(MODELOS!$H$3:$H$19,MATCH($D550,MODELOS!$A$3:$A$19,0)),INDEX(MODELOS!$D$3:$D$19,MATCH($D550,MODELOS!$A$3:$A$19,0))))</f>
        <v>Benefícios com ícones (4 a 6, impressos na embalagem) + ingrediente</v>
      </c>
      <c r="H550" s="11" t="str">
        <f aca="false">IF(INDEX(PRODUTOS!$I$4:$I$63,MATCH($A550,PRODUTOS!$B$4:$B$63,0))="B",INDEX(MODELOS!$I$3:$I$19,MATCH($D550,MODELOS!$A$3:$A$19,0)),INDEX(MODELOS!$E$3:$E$19,MATCH($D550,MODELOS!$A$3:$A$19,0)))</f>
        <v>2000 × 2000</v>
      </c>
      <c r="I550" s="11" t="str">
        <f aca="false">INDEX(MODELOS!$J$3:$J$19,MATCH($D550,MODELOS!$A$3:$A$19,0))</f>
        <v>SIM</v>
      </c>
      <c r="J550" s="11" t="str">
        <f aca="false">IF(LEFT($D550,2)&lt;&gt;"AP",IF($I550="SIM","SIM","RECOMENDADA"),IF(INDEX(PRODUTOS!$J$4:$J$63,MATCH($A550,PRODUTOS!$B$4:$B$63,0))&lt;&gt;"","NÃO (usa o A+ do EAN "&amp;INDEX(PRODUTOS!$J$4:$J$63,MATCH($A550,PRODUTOS!$B$4:$B$63,0))&amp;")",IF(AND(INDEX(PRODUTOS!$I$4:$I$63,MATCH($A550,PRODUTOS!$B$4:$B$63,0))="B",$D550="AP07"),"NÃO (modelo B)","SIM")))</f>
        <v>SIM</v>
      </c>
      <c r="K550" s="13" t="s">
        <v>325</v>
      </c>
      <c r="L550" s="13"/>
    </row>
    <row r="551" customFormat="false" ht="15" hidden="false" customHeight="false" outlineLevel="0" collapsed="false">
      <c r="A551" s="15" t="s">
        <v>185</v>
      </c>
      <c r="B551" s="11" t="str">
        <f aca="false">INDEX(PRODUTOS!$E$4:$E$63,MATCH($A551,PRODUTOS!$B$4:$B$63,0))</f>
        <v>Ração Seca Natural Dots Light para Cães - Pacote 1 kg</v>
      </c>
      <c r="C551" s="11" t="str">
        <f aca="false">INDEX(PRODUTOS!$H$4:$H$63,MATCH($A551,PRODUTOS!$B$4:$B$63,0))</f>
        <v>1 kg</v>
      </c>
      <c r="D551" s="11" t="s">
        <v>328</v>
      </c>
      <c r="E551" s="16" t="str">
        <f aca="false">$A551&amp;"."&amp;$D551&amp;".jpg"</f>
        <v>7908591300147.PT03.jpg</v>
      </c>
      <c r="F551" s="11" t="str">
        <f aca="false">IF(INDEX(PRODUTOS!$I$4:$I$63,MATCH($A551,PRODUTOS!$B$4:$B$63,0))="B",INDEX(MODELOS!$F$3:$F$19,MATCH($D551,MODELOS!$A$3:$A$19,0)),INDEX(MODELOS!$B$3:$B$19,MATCH($D551,MODELOS!$A$3:$A$19,0)))</f>
        <v>Galeria · posição 4</v>
      </c>
      <c r="G551" s="11" t="str">
        <f aca="false">IF(INDEX(PRODUTOS!$F$4:$F$63,MATCH($A551,PRODUTOS!$B$4:$B$63,0))="Ração",IF(INDEX(PRODUTOS!$I$4:$I$63,MATCH($A551,PRODUTOS!$B$4:$B$63,0))="B",INDEX(MODELOS!$G$3:$G$19,MATCH($D551,MODELOS!$A$3:$A$19,0)),INDEX(MODELOS!$C$3:$C$19,MATCH($D551,MODELOS!$A$3:$A$19,0))),IF(INDEX(PRODUTOS!$I$4:$I$63,MATCH($A551,PRODUTOS!$B$4:$B$63,0))="B",INDEX(MODELOS!$H$3:$H$19,MATCH($D551,MODELOS!$A$3:$A$19,0)),INDEX(MODELOS!$D$3:$D$19,MATCH($D551,MODELOS!$A$3:$A$19,0))))</f>
        <v>Formato e tamanho do grão, com medida em mm e referência de tamanho</v>
      </c>
      <c r="H551" s="11" t="str">
        <f aca="false">IF(INDEX(PRODUTOS!$I$4:$I$63,MATCH($A551,PRODUTOS!$B$4:$B$63,0))="B",INDEX(MODELOS!$I$3:$I$19,MATCH($D551,MODELOS!$A$3:$A$19,0)),INDEX(MODELOS!$E$3:$E$19,MATCH($D551,MODELOS!$A$3:$A$19,0)))</f>
        <v>2000 × 2000</v>
      </c>
      <c r="I551" s="11" t="str">
        <f aca="false">INDEX(MODELOS!$J$3:$J$19,MATCH($D551,MODELOS!$A$3:$A$19,0))</f>
        <v>SIM</v>
      </c>
      <c r="J551" s="11" t="str">
        <f aca="false">IF(LEFT($D551,2)&lt;&gt;"AP",IF($I551="SIM","SIM","RECOMENDADA"),IF(INDEX(PRODUTOS!$J$4:$J$63,MATCH($A551,PRODUTOS!$B$4:$B$63,0))&lt;&gt;"","NÃO (usa o A+ do EAN "&amp;INDEX(PRODUTOS!$J$4:$J$63,MATCH($A551,PRODUTOS!$B$4:$B$63,0))&amp;")",IF(AND(INDEX(PRODUTOS!$I$4:$I$63,MATCH($A551,PRODUTOS!$B$4:$B$63,0))="B",$D551="AP07"),"NÃO (modelo B)","SIM")))</f>
        <v>SIM</v>
      </c>
      <c r="K551" s="13" t="s">
        <v>325</v>
      </c>
      <c r="L551" s="13"/>
    </row>
    <row r="552" customFormat="false" ht="15" hidden="false" customHeight="false" outlineLevel="0" collapsed="false">
      <c r="A552" s="15" t="s">
        <v>185</v>
      </c>
      <c r="B552" s="11" t="str">
        <f aca="false">INDEX(PRODUTOS!$E$4:$E$63,MATCH($A552,PRODUTOS!$B$4:$B$63,0))</f>
        <v>Ração Seca Natural Dots Light para Cães - Pacote 1 kg</v>
      </c>
      <c r="C552" s="11" t="str">
        <f aca="false">INDEX(PRODUTOS!$H$4:$H$63,MATCH($A552,PRODUTOS!$B$4:$B$63,0))</f>
        <v>1 kg</v>
      </c>
      <c r="D552" s="11" t="s">
        <v>329</v>
      </c>
      <c r="E552" s="16" t="str">
        <f aca="false">$A552&amp;"."&amp;$D552&amp;".jpg"</f>
        <v>7908591300147.PT04.jpg</v>
      </c>
      <c r="F552" s="11" t="str">
        <f aca="false">IF(INDEX(PRODUTOS!$I$4:$I$63,MATCH($A552,PRODUTOS!$B$4:$B$63,0))="B",INDEX(MODELOS!$F$3:$F$19,MATCH($D552,MODELOS!$A$3:$A$19,0)),INDEX(MODELOS!$B$3:$B$19,MATCH($D552,MODELOS!$A$3:$A$19,0)))</f>
        <v>Galeria · posição 5</v>
      </c>
      <c r="G552" s="11" t="str">
        <f aca="false">IF(INDEX(PRODUTOS!$F$4:$F$63,MATCH($A552,PRODUTOS!$B$4:$B$63,0))="Ração",IF(INDEX(PRODUTOS!$I$4:$I$63,MATCH($A552,PRODUTOS!$B$4:$B$63,0))="B",INDEX(MODELOS!$G$3:$G$19,MATCH($D552,MODELOS!$A$3:$A$19,0)),INDEX(MODELOS!$C$3:$C$19,MATCH($D552,MODELOS!$A$3:$A$19,0))),IF(INDEX(PRODUTOS!$I$4:$I$63,MATCH($A552,PRODUTOS!$B$4:$B$63,0))="B",INDEX(MODELOS!$H$3:$H$19,MATCH($D552,MODELOS!$A$3:$A$19,0)),INDEX(MODELOS!$D$3:$D$19,MATCH($D552,MODELOS!$A$3:$A$19,0))))</f>
        <v>Quantidade diária por peso do cão/gato (números idênticos à embalagem)</v>
      </c>
      <c r="H552" s="11" t="str">
        <f aca="false">IF(INDEX(PRODUTOS!$I$4:$I$63,MATCH($A552,PRODUTOS!$B$4:$B$63,0))="B",INDEX(MODELOS!$I$3:$I$19,MATCH($D552,MODELOS!$A$3:$A$19,0)),INDEX(MODELOS!$E$3:$E$19,MATCH($D552,MODELOS!$A$3:$A$19,0)))</f>
        <v>2000 × 2000</v>
      </c>
      <c r="I552" s="11" t="str">
        <f aca="false">INDEX(MODELOS!$J$3:$J$19,MATCH($D552,MODELOS!$A$3:$A$19,0))</f>
        <v>SIM</v>
      </c>
      <c r="J552" s="11" t="str">
        <f aca="false">IF(LEFT($D552,2)&lt;&gt;"AP",IF($I552="SIM","SIM","RECOMENDADA"),IF(INDEX(PRODUTOS!$J$4:$J$63,MATCH($A552,PRODUTOS!$B$4:$B$63,0))&lt;&gt;"","NÃO (usa o A+ do EAN "&amp;INDEX(PRODUTOS!$J$4:$J$63,MATCH($A552,PRODUTOS!$B$4:$B$63,0))&amp;")",IF(AND(INDEX(PRODUTOS!$I$4:$I$63,MATCH($A552,PRODUTOS!$B$4:$B$63,0))="B",$D552="AP07"),"NÃO (modelo B)","SIM")))</f>
        <v>SIM</v>
      </c>
      <c r="K552" s="13" t="s">
        <v>325</v>
      </c>
      <c r="L552" s="13"/>
    </row>
    <row r="553" customFormat="false" ht="15" hidden="false" customHeight="false" outlineLevel="0" collapsed="false">
      <c r="A553" s="15" t="s">
        <v>185</v>
      </c>
      <c r="B553" s="11" t="str">
        <f aca="false">INDEX(PRODUTOS!$E$4:$E$63,MATCH($A553,PRODUTOS!$B$4:$B$63,0))</f>
        <v>Ração Seca Natural Dots Light para Cães - Pacote 1 kg</v>
      </c>
      <c r="C553" s="11" t="str">
        <f aca="false">INDEX(PRODUTOS!$H$4:$H$63,MATCH($A553,PRODUTOS!$B$4:$B$63,0))</f>
        <v>1 kg</v>
      </c>
      <c r="D553" s="11" t="s">
        <v>330</v>
      </c>
      <c r="E553" s="16" t="str">
        <f aca="false">$A553&amp;"."&amp;$D553&amp;".jpg"</f>
        <v>7908591300147.PT05.jpg</v>
      </c>
      <c r="F553" s="11" t="str">
        <f aca="false">IF(INDEX(PRODUTOS!$I$4:$I$63,MATCH($A553,PRODUTOS!$B$4:$B$63,0))="B",INDEX(MODELOS!$F$3:$F$19,MATCH($D553,MODELOS!$A$3:$A$19,0)),INDEX(MODELOS!$B$3:$B$19,MATCH($D553,MODELOS!$A$3:$A$19,0)))</f>
        <v>Galeria · posição 6</v>
      </c>
      <c r="G553" s="11" t="str">
        <f aca="false">IF(INDEX(PRODUTOS!$F$4:$F$63,MATCH($A553,PRODUTOS!$B$4:$B$63,0))="Ração",IF(INDEX(PRODUTOS!$I$4:$I$63,MATCH($A553,PRODUTOS!$B$4:$B$63,0))="B",INDEX(MODELOS!$G$3:$G$19,MATCH($D553,MODELOS!$A$3:$A$19,0)),INDEX(MODELOS!$C$3:$C$19,MATCH($D553,MODELOS!$A$3:$A$19,0))),IF(INDEX(PRODUTOS!$I$4:$I$63,MATCH($A553,PRODUTOS!$B$4:$B$63,0))="B",INDEX(MODELOS!$H$3:$H$19,MATCH($D553,MODELOS!$A$3:$A$19,0)),INDEX(MODELOS!$D$3:$D$19,MATCH($D553,MODELOS!$A$3:$A$19,0))))</f>
        <v>Transição alimentar dia a dia (igual ao verso da embalagem)</v>
      </c>
      <c r="H553" s="11" t="str">
        <f aca="false">IF(INDEX(PRODUTOS!$I$4:$I$63,MATCH($A553,PRODUTOS!$B$4:$B$63,0))="B",INDEX(MODELOS!$I$3:$I$19,MATCH($D553,MODELOS!$A$3:$A$19,0)),INDEX(MODELOS!$E$3:$E$19,MATCH($D553,MODELOS!$A$3:$A$19,0)))</f>
        <v>2000 × 2000</v>
      </c>
      <c r="I553" s="11" t="str">
        <f aca="false">INDEX(MODELOS!$J$3:$J$19,MATCH($D553,MODELOS!$A$3:$A$19,0))</f>
        <v>Recomendada</v>
      </c>
      <c r="J553" s="11" t="str">
        <f aca="false">IF(LEFT($D553,2)&lt;&gt;"AP",IF($I553="SIM","SIM","RECOMENDADA"),IF(INDEX(PRODUTOS!$J$4:$J$63,MATCH($A553,PRODUTOS!$B$4:$B$63,0))&lt;&gt;"","NÃO (usa o A+ do EAN "&amp;INDEX(PRODUTOS!$J$4:$J$63,MATCH($A553,PRODUTOS!$B$4:$B$63,0))&amp;")",IF(AND(INDEX(PRODUTOS!$I$4:$I$63,MATCH($A553,PRODUTOS!$B$4:$B$63,0))="B",$D553="AP07"),"NÃO (modelo B)","SIM")))</f>
        <v>RECOMENDADA</v>
      </c>
      <c r="K553" s="13" t="s">
        <v>325</v>
      </c>
      <c r="L553" s="13"/>
    </row>
    <row r="554" customFormat="false" ht="15" hidden="false" customHeight="false" outlineLevel="0" collapsed="false">
      <c r="A554" s="15" t="s">
        <v>185</v>
      </c>
      <c r="B554" s="11" t="str">
        <f aca="false">INDEX(PRODUTOS!$E$4:$E$63,MATCH($A554,PRODUTOS!$B$4:$B$63,0))</f>
        <v>Ração Seca Natural Dots Light para Cães - Pacote 1 kg</v>
      </c>
      <c r="C554" s="11" t="str">
        <f aca="false">INDEX(PRODUTOS!$H$4:$H$63,MATCH($A554,PRODUTOS!$B$4:$B$63,0))</f>
        <v>1 kg</v>
      </c>
      <c r="D554" s="11" t="s">
        <v>331</v>
      </c>
      <c r="E554" s="16" t="str">
        <f aca="false">$A554&amp;"."&amp;$D554&amp;".jpg"</f>
        <v>7908591300147.PT06.jpg</v>
      </c>
      <c r="F554" s="11" t="str">
        <f aca="false">IF(INDEX(PRODUTOS!$I$4:$I$63,MATCH($A554,PRODUTOS!$B$4:$B$63,0))="B",INDEX(MODELOS!$F$3:$F$19,MATCH($D554,MODELOS!$A$3:$A$19,0)),INDEX(MODELOS!$B$3:$B$19,MATCH($D554,MODELOS!$A$3:$A$19,0)))</f>
        <v>Galeria · posição 7</v>
      </c>
      <c r="G554" s="11" t="str">
        <f aca="false">IF(INDEX(PRODUTOS!$F$4:$F$63,MATCH($A554,PRODUTOS!$B$4:$B$63,0))="Ração",IF(INDEX(PRODUTOS!$I$4:$I$63,MATCH($A554,PRODUTOS!$B$4:$B$63,0))="B",INDEX(MODELOS!$G$3:$G$19,MATCH($D554,MODELOS!$A$3:$A$19,0)),INDEX(MODELOS!$C$3:$C$19,MATCH($D554,MODELOS!$A$3:$A$19,0))),IF(INDEX(PRODUTOS!$I$4:$I$63,MATCH($A554,PRODUTOS!$B$4:$B$63,0))="B",INDEX(MODELOS!$H$3:$H$19,MATCH($D554,MODELOS!$A$3:$A$19,0)),INDEX(MODELOS!$D$3:$D$19,MATCH($D554,MODELOS!$A$3:$A$19,0))))</f>
        <v>Composição e níveis de garantia em letra grande</v>
      </c>
      <c r="H554" s="11" t="str">
        <f aca="false">IF(INDEX(PRODUTOS!$I$4:$I$63,MATCH($A554,PRODUTOS!$B$4:$B$63,0))="B",INDEX(MODELOS!$I$3:$I$19,MATCH($D554,MODELOS!$A$3:$A$19,0)),INDEX(MODELOS!$E$3:$E$19,MATCH($D554,MODELOS!$A$3:$A$19,0)))</f>
        <v>2000 × 2000</v>
      </c>
      <c r="I554" s="11" t="str">
        <f aca="false">INDEX(MODELOS!$J$3:$J$19,MATCH($D554,MODELOS!$A$3:$A$19,0))</f>
        <v>SIM</v>
      </c>
      <c r="J554" s="11" t="str">
        <f aca="false">IF(LEFT($D554,2)&lt;&gt;"AP",IF($I554="SIM","SIM","RECOMENDADA"),IF(INDEX(PRODUTOS!$J$4:$J$63,MATCH($A554,PRODUTOS!$B$4:$B$63,0))&lt;&gt;"","NÃO (usa o A+ do EAN "&amp;INDEX(PRODUTOS!$J$4:$J$63,MATCH($A554,PRODUTOS!$B$4:$B$63,0))&amp;")",IF(AND(INDEX(PRODUTOS!$I$4:$I$63,MATCH($A554,PRODUTOS!$B$4:$B$63,0))="B",$D554="AP07"),"NÃO (modelo B)","SIM")))</f>
        <v>SIM</v>
      </c>
      <c r="K554" s="13" t="s">
        <v>325</v>
      </c>
      <c r="L554" s="13"/>
    </row>
    <row r="555" customFormat="false" ht="15" hidden="false" customHeight="false" outlineLevel="0" collapsed="false">
      <c r="A555" s="15" t="s">
        <v>185</v>
      </c>
      <c r="B555" s="11" t="str">
        <f aca="false">INDEX(PRODUTOS!$E$4:$E$63,MATCH($A555,PRODUTOS!$B$4:$B$63,0))</f>
        <v>Ração Seca Natural Dots Light para Cães - Pacote 1 kg</v>
      </c>
      <c r="C555" s="11" t="str">
        <f aca="false">INDEX(PRODUTOS!$H$4:$H$63,MATCH($A555,PRODUTOS!$B$4:$B$63,0))</f>
        <v>1 kg</v>
      </c>
      <c r="D555" s="11" t="s">
        <v>332</v>
      </c>
      <c r="E555" s="16" t="str">
        <f aca="false">$A555&amp;"."&amp;$D555&amp;".jpg"</f>
        <v>7908591300147.PT07.jpg</v>
      </c>
      <c r="F555" s="11" t="str">
        <f aca="false">IF(INDEX(PRODUTOS!$I$4:$I$63,MATCH($A555,PRODUTOS!$B$4:$B$63,0))="B",INDEX(MODELOS!$F$3:$F$19,MATCH($D555,MODELOS!$A$3:$A$19,0)),INDEX(MODELOS!$B$3:$B$19,MATCH($D555,MODELOS!$A$3:$A$19,0)))</f>
        <v>Galeria · posição 8</v>
      </c>
      <c r="G555" s="11" t="str">
        <f aca="false">IF(INDEX(PRODUTOS!$F$4:$F$63,MATCH($A555,PRODUTOS!$B$4:$B$63,0))="Ração",IF(INDEX(PRODUTOS!$I$4:$I$63,MATCH($A555,PRODUTOS!$B$4:$B$63,0))="B",INDEX(MODELOS!$G$3:$G$19,MATCH($D555,MODELOS!$A$3:$A$19,0)),INDEX(MODELOS!$C$3:$C$19,MATCH($D555,MODELOS!$A$3:$A$19,0))),IF(INDEX(PRODUTOS!$I$4:$I$63,MATCH($A555,PRODUTOS!$B$4:$B$63,0))="B",INDEX(MODELOS!$H$3:$H$19,MATCH($D555,MODELOS!$A$3:$A$19,0)),INDEX(MODELOS!$D$3:$D$19,MATCH($D555,MODELOS!$A$3:$A$19,0))))</f>
        <v>Emocional / momento de uso (pet do porte certo, pote cheio)</v>
      </c>
      <c r="H555" s="11" t="str">
        <f aca="false">IF(INDEX(PRODUTOS!$I$4:$I$63,MATCH($A555,PRODUTOS!$B$4:$B$63,0))="B",INDEX(MODELOS!$I$3:$I$19,MATCH($D555,MODELOS!$A$3:$A$19,0)),INDEX(MODELOS!$E$3:$E$19,MATCH($D555,MODELOS!$A$3:$A$19,0)))</f>
        <v>2000 × 2000</v>
      </c>
      <c r="I555" s="11" t="str">
        <f aca="false">INDEX(MODELOS!$J$3:$J$19,MATCH($D555,MODELOS!$A$3:$A$19,0))</f>
        <v>Recomendada</v>
      </c>
      <c r="J555" s="11" t="str">
        <f aca="false">IF(LEFT($D555,2)&lt;&gt;"AP",IF($I555="SIM","SIM","RECOMENDADA"),IF(INDEX(PRODUTOS!$J$4:$J$63,MATCH($A555,PRODUTOS!$B$4:$B$63,0))&lt;&gt;"","NÃO (usa o A+ do EAN "&amp;INDEX(PRODUTOS!$J$4:$J$63,MATCH($A555,PRODUTOS!$B$4:$B$63,0))&amp;")",IF(AND(INDEX(PRODUTOS!$I$4:$I$63,MATCH($A555,PRODUTOS!$B$4:$B$63,0))="B",$D555="AP07"),"NÃO (modelo B)","SIM")))</f>
        <v>RECOMENDADA</v>
      </c>
      <c r="K555" s="13" t="s">
        <v>325</v>
      </c>
      <c r="L555" s="13"/>
    </row>
    <row r="556" customFormat="false" ht="15" hidden="false" customHeight="false" outlineLevel="0" collapsed="false">
      <c r="A556" s="15" t="s">
        <v>185</v>
      </c>
      <c r="B556" s="11" t="str">
        <f aca="false">INDEX(PRODUTOS!$E$4:$E$63,MATCH($A556,PRODUTOS!$B$4:$B$63,0))</f>
        <v>Ração Seca Natural Dots Light para Cães - Pacote 1 kg</v>
      </c>
      <c r="C556" s="11" t="str">
        <f aca="false">INDEX(PRODUTOS!$H$4:$H$63,MATCH($A556,PRODUTOS!$B$4:$B$63,0))</f>
        <v>1 kg</v>
      </c>
      <c r="D556" s="11" t="s">
        <v>333</v>
      </c>
      <c r="E556" s="16" t="str">
        <f aca="false">$A556&amp;"."&amp;$D556&amp;".jpg"</f>
        <v>7908591300147.PT08.jpg</v>
      </c>
      <c r="F556" s="11" t="str">
        <f aca="false">IF(INDEX(PRODUTOS!$I$4:$I$63,MATCH($A556,PRODUTOS!$B$4:$B$63,0))="B",INDEX(MODELOS!$F$3:$F$19,MATCH($D556,MODELOS!$A$3:$A$19,0)),INDEX(MODELOS!$B$3:$B$19,MATCH($D556,MODELOS!$A$3:$A$19,0)))</f>
        <v>Galeria · posição 9</v>
      </c>
      <c r="G556" s="11" t="str">
        <f aca="false">IF(INDEX(PRODUTOS!$F$4:$F$63,MATCH($A556,PRODUTOS!$B$4:$B$63,0))="Ração",IF(INDEX(PRODUTOS!$I$4:$I$63,MATCH($A556,PRODUTOS!$B$4:$B$63,0))="B",INDEX(MODELOS!$G$3:$G$19,MATCH($D556,MODELOS!$A$3:$A$19,0)),INDEX(MODELOS!$C$3:$C$19,MATCH($D556,MODELOS!$A$3:$A$19,0))),IF(INDEX(PRODUTOS!$I$4:$I$63,MATCH($A556,PRODUTOS!$B$4:$B$63,0))="B",INDEX(MODELOS!$H$3:$H$19,MATCH($D556,MODELOS!$A$3:$A$19,0)),INDEX(MODELOS!$D$3:$D$19,MATCH($D556,MODELOS!$A$3:$A$19,0))))</f>
        <v>Linha da marca ou embalagem anterior × nova</v>
      </c>
      <c r="H556" s="11" t="str">
        <f aca="false">IF(INDEX(PRODUTOS!$I$4:$I$63,MATCH($A556,PRODUTOS!$B$4:$B$63,0))="B",INDEX(MODELOS!$I$3:$I$19,MATCH($D556,MODELOS!$A$3:$A$19,0)),INDEX(MODELOS!$E$3:$E$19,MATCH($D556,MODELOS!$A$3:$A$19,0)))</f>
        <v>2000 × 2000</v>
      </c>
      <c r="I556" s="11" t="str">
        <f aca="false">INDEX(MODELOS!$J$3:$J$19,MATCH($D556,MODELOS!$A$3:$A$19,0))</f>
        <v>Recomendada</v>
      </c>
      <c r="J556" s="11" t="str">
        <f aca="false">IF(LEFT($D556,2)&lt;&gt;"AP",IF($I556="SIM","SIM","RECOMENDADA"),IF(INDEX(PRODUTOS!$J$4:$J$63,MATCH($A556,PRODUTOS!$B$4:$B$63,0))&lt;&gt;"","NÃO (usa o A+ do EAN "&amp;INDEX(PRODUTOS!$J$4:$J$63,MATCH($A556,PRODUTOS!$B$4:$B$63,0))&amp;")",IF(AND(INDEX(PRODUTOS!$I$4:$I$63,MATCH($A556,PRODUTOS!$B$4:$B$63,0))="B",$D556="AP07"),"NÃO (modelo B)","SIM")))</f>
        <v>RECOMENDADA</v>
      </c>
      <c r="K556" s="13" t="s">
        <v>325</v>
      </c>
      <c r="L556" s="13"/>
    </row>
    <row r="557" customFormat="false" ht="15" hidden="false" customHeight="false" outlineLevel="0" collapsed="false">
      <c r="A557" s="15" t="s">
        <v>185</v>
      </c>
      <c r="B557" s="11" t="str">
        <f aca="false">INDEX(PRODUTOS!$E$4:$E$63,MATCH($A557,PRODUTOS!$B$4:$B$63,0))</f>
        <v>Ração Seca Natural Dots Light para Cães - Pacote 1 kg</v>
      </c>
      <c r="C557" s="11" t="str">
        <f aca="false">INDEX(PRODUTOS!$H$4:$H$63,MATCH($A557,PRODUTOS!$B$4:$B$63,0))</f>
        <v>1 kg</v>
      </c>
      <c r="D557" s="11" t="s">
        <v>334</v>
      </c>
      <c r="E557" s="16" t="str">
        <f aca="false">$A557&amp;"."&amp;$D557&amp;".jpg"</f>
        <v>7908591300147.AP01.jpg</v>
      </c>
      <c r="F557" s="11" t="str">
        <f aca="false">IF(INDEX(PRODUTOS!$I$4:$I$63,MATCH($A557,PRODUTOS!$B$4:$B$63,0))="B",INDEX(MODELOS!$F$3:$F$19,MATCH($D557,MODELOS!$A$3:$A$19,0)),INDEX(MODELOS!$B$3:$B$19,MATCH($D557,MODELOS!$A$3:$A$19,0)))</f>
        <v>A+ · Módulo 1 · Banner</v>
      </c>
      <c r="G557" s="11" t="str">
        <f aca="false">IF(INDEX(PRODUTOS!$F$4:$F$63,MATCH($A557,PRODUTOS!$B$4:$B$63,0))="Ração",IF(INDEX(PRODUTOS!$I$4:$I$63,MATCH($A557,PRODUTOS!$B$4:$B$63,0))="B",INDEX(MODELOS!$G$3:$G$19,MATCH($D557,MODELOS!$A$3:$A$19,0)),INDEX(MODELOS!$C$3:$C$19,MATCH($D557,MODELOS!$A$3:$A$19,0))),IF(INDEX(PRODUTOS!$I$4:$I$63,MATCH($A557,PRODUTOS!$B$4:$B$63,0))="B",INDEX(MODELOS!$H$3:$H$19,MATCH($D557,MODELOS!$A$3:$A$19,0)),INDEX(MODELOS!$D$3:$D$19,MATCH($D557,MODELOS!$A$3:$A$19,0))))</f>
        <v>Embalagem + pet + ingredientes, com o nome da linha</v>
      </c>
      <c r="H557" s="11" t="str">
        <f aca="false">IF(INDEX(PRODUTOS!$I$4:$I$63,MATCH($A557,PRODUTOS!$B$4:$B$63,0))="B",INDEX(MODELOS!$I$3:$I$19,MATCH($D557,MODELOS!$A$3:$A$19,0)),INDEX(MODELOS!$E$3:$E$19,MATCH($D557,MODELOS!$A$3:$A$19,0)))</f>
        <v>970 × 600</v>
      </c>
      <c r="I557" s="11" t="str">
        <f aca="false">INDEX(MODELOS!$J$3:$J$19,MATCH($D557,MODELOS!$A$3:$A$19,0))</f>
        <v>Conforme modelo</v>
      </c>
      <c r="J557" s="11" t="str">
        <f aca="false">IF(LEFT($D557,2)&lt;&gt;"AP",IF($I557="SIM","SIM","RECOMENDADA"),IF(INDEX(PRODUTOS!$J$4:$J$63,MATCH($A557,PRODUTOS!$B$4:$B$63,0))&lt;&gt;"","NÃO (usa o A+ do EAN "&amp;INDEX(PRODUTOS!$J$4:$J$63,MATCH($A557,PRODUTOS!$B$4:$B$63,0))&amp;")",IF(AND(INDEX(PRODUTOS!$I$4:$I$63,MATCH($A557,PRODUTOS!$B$4:$B$63,0))="B",$D557="AP07"),"NÃO (modelo B)","SIM")))</f>
        <v>SIM</v>
      </c>
      <c r="K557" s="13" t="s">
        <v>325</v>
      </c>
      <c r="L557" s="13"/>
    </row>
    <row r="558" customFormat="false" ht="15" hidden="false" customHeight="false" outlineLevel="0" collapsed="false">
      <c r="A558" s="15" t="s">
        <v>185</v>
      </c>
      <c r="B558" s="11" t="str">
        <f aca="false">INDEX(PRODUTOS!$E$4:$E$63,MATCH($A558,PRODUTOS!$B$4:$B$63,0))</f>
        <v>Ração Seca Natural Dots Light para Cães - Pacote 1 kg</v>
      </c>
      <c r="C558" s="11" t="str">
        <f aca="false">INDEX(PRODUTOS!$H$4:$H$63,MATCH($A558,PRODUTOS!$B$4:$B$63,0))</f>
        <v>1 kg</v>
      </c>
      <c r="D558" s="11" t="s">
        <v>335</v>
      </c>
      <c r="E558" s="16" t="str">
        <f aca="false">$A558&amp;"."&amp;$D558&amp;".jpg"</f>
        <v>7908591300147.AP02.jpg</v>
      </c>
      <c r="F558" s="11" t="str">
        <f aca="false">IF(INDEX(PRODUTOS!$I$4:$I$63,MATCH($A558,PRODUTOS!$B$4:$B$63,0))="B",INDEX(MODELOS!$F$3:$F$19,MATCH($D558,MODELOS!$A$3:$A$19,0)),INDEX(MODELOS!$B$3:$B$19,MATCH($D558,MODELOS!$A$3:$A$19,0)))</f>
        <v>A+ · Módulo 2 · Texto sobreposto</v>
      </c>
      <c r="G558" s="11" t="str">
        <f aca="false">IF(INDEX(PRODUTOS!$F$4:$F$63,MATCH($A558,PRODUTOS!$B$4:$B$63,0))="Ração",IF(INDEX(PRODUTOS!$I$4:$I$63,MATCH($A558,PRODUTOS!$B$4:$B$63,0))="B",INDEX(MODELOS!$G$3:$G$19,MATCH($D558,MODELOS!$A$3:$A$19,0)),INDEX(MODELOS!$C$3:$C$19,MATCH($D558,MODELOS!$A$3:$A$19,0))),IF(INDEX(PRODUTOS!$I$4:$I$63,MATCH($A558,PRODUTOS!$B$4:$B$63,0))="B",INDEX(MODELOS!$H$3:$H$19,MATCH($D558,MODELOS!$A$3:$A$19,0)),INDEX(MODELOS!$D$3:$D$19,MATCH($D558,MODELOS!$A$3:$A$19,0))))</f>
        <v>Principal diferencial; deixar o lado direito limpo</v>
      </c>
      <c r="H558" s="11" t="str">
        <f aca="false">IF(INDEX(PRODUTOS!$I$4:$I$63,MATCH($A558,PRODUTOS!$B$4:$B$63,0))="B",INDEX(MODELOS!$I$3:$I$19,MATCH($D558,MODELOS!$A$3:$A$19,0)),INDEX(MODELOS!$E$3:$E$19,MATCH($D558,MODELOS!$A$3:$A$19,0)))</f>
        <v>970 × 300</v>
      </c>
      <c r="I558" s="11" t="str">
        <f aca="false">INDEX(MODELOS!$J$3:$J$19,MATCH($D558,MODELOS!$A$3:$A$19,0))</f>
        <v>Conforme modelo</v>
      </c>
      <c r="J558" s="11" t="str">
        <f aca="false">IF(LEFT($D558,2)&lt;&gt;"AP",IF($I558="SIM","SIM","RECOMENDADA"),IF(INDEX(PRODUTOS!$J$4:$J$63,MATCH($A558,PRODUTOS!$B$4:$B$63,0))&lt;&gt;"","NÃO (usa o A+ do EAN "&amp;INDEX(PRODUTOS!$J$4:$J$63,MATCH($A558,PRODUTOS!$B$4:$B$63,0))&amp;")",IF(AND(INDEX(PRODUTOS!$I$4:$I$63,MATCH($A558,PRODUTOS!$B$4:$B$63,0))="B",$D558="AP07"),"NÃO (modelo B)","SIM")))</f>
        <v>SIM</v>
      </c>
      <c r="K558" s="13" t="s">
        <v>325</v>
      </c>
      <c r="L558" s="13"/>
    </row>
    <row r="559" customFormat="false" ht="15" hidden="false" customHeight="false" outlineLevel="0" collapsed="false">
      <c r="A559" s="15" t="s">
        <v>185</v>
      </c>
      <c r="B559" s="11" t="str">
        <f aca="false">INDEX(PRODUTOS!$E$4:$E$63,MATCH($A559,PRODUTOS!$B$4:$B$63,0))</f>
        <v>Ração Seca Natural Dots Light para Cães - Pacote 1 kg</v>
      </c>
      <c r="C559" s="11" t="str">
        <f aca="false">INDEX(PRODUTOS!$H$4:$H$63,MATCH($A559,PRODUTOS!$B$4:$B$63,0))</f>
        <v>1 kg</v>
      </c>
      <c r="D559" s="11" t="s">
        <v>336</v>
      </c>
      <c r="E559" s="16" t="str">
        <f aca="false">$A559&amp;"."&amp;$D559&amp;".jpg"</f>
        <v>7908591300147.AP03.jpg</v>
      </c>
      <c r="F559" s="11" t="str">
        <f aca="false">IF(INDEX(PRODUTOS!$I$4:$I$63,MATCH($A559,PRODUTOS!$B$4:$B$63,0))="B",INDEX(MODELOS!$F$3:$F$19,MATCH($D559,MODELOS!$A$3:$A$19,0)),INDEX(MODELOS!$B$3:$B$19,MATCH($D559,MODELOS!$A$3:$A$19,0)))</f>
        <v>A+ · Módulo 3 · Benefício 1 de 4</v>
      </c>
      <c r="G559" s="11" t="str">
        <f aca="false">IF(INDEX(PRODUTOS!$F$4:$F$63,MATCH($A559,PRODUTOS!$B$4:$B$63,0))="Ração",IF(INDEX(PRODUTOS!$I$4:$I$63,MATCH($A559,PRODUTOS!$B$4:$B$63,0))="B",INDEX(MODELOS!$G$3:$G$19,MATCH($D559,MODELOS!$A$3:$A$19,0)),INDEX(MODELOS!$C$3:$C$19,MATCH($D559,MODELOS!$A$3:$A$19,0))),IF(INDEX(PRODUTOS!$I$4:$I$63,MATCH($A559,PRODUTOS!$B$4:$B$63,0))="B",INDEX(MODELOS!$H$3:$H$19,MATCH($D559,MODELOS!$A$3:$A$19,0)),INDEX(MODELOS!$D$3:$D$19,MATCH($D559,MODELOS!$A$3:$A$19,0))))</f>
        <v>Foto/ilustração do benefício 1</v>
      </c>
      <c r="H559" s="11" t="str">
        <f aca="false">IF(INDEX(PRODUTOS!$I$4:$I$63,MATCH($A559,PRODUTOS!$B$4:$B$63,0))="B",INDEX(MODELOS!$I$3:$I$19,MATCH($D559,MODELOS!$A$3:$A$19,0)),INDEX(MODELOS!$E$3:$E$19,MATCH($D559,MODELOS!$A$3:$A$19,0)))</f>
        <v>220 × 200</v>
      </c>
      <c r="I559" s="11" t="str">
        <f aca="false">INDEX(MODELOS!$J$3:$J$19,MATCH($D559,MODELOS!$A$3:$A$19,0))</f>
        <v>Conforme modelo</v>
      </c>
      <c r="J559" s="11" t="str">
        <f aca="false">IF(LEFT($D559,2)&lt;&gt;"AP",IF($I559="SIM","SIM","RECOMENDADA"),IF(INDEX(PRODUTOS!$J$4:$J$63,MATCH($A559,PRODUTOS!$B$4:$B$63,0))&lt;&gt;"","NÃO (usa o A+ do EAN "&amp;INDEX(PRODUTOS!$J$4:$J$63,MATCH($A559,PRODUTOS!$B$4:$B$63,0))&amp;")",IF(AND(INDEX(PRODUTOS!$I$4:$I$63,MATCH($A559,PRODUTOS!$B$4:$B$63,0))="B",$D559="AP07"),"NÃO (modelo B)","SIM")))</f>
        <v>SIM</v>
      </c>
      <c r="K559" s="13" t="s">
        <v>325</v>
      </c>
      <c r="L559" s="13"/>
    </row>
    <row r="560" customFormat="false" ht="15" hidden="false" customHeight="false" outlineLevel="0" collapsed="false">
      <c r="A560" s="15" t="s">
        <v>185</v>
      </c>
      <c r="B560" s="11" t="str">
        <f aca="false">INDEX(PRODUTOS!$E$4:$E$63,MATCH($A560,PRODUTOS!$B$4:$B$63,0))</f>
        <v>Ração Seca Natural Dots Light para Cães - Pacote 1 kg</v>
      </c>
      <c r="C560" s="11" t="str">
        <f aca="false">INDEX(PRODUTOS!$H$4:$H$63,MATCH($A560,PRODUTOS!$B$4:$B$63,0))</f>
        <v>1 kg</v>
      </c>
      <c r="D560" s="11" t="s">
        <v>337</v>
      </c>
      <c r="E560" s="16" t="str">
        <f aca="false">$A560&amp;"."&amp;$D560&amp;".jpg"</f>
        <v>7908591300147.AP04.jpg</v>
      </c>
      <c r="F560" s="11" t="str">
        <f aca="false">IF(INDEX(PRODUTOS!$I$4:$I$63,MATCH($A560,PRODUTOS!$B$4:$B$63,0))="B",INDEX(MODELOS!$F$3:$F$19,MATCH($D560,MODELOS!$A$3:$A$19,0)),INDEX(MODELOS!$B$3:$B$19,MATCH($D560,MODELOS!$A$3:$A$19,0)))</f>
        <v>A+ · Módulo 3 · Benefício 2 de 4</v>
      </c>
      <c r="G560" s="11" t="str">
        <f aca="false">IF(INDEX(PRODUTOS!$F$4:$F$63,MATCH($A560,PRODUTOS!$B$4:$B$63,0))="Ração",IF(INDEX(PRODUTOS!$I$4:$I$63,MATCH($A560,PRODUTOS!$B$4:$B$63,0))="B",INDEX(MODELOS!$G$3:$G$19,MATCH($D560,MODELOS!$A$3:$A$19,0)),INDEX(MODELOS!$C$3:$C$19,MATCH($D560,MODELOS!$A$3:$A$19,0))),IF(INDEX(PRODUTOS!$I$4:$I$63,MATCH($A560,PRODUTOS!$B$4:$B$63,0))="B",INDEX(MODELOS!$H$3:$H$19,MATCH($D560,MODELOS!$A$3:$A$19,0)),INDEX(MODELOS!$D$3:$D$19,MATCH($D560,MODELOS!$A$3:$A$19,0))))</f>
        <v>Foto/ilustração do benefício 2</v>
      </c>
      <c r="H560" s="11" t="str">
        <f aca="false">IF(INDEX(PRODUTOS!$I$4:$I$63,MATCH($A560,PRODUTOS!$B$4:$B$63,0))="B",INDEX(MODELOS!$I$3:$I$19,MATCH($D560,MODELOS!$A$3:$A$19,0)),INDEX(MODELOS!$E$3:$E$19,MATCH($D560,MODELOS!$A$3:$A$19,0)))</f>
        <v>220 × 200</v>
      </c>
      <c r="I560" s="11" t="str">
        <f aca="false">INDEX(MODELOS!$J$3:$J$19,MATCH($D560,MODELOS!$A$3:$A$19,0))</f>
        <v>Conforme modelo</v>
      </c>
      <c r="J560" s="11" t="str">
        <f aca="false">IF(LEFT($D560,2)&lt;&gt;"AP",IF($I560="SIM","SIM","RECOMENDADA"),IF(INDEX(PRODUTOS!$J$4:$J$63,MATCH($A560,PRODUTOS!$B$4:$B$63,0))&lt;&gt;"","NÃO (usa o A+ do EAN "&amp;INDEX(PRODUTOS!$J$4:$J$63,MATCH($A560,PRODUTOS!$B$4:$B$63,0))&amp;")",IF(AND(INDEX(PRODUTOS!$I$4:$I$63,MATCH($A560,PRODUTOS!$B$4:$B$63,0))="B",$D560="AP07"),"NÃO (modelo B)","SIM")))</f>
        <v>SIM</v>
      </c>
      <c r="K560" s="13" t="s">
        <v>325</v>
      </c>
      <c r="L560" s="13"/>
    </row>
    <row r="561" customFormat="false" ht="15" hidden="false" customHeight="false" outlineLevel="0" collapsed="false">
      <c r="A561" s="15" t="s">
        <v>185</v>
      </c>
      <c r="B561" s="11" t="str">
        <f aca="false">INDEX(PRODUTOS!$E$4:$E$63,MATCH($A561,PRODUTOS!$B$4:$B$63,0))</f>
        <v>Ração Seca Natural Dots Light para Cães - Pacote 1 kg</v>
      </c>
      <c r="C561" s="11" t="str">
        <f aca="false">INDEX(PRODUTOS!$H$4:$H$63,MATCH($A561,PRODUTOS!$B$4:$B$63,0))</f>
        <v>1 kg</v>
      </c>
      <c r="D561" s="11" t="s">
        <v>338</v>
      </c>
      <c r="E561" s="16" t="str">
        <f aca="false">$A561&amp;"."&amp;$D561&amp;".jpg"</f>
        <v>7908591300147.AP05.jpg</v>
      </c>
      <c r="F561" s="11" t="str">
        <f aca="false">IF(INDEX(PRODUTOS!$I$4:$I$63,MATCH($A561,PRODUTOS!$B$4:$B$63,0))="B",INDEX(MODELOS!$F$3:$F$19,MATCH($D561,MODELOS!$A$3:$A$19,0)),INDEX(MODELOS!$B$3:$B$19,MATCH($D561,MODELOS!$A$3:$A$19,0)))</f>
        <v>A+ · Módulo 3 · Benefício 3 de 4</v>
      </c>
      <c r="G561" s="11" t="str">
        <f aca="false">IF(INDEX(PRODUTOS!$F$4:$F$63,MATCH($A561,PRODUTOS!$B$4:$B$63,0))="Ração",IF(INDEX(PRODUTOS!$I$4:$I$63,MATCH($A561,PRODUTOS!$B$4:$B$63,0))="B",INDEX(MODELOS!$G$3:$G$19,MATCH($D561,MODELOS!$A$3:$A$19,0)),INDEX(MODELOS!$C$3:$C$19,MATCH($D561,MODELOS!$A$3:$A$19,0))),IF(INDEX(PRODUTOS!$I$4:$I$63,MATCH($A561,PRODUTOS!$B$4:$B$63,0))="B",INDEX(MODELOS!$H$3:$H$19,MATCH($D561,MODELOS!$A$3:$A$19,0)),INDEX(MODELOS!$D$3:$D$19,MATCH($D561,MODELOS!$A$3:$A$19,0))))</f>
        <v>Foto/ilustração do benefício 3</v>
      </c>
      <c r="H561" s="11" t="str">
        <f aca="false">IF(INDEX(PRODUTOS!$I$4:$I$63,MATCH($A561,PRODUTOS!$B$4:$B$63,0))="B",INDEX(MODELOS!$I$3:$I$19,MATCH($D561,MODELOS!$A$3:$A$19,0)),INDEX(MODELOS!$E$3:$E$19,MATCH($D561,MODELOS!$A$3:$A$19,0)))</f>
        <v>220 × 200</v>
      </c>
      <c r="I561" s="11" t="str">
        <f aca="false">INDEX(MODELOS!$J$3:$J$19,MATCH($D561,MODELOS!$A$3:$A$19,0))</f>
        <v>Conforme modelo</v>
      </c>
      <c r="J561" s="11" t="str">
        <f aca="false">IF(LEFT($D561,2)&lt;&gt;"AP",IF($I561="SIM","SIM","RECOMENDADA"),IF(INDEX(PRODUTOS!$J$4:$J$63,MATCH($A561,PRODUTOS!$B$4:$B$63,0))&lt;&gt;"","NÃO (usa o A+ do EAN "&amp;INDEX(PRODUTOS!$J$4:$J$63,MATCH($A561,PRODUTOS!$B$4:$B$63,0))&amp;")",IF(AND(INDEX(PRODUTOS!$I$4:$I$63,MATCH($A561,PRODUTOS!$B$4:$B$63,0))="B",$D561="AP07"),"NÃO (modelo B)","SIM")))</f>
        <v>SIM</v>
      </c>
      <c r="K561" s="13" t="s">
        <v>325</v>
      </c>
      <c r="L561" s="13"/>
    </row>
    <row r="562" customFormat="false" ht="15" hidden="false" customHeight="false" outlineLevel="0" collapsed="false">
      <c r="A562" s="15" t="s">
        <v>185</v>
      </c>
      <c r="B562" s="11" t="str">
        <f aca="false">INDEX(PRODUTOS!$E$4:$E$63,MATCH($A562,PRODUTOS!$B$4:$B$63,0))</f>
        <v>Ração Seca Natural Dots Light para Cães - Pacote 1 kg</v>
      </c>
      <c r="C562" s="11" t="str">
        <f aca="false">INDEX(PRODUTOS!$H$4:$H$63,MATCH($A562,PRODUTOS!$B$4:$B$63,0))</f>
        <v>1 kg</v>
      </c>
      <c r="D562" s="11" t="s">
        <v>339</v>
      </c>
      <c r="E562" s="16" t="str">
        <f aca="false">$A562&amp;"."&amp;$D562&amp;".jpg"</f>
        <v>7908591300147.AP06.jpg</v>
      </c>
      <c r="F562" s="11" t="str">
        <f aca="false">IF(INDEX(PRODUTOS!$I$4:$I$63,MATCH($A562,PRODUTOS!$B$4:$B$63,0))="B",INDEX(MODELOS!$F$3:$F$19,MATCH($D562,MODELOS!$A$3:$A$19,0)),INDEX(MODELOS!$B$3:$B$19,MATCH($D562,MODELOS!$A$3:$A$19,0)))</f>
        <v>A+ · Módulo 3 · Benefício 4 de 4</v>
      </c>
      <c r="G562" s="11" t="str">
        <f aca="false">IF(INDEX(PRODUTOS!$F$4:$F$63,MATCH($A562,PRODUTOS!$B$4:$B$63,0))="Ração",IF(INDEX(PRODUTOS!$I$4:$I$63,MATCH($A562,PRODUTOS!$B$4:$B$63,0))="B",INDEX(MODELOS!$G$3:$G$19,MATCH($D562,MODELOS!$A$3:$A$19,0)),INDEX(MODELOS!$C$3:$C$19,MATCH($D562,MODELOS!$A$3:$A$19,0))),IF(INDEX(PRODUTOS!$I$4:$I$63,MATCH($A562,PRODUTOS!$B$4:$B$63,0))="B",INDEX(MODELOS!$H$3:$H$19,MATCH($D562,MODELOS!$A$3:$A$19,0)),INDEX(MODELOS!$D$3:$D$19,MATCH($D562,MODELOS!$A$3:$A$19,0))))</f>
        <v>Foto/ilustração do benefício 4</v>
      </c>
      <c r="H562" s="11" t="str">
        <f aca="false">IF(INDEX(PRODUTOS!$I$4:$I$63,MATCH($A562,PRODUTOS!$B$4:$B$63,0))="B",INDEX(MODELOS!$I$3:$I$19,MATCH($D562,MODELOS!$A$3:$A$19,0)),INDEX(MODELOS!$E$3:$E$19,MATCH($D562,MODELOS!$A$3:$A$19,0)))</f>
        <v>220 × 200</v>
      </c>
      <c r="I562" s="11" t="str">
        <f aca="false">INDEX(MODELOS!$J$3:$J$19,MATCH($D562,MODELOS!$A$3:$A$19,0))</f>
        <v>Conforme modelo</v>
      </c>
      <c r="J562" s="11" t="str">
        <f aca="false">IF(LEFT($D562,2)&lt;&gt;"AP",IF($I562="SIM","SIM","RECOMENDADA"),IF(INDEX(PRODUTOS!$J$4:$J$63,MATCH($A562,PRODUTOS!$B$4:$B$63,0))&lt;&gt;"","NÃO (usa o A+ do EAN "&amp;INDEX(PRODUTOS!$J$4:$J$63,MATCH($A562,PRODUTOS!$B$4:$B$63,0))&amp;")",IF(AND(INDEX(PRODUTOS!$I$4:$I$63,MATCH($A562,PRODUTOS!$B$4:$B$63,0))="B",$D562="AP07"),"NÃO (modelo B)","SIM")))</f>
        <v>SIM</v>
      </c>
      <c r="K562" s="13" t="s">
        <v>325</v>
      </c>
      <c r="L562" s="13"/>
    </row>
    <row r="563" customFormat="false" ht="15" hidden="false" customHeight="false" outlineLevel="0" collapsed="false">
      <c r="A563" s="15" t="s">
        <v>185</v>
      </c>
      <c r="B563" s="11" t="str">
        <f aca="false">INDEX(PRODUTOS!$E$4:$E$63,MATCH($A563,PRODUTOS!$B$4:$B$63,0))</f>
        <v>Ração Seca Natural Dots Light para Cães - Pacote 1 kg</v>
      </c>
      <c r="C563" s="11" t="str">
        <f aca="false">INDEX(PRODUTOS!$H$4:$H$63,MATCH($A563,PRODUTOS!$B$4:$B$63,0))</f>
        <v>1 kg</v>
      </c>
      <c r="D563" s="11" t="s">
        <v>340</v>
      </c>
      <c r="E563" s="16" t="str">
        <f aca="false">$A563&amp;"."&amp;$D563&amp;".jpg"</f>
        <v>7908591300147.AP07.jpg</v>
      </c>
      <c r="F563" s="11" t="str">
        <f aca="false">IF(INDEX(PRODUTOS!$I$4:$I$63,MATCH($A563,PRODUTOS!$B$4:$B$63,0))="B",INDEX(MODELOS!$F$3:$F$19,MATCH($D563,MODELOS!$A$3:$A$19,0)),INDEX(MODELOS!$B$3:$B$19,MATCH($D563,MODELOS!$A$3:$A$19,0)))</f>
        <v>A+ · Módulo 4 · Especificações</v>
      </c>
      <c r="G563" s="11" t="str">
        <f aca="false">IF(INDEX(PRODUTOS!$F$4:$F$63,MATCH($A563,PRODUTOS!$B$4:$B$63,0))="Ração",IF(INDEX(PRODUTOS!$I$4:$I$63,MATCH($A563,PRODUTOS!$B$4:$B$63,0))="B",INDEX(MODELOS!$G$3:$G$19,MATCH($D563,MODELOS!$A$3:$A$19,0)),INDEX(MODELOS!$C$3:$C$19,MATCH($D563,MODELOS!$A$3:$A$19,0))),IF(INDEX(PRODUTOS!$I$4:$I$63,MATCH($A563,PRODUTOS!$B$4:$B$63,0))="B",INDEX(MODELOS!$H$3:$H$19,MATCH($D563,MODELOS!$A$3:$A$19,0)),INDEX(MODELOS!$D$3:$D$19,MATCH($D563,MODELOS!$A$3:$A$19,0))))</f>
        <v>Grão ou pacote em destaque</v>
      </c>
      <c r="H563" s="11" t="str">
        <f aca="false">IF(INDEX(PRODUTOS!$I$4:$I$63,MATCH($A563,PRODUTOS!$B$4:$B$63,0))="B",INDEX(MODELOS!$I$3:$I$19,MATCH($D563,MODELOS!$A$3:$A$19,0)),INDEX(MODELOS!$E$3:$E$19,MATCH($D563,MODELOS!$A$3:$A$19,0)))</f>
        <v>300 × 300</v>
      </c>
      <c r="I563" s="11" t="str">
        <f aca="false">INDEX(MODELOS!$J$3:$J$19,MATCH($D563,MODELOS!$A$3:$A$19,0))</f>
        <v>Conforme modelo</v>
      </c>
      <c r="J563" s="11" t="str">
        <f aca="false">IF(LEFT($D563,2)&lt;&gt;"AP",IF($I563="SIM","SIM","RECOMENDADA"),IF(INDEX(PRODUTOS!$J$4:$J$63,MATCH($A563,PRODUTOS!$B$4:$B$63,0))&lt;&gt;"","NÃO (usa o A+ do EAN "&amp;INDEX(PRODUTOS!$J$4:$J$63,MATCH($A563,PRODUTOS!$B$4:$B$63,0))&amp;")",IF(AND(INDEX(PRODUTOS!$I$4:$I$63,MATCH($A563,PRODUTOS!$B$4:$B$63,0))="B",$D563="AP07"),"NÃO (modelo B)","SIM")))</f>
        <v>SIM</v>
      </c>
      <c r="K563" s="13" t="s">
        <v>325</v>
      </c>
      <c r="L563" s="13"/>
    </row>
    <row r="564" customFormat="false" ht="15" hidden="false" customHeight="false" outlineLevel="0" collapsed="false">
      <c r="A564" s="15" t="s">
        <v>185</v>
      </c>
      <c r="B564" s="11" t="str">
        <f aca="false">INDEX(PRODUTOS!$E$4:$E$63,MATCH($A564,PRODUTOS!$B$4:$B$63,0))</f>
        <v>Ração Seca Natural Dots Light para Cães - Pacote 1 kg</v>
      </c>
      <c r="C564" s="11" t="str">
        <f aca="false">INDEX(PRODUTOS!$H$4:$H$63,MATCH($A564,PRODUTOS!$B$4:$B$63,0))</f>
        <v>1 kg</v>
      </c>
      <c r="D564" s="11" t="s">
        <v>341</v>
      </c>
      <c r="E564" s="16" t="str">
        <f aca="false">$A564&amp;"."&amp;$D564&amp;".jpg"</f>
        <v>7908591300147.COMP.jpg</v>
      </c>
      <c r="F564" s="11" t="str">
        <f aca="false">IF(INDEX(PRODUTOS!$I$4:$I$63,MATCH($A564,PRODUTOS!$B$4:$B$63,0))="B",INDEX(MODELOS!$F$3:$F$19,MATCH($D564,MODELOS!$A$3:$A$19,0)),INDEX(MODELOS!$B$3:$B$19,MATCH($D564,MODELOS!$A$3:$A$19,0)))</f>
        <v>A+ · Tabela comparativa</v>
      </c>
      <c r="G564" s="11" t="str">
        <f aca="false">IF(INDEX(PRODUTOS!$F$4:$F$63,MATCH($A564,PRODUTOS!$B$4:$B$63,0))="Ração",IF(INDEX(PRODUTOS!$I$4:$I$63,MATCH($A564,PRODUTOS!$B$4:$B$63,0))="B",INDEX(MODELOS!$G$3:$G$19,MATCH($D564,MODELOS!$A$3:$A$19,0)),INDEX(MODELOS!$C$3:$C$19,MATCH($D564,MODELOS!$A$3:$A$19,0))),IF(INDEX(PRODUTOS!$I$4:$I$63,MATCH($A564,PRODUTOS!$B$4:$B$63,0))="B",INDEX(MODELOS!$H$3:$H$19,MATCH($D564,MODELOS!$A$3:$A$19,0)),INDEX(MODELOS!$D$3:$D$19,MATCH($D564,MODELOS!$A$3:$A$19,0))))</f>
        <v>Pacote na vertical, sem fundo colorido</v>
      </c>
      <c r="H564" s="11" t="str">
        <f aca="false">IF(INDEX(PRODUTOS!$I$4:$I$63,MATCH($A564,PRODUTOS!$B$4:$B$63,0))="B",INDEX(MODELOS!$I$3:$I$19,MATCH($D564,MODELOS!$A$3:$A$19,0)),INDEX(MODELOS!$E$3:$E$19,MATCH($D564,MODELOS!$A$3:$A$19,0)))</f>
        <v>150 × 300</v>
      </c>
      <c r="I564" s="11" t="str">
        <f aca="false">INDEX(MODELOS!$J$3:$J$19,MATCH($D564,MODELOS!$A$3:$A$19,0))</f>
        <v>SIM</v>
      </c>
      <c r="J564" s="11" t="str">
        <f aca="false">IF(LEFT($D564,2)&lt;&gt;"AP",IF($I564="SIM","SIM","RECOMENDADA"),IF(INDEX(PRODUTOS!$J$4:$J$63,MATCH($A564,PRODUTOS!$B$4:$B$63,0))&lt;&gt;"","NÃO (usa o A+ do EAN "&amp;INDEX(PRODUTOS!$J$4:$J$63,MATCH($A564,PRODUTOS!$B$4:$B$63,0))&amp;")",IF(AND(INDEX(PRODUTOS!$I$4:$I$63,MATCH($A564,PRODUTOS!$B$4:$B$63,0))="B",$D564="AP07"),"NÃO (modelo B)","SIM")))</f>
        <v>SIM</v>
      </c>
      <c r="K564" s="13" t="s">
        <v>325</v>
      </c>
      <c r="L564" s="13"/>
    </row>
    <row r="565" customFormat="false" ht="15" hidden="false" customHeight="false" outlineLevel="0" collapsed="false">
      <c r="A565" s="15" t="s">
        <v>189</v>
      </c>
      <c r="B565" s="11" t="str">
        <f aca="false">INDEX(PRODUTOS!$E$4:$E$63,MATCH($A565,PRODUTOS!$B$4:$B$63,0))</f>
        <v>Sachê Natural Dots Livre de Trangênico Cães Carne ao Molho 85 g</v>
      </c>
      <c r="C565" s="11" t="str">
        <f aca="false">INDEX(PRODUTOS!$H$4:$H$63,MATCH($A565,PRODUTOS!$B$4:$B$63,0))</f>
        <v>85 g</v>
      </c>
      <c r="D565" s="11" t="s">
        <v>324</v>
      </c>
      <c r="E565" s="16" t="str">
        <f aca="false">$A565&amp;"."&amp;$D565&amp;".jpg"</f>
        <v>7908591300376.MAIN.jpg</v>
      </c>
      <c r="F565" s="11" t="str">
        <f aca="false">IF(INDEX(PRODUTOS!$I$4:$I$63,MATCH($A565,PRODUTOS!$B$4:$B$63,0))="B",INDEX(MODELOS!$F$3:$F$19,MATCH($D565,MODELOS!$A$3:$A$19,0)),INDEX(MODELOS!$B$3:$B$19,MATCH($D565,MODELOS!$A$3:$A$19,0)))</f>
        <v>Capa (posição 1)</v>
      </c>
      <c r="G565" s="11" t="str">
        <f aca="false">IF(INDEX(PRODUTOS!$F$4:$F$63,MATCH($A565,PRODUTOS!$B$4:$B$63,0))="Ração",IF(INDEX(PRODUTOS!$I$4:$I$63,MATCH($A565,PRODUTOS!$B$4:$B$63,0))="B",INDEX(MODELOS!$G$3:$G$19,MATCH($D565,MODELOS!$A$3:$A$19,0)),INDEX(MODELOS!$C$3:$C$19,MATCH($D565,MODELOS!$A$3:$A$19,0))),IF(INDEX(PRODUTOS!$I$4:$I$63,MATCH($A565,PRODUTOS!$B$4:$B$63,0))="B",INDEX(MODELOS!$H$3:$H$19,MATCH($D565,MODELOS!$A$3:$A$19,0)),INDEX(MODELOS!$D$3:$D$19,MATCH($D565,MODELOS!$A$3:$A$19,0))))</f>
        <v>Embalagem de frente, fundo branco puro, 85% da área, nada adicionado</v>
      </c>
      <c r="H565" s="11" t="str">
        <f aca="false">IF(INDEX(PRODUTOS!$I$4:$I$63,MATCH($A565,PRODUTOS!$B$4:$B$63,0))="B",INDEX(MODELOS!$I$3:$I$19,MATCH($D565,MODELOS!$A$3:$A$19,0)),INDEX(MODELOS!$E$3:$E$19,MATCH($D565,MODELOS!$A$3:$A$19,0)))</f>
        <v>2000 × 2000</v>
      </c>
      <c r="I565" s="11" t="str">
        <f aca="false">INDEX(MODELOS!$J$3:$J$19,MATCH($D565,MODELOS!$A$3:$A$19,0))</f>
        <v>SIM</v>
      </c>
      <c r="J565" s="11" t="str">
        <f aca="false">IF(LEFT($D565,2)&lt;&gt;"AP",IF($I565="SIM","SIM","RECOMENDADA"),IF(INDEX(PRODUTOS!$J$4:$J$63,MATCH($A565,PRODUTOS!$B$4:$B$63,0))&lt;&gt;"","NÃO (usa o A+ do EAN "&amp;INDEX(PRODUTOS!$J$4:$J$63,MATCH($A565,PRODUTOS!$B$4:$B$63,0))&amp;")",IF(AND(INDEX(PRODUTOS!$I$4:$I$63,MATCH($A565,PRODUTOS!$B$4:$B$63,0))="B",$D565="AP07"),"NÃO (modelo B)","SIM")))</f>
        <v>SIM</v>
      </c>
      <c r="K565" s="13" t="s">
        <v>325</v>
      </c>
      <c r="L565" s="13"/>
    </row>
    <row r="566" customFormat="false" ht="15" hidden="false" customHeight="false" outlineLevel="0" collapsed="false">
      <c r="A566" s="15" t="s">
        <v>189</v>
      </c>
      <c r="B566" s="11" t="str">
        <f aca="false">INDEX(PRODUTOS!$E$4:$E$63,MATCH($A566,PRODUTOS!$B$4:$B$63,0))</f>
        <v>Sachê Natural Dots Livre de Trangênico Cães Carne ao Molho 85 g</v>
      </c>
      <c r="C566" s="11" t="str">
        <f aca="false">INDEX(PRODUTOS!$H$4:$H$63,MATCH($A566,PRODUTOS!$B$4:$B$63,0))</f>
        <v>85 g</v>
      </c>
      <c r="D566" s="11" t="s">
        <v>326</v>
      </c>
      <c r="E566" s="16" t="str">
        <f aca="false">$A566&amp;"."&amp;$D566&amp;".jpg"</f>
        <v>7908591300376.PT01.jpg</v>
      </c>
      <c r="F566" s="11" t="str">
        <f aca="false">IF(INDEX(PRODUTOS!$I$4:$I$63,MATCH($A566,PRODUTOS!$B$4:$B$63,0))="B",INDEX(MODELOS!$F$3:$F$19,MATCH($D566,MODELOS!$A$3:$A$19,0)),INDEX(MODELOS!$B$3:$B$19,MATCH($D566,MODELOS!$A$3:$A$19,0)))</f>
        <v>Galeria · posição 2</v>
      </c>
      <c r="G566" s="11" t="str">
        <f aca="false">IF(INDEX(PRODUTOS!$F$4:$F$63,MATCH($A566,PRODUTOS!$B$4:$B$63,0))="Ração",IF(INDEX(PRODUTOS!$I$4:$I$63,MATCH($A566,PRODUTOS!$B$4:$B$63,0))="B",INDEX(MODELOS!$G$3:$G$19,MATCH($D566,MODELOS!$A$3:$A$19,0)),INDEX(MODELOS!$C$3:$C$19,MATCH($D566,MODELOS!$A$3:$A$19,0))),IF(INDEX(PRODUTOS!$I$4:$I$63,MATCH($A566,PRODUTOS!$B$4:$B$63,0))="B",INDEX(MODELOS!$H$3:$H$19,MATCH($D566,MODELOS!$A$3:$A$19,0)),INDEX(MODELOS!$D$3:$D$19,MATCH($D566,MODELOS!$A$3:$A$19,0))))</f>
        <v>Grande diferencial da linha (número ou promessa forte + grão e ingrediente)</v>
      </c>
      <c r="H566" s="11" t="str">
        <f aca="false">IF(INDEX(PRODUTOS!$I$4:$I$63,MATCH($A566,PRODUTOS!$B$4:$B$63,0))="B",INDEX(MODELOS!$I$3:$I$19,MATCH($D566,MODELOS!$A$3:$A$19,0)),INDEX(MODELOS!$E$3:$E$19,MATCH($D566,MODELOS!$A$3:$A$19,0)))</f>
        <v>2000 × 2000</v>
      </c>
      <c r="I566" s="11" t="str">
        <f aca="false">INDEX(MODELOS!$J$3:$J$19,MATCH($D566,MODELOS!$A$3:$A$19,0))</f>
        <v>SIM</v>
      </c>
      <c r="J566" s="11" t="str">
        <f aca="false">IF(LEFT($D566,2)&lt;&gt;"AP",IF($I566="SIM","SIM","RECOMENDADA"),IF(INDEX(PRODUTOS!$J$4:$J$63,MATCH($A566,PRODUTOS!$B$4:$B$63,0))&lt;&gt;"","NÃO (usa o A+ do EAN "&amp;INDEX(PRODUTOS!$J$4:$J$63,MATCH($A566,PRODUTOS!$B$4:$B$63,0))&amp;")",IF(AND(INDEX(PRODUTOS!$I$4:$I$63,MATCH($A566,PRODUTOS!$B$4:$B$63,0))="B",$D566="AP07"),"NÃO (modelo B)","SIM")))</f>
        <v>SIM</v>
      </c>
      <c r="K566" s="13" t="s">
        <v>325</v>
      </c>
      <c r="L566" s="13"/>
    </row>
    <row r="567" customFormat="false" ht="15" hidden="false" customHeight="false" outlineLevel="0" collapsed="false">
      <c r="A567" s="15" t="s">
        <v>189</v>
      </c>
      <c r="B567" s="11" t="str">
        <f aca="false">INDEX(PRODUTOS!$E$4:$E$63,MATCH($A567,PRODUTOS!$B$4:$B$63,0))</f>
        <v>Sachê Natural Dots Livre de Trangênico Cães Carne ao Molho 85 g</v>
      </c>
      <c r="C567" s="11" t="str">
        <f aca="false">INDEX(PRODUTOS!$H$4:$H$63,MATCH($A567,PRODUTOS!$B$4:$B$63,0))</f>
        <v>85 g</v>
      </c>
      <c r="D567" s="11" t="s">
        <v>327</v>
      </c>
      <c r="E567" s="16" t="str">
        <f aca="false">$A567&amp;"."&amp;$D567&amp;".jpg"</f>
        <v>7908591300376.PT02.jpg</v>
      </c>
      <c r="F567" s="11" t="str">
        <f aca="false">IF(INDEX(PRODUTOS!$I$4:$I$63,MATCH($A567,PRODUTOS!$B$4:$B$63,0))="B",INDEX(MODELOS!$F$3:$F$19,MATCH($D567,MODELOS!$A$3:$A$19,0)),INDEX(MODELOS!$B$3:$B$19,MATCH($D567,MODELOS!$A$3:$A$19,0)))</f>
        <v>Galeria · posição 3</v>
      </c>
      <c r="G567" s="11" t="str">
        <f aca="false">IF(INDEX(PRODUTOS!$F$4:$F$63,MATCH($A567,PRODUTOS!$B$4:$B$63,0))="Ração",IF(INDEX(PRODUTOS!$I$4:$I$63,MATCH($A567,PRODUTOS!$B$4:$B$63,0))="B",INDEX(MODELOS!$G$3:$G$19,MATCH($D567,MODELOS!$A$3:$A$19,0)),INDEX(MODELOS!$C$3:$C$19,MATCH($D567,MODELOS!$A$3:$A$19,0))),IF(INDEX(PRODUTOS!$I$4:$I$63,MATCH($A567,PRODUTOS!$B$4:$B$63,0))="B",INDEX(MODELOS!$H$3:$H$19,MATCH($D567,MODELOS!$A$3:$A$19,0)),INDEX(MODELOS!$D$3:$D$19,MATCH($D567,MODELOS!$A$3:$A$19,0))))</f>
        <v>Benefícios com ícones (4 a 6, impressos na embalagem) + ingrediente</v>
      </c>
      <c r="H567" s="11" t="str">
        <f aca="false">IF(INDEX(PRODUTOS!$I$4:$I$63,MATCH($A567,PRODUTOS!$B$4:$B$63,0))="B",INDEX(MODELOS!$I$3:$I$19,MATCH($D567,MODELOS!$A$3:$A$19,0)),INDEX(MODELOS!$E$3:$E$19,MATCH($D567,MODELOS!$A$3:$A$19,0)))</f>
        <v>2000 × 2000</v>
      </c>
      <c r="I567" s="11" t="str">
        <f aca="false">INDEX(MODELOS!$J$3:$J$19,MATCH($D567,MODELOS!$A$3:$A$19,0))</f>
        <v>SIM</v>
      </c>
      <c r="J567" s="11" t="str">
        <f aca="false">IF(LEFT($D567,2)&lt;&gt;"AP",IF($I567="SIM","SIM","RECOMENDADA"),IF(INDEX(PRODUTOS!$J$4:$J$63,MATCH($A567,PRODUTOS!$B$4:$B$63,0))&lt;&gt;"","NÃO (usa o A+ do EAN "&amp;INDEX(PRODUTOS!$J$4:$J$63,MATCH($A567,PRODUTOS!$B$4:$B$63,0))&amp;")",IF(AND(INDEX(PRODUTOS!$I$4:$I$63,MATCH($A567,PRODUTOS!$B$4:$B$63,0))="B",$D567="AP07"),"NÃO (modelo B)","SIM")))</f>
        <v>SIM</v>
      </c>
      <c r="K567" s="13" t="s">
        <v>325</v>
      </c>
      <c r="L567" s="13"/>
    </row>
    <row r="568" customFormat="false" ht="15" hidden="false" customHeight="false" outlineLevel="0" collapsed="false">
      <c r="A568" s="15" t="s">
        <v>189</v>
      </c>
      <c r="B568" s="11" t="str">
        <f aca="false">INDEX(PRODUTOS!$E$4:$E$63,MATCH($A568,PRODUTOS!$B$4:$B$63,0))</f>
        <v>Sachê Natural Dots Livre de Trangênico Cães Carne ao Molho 85 g</v>
      </c>
      <c r="C568" s="11" t="str">
        <f aca="false">INDEX(PRODUTOS!$H$4:$H$63,MATCH($A568,PRODUTOS!$B$4:$B$63,0))</f>
        <v>85 g</v>
      </c>
      <c r="D568" s="11" t="s">
        <v>328</v>
      </c>
      <c r="E568" s="16" t="str">
        <f aca="false">$A568&amp;"."&amp;$D568&amp;".jpg"</f>
        <v>7908591300376.PT03.jpg</v>
      </c>
      <c r="F568" s="11" t="str">
        <f aca="false">IF(INDEX(PRODUTOS!$I$4:$I$63,MATCH($A568,PRODUTOS!$B$4:$B$63,0))="B",INDEX(MODELOS!$F$3:$F$19,MATCH($D568,MODELOS!$A$3:$A$19,0)),INDEX(MODELOS!$B$3:$B$19,MATCH($D568,MODELOS!$A$3:$A$19,0)))</f>
        <v>Galeria · posição 4</v>
      </c>
      <c r="G568" s="11" t="str">
        <f aca="false">IF(INDEX(PRODUTOS!$F$4:$F$63,MATCH($A568,PRODUTOS!$B$4:$B$63,0))="Ração",IF(INDEX(PRODUTOS!$I$4:$I$63,MATCH($A568,PRODUTOS!$B$4:$B$63,0))="B",INDEX(MODELOS!$G$3:$G$19,MATCH($D568,MODELOS!$A$3:$A$19,0)),INDEX(MODELOS!$C$3:$C$19,MATCH($D568,MODELOS!$A$3:$A$19,0))),IF(INDEX(PRODUTOS!$I$4:$I$63,MATCH($A568,PRODUTOS!$B$4:$B$63,0))="B",INDEX(MODELOS!$H$3:$H$19,MATCH($D568,MODELOS!$A$3:$A$19,0)),INDEX(MODELOS!$D$3:$D$19,MATCH($D568,MODELOS!$A$3:$A$19,0))))</f>
        <v>Formato e tamanho do grão, com medida em mm e referência de tamanho</v>
      </c>
      <c r="H568" s="11" t="str">
        <f aca="false">IF(INDEX(PRODUTOS!$I$4:$I$63,MATCH($A568,PRODUTOS!$B$4:$B$63,0))="B",INDEX(MODELOS!$I$3:$I$19,MATCH($D568,MODELOS!$A$3:$A$19,0)),INDEX(MODELOS!$E$3:$E$19,MATCH($D568,MODELOS!$A$3:$A$19,0)))</f>
        <v>2000 × 2000</v>
      </c>
      <c r="I568" s="11" t="str">
        <f aca="false">INDEX(MODELOS!$J$3:$J$19,MATCH($D568,MODELOS!$A$3:$A$19,0))</f>
        <v>SIM</v>
      </c>
      <c r="J568" s="11" t="str">
        <f aca="false">IF(LEFT($D568,2)&lt;&gt;"AP",IF($I568="SIM","SIM","RECOMENDADA"),IF(INDEX(PRODUTOS!$J$4:$J$63,MATCH($A568,PRODUTOS!$B$4:$B$63,0))&lt;&gt;"","NÃO (usa o A+ do EAN "&amp;INDEX(PRODUTOS!$J$4:$J$63,MATCH($A568,PRODUTOS!$B$4:$B$63,0))&amp;")",IF(AND(INDEX(PRODUTOS!$I$4:$I$63,MATCH($A568,PRODUTOS!$B$4:$B$63,0))="B",$D568="AP07"),"NÃO (modelo B)","SIM")))</f>
        <v>SIM</v>
      </c>
      <c r="K568" s="13" t="s">
        <v>325</v>
      </c>
      <c r="L568" s="13"/>
    </row>
    <row r="569" customFormat="false" ht="15" hidden="false" customHeight="false" outlineLevel="0" collapsed="false">
      <c r="A569" s="15" t="s">
        <v>189</v>
      </c>
      <c r="B569" s="11" t="str">
        <f aca="false">INDEX(PRODUTOS!$E$4:$E$63,MATCH($A569,PRODUTOS!$B$4:$B$63,0))</f>
        <v>Sachê Natural Dots Livre de Trangênico Cães Carne ao Molho 85 g</v>
      </c>
      <c r="C569" s="11" t="str">
        <f aca="false">INDEX(PRODUTOS!$H$4:$H$63,MATCH($A569,PRODUTOS!$B$4:$B$63,0))</f>
        <v>85 g</v>
      </c>
      <c r="D569" s="11" t="s">
        <v>329</v>
      </c>
      <c r="E569" s="16" t="str">
        <f aca="false">$A569&amp;"."&amp;$D569&amp;".jpg"</f>
        <v>7908591300376.PT04.jpg</v>
      </c>
      <c r="F569" s="11" t="str">
        <f aca="false">IF(INDEX(PRODUTOS!$I$4:$I$63,MATCH($A569,PRODUTOS!$B$4:$B$63,0))="B",INDEX(MODELOS!$F$3:$F$19,MATCH($D569,MODELOS!$A$3:$A$19,0)),INDEX(MODELOS!$B$3:$B$19,MATCH($D569,MODELOS!$A$3:$A$19,0)))</f>
        <v>Galeria · posição 5</v>
      </c>
      <c r="G569" s="11" t="str">
        <f aca="false">IF(INDEX(PRODUTOS!$F$4:$F$63,MATCH($A569,PRODUTOS!$B$4:$B$63,0))="Ração",IF(INDEX(PRODUTOS!$I$4:$I$63,MATCH($A569,PRODUTOS!$B$4:$B$63,0))="B",INDEX(MODELOS!$G$3:$G$19,MATCH($D569,MODELOS!$A$3:$A$19,0)),INDEX(MODELOS!$C$3:$C$19,MATCH($D569,MODELOS!$A$3:$A$19,0))),IF(INDEX(PRODUTOS!$I$4:$I$63,MATCH($A569,PRODUTOS!$B$4:$B$63,0))="B",INDEX(MODELOS!$H$3:$H$19,MATCH($D569,MODELOS!$A$3:$A$19,0)),INDEX(MODELOS!$D$3:$D$19,MATCH($D569,MODELOS!$A$3:$A$19,0))))</f>
        <v>Quantidade diária por peso do cão/gato (números idênticos à embalagem)</v>
      </c>
      <c r="H569" s="11" t="str">
        <f aca="false">IF(INDEX(PRODUTOS!$I$4:$I$63,MATCH($A569,PRODUTOS!$B$4:$B$63,0))="B",INDEX(MODELOS!$I$3:$I$19,MATCH($D569,MODELOS!$A$3:$A$19,0)),INDEX(MODELOS!$E$3:$E$19,MATCH($D569,MODELOS!$A$3:$A$19,0)))</f>
        <v>2000 × 2000</v>
      </c>
      <c r="I569" s="11" t="str">
        <f aca="false">INDEX(MODELOS!$J$3:$J$19,MATCH($D569,MODELOS!$A$3:$A$19,0))</f>
        <v>SIM</v>
      </c>
      <c r="J569" s="11" t="str">
        <f aca="false">IF(LEFT($D569,2)&lt;&gt;"AP",IF($I569="SIM","SIM","RECOMENDADA"),IF(INDEX(PRODUTOS!$J$4:$J$63,MATCH($A569,PRODUTOS!$B$4:$B$63,0))&lt;&gt;"","NÃO (usa o A+ do EAN "&amp;INDEX(PRODUTOS!$J$4:$J$63,MATCH($A569,PRODUTOS!$B$4:$B$63,0))&amp;")",IF(AND(INDEX(PRODUTOS!$I$4:$I$63,MATCH($A569,PRODUTOS!$B$4:$B$63,0))="B",$D569="AP07"),"NÃO (modelo B)","SIM")))</f>
        <v>SIM</v>
      </c>
      <c r="K569" s="13" t="s">
        <v>325</v>
      </c>
      <c r="L569" s="13"/>
    </row>
    <row r="570" customFormat="false" ht="15" hidden="false" customHeight="false" outlineLevel="0" collapsed="false">
      <c r="A570" s="15" t="s">
        <v>189</v>
      </c>
      <c r="B570" s="11" t="str">
        <f aca="false">INDEX(PRODUTOS!$E$4:$E$63,MATCH($A570,PRODUTOS!$B$4:$B$63,0))</f>
        <v>Sachê Natural Dots Livre de Trangênico Cães Carne ao Molho 85 g</v>
      </c>
      <c r="C570" s="11" t="str">
        <f aca="false">INDEX(PRODUTOS!$H$4:$H$63,MATCH($A570,PRODUTOS!$B$4:$B$63,0))</f>
        <v>85 g</v>
      </c>
      <c r="D570" s="11" t="s">
        <v>330</v>
      </c>
      <c r="E570" s="16" t="str">
        <f aca="false">$A570&amp;"."&amp;$D570&amp;".jpg"</f>
        <v>7908591300376.PT05.jpg</v>
      </c>
      <c r="F570" s="11" t="str">
        <f aca="false">IF(INDEX(PRODUTOS!$I$4:$I$63,MATCH($A570,PRODUTOS!$B$4:$B$63,0))="B",INDEX(MODELOS!$F$3:$F$19,MATCH($D570,MODELOS!$A$3:$A$19,0)),INDEX(MODELOS!$B$3:$B$19,MATCH($D570,MODELOS!$A$3:$A$19,0)))</f>
        <v>Galeria · posição 6</v>
      </c>
      <c r="G570" s="11" t="str">
        <f aca="false">IF(INDEX(PRODUTOS!$F$4:$F$63,MATCH($A570,PRODUTOS!$B$4:$B$63,0))="Ração",IF(INDEX(PRODUTOS!$I$4:$I$63,MATCH($A570,PRODUTOS!$B$4:$B$63,0))="B",INDEX(MODELOS!$G$3:$G$19,MATCH($D570,MODELOS!$A$3:$A$19,0)),INDEX(MODELOS!$C$3:$C$19,MATCH($D570,MODELOS!$A$3:$A$19,0))),IF(INDEX(PRODUTOS!$I$4:$I$63,MATCH($A570,PRODUTOS!$B$4:$B$63,0))="B",INDEX(MODELOS!$H$3:$H$19,MATCH($D570,MODELOS!$A$3:$A$19,0)),INDEX(MODELOS!$D$3:$D$19,MATCH($D570,MODELOS!$A$3:$A$19,0))))</f>
        <v>Transição alimentar dia a dia (igual ao verso da embalagem)</v>
      </c>
      <c r="H570" s="11" t="str">
        <f aca="false">IF(INDEX(PRODUTOS!$I$4:$I$63,MATCH($A570,PRODUTOS!$B$4:$B$63,0))="B",INDEX(MODELOS!$I$3:$I$19,MATCH($D570,MODELOS!$A$3:$A$19,0)),INDEX(MODELOS!$E$3:$E$19,MATCH($D570,MODELOS!$A$3:$A$19,0)))</f>
        <v>2000 × 2000</v>
      </c>
      <c r="I570" s="11" t="str">
        <f aca="false">INDEX(MODELOS!$J$3:$J$19,MATCH($D570,MODELOS!$A$3:$A$19,0))</f>
        <v>Recomendada</v>
      </c>
      <c r="J570" s="11" t="str">
        <f aca="false">IF(LEFT($D570,2)&lt;&gt;"AP",IF($I570="SIM","SIM","RECOMENDADA"),IF(INDEX(PRODUTOS!$J$4:$J$63,MATCH($A570,PRODUTOS!$B$4:$B$63,0))&lt;&gt;"","NÃO (usa o A+ do EAN "&amp;INDEX(PRODUTOS!$J$4:$J$63,MATCH($A570,PRODUTOS!$B$4:$B$63,0))&amp;")",IF(AND(INDEX(PRODUTOS!$I$4:$I$63,MATCH($A570,PRODUTOS!$B$4:$B$63,0))="B",$D570="AP07"),"NÃO (modelo B)","SIM")))</f>
        <v>RECOMENDADA</v>
      </c>
      <c r="K570" s="13" t="s">
        <v>325</v>
      </c>
      <c r="L570" s="13"/>
    </row>
    <row r="571" customFormat="false" ht="15" hidden="false" customHeight="false" outlineLevel="0" collapsed="false">
      <c r="A571" s="15" t="s">
        <v>189</v>
      </c>
      <c r="B571" s="11" t="str">
        <f aca="false">INDEX(PRODUTOS!$E$4:$E$63,MATCH($A571,PRODUTOS!$B$4:$B$63,0))</f>
        <v>Sachê Natural Dots Livre de Trangênico Cães Carne ao Molho 85 g</v>
      </c>
      <c r="C571" s="11" t="str">
        <f aca="false">INDEX(PRODUTOS!$H$4:$H$63,MATCH($A571,PRODUTOS!$B$4:$B$63,0))</f>
        <v>85 g</v>
      </c>
      <c r="D571" s="11" t="s">
        <v>331</v>
      </c>
      <c r="E571" s="16" t="str">
        <f aca="false">$A571&amp;"."&amp;$D571&amp;".jpg"</f>
        <v>7908591300376.PT06.jpg</v>
      </c>
      <c r="F571" s="11" t="str">
        <f aca="false">IF(INDEX(PRODUTOS!$I$4:$I$63,MATCH($A571,PRODUTOS!$B$4:$B$63,0))="B",INDEX(MODELOS!$F$3:$F$19,MATCH($D571,MODELOS!$A$3:$A$19,0)),INDEX(MODELOS!$B$3:$B$19,MATCH($D571,MODELOS!$A$3:$A$19,0)))</f>
        <v>Galeria · posição 7</v>
      </c>
      <c r="G571" s="11" t="str">
        <f aca="false">IF(INDEX(PRODUTOS!$F$4:$F$63,MATCH($A571,PRODUTOS!$B$4:$B$63,0))="Ração",IF(INDEX(PRODUTOS!$I$4:$I$63,MATCH($A571,PRODUTOS!$B$4:$B$63,0))="B",INDEX(MODELOS!$G$3:$G$19,MATCH($D571,MODELOS!$A$3:$A$19,0)),INDEX(MODELOS!$C$3:$C$19,MATCH($D571,MODELOS!$A$3:$A$19,0))),IF(INDEX(PRODUTOS!$I$4:$I$63,MATCH($A571,PRODUTOS!$B$4:$B$63,0))="B",INDEX(MODELOS!$H$3:$H$19,MATCH($D571,MODELOS!$A$3:$A$19,0)),INDEX(MODELOS!$D$3:$D$19,MATCH($D571,MODELOS!$A$3:$A$19,0))))</f>
        <v>Composição e níveis de garantia em letra grande</v>
      </c>
      <c r="H571" s="11" t="str">
        <f aca="false">IF(INDEX(PRODUTOS!$I$4:$I$63,MATCH($A571,PRODUTOS!$B$4:$B$63,0))="B",INDEX(MODELOS!$I$3:$I$19,MATCH($D571,MODELOS!$A$3:$A$19,0)),INDEX(MODELOS!$E$3:$E$19,MATCH($D571,MODELOS!$A$3:$A$19,0)))</f>
        <v>2000 × 2000</v>
      </c>
      <c r="I571" s="11" t="str">
        <f aca="false">INDEX(MODELOS!$J$3:$J$19,MATCH($D571,MODELOS!$A$3:$A$19,0))</f>
        <v>SIM</v>
      </c>
      <c r="J571" s="11" t="str">
        <f aca="false">IF(LEFT($D571,2)&lt;&gt;"AP",IF($I571="SIM","SIM","RECOMENDADA"),IF(INDEX(PRODUTOS!$J$4:$J$63,MATCH($A571,PRODUTOS!$B$4:$B$63,0))&lt;&gt;"","NÃO (usa o A+ do EAN "&amp;INDEX(PRODUTOS!$J$4:$J$63,MATCH($A571,PRODUTOS!$B$4:$B$63,0))&amp;")",IF(AND(INDEX(PRODUTOS!$I$4:$I$63,MATCH($A571,PRODUTOS!$B$4:$B$63,0))="B",$D571="AP07"),"NÃO (modelo B)","SIM")))</f>
        <v>SIM</v>
      </c>
      <c r="K571" s="13" t="s">
        <v>325</v>
      </c>
      <c r="L571" s="13"/>
    </row>
    <row r="572" customFormat="false" ht="15" hidden="false" customHeight="false" outlineLevel="0" collapsed="false">
      <c r="A572" s="15" t="s">
        <v>189</v>
      </c>
      <c r="B572" s="11" t="str">
        <f aca="false">INDEX(PRODUTOS!$E$4:$E$63,MATCH($A572,PRODUTOS!$B$4:$B$63,0))</f>
        <v>Sachê Natural Dots Livre de Trangênico Cães Carne ao Molho 85 g</v>
      </c>
      <c r="C572" s="11" t="str">
        <f aca="false">INDEX(PRODUTOS!$H$4:$H$63,MATCH($A572,PRODUTOS!$B$4:$B$63,0))</f>
        <v>85 g</v>
      </c>
      <c r="D572" s="11" t="s">
        <v>332</v>
      </c>
      <c r="E572" s="16" t="str">
        <f aca="false">$A572&amp;"."&amp;$D572&amp;".jpg"</f>
        <v>7908591300376.PT07.jpg</v>
      </c>
      <c r="F572" s="11" t="str">
        <f aca="false">IF(INDEX(PRODUTOS!$I$4:$I$63,MATCH($A572,PRODUTOS!$B$4:$B$63,0))="B",INDEX(MODELOS!$F$3:$F$19,MATCH($D572,MODELOS!$A$3:$A$19,0)),INDEX(MODELOS!$B$3:$B$19,MATCH($D572,MODELOS!$A$3:$A$19,0)))</f>
        <v>Galeria · posição 8</v>
      </c>
      <c r="G572" s="11" t="str">
        <f aca="false">IF(INDEX(PRODUTOS!$F$4:$F$63,MATCH($A572,PRODUTOS!$B$4:$B$63,0))="Ração",IF(INDEX(PRODUTOS!$I$4:$I$63,MATCH($A572,PRODUTOS!$B$4:$B$63,0))="B",INDEX(MODELOS!$G$3:$G$19,MATCH($D572,MODELOS!$A$3:$A$19,0)),INDEX(MODELOS!$C$3:$C$19,MATCH($D572,MODELOS!$A$3:$A$19,0))),IF(INDEX(PRODUTOS!$I$4:$I$63,MATCH($A572,PRODUTOS!$B$4:$B$63,0))="B",INDEX(MODELOS!$H$3:$H$19,MATCH($D572,MODELOS!$A$3:$A$19,0)),INDEX(MODELOS!$D$3:$D$19,MATCH($D572,MODELOS!$A$3:$A$19,0))))</f>
        <v>Emocional / momento de uso (pet do porte certo, pote cheio)</v>
      </c>
      <c r="H572" s="11" t="str">
        <f aca="false">IF(INDEX(PRODUTOS!$I$4:$I$63,MATCH($A572,PRODUTOS!$B$4:$B$63,0))="B",INDEX(MODELOS!$I$3:$I$19,MATCH($D572,MODELOS!$A$3:$A$19,0)),INDEX(MODELOS!$E$3:$E$19,MATCH($D572,MODELOS!$A$3:$A$19,0)))</f>
        <v>2000 × 2000</v>
      </c>
      <c r="I572" s="11" t="str">
        <f aca="false">INDEX(MODELOS!$J$3:$J$19,MATCH($D572,MODELOS!$A$3:$A$19,0))</f>
        <v>Recomendada</v>
      </c>
      <c r="J572" s="11" t="str">
        <f aca="false">IF(LEFT($D572,2)&lt;&gt;"AP",IF($I572="SIM","SIM","RECOMENDADA"),IF(INDEX(PRODUTOS!$J$4:$J$63,MATCH($A572,PRODUTOS!$B$4:$B$63,0))&lt;&gt;"","NÃO (usa o A+ do EAN "&amp;INDEX(PRODUTOS!$J$4:$J$63,MATCH($A572,PRODUTOS!$B$4:$B$63,0))&amp;")",IF(AND(INDEX(PRODUTOS!$I$4:$I$63,MATCH($A572,PRODUTOS!$B$4:$B$63,0))="B",$D572="AP07"),"NÃO (modelo B)","SIM")))</f>
        <v>RECOMENDADA</v>
      </c>
      <c r="K572" s="13" t="s">
        <v>325</v>
      </c>
      <c r="L572" s="13"/>
    </row>
    <row r="573" customFormat="false" ht="15" hidden="false" customHeight="false" outlineLevel="0" collapsed="false">
      <c r="A573" s="15" t="s">
        <v>189</v>
      </c>
      <c r="B573" s="11" t="str">
        <f aca="false">INDEX(PRODUTOS!$E$4:$E$63,MATCH($A573,PRODUTOS!$B$4:$B$63,0))</f>
        <v>Sachê Natural Dots Livre de Trangênico Cães Carne ao Molho 85 g</v>
      </c>
      <c r="C573" s="11" t="str">
        <f aca="false">INDEX(PRODUTOS!$H$4:$H$63,MATCH($A573,PRODUTOS!$B$4:$B$63,0))</f>
        <v>85 g</v>
      </c>
      <c r="D573" s="11" t="s">
        <v>333</v>
      </c>
      <c r="E573" s="16" t="str">
        <f aca="false">$A573&amp;"."&amp;$D573&amp;".jpg"</f>
        <v>7908591300376.PT08.jpg</v>
      </c>
      <c r="F573" s="11" t="str">
        <f aca="false">IF(INDEX(PRODUTOS!$I$4:$I$63,MATCH($A573,PRODUTOS!$B$4:$B$63,0))="B",INDEX(MODELOS!$F$3:$F$19,MATCH($D573,MODELOS!$A$3:$A$19,0)),INDEX(MODELOS!$B$3:$B$19,MATCH($D573,MODELOS!$A$3:$A$19,0)))</f>
        <v>Galeria · posição 9</v>
      </c>
      <c r="G573" s="11" t="str">
        <f aca="false">IF(INDEX(PRODUTOS!$F$4:$F$63,MATCH($A573,PRODUTOS!$B$4:$B$63,0))="Ração",IF(INDEX(PRODUTOS!$I$4:$I$63,MATCH($A573,PRODUTOS!$B$4:$B$63,0))="B",INDEX(MODELOS!$G$3:$G$19,MATCH($D573,MODELOS!$A$3:$A$19,0)),INDEX(MODELOS!$C$3:$C$19,MATCH($D573,MODELOS!$A$3:$A$19,0))),IF(INDEX(PRODUTOS!$I$4:$I$63,MATCH($A573,PRODUTOS!$B$4:$B$63,0))="B",INDEX(MODELOS!$H$3:$H$19,MATCH($D573,MODELOS!$A$3:$A$19,0)),INDEX(MODELOS!$D$3:$D$19,MATCH($D573,MODELOS!$A$3:$A$19,0))))</f>
        <v>Linha da marca ou embalagem anterior × nova</v>
      </c>
      <c r="H573" s="11" t="str">
        <f aca="false">IF(INDEX(PRODUTOS!$I$4:$I$63,MATCH($A573,PRODUTOS!$B$4:$B$63,0))="B",INDEX(MODELOS!$I$3:$I$19,MATCH($D573,MODELOS!$A$3:$A$19,0)),INDEX(MODELOS!$E$3:$E$19,MATCH($D573,MODELOS!$A$3:$A$19,0)))</f>
        <v>2000 × 2000</v>
      </c>
      <c r="I573" s="11" t="str">
        <f aca="false">INDEX(MODELOS!$J$3:$J$19,MATCH($D573,MODELOS!$A$3:$A$19,0))</f>
        <v>Recomendada</v>
      </c>
      <c r="J573" s="11" t="str">
        <f aca="false">IF(LEFT($D573,2)&lt;&gt;"AP",IF($I573="SIM","SIM","RECOMENDADA"),IF(INDEX(PRODUTOS!$J$4:$J$63,MATCH($A573,PRODUTOS!$B$4:$B$63,0))&lt;&gt;"","NÃO (usa o A+ do EAN "&amp;INDEX(PRODUTOS!$J$4:$J$63,MATCH($A573,PRODUTOS!$B$4:$B$63,0))&amp;")",IF(AND(INDEX(PRODUTOS!$I$4:$I$63,MATCH($A573,PRODUTOS!$B$4:$B$63,0))="B",$D573="AP07"),"NÃO (modelo B)","SIM")))</f>
        <v>RECOMENDADA</v>
      </c>
      <c r="K573" s="13" t="s">
        <v>325</v>
      </c>
      <c r="L573" s="13"/>
    </row>
    <row r="574" customFormat="false" ht="15" hidden="false" customHeight="false" outlineLevel="0" collapsed="false">
      <c r="A574" s="15" t="s">
        <v>189</v>
      </c>
      <c r="B574" s="11" t="str">
        <f aca="false">INDEX(PRODUTOS!$E$4:$E$63,MATCH($A574,PRODUTOS!$B$4:$B$63,0))</f>
        <v>Sachê Natural Dots Livre de Trangênico Cães Carne ao Molho 85 g</v>
      </c>
      <c r="C574" s="11" t="str">
        <f aca="false">INDEX(PRODUTOS!$H$4:$H$63,MATCH($A574,PRODUTOS!$B$4:$B$63,0))</f>
        <v>85 g</v>
      </c>
      <c r="D574" s="11" t="s">
        <v>334</v>
      </c>
      <c r="E574" s="16" t="str">
        <f aca="false">$A574&amp;"."&amp;$D574&amp;".jpg"</f>
        <v>7908591300376.AP01.jpg</v>
      </c>
      <c r="F574" s="11" t="str">
        <f aca="false">IF(INDEX(PRODUTOS!$I$4:$I$63,MATCH($A574,PRODUTOS!$B$4:$B$63,0))="B",INDEX(MODELOS!$F$3:$F$19,MATCH($D574,MODELOS!$A$3:$A$19,0)),INDEX(MODELOS!$B$3:$B$19,MATCH($D574,MODELOS!$A$3:$A$19,0)))</f>
        <v>A+ · Módulo 1 · Banner</v>
      </c>
      <c r="G574" s="11" t="str">
        <f aca="false">IF(INDEX(PRODUTOS!$F$4:$F$63,MATCH($A574,PRODUTOS!$B$4:$B$63,0))="Ração",IF(INDEX(PRODUTOS!$I$4:$I$63,MATCH($A574,PRODUTOS!$B$4:$B$63,0))="B",INDEX(MODELOS!$G$3:$G$19,MATCH($D574,MODELOS!$A$3:$A$19,0)),INDEX(MODELOS!$C$3:$C$19,MATCH($D574,MODELOS!$A$3:$A$19,0))),IF(INDEX(PRODUTOS!$I$4:$I$63,MATCH($A574,PRODUTOS!$B$4:$B$63,0))="B",INDEX(MODELOS!$H$3:$H$19,MATCH($D574,MODELOS!$A$3:$A$19,0)),INDEX(MODELOS!$D$3:$D$19,MATCH($D574,MODELOS!$A$3:$A$19,0))))</f>
        <v>Embalagem + pet + ingredientes, com o nome da linha</v>
      </c>
      <c r="H574" s="11" t="str">
        <f aca="false">IF(INDEX(PRODUTOS!$I$4:$I$63,MATCH($A574,PRODUTOS!$B$4:$B$63,0))="B",INDEX(MODELOS!$I$3:$I$19,MATCH($D574,MODELOS!$A$3:$A$19,0)),INDEX(MODELOS!$E$3:$E$19,MATCH($D574,MODELOS!$A$3:$A$19,0)))</f>
        <v>970 × 600</v>
      </c>
      <c r="I574" s="11" t="str">
        <f aca="false">INDEX(MODELOS!$J$3:$J$19,MATCH($D574,MODELOS!$A$3:$A$19,0))</f>
        <v>Conforme modelo</v>
      </c>
      <c r="J574" s="11" t="str">
        <f aca="false">IF(LEFT($D574,2)&lt;&gt;"AP",IF($I574="SIM","SIM","RECOMENDADA"),IF(INDEX(PRODUTOS!$J$4:$J$63,MATCH($A574,PRODUTOS!$B$4:$B$63,0))&lt;&gt;"","NÃO (usa o A+ do EAN "&amp;INDEX(PRODUTOS!$J$4:$J$63,MATCH($A574,PRODUTOS!$B$4:$B$63,0))&amp;")",IF(AND(INDEX(PRODUTOS!$I$4:$I$63,MATCH($A574,PRODUTOS!$B$4:$B$63,0))="B",$D574="AP07"),"NÃO (modelo B)","SIM")))</f>
        <v>SIM</v>
      </c>
      <c r="K574" s="13" t="s">
        <v>325</v>
      </c>
      <c r="L574" s="13"/>
    </row>
    <row r="575" customFormat="false" ht="15" hidden="false" customHeight="false" outlineLevel="0" collapsed="false">
      <c r="A575" s="15" t="s">
        <v>189</v>
      </c>
      <c r="B575" s="11" t="str">
        <f aca="false">INDEX(PRODUTOS!$E$4:$E$63,MATCH($A575,PRODUTOS!$B$4:$B$63,0))</f>
        <v>Sachê Natural Dots Livre de Trangênico Cães Carne ao Molho 85 g</v>
      </c>
      <c r="C575" s="11" t="str">
        <f aca="false">INDEX(PRODUTOS!$H$4:$H$63,MATCH($A575,PRODUTOS!$B$4:$B$63,0))</f>
        <v>85 g</v>
      </c>
      <c r="D575" s="11" t="s">
        <v>335</v>
      </c>
      <c r="E575" s="16" t="str">
        <f aca="false">$A575&amp;"."&amp;$D575&amp;".jpg"</f>
        <v>7908591300376.AP02.jpg</v>
      </c>
      <c r="F575" s="11" t="str">
        <f aca="false">IF(INDEX(PRODUTOS!$I$4:$I$63,MATCH($A575,PRODUTOS!$B$4:$B$63,0))="B",INDEX(MODELOS!$F$3:$F$19,MATCH($D575,MODELOS!$A$3:$A$19,0)),INDEX(MODELOS!$B$3:$B$19,MATCH($D575,MODELOS!$A$3:$A$19,0)))</f>
        <v>A+ · Módulo 2 · Texto sobreposto</v>
      </c>
      <c r="G575" s="11" t="str">
        <f aca="false">IF(INDEX(PRODUTOS!$F$4:$F$63,MATCH($A575,PRODUTOS!$B$4:$B$63,0))="Ração",IF(INDEX(PRODUTOS!$I$4:$I$63,MATCH($A575,PRODUTOS!$B$4:$B$63,0))="B",INDEX(MODELOS!$G$3:$G$19,MATCH($D575,MODELOS!$A$3:$A$19,0)),INDEX(MODELOS!$C$3:$C$19,MATCH($D575,MODELOS!$A$3:$A$19,0))),IF(INDEX(PRODUTOS!$I$4:$I$63,MATCH($A575,PRODUTOS!$B$4:$B$63,0))="B",INDEX(MODELOS!$H$3:$H$19,MATCH($D575,MODELOS!$A$3:$A$19,0)),INDEX(MODELOS!$D$3:$D$19,MATCH($D575,MODELOS!$A$3:$A$19,0))))</f>
        <v>Principal diferencial; deixar o lado direito limpo</v>
      </c>
      <c r="H575" s="11" t="str">
        <f aca="false">IF(INDEX(PRODUTOS!$I$4:$I$63,MATCH($A575,PRODUTOS!$B$4:$B$63,0))="B",INDEX(MODELOS!$I$3:$I$19,MATCH($D575,MODELOS!$A$3:$A$19,0)),INDEX(MODELOS!$E$3:$E$19,MATCH($D575,MODELOS!$A$3:$A$19,0)))</f>
        <v>970 × 300</v>
      </c>
      <c r="I575" s="11" t="str">
        <f aca="false">INDEX(MODELOS!$J$3:$J$19,MATCH($D575,MODELOS!$A$3:$A$19,0))</f>
        <v>Conforme modelo</v>
      </c>
      <c r="J575" s="11" t="str">
        <f aca="false">IF(LEFT($D575,2)&lt;&gt;"AP",IF($I575="SIM","SIM","RECOMENDADA"),IF(INDEX(PRODUTOS!$J$4:$J$63,MATCH($A575,PRODUTOS!$B$4:$B$63,0))&lt;&gt;"","NÃO (usa o A+ do EAN "&amp;INDEX(PRODUTOS!$J$4:$J$63,MATCH($A575,PRODUTOS!$B$4:$B$63,0))&amp;")",IF(AND(INDEX(PRODUTOS!$I$4:$I$63,MATCH($A575,PRODUTOS!$B$4:$B$63,0))="B",$D575="AP07"),"NÃO (modelo B)","SIM")))</f>
        <v>SIM</v>
      </c>
      <c r="K575" s="13" t="s">
        <v>325</v>
      </c>
      <c r="L575" s="13"/>
    </row>
    <row r="576" customFormat="false" ht="15" hidden="false" customHeight="false" outlineLevel="0" collapsed="false">
      <c r="A576" s="15" t="s">
        <v>189</v>
      </c>
      <c r="B576" s="11" t="str">
        <f aca="false">INDEX(PRODUTOS!$E$4:$E$63,MATCH($A576,PRODUTOS!$B$4:$B$63,0))</f>
        <v>Sachê Natural Dots Livre de Trangênico Cães Carne ao Molho 85 g</v>
      </c>
      <c r="C576" s="11" t="str">
        <f aca="false">INDEX(PRODUTOS!$H$4:$H$63,MATCH($A576,PRODUTOS!$B$4:$B$63,0))</f>
        <v>85 g</v>
      </c>
      <c r="D576" s="11" t="s">
        <v>336</v>
      </c>
      <c r="E576" s="16" t="str">
        <f aca="false">$A576&amp;"."&amp;$D576&amp;".jpg"</f>
        <v>7908591300376.AP03.jpg</v>
      </c>
      <c r="F576" s="11" t="str">
        <f aca="false">IF(INDEX(PRODUTOS!$I$4:$I$63,MATCH($A576,PRODUTOS!$B$4:$B$63,0))="B",INDEX(MODELOS!$F$3:$F$19,MATCH($D576,MODELOS!$A$3:$A$19,0)),INDEX(MODELOS!$B$3:$B$19,MATCH($D576,MODELOS!$A$3:$A$19,0)))</f>
        <v>A+ · Módulo 3 · Benefício 1 de 4</v>
      </c>
      <c r="G576" s="11" t="str">
        <f aca="false">IF(INDEX(PRODUTOS!$F$4:$F$63,MATCH($A576,PRODUTOS!$B$4:$B$63,0))="Ração",IF(INDEX(PRODUTOS!$I$4:$I$63,MATCH($A576,PRODUTOS!$B$4:$B$63,0))="B",INDEX(MODELOS!$G$3:$G$19,MATCH($D576,MODELOS!$A$3:$A$19,0)),INDEX(MODELOS!$C$3:$C$19,MATCH($D576,MODELOS!$A$3:$A$19,0))),IF(INDEX(PRODUTOS!$I$4:$I$63,MATCH($A576,PRODUTOS!$B$4:$B$63,0))="B",INDEX(MODELOS!$H$3:$H$19,MATCH($D576,MODELOS!$A$3:$A$19,0)),INDEX(MODELOS!$D$3:$D$19,MATCH($D576,MODELOS!$A$3:$A$19,0))))</f>
        <v>Foto/ilustração do benefício 1</v>
      </c>
      <c r="H576" s="11" t="str">
        <f aca="false">IF(INDEX(PRODUTOS!$I$4:$I$63,MATCH($A576,PRODUTOS!$B$4:$B$63,0))="B",INDEX(MODELOS!$I$3:$I$19,MATCH($D576,MODELOS!$A$3:$A$19,0)),INDEX(MODELOS!$E$3:$E$19,MATCH($D576,MODELOS!$A$3:$A$19,0)))</f>
        <v>220 × 200</v>
      </c>
      <c r="I576" s="11" t="str">
        <f aca="false">INDEX(MODELOS!$J$3:$J$19,MATCH($D576,MODELOS!$A$3:$A$19,0))</f>
        <v>Conforme modelo</v>
      </c>
      <c r="J576" s="11" t="str">
        <f aca="false">IF(LEFT($D576,2)&lt;&gt;"AP",IF($I576="SIM","SIM","RECOMENDADA"),IF(INDEX(PRODUTOS!$J$4:$J$63,MATCH($A576,PRODUTOS!$B$4:$B$63,0))&lt;&gt;"","NÃO (usa o A+ do EAN "&amp;INDEX(PRODUTOS!$J$4:$J$63,MATCH($A576,PRODUTOS!$B$4:$B$63,0))&amp;")",IF(AND(INDEX(PRODUTOS!$I$4:$I$63,MATCH($A576,PRODUTOS!$B$4:$B$63,0))="B",$D576="AP07"),"NÃO (modelo B)","SIM")))</f>
        <v>SIM</v>
      </c>
      <c r="K576" s="13" t="s">
        <v>325</v>
      </c>
      <c r="L576" s="13"/>
    </row>
    <row r="577" customFormat="false" ht="15" hidden="false" customHeight="false" outlineLevel="0" collapsed="false">
      <c r="A577" s="15" t="s">
        <v>189</v>
      </c>
      <c r="B577" s="11" t="str">
        <f aca="false">INDEX(PRODUTOS!$E$4:$E$63,MATCH($A577,PRODUTOS!$B$4:$B$63,0))</f>
        <v>Sachê Natural Dots Livre de Trangênico Cães Carne ao Molho 85 g</v>
      </c>
      <c r="C577" s="11" t="str">
        <f aca="false">INDEX(PRODUTOS!$H$4:$H$63,MATCH($A577,PRODUTOS!$B$4:$B$63,0))</f>
        <v>85 g</v>
      </c>
      <c r="D577" s="11" t="s">
        <v>337</v>
      </c>
      <c r="E577" s="16" t="str">
        <f aca="false">$A577&amp;"."&amp;$D577&amp;".jpg"</f>
        <v>7908591300376.AP04.jpg</v>
      </c>
      <c r="F577" s="11" t="str">
        <f aca="false">IF(INDEX(PRODUTOS!$I$4:$I$63,MATCH($A577,PRODUTOS!$B$4:$B$63,0))="B",INDEX(MODELOS!$F$3:$F$19,MATCH($D577,MODELOS!$A$3:$A$19,0)),INDEX(MODELOS!$B$3:$B$19,MATCH($D577,MODELOS!$A$3:$A$19,0)))</f>
        <v>A+ · Módulo 3 · Benefício 2 de 4</v>
      </c>
      <c r="G577" s="11" t="str">
        <f aca="false">IF(INDEX(PRODUTOS!$F$4:$F$63,MATCH($A577,PRODUTOS!$B$4:$B$63,0))="Ração",IF(INDEX(PRODUTOS!$I$4:$I$63,MATCH($A577,PRODUTOS!$B$4:$B$63,0))="B",INDEX(MODELOS!$G$3:$G$19,MATCH($D577,MODELOS!$A$3:$A$19,0)),INDEX(MODELOS!$C$3:$C$19,MATCH($D577,MODELOS!$A$3:$A$19,0))),IF(INDEX(PRODUTOS!$I$4:$I$63,MATCH($A577,PRODUTOS!$B$4:$B$63,0))="B",INDEX(MODELOS!$H$3:$H$19,MATCH($D577,MODELOS!$A$3:$A$19,0)),INDEX(MODELOS!$D$3:$D$19,MATCH($D577,MODELOS!$A$3:$A$19,0))))</f>
        <v>Foto/ilustração do benefício 2</v>
      </c>
      <c r="H577" s="11" t="str">
        <f aca="false">IF(INDEX(PRODUTOS!$I$4:$I$63,MATCH($A577,PRODUTOS!$B$4:$B$63,0))="B",INDEX(MODELOS!$I$3:$I$19,MATCH($D577,MODELOS!$A$3:$A$19,0)),INDEX(MODELOS!$E$3:$E$19,MATCH($D577,MODELOS!$A$3:$A$19,0)))</f>
        <v>220 × 200</v>
      </c>
      <c r="I577" s="11" t="str">
        <f aca="false">INDEX(MODELOS!$J$3:$J$19,MATCH($D577,MODELOS!$A$3:$A$19,0))</f>
        <v>Conforme modelo</v>
      </c>
      <c r="J577" s="11" t="str">
        <f aca="false">IF(LEFT($D577,2)&lt;&gt;"AP",IF($I577="SIM","SIM","RECOMENDADA"),IF(INDEX(PRODUTOS!$J$4:$J$63,MATCH($A577,PRODUTOS!$B$4:$B$63,0))&lt;&gt;"","NÃO (usa o A+ do EAN "&amp;INDEX(PRODUTOS!$J$4:$J$63,MATCH($A577,PRODUTOS!$B$4:$B$63,0))&amp;")",IF(AND(INDEX(PRODUTOS!$I$4:$I$63,MATCH($A577,PRODUTOS!$B$4:$B$63,0))="B",$D577="AP07"),"NÃO (modelo B)","SIM")))</f>
        <v>SIM</v>
      </c>
      <c r="K577" s="13" t="s">
        <v>325</v>
      </c>
      <c r="L577" s="13"/>
    </row>
    <row r="578" customFormat="false" ht="15" hidden="false" customHeight="false" outlineLevel="0" collapsed="false">
      <c r="A578" s="15" t="s">
        <v>189</v>
      </c>
      <c r="B578" s="11" t="str">
        <f aca="false">INDEX(PRODUTOS!$E$4:$E$63,MATCH($A578,PRODUTOS!$B$4:$B$63,0))</f>
        <v>Sachê Natural Dots Livre de Trangênico Cães Carne ao Molho 85 g</v>
      </c>
      <c r="C578" s="11" t="str">
        <f aca="false">INDEX(PRODUTOS!$H$4:$H$63,MATCH($A578,PRODUTOS!$B$4:$B$63,0))</f>
        <v>85 g</v>
      </c>
      <c r="D578" s="11" t="s">
        <v>338</v>
      </c>
      <c r="E578" s="16" t="str">
        <f aca="false">$A578&amp;"."&amp;$D578&amp;".jpg"</f>
        <v>7908591300376.AP05.jpg</v>
      </c>
      <c r="F578" s="11" t="str">
        <f aca="false">IF(INDEX(PRODUTOS!$I$4:$I$63,MATCH($A578,PRODUTOS!$B$4:$B$63,0))="B",INDEX(MODELOS!$F$3:$F$19,MATCH($D578,MODELOS!$A$3:$A$19,0)),INDEX(MODELOS!$B$3:$B$19,MATCH($D578,MODELOS!$A$3:$A$19,0)))</f>
        <v>A+ · Módulo 3 · Benefício 3 de 4</v>
      </c>
      <c r="G578" s="11" t="str">
        <f aca="false">IF(INDEX(PRODUTOS!$F$4:$F$63,MATCH($A578,PRODUTOS!$B$4:$B$63,0))="Ração",IF(INDEX(PRODUTOS!$I$4:$I$63,MATCH($A578,PRODUTOS!$B$4:$B$63,0))="B",INDEX(MODELOS!$G$3:$G$19,MATCH($D578,MODELOS!$A$3:$A$19,0)),INDEX(MODELOS!$C$3:$C$19,MATCH($D578,MODELOS!$A$3:$A$19,0))),IF(INDEX(PRODUTOS!$I$4:$I$63,MATCH($A578,PRODUTOS!$B$4:$B$63,0))="B",INDEX(MODELOS!$H$3:$H$19,MATCH($D578,MODELOS!$A$3:$A$19,0)),INDEX(MODELOS!$D$3:$D$19,MATCH($D578,MODELOS!$A$3:$A$19,0))))</f>
        <v>Foto/ilustração do benefício 3</v>
      </c>
      <c r="H578" s="11" t="str">
        <f aca="false">IF(INDEX(PRODUTOS!$I$4:$I$63,MATCH($A578,PRODUTOS!$B$4:$B$63,0))="B",INDEX(MODELOS!$I$3:$I$19,MATCH($D578,MODELOS!$A$3:$A$19,0)),INDEX(MODELOS!$E$3:$E$19,MATCH($D578,MODELOS!$A$3:$A$19,0)))</f>
        <v>220 × 200</v>
      </c>
      <c r="I578" s="11" t="str">
        <f aca="false">INDEX(MODELOS!$J$3:$J$19,MATCH($D578,MODELOS!$A$3:$A$19,0))</f>
        <v>Conforme modelo</v>
      </c>
      <c r="J578" s="11" t="str">
        <f aca="false">IF(LEFT($D578,2)&lt;&gt;"AP",IF($I578="SIM","SIM","RECOMENDADA"),IF(INDEX(PRODUTOS!$J$4:$J$63,MATCH($A578,PRODUTOS!$B$4:$B$63,0))&lt;&gt;"","NÃO (usa o A+ do EAN "&amp;INDEX(PRODUTOS!$J$4:$J$63,MATCH($A578,PRODUTOS!$B$4:$B$63,0))&amp;")",IF(AND(INDEX(PRODUTOS!$I$4:$I$63,MATCH($A578,PRODUTOS!$B$4:$B$63,0))="B",$D578="AP07"),"NÃO (modelo B)","SIM")))</f>
        <v>SIM</v>
      </c>
      <c r="K578" s="13" t="s">
        <v>325</v>
      </c>
      <c r="L578" s="13"/>
    </row>
    <row r="579" customFormat="false" ht="15" hidden="false" customHeight="false" outlineLevel="0" collapsed="false">
      <c r="A579" s="15" t="s">
        <v>189</v>
      </c>
      <c r="B579" s="11" t="str">
        <f aca="false">INDEX(PRODUTOS!$E$4:$E$63,MATCH($A579,PRODUTOS!$B$4:$B$63,0))</f>
        <v>Sachê Natural Dots Livre de Trangênico Cães Carne ao Molho 85 g</v>
      </c>
      <c r="C579" s="11" t="str">
        <f aca="false">INDEX(PRODUTOS!$H$4:$H$63,MATCH($A579,PRODUTOS!$B$4:$B$63,0))</f>
        <v>85 g</v>
      </c>
      <c r="D579" s="11" t="s">
        <v>339</v>
      </c>
      <c r="E579" s="16" t="str">
        <f aca="false">$A579&amp;"."&amp;$D579&amp;".jpg"</f>
        <v>7908591300376.AP06.jpg</v>
      </c>
      <c r="F579" s="11" t="str">
        <f aca="false">IF(INDEX(PRODUTOS!$I$4:$I$63,MATCH($A579,PRODUTOS!$B$4:$B$63,0))="B",INDEX(MODELOS!$F$3:$F$19,MATCH($D579,MODELOS!$A$3:$A$19,0)),INDEX(MODELOS!$B$3:$B$19,MATCH($D579,MODELOS!$A$3:$A$19,0)))</f>
        <v>A+ · Módulo 3 · Benefício 4 de 4</v>
      </c>
      <c r="G579" s="11" t="str">
        <f aca="false">IF(INDEX(PRODUTOS!$F$4:$F$63,MATCH($A579,PRODUTOS!$B$4:$B$63,0))="Ração",IF(INDEX(PRODUTOS!$I$4:$I$63,MATCH($A579,PRODUTOS!$B$4:$B$63,0))="B",INDEX(MODELOS!$G$3:$G$19,MATCH($D579,MODELOS!$A$3:$A$19,0)),INDEX(MODELOS!$C$3:$C$19,MATCH($D579,MODELOS!$A$3:$A$19,0))),IF(INDEX(PRODUTOS!$I$4:$I$63,MATCH($A579,PRODUTOS!$B$4:$B$63,0))="B",INDEX(MODELOS!$H$3:$H$19,MATCH($D579,MODELOS!$A$3:$A$19,0)),INDEX(MODELOS!$D$3:$D$19,MATCH($D579,MODELOS!$A$3:$A$19,0))))</f>
        <v>Foto/ilustração do benefício 4</v>
      </c>
      <c r="H579" s="11" t="str">
        <f aca="false">IF(INDEX(PRODUTOS!$I$4:$I$63,MATCH($A579,PRODUTOS!$B$4:$B$63,0))="B",INDEX(MODELOS!$I$3:$I$19,MATCH($D579,MODELOS!$A$3:$A$19,0)),INDEX(MODELOS!$E$3:$E$19,MATCH($D579,MODELOS!$A$3:$A$19,0)))</f>
        <v>220 × 200</v>
      </c>
      <c r="I579" s="11" t="str">
        <f aca="false">INDEX(MODELOS!$J$3:$J$19,MATCH($D579,MODELOS!$A$3:$A$19,0))</f>
        <v>Conforme modelo</v>
      </c>
      <c r="J579" s="11" t="str">
        <f aca="false">IF(LEFT($D579,2)&lt;&gt;"AP",IF($I579="SIM","SIM","RECOMENDADA"),IF(INDEX(PRODUTOS!$J$4:$J$63,MATCH($A579,PRODUTOS!$B$4:$B$63,0))&lt;&gt;"","NÃO (usa o A+ do EAN "&amp;INDEX(PRODUTOS!$J$4:$J$63,MATCH($A579,PRODUTOS!$B$4:$B$63,0))&amp;")",IF(AND(INDEX(PRODUTOS!$I$4:$I$63,MATCH($A579,PRODUTOS!$B$4:$B$63,0))="B",$D579="AP07"),"NÃO (modelo B)","SIM")))</f>
        <v>SIM</v>
      </c>
      <c r="K579" s="13" t="s">
        <v>325</v>
      </c>
      <c r="L579" s="13"/>
    </row>
    <row r="580" customFormat="false" ht="15" hidden="false" customHeight="false" outlineLevel="0" collapsed="false">
      <c r="A580" s="15" t="s">
        <v>189</v>
      </c>
      <c r="B580" s="11" t="str">
        <f aca="false">INDEX(PRODUTOS!$E$4:$E$63,MATCH($A580,PRODUTOS!$B$4:$B$63,0))</f>
        <v>Sachê Natural Dots Livre de Trangênico Cães Carne ao Molho 85 g</v>
      </c>
      <c r="C580" s="11" t="str">
        <f aca="false">INDEX(PRODUTOS!$H$4:$H$63,MATCH($A580,PRODUTOS!$B$4:$B$63,0))</f>
        <v>85 g</v>
      </c>
      <c r="D580" s="11" t="s">
        <v>340</v>
      </c>
      <c r="E580" s="16" t="str">
        <f aca="false">$A580&amp;"."&amp;$D580&amp;".jpg"</f>
        <v>7908591300376.AP07.jpg</v>
      </c>
      <c r="F580" s="11" t="str">
        <f aca="false">IF(INDEX(PRODUTOS!$I$4:$I$63,MATCH($A580,PRODUTOS!$B$4:$B$63,0))="B",INDEX(MODELOS!$F$3:$F$19,MATCH($D580,MODELOS!$A$3:$A$19,0)),INDEX(MODELOS!$B$3:$B$19,MATCH($D580,MODELOS!$A$3:$A$19,0)))</f>
        <v>A+ · Módulo 4 · Especificações</v>
      </c>
      <c r="G580" s="11" t="str">
        <f aca="false">IF(INDEX(PRODUTOS!$F$4:$F$63,MATCH($A580,PRODUTOS!$B$4:$B$63,0))="Ração",IF(INDEX(PRODUTOS!$I$4:$I$63,MATCH($A580,PRODUTOS!$B$4:$B$63,0))="B",INDEX(MODELOS!$G$3:$G$19,MATCH($D580,MODELOS!$A$3:$A$19,0)),INDEX(MODELOS!$C$3:$C$19,MATCH($D580,MODELOS!$A$3:$A$19,0))),IF(INDEX(PRODUTOS!$I$4:$I$63,MATCH($A580,PRODUTOS!$B$4:$B$63,0))="B",INDEX(MODELOS!$H$3:$H$19,MATCH($D580,MODELOS!$A$3:$A$19,0)),INDEX(MODELOS!$D$3:$D$19,MATCH($D580,MODELOS!$A$3:$A$19,0))))</f>
        <v>Grão ou pacote em destaque</v>
      </c>
      <c r="H580" s="11" t="str">
        <f aca="false">IF(INDEX(PRODUTOS!$I$4:$I$63,MATCH($A580,PRODUTOS!$B$4:$B$63,0))="B",INDEX(MODELOS!$I$3:$I$19,MATCH($D580,MODELOS!$A$3:$A$19,0)),INDEX(MODELOS!$E$3:$E$19,MATCH($D580,MODELOS!$A$3:$A$19,0)))</f>
        <v>300 × 300</v>
      </c>
      <c r="I580" s="11" t="str">
        <f aca="false">INDEX(MODELOS!$J$3:$J$19,MATCH($D580,MODELOS!$A$3:$A$19,0))</f>
        <v>Conforme modelo</v>
      </c>
      <c r="J580" s="11" t="str">
        <f aca="false">IF(LEFT($D580,2)&lt;&gt;"AP",IF($I580="SIM","SIM","RECOMENDADA"),IF(INDEX(PRODUTOS!$J$4:$J$63,MATCH($A580,PRODUTOS!$B$4:$B$63,0))&lt;&gt;"","NÃO (usa o A+ do EAN "&amp;INDEX(PRODUTOS!$J$4:$J$63,MATCH($A580,PRODUTOS!$B$4:$B$63,0))&amp;")",IF(AND(INDEX(PRODUTOS!$I$4:$I$63,MATCH($A580,PRODUTOS!$B$4:$B$63,0))="B",$D580="AP07"),"NÃO (modelo B)","SIM")))</f>
        <v>SIM</v>
      </c>
      <c r="K580" s="13" t="s">
        <v>325</v>
      </c>
      <c r="L580" s="13"/>
    </row>
    <row r="581" customFormat="false" ht="15" hidden="false" customHeight="false" outlineLevel="0" collapsed="false">
      <c r="A581" s="15" t="s">
        <v>189</v>
      </c>
      <c r="B581" s="11" t="str">
        <f aca="false">INDEX(PRODUTOS!$E$4:$E$63,MATCH($A581,PRODUTOS!$B$4:$B$63,0))</f>
        <v>Sachê Natural Dots Livre de Trangênico Cães Carne ao Molho 85 g</v>
      </c>
      <c r="C581" s="11" t="str">
        <f aca="false">INDEX(PRODUTOS!$H$4:$H$63,MATCH($A581,PRODUTOS!$B$4:$B$63,0))</f>
        <v>85 g</v>
      </c>
      <c r="D581" s="11" t="s">
        <v>341</v>
      </c>
      <c r="E581" s="16" t="str">
        <f aca="false">$A581&amp;"."&amp;$D581&amp;".jpg"</f>
        <v>7908591300376.COMP.jpg</v>
      </c>
      <c r="F581" s="11" t="str">
        <f aca="false">IF(INDEX(PRODUTOS!$I$4:$I$63,MATCH($A581,PRODUTOS!$B$4:$B$63,0))="B",INDEX(MODELOS!$F$3:$F$19,MATCH($D581,MODELOS!$A$3:$A$19,0)),INDEX(MODELOS!$B$3:$B$19,MATCH($D581,MODELOS!$A$3:$A$19,0)))</f>
        <v>A+ · Tabela comparativa</v>
      </c>
      <c r="G581" s="11" t="str">
        <f aca="false">IF(INDEX(PRODUTOS!$F$4:$F$63,MATCH($A581,PRODUTOS!$B$4:$B$63,0))="Ração",IF(INDEX(PRODUTOS!$I$4:$I$63,MATCH($A581,PRODUTOS!$B$4:$B$63,0))="B",INDEX(MODELOS!$G$3:$G$19,MATCH($D581,MODELOS!$A$3:$A$19,0)),INDEX(MODELOS!$C$3:$C$19,MATCH($D581,MODELOS!$A$3:$A$19,0))),IF(INDEX(PRODUTOS!$I$4:$I$63,MATCH($A581,PRODUTOS!$B$4:$B$63,0))="B",INDEX(MODELOS!$H$3:$H$19,MATCH($D581,MODELOS!$A$3:$A$19,0)),INDEX(MODELOS!$D$3:$D$19,MATCH($D581,MODELOS!$A$3:$A$19,0))))</f>
        <v>Pacote na vertical, sem fundo colorido</v>
      </c>
      <c r="H581" s="11" t="str">
        <f aca="false">IF(INDEX(PRODUTOS!$I$4:$I$63,MATCH($A581,PRODUTOS!$B$4:$B$63,0))="B",INDEX(MODELOS!$I$3:$I$19,MATCH($D581,MODELOS!$A$3:$A$19,0)),INDEX(MODELOS!$E$3:$E$19,MATCH($D581,MODELOS!$A$3:$A$19,0)))</f>
        <v>150 × 300</v>
      </c>
      <c r="I581" s="11" t="str">
        <f aca="false">INDEX(MODELOS!$J$3:$J$19,MATCH($D581,MODELOS!$A$3:$A$19,0))</f>
        <v>SIM</v>
      </c>
      <c r="J581" s="11" t="str">
        <f aca="false">IF(LEFT($D581,2)&lt;&gt;"AP",IF($I581="SIM","SIM","RECOMENDADA"),IF(INDEX(PRODUTOS!$J$4:$J$63,MATCH($A581,PRODUTOS!$B$4:$B$63,0))&lt;&gt;"","NÃO (usa o A+ do EAN "&amp;INDEX(PRODUTOS!$J$4:$J$63,MATCH($A581,PRODUTOS!$B$4:$B$63,0))&amp;")",IF(AND(INDEX(PRODUTOS!$I$4:$I$63,MATCH($A581,PRODUTOS!$B$4:$B$63,0))="B",$D581="AP07"),"NÃO (modelo B)","SIM")))</f>
        <v>SIM</v>
      </c>
      <c r="K581" s="13" t="s">
        <v>325</v>
      </c>
      <c r="L581" s="13"/>
    </row>
    <row r="582" customFormat="false" ht="15" hidden="false" customHeight="false" outlineLevel="0" collapsed="false">
      <c r="A582" s="15" t="s">
        <v>194</v>
      </c>
      <c r="B582" s="11" t="str">
        <f aca="false">INDEX(PRODUTOS!$E$4:$E$63,MATCH($A582,PRODUTOS!$B$4:$B$63,0))</f>
        <v>Sachê Natural Dots Livre de Trangênico Cães Cordeiro 85 g</v>
      </c>
      <c r="C582" s="11" t="str">
        <f aca="false">INDEX(PRODUTOS!$H$4:$H$63,MATCH($A582,PRODUTOS!$B$4:$B$63,0))</f>
        <v>85 g</v>
      </c>
      <c r="D582" s="11" t="s">
        <v>324</v>
      </c>
      <c r="E582" s="16" t="str">
        <f aca="false">$A582&amp;"."&amp;$D582&amp;".jpg"</f>
        <v>7908591300383.MAIN.jpg</v>
      </c>
      <c r="F582" s="11" t="str">
        <f aca="false">IF(INDEX(PRODUTOS!$I$4:$I$63,MATCH($A582,PRODUTOS!$B$4:$B$63,0))="B",INDEX(MODELOS!$F$3:$F$19,MATCH($D582,MODELOS!$A$3:$A$19,0)),INDEX(MODELOS!$B$3:$B$19,MATCH($D582,MODELOS!$A$3:$A$19,0)))</f>
        <v>Capa (posição 1)</v>
      </c>
      <c r="G582" s="11" t="str">
        <f aca="false">IF(INDEX(PRODUTOS!$F$4:$F$63,MATCH($A582,PRODUTOS!$B$4:$B$63,0))="Ração",IF(INDEX(PRODUTOS!$I$4:$I$63,MATCH($A582,PRODUTOS!$B$4:$B$63,0))="B",INDEX(MODELOS!$G$3:$G$19,MATCH($D582,MODELOS!$A$3:$A$19,0)),INDEX(MODELOS!$C$3:$C$19,MATCH($D582,MODELOS!$A$3:$A$19,0))),IF(INDEX(PRODUTOS!$I$4:$I$63,MATCH($A582,PRODUTOS!$B$4:$B$63,0))="B",INDEX(MODELOS!$H$3:$H$19,MATCH($D582,MODELOS!$A$3:$A$19,0)),INDEX(MODELOS!$D$3:$D$19,MATCH($D582,MODELOS!$A$3:$A$19,0))))</f>
        <v>Embalagem de frente, fundo branco puro, 85% da área, nada adicionado</v>
      </c>
      <c r="H582" s="11" t="str">
        <f aca="false">IF(INDEX(PRODUTOS!$I$4:$I$63,MATCH($A582,PRODUTOS!$B$4:$B$63,0))="B",INDEX(MODELOS!$I$3:$I$19,MATCH($D582,MODELOS!$A$3:$A$19,0)),INDEX(MODELOS!$E$3:$E$19,MATCH($D582,MODELOS!$A$3:$A$19,0)))</f>
        <v>2000 × 2000</v>
      </c>
      <c r="I582" s="11" t="str">
        <f aca="false">INDEX(MODELOS!$J$3:$J$19,MATCH($D582,MODELOS!$A$3:$A$19,0))</f>
        <v>SIM</v>
      </c>
      <c r="J582" s="11" t="str">
        <f aca="false">IF(LEFT($D582,2)&lt;&gt;"AP",IF($I582="SIM","SIM","RECOMENDADA"),IF(INDEX(PRODUTOS!$J$4:$J$63,MATCH($A582,PRODUTOS!$B$4:$B$63,0))&lt;&gt;"","NÃO (usa o A+ do EAN "&amp;INDEX(PRODUTOS!$J$4:$J$63,MATCH($A582,PRODUTOS!$B$4:$B$63,0))&amp;")",IF(AND(INDEX(PRODUTOS!$I$4:$I$63,MATCH($A582,PRODUTOS!$B$4:$B$63,0))="B",$D582="AP07"),"NÃO (modelo B)","SIM")))</f>
        <v>SIM</v>
      </c>
      <c r="K582" s="13" t="s">
        <v>325</v>
      </c>
      <c r="L582" s="13"/>
    </row>
    <row r="583" customFormat="false" ht="15" hidden="false" customHeight="false" outlineLevel="0" collapsed="false">
      <c r="A583" s="15" t="s">
        <v>194</v>
      </c>
      <c r="B583" s="11" t="str">
        <f aca="false">INDEX(PRODUTOS!$E$4:$E$63,MATCH($A583,PRODUTOS!$B$4:$B$63,0))</f>
        <v>Sachê Natural Dots Livre de Trangênico Cães Cordeiro 85 g</v>
      </c>
      <c r="C583" s="11" t="str">
        <f aca="false">INDEX(PRODUTOS!$H$4:$H$63,MATCH($A583,PRODUTOS!$B$4:$B$63,0))</f>
        <v>85 g</v>
      </c>
      <c r="D583" s="11" t="s">
        <v>326</v>
      </c>
      <c r="E583" s="16" t="str">
        <f aca="false">$A583&amp;"."&amp;$D583&amp;".jpg"</f>
        <v>7908591300383.PT01.jpg</v>
      </c>
      <c r="F583" s="11" t="str">
        <f aca="false">IF(INDEX(PRODUTOS!$I$4:$I$63,MATCH($A583,PRODUTOS!$B$4:$B$63,0))="B",INDEX(MODELOS!$F$3:$F$19,MATCH($D583,MODELOS!$A$3:$A$19,0)),INDEX(MODELOS!$B$3:$B$19,MATCH($D583,MODELOS!$A$3:$A$19,0)))</f>
        <v>Galeria · posição 2</v>
      </c>
      <c r="G583" s="11" t="str">
        <f aca="false">IF(INDEX(PRODUTOS!$F$4:$F$63,MATCH($A583,PRODUTOS!$B$4:$B$63,0))="Ração",IF(INDEX(PRODUTOS!$I$4:$I$63,MATCH($A583,PRODUTOS!$B$4:$B$63,0))="B",INDEX(MODELOS!$G$3:$G$19,MATCH($D583,MODELOS!$A$3:$A$19,0)),INDEX(MODELOS!$C$3:$C$19,MATCH($D583,MODELOS!$A$3:$A$19,0))),IF(INDEX(PRODUTOS!$I$4:$I$63,MATCH($A583,PRODUTOS!$B$4:$B$63,0))="B",INDEX(MODELOS!$H$3:$H$19,MATCH($D583,MODELOS!$A$3:$A$19,0)),INDEX(MODELOS!$D$3:$D$19,MATCH($D583,MODELOS!$A$3:$A$19,0))))</f>
        <v>Grande diferencial da linha (número ou promessa forte + grão e ingrediente)</v>
      </c>
      <c r="H583" s="11" t="str">
        <f aca="false">IF(INDEX(PRODUTOS!$I$4:$I$63,MATCH($A583,PRODUTOS!$B$4:$B$63,0))="B",INDEX(MODELOS!$I$3:$I$19,MATCH($D583,MODELOS!$A$3:$A$19,0)),INDEX(MODELOS!$E$3:$E$19,MATCH($D583,MODELOS!$A$3:$A$19,0)))</f>
        <v>2000 × 2000</v>
      </c>
      <c r="I583" s="11" t="str">
        <f aca="false">INDEX(MODELOS!$J$3:$J$19,MATCH($D583,MODELOS!$A$3:$A$19,0))</f>
        <v>SIM</v>
      </c>
      <c r="J583" s="11" t="str">
        <f aca="false">IF(LEFT($D583,2)&lt;&gt;"AP",IF($I583="SIM","SIM","RECOMENDADA"),IF(INDEX(PRODUTOS!$J$4:$J$63,MATCH($A583,PRODUTOS!$B$4:$B$63,0))&lt;&gt;"","NÃO (usa o A+ do EAN "&amp;INDEX(PRODUTOS!$J$4:$J$63,MATCH($A583,PRODUTOS!$B$4:$B$63,0))&amp;")",IF(AND(INDEX(PRODUTOS!$I$4:$I$63,MATCH($A583,PRODUTOS!$B$4:$B$63,0))="B",$D583="AP07"),"NÃO (modelo B)","SIM")))</f>
        <v>SIM</v>
      </c>
      <c r="K583" s="13" t="s">
        <v>325</v>
      </c>
      <c r="L583" s="13"/>
    </row>
    <row r="584" customFormat="false" ht="15" hidden="false" customHeight="false" outlineLevel="0" collapsed="false">
      <c r="A584" s="15" t="s">
        <v>194</v>
      </c>
      <c r="B584" s="11" t="str">
        <f aca="false">INDEX(PRODUTOS!$E$4:$E$63,MATCH($A584,PRODUTOS!$B$4:$B$63,0))</f>
        <v>Sachê Natural Dots Livre de Trangênico Cães Cordeiro 85 g</v>
      </c>
      <c r="C584" s="11" t="str">
        <f aca="false">INDEX(PRODUTOS!$H$4:$H$63,MATCH($A584,PRODUTOS!$B$4:$B$63,0))</f>
        <v>85 g</v>
      </c>
      <c r="D584" s="11" t="s">
        <v>327</v>
      </c>
      <c r="E584" s="16" t="str">
        <f aca="false">$A584&amp;"."&amp;$D584&amp;".jpg"</f>
        <v>7908591300383.PT02.jpg</v>
      </c>
      <c r="F584" s="11" t="str">
        <f aca="false">IF(INDEX(PRODUTOS!$I$4:$I$63,MATCH($A584,PRODUTOS!$B$4:$B$63,0))="B",INDEX(MODELOS!$F$3:$F$19,MATCH($D584,MODELOS!$A$3:$A$19,0)),INDEX(MODELOS!$B$3:$B$19,MATCH($D584,MODELOS!$A$3:$A$19,0)))</f>
        <v>Galeria · posição 3</v>
      </c>
      <c r="G584" s="11" t="str">
        <f aca="false">IF(INDEX(PRODUTOS!$F$4:$F$63,MATCH($A584,PRODUTOS!$B$4:$B$63,0))="Ração",IF(INDEX(PRODUTOS!$I$4:$I$63,MATCH($A584,PRODUTOS!$B$4:$B$63,0))="B",INDEX(MODELOS!$G$3:$G$19,MATCH($D584,MODELOS!$A$3:$A$19,0)),INDEX(MODELOS!$C$3:$C$19,MATCH($D584,MODELOS!$A$3:$A$19,0))),IF(INDEX(PRODUTOS!$I$4:$I$63,MATCH($A584,PRODUTOS!$B$4:$B$63,0))="B",INDEX(MODELOS!$H$3:$H$19,MATCH($D584,MODELOS!$A$3:$A$19,0)),INDEX(MODELOS!$D$3:$D$19,MATCH($D584,MODELOS!$A$3:$A$19,0))))</f>
        <v>Benefícios com ícones (4 a 6, impressos na embalagem) + ingrediente</v>
      </c>
      <c r="H584" s="11" t="str">
        <f aca="false">IF(INDEX(PRODUTOS!$I$4:$I$63,MATCH($A584,PRODUTOS!$B$4:$B$63,0))="B",INDEX(MODELOS!$I$3:$I$19,MATCH($D584,MODELOS!$A$3:$A$19,0)),INDEX(MODELOS!$E$3:$E$19,MATCH($D584,MODELOS!$A$3:$A$19,0)))</f>
        <v>2000 × 2000</v>
      </c>
      <c r="I584" s="11" t="str">
        <f aca="false">INDEX(MODELOS!$J$3:$J$19,MATCH($D584,MODELOS!$A$3:$A$19,0))</f>
        <v>SIM</v>
      </c>
      <c r="J584" s="11" t="str">
        <f aca="false">IF(LEFT($D584,2)&lt;&gt;"AP",IF($I584="SIM","SIM","RECOMENDADA"),IF(INDEX(PRODUTOS!$J$4:$J$63,MATCH($A584,PRODUTOS!$B$4:$B$63,0))&lt;&gt;"","NÃO (usa o A+ do EAN "&amp;INDEX(PRODUTOS!$J$4:$J$63,MATCH($A584,PRODUTOS!$B$4:$B$63,0))&amp;")",IF(AND(INDEX(PRODUTOS!$I$4:$I$63,MATCH($A584,PRODUTOS!$B$4:$B$63,0))="B",$D584="AP07"),"NÃO (modelo B)","SIM")))</f>
        <v>SIM</v>
      </c>
      <c r="K584" s="13" t="s">
        <v>325</v>
      </c>
      <c r="L584" s="13"/>
    </row>
    <row r="585" customFormat="false" ht="15" hidden="false" customHeight="false" outlineLevel="0" collapsed="false">
      <c r="A585" s="15" t="s">
        <v>194</v>
      </c>
      <c r="B585" s="11" t="str">
        <f aca="false">INDEX(PRODUTOS!$E$4:$E$63,MATCH($A585,PRODUTOS!$B$4:$B$63,0))</f>
        <v>Sachê Natural Dots Livre de Trangênico Cães Cordeiro 85 g</v>
      </c>
      <c r="C585" s="11" t="str">
        <f aca="false">INDEX(PRODUTOS!$H$4:$H$63,MATCH($A585,PRODUTOS!$B$4:$B$63,0))</f>
        <v>85 g</v>
      </c>
      <c r="D585" s="11" t="s">
        <v>328</v>
      </c>
      <c r="E585" s="16" t="str">
        <f aca="false">$A585&amp;"."&amp;$D585&amp;".jpg"</f>
        <v>7908591300383.PT03.jpg</v>
      </c>
      <c r="F585" s="11" t="str">
        <f aca="false">IF(INDEX(PRODUTOS!$I$4:$I$63,MATCH($A585,PRODUTOS!$B$4:$B$63,0))="B",INDEX(MODELOS!$F$3:$F$19,MATCH($D585,MODELOS!$A$3:$A$19,0)),INDEX(MODELOS!$B$3:$B$19,MATCH($D585,MODELOS!$A$3:$A$19,0)))</f>
        <v>Galeria · posição 4</v>
      </c>
      <c r="G585" s="11" t="str">
        <f aca="false">IF(INDEX(PRODUTOS!$F$4:$F$63,MATCH($A585,PRODUTOS!$B$4:$B$63,0))="Ração",IF(INDEX(PRODUTOS!$I$4:$I$63,MATCH($A585,PRODUTOS!$B$4:$B$63,0))="B",INDEX(MODELOS!$G$3:$G$19,MATCH($D585,MODELOS!$A$3:$A$19,0)),INDEX(MODELOS!$C$3:$C$19,MATCH($D585,MODELOS!$A$3:$A$19,0))),IF(INDEX(PRODUTOS!$I$4:$I$63,MATCH($A585,PRODUTOS!$B$4:$B$63,0))="B",INDEX(MODELOS!$H$3:$H$19,MATCH($D585,MODELOS!$A$3:$A$19,0)),INDEX(MODELOS!$D$3:$D$19,MATCH($D585,MODELOS!$A$3:$A$19,0))))</f>
        <v>Formato e tamanho do grão, com medida em mm e referência de tamanho</v>
      </c>
      <c r="H585" s="11" t="str">
        <f aca="false">IF(INDEX(PRODUTOS!$I$4:$I$63,MATCH($A585,PRODUTOS!$B$4:$B$63,0))="B",INDEX(MODELOS!$I$3:$I$19,MATCH($D585,MODELOS!$A$3:$A$19,0)),INDEX(MODELOS!$E$3:$E$19,MATCH($D585,MODELOS!$A$3:$A$19,0)))</f>
        <v>2000 × 2000</v>
      </c>
      <c r="I585" s="11" t="str">
        <f aca="false">INDEX(MODELOS!$J$3:$J$19,MATCH($D585,MODELOS!$A$3:$A$19,0))</f>
        <v>SIM</v>
      </c>
      <c r="J585" s="11" t="str">
        <f aca="false">IF(LEFT($D585,2)&lt;&gt;"AP",IF($I585="SIM","SIM","RECOMENDADA"),IF(INDEX(PRODUTOS!$J$4:$J$63,MATCH($A585,PRODUTOS!$B$4:$B$63,0))&lt;&gt;"","NÃO (usa o A+ do EAN "&amp;INDEX(PRODUTOS!$J$4:$J$63,MATCH($A585,PRODUTOS!$B$4:$B$63,0))&amp;")",IF(AND(INDEX(PRODUTOS!$I$4:$I$63,MATCH($A585,PRODUTOS!$B$4:$B$63,0))="B",$D585="AP07"),"NÃO (modelo B)","SIM")))</f>
        <v>SIM</v>
      </c>
      <c r="K585" s="13" t="s">
        <v>325</v>
      </c>
      <c r="L585" s="13"/>
    </row>
    <row r="586" customFormat="false" ht="15" hidden="false" customHeight="false" outlineLevel="0" collapsed="false">
      <c r="A586" s="15" t="s">
        <v>194</v>
      </c>
      <c r="B586" s="11" t="str">
        <f aca="false">INDEX(PRODUTOS!$E$4:$E$63,MATCH($A586,PRODUTOS!$B$4:$B$63,0))</f>
        <v>Sachê Natural Dots Livre de Trangênico Cães Cordeiro 85 g</v>
      </c>
      <c r="C586" s="11" t="str">
        <f aca="false">INDEX(PRODUTOS!$H$4:$H$63,MATCH($A586,PRODUTOS!$B$4:$B$63,0))</f>
        <v>85 g</v>
      </c>
      <c r="D586" s="11" t="s">
        <v>329</v>
      </c>
      <c r="E586" s="16" t="str">
        <f aca="false">$A586&amp;"."&amp;$D586&amp;".jpg"</f>
        <v>7908591300383.PT04.jpg</v>
      </c>
      <c r="F586" s="11" t="str">
        <f aca="false">IF(INDEX(PRODUTOS!$I$4:$I$63,MATCH($A586,PRODUTOS!$B$4:$B$63,0))="B",INDEX(MODELOS!$F$3:$F$19,MATCH($D586,MODELOS!$A$3:$A$19,0)),INDEX(MODELOS!$B$3:$B$19,MATCH($D586,MODELOS!$A$3:$A$19,0)))</f>
        <v>Galeria · posição 5</v>
      </c>
      <c r="G586" s="11" t="str">
        <f aca="false">IF(INDEX(PRODUTOS!$F$4:$F$63,MATCH($A586,PRODUTOS!$B$4:$B$63,0))="Ração",IF(INDEX(PRODUTOS!$I$4:$I$63,MATCH($A586,PRODUTOS!$B$4:$B$63,0))="B",INDEX(MODELOS!$G$3:$G$19,MATCH($D586,MODELOS!$A$3:$A$19,0)),INDEX(MODELOS!$C$3:$C$19,MATCH($D586,MODELOS!$A$3:$A$19,0))),IF(INDEX(PRODUTOS!$I$4:$I$63,MATCH($A586,PRODUTOS!$B$4:$B$63,0))="B",INDEX(MODELOS!$H$3:$H$19,MATCH($D586,MODELOS!$A$3:$A$19,0)),INDEX(MODELOS!$D$3:$D$19,MATCH($D586,MODELOS!$A$3:$A$19,0))))</f>
        <v>Quantidade diária por peso do cão/gato (números idênticos à embalagem)</v>
      </c>
      <c r="H586" s="11" t="str">
        <f aca="false">IF(INDEX(PRODUTOS!$I$4:$I$63,MATCH($A586,PRODUTOS!$B$4:$B$63,0))="B",INDEX(MODELOS!$I$3:$I$19,MATCH($D586,MODELOS!$A$3:$A$19,0)),INDEX(MODELOS!$E$3:$E$19,MATCH($D586,MODELOS!$A$3:$A$19,0)))</f>
        <v>2000 × 2000</v>
      </c>
      <c r="I586" s="11" t="str">
        <f aca="false">INDEX(MODELOS!$J$3:$J$19,MATCH($D586,MODELOS!$A$3:$A$19,0))</f>
        <v>SIM</v>
      </c>
      <c r="J586" s="11" t="str">
        <f aca="false">IF(LEFT($D586,2)&lt;&gt;"AP",IF($I586="SIM","SIM","RECOMENDADA"),IF(INDEX(PRODUTOS!$J$4:$J$63,MATCH($A586,PRODUTOS!$B$4:$B$63,0))&lt;&gt;"","NÃO (usa o A+ do EAN "&amp;INDEX(PRODUTOS!$J$4:$J$63,MATCH($A586,PRODUTOS!$B$4:$B$63,0))&amp;")",IF(AND(INDEX(PRODUTOS!$I$4:$I$63,MATCH($A586,PRODUTOS!$B$4:$B$63,0))="B",$D586="AP07"),"NÃO (modelo B)","SIM")))</f>
        <v>SIM</v>
      </c>
      <c r="K586" s="13" t="s">
        <v>325</v>
      </c>
      <c r="L586" s="13"/>
    </row>
    <row r="587" customFormat="false" ht="15" hidden="false" customHeight="false" outlineLevel="0" collapsed="false">
      <c r="A587" s="15" t="s">
        <v>194</v>
      </c>
      <c r="B587" s="11" t="str">
        <f aca="false">INDEX(PRODUTOS!$E$4:$E$63,MATCH($A587,PRODUTOS!$B$4:$B$63,0))</f>
        <v>Sachê Natural Dots Livre de Trangênico Cães Cordeiro 85 g</v>
      </c>
      <c r="C587" s="11" t="str">
        <f aca="false">INDEX(PRODUTOS!$H$4:$H$63,MATCH($A587,PRODUTOS!$B$4:$B$63,0))</f>
        <v>85 g</v>
      </c>
      <c r="D587" s="11" t="s">
        <v>330</v>
      </c>
      <c r="E587" s="16" t="str">
        <f aca="false">$A587&amp;"."&amp;$D587&amp;".jpg"</f>
        <v>7908591300383.PT05.jpg</v>
      </c>
      <c r="F587" s="11" t="str">
        <f aca="false">IF(INDEX(PRODUTOS!$I$4:$I$63,MATCH($A587,PRODUTOS!$B$4:$B$63,0))="B",INDEX(MODELOS!$F$3:$F$19,MATCH($D587,MODELOS!$A$3:$A$19,0)),INDEX(MODELOS!$B$3:$B$19,MATCH($D587,MODELOS!$A$3:$A$19,0)))</f>
        <v>Galeria · posição 6</v>
      </c>
      <c r="G587" s="11" t="str">
        <f aca="false">IF(INDEX(PRODUTOS!$F$4:$F$63,MATCH($A587,PRODUTOS!$B$4:$B$63,0))="Ração",IF(INDEX(PRODUTOS!$I$4:$I$63,MATCH($A587,PRODUTOS!$B$4:$B$63,0))="B",INDEX(MODELOS!$G$3:$G$19,MATCH($D587,MODELOS!$A$3:$A$19,0)),INDEX(MODELOS!$C$3:$C$19,MATCH($D587,MODELOS!$A$3:$A$19,0))),IF(INDEX(PRODUTOS!$I$4:$I$63,MATCH($A587,PRODUTOS!$B$4:$B$63,0))="B",INDEX(MODELOS!$H$3:$H$19,MATCH($D587,MODELOS!$A$3:$A$19,0)),INDEX(MODELOS!$D$3:$D$19,MATCH($D587,MODELOS!$A$3:$A$19,0))))</f>
        <v>Transição alimentar dia a dia (igual ao verso da embalagem)</v>
      </c>
      <c r="H587" s="11" t="str">
        <f aca="false">IF(INDEX(PRODUTOS!$I$4:$I$63,MATCH($A587,PRODUTOS!$B$4:$B$63,0))="B",INDEX(MODELOS!$I$3:$I$19,MATCH($D587,MODELOS!$A$3:$A$19,0)),INDEX(MODELOS!$E$3:$E$19,MATCH($D587,MODELOS!$A$3:$A$19,0)))</f>
        <v>2000 × 2000</v>
      </c>
      <c r="I587" s="11" t="str">
        <f aca="false">INDEX(MODELOS!$J$3:$J$19,MATCH($D587,MODELOS!$A$3:$A$19,0))</f>
        <v>Recomendada</v>
      </c>
      <c r="J587" s="11" t="str">
        <f aca="false">IF(LEFT($D587,2)&lt;&gt;"AP",IF($I587="SIM","SIM","RECOMENDADA"),IF(INDEX(PRODUTOS!$J$4:$J$63,MATCH($A587,PRODUTOS!$B$4:$B$63,0))&lt;&gt;"","NÃO (usa o A+ do EAN "&amp;INDEX(PRODUTOS!$J$4:$J$63,MATCH($A587,PRODUTOS!$B$4:$B$63,0))&amp;")",IF(AND(INDEX(PRODUTOS!$I$4:$I$63,MATCH($A587,PRODUTOS!$B$4:$B$63,0))="B",$D587="AP07"),"NÃO (modelo B)","SIM")))</f>
        <v>RECOMENDADA</v>
      </c>
      <c r="K587" s="13" t="s">
        <v>325</v>
      </c>
      <c r="L587" s="13"/>
    </row>
    <row r="588" customFormat="false" ht="15" hidden="false" customHeight="false" outlineLevel="0" collapsed="false">
      <c r="A588" s="15" t="s">
        <v>194</v>
      </c>
      <c r="B588" s="11" t="str">
        <f aca="false">INDEX(PRODUTOS!$E$4:$E$63,MATCH($A588,PRODUTOS!$B$4:$B$63,0))</f>
        <v>Sachê Natural Dots Livre de Trangênico Cães Cordeiro 85 g</v>
      </c>
      <c r="C588" s="11" t="str">
        <f aca="false">INDEX(PRODUTOS!$H$4:$H$63,MATCH($A588,PRODUTOS!$B$4:$B$63,0))</f>
        <v>85 g</v>
      </c>
      <c r="D588" s="11" t="s">
        <v>331</v>
      </c>
      <c r="E588" s="16" t="str">
        <f aca="false">$A588&amp;"."&amp;$D588&amp;".jpg"</f>
        <v>7908591300383.PT06.jpg</v>
      </c>
      <c r="F588" s="11" t="str">
        <f aca="false">IF(INDEX(PRODUTOS!$I$4:$I$63,MATCH($A588,PRODUTOS!$B$4:$B$63,0))="B",INDEX(MODELOS!$F$3:$F$19,MATCH($D588,MODELOS!$A$3:$A$19,0)),INDEX(MODELOS!$B$3:$B$19,MATCH($D588,MODELOS!$A$3:$A$19,0)))</f>
        <v>Galeria · posição 7</v>
      </c>
      <c r="G588" s="11" t="str">
        <f aca="false">IF(INDEX(PRODUTOS!$F$4:$F$63,MATCH($A588,PRODUTOS!$B$4:$B$63,0))="Ração",IF(INDEX(PRODUTOS!$I$4:$I$63,MATCH($A588,PRODUTOS!$B$4:$B$63,0))="B",INDEX(MODELOS!$G$3:$G$19,MATCH($D588,MODELOS!$A$3:$A$19,0)),INDEX(MODELOS!$C$3:$C$19,MATCH($D588,MODELOS!$A$3:$A$19,0))),IF(INDEX(PRODUTOS!$I$4:$I$63,MATCH($A588,PRODUTOS!$B$4:$B$63,0))="B",INDEX(MODELOS!$H$3:$H$19,MATCH($D588,MODELOS!$A$3:$A$19,0)),INDEX(MODELOS!$D$3:$D$19,MATCH($D588,MODELOS!$A$3:$A$19,0))))</f>
        <v>Composição e níveis de garantia em letra grande</v>
      </c>
      <c r="H588" s="11" t="str">
        <f aca="false">IF(INDEX(PRODUTOS!$I$4:$I$63,MATCH($A588,PRODUTOS!$B$4:$B$63,0))="B",INDEX(MODELOS!$I$3:$I$19,MATCH($D588,MODELOS!$A$3:$A$19,0)),INDEX(MODELOS!$E$3:$E$19,MATCH($D588,MODELOS!$A$3:$A$19,0)))</f>
        <v>2000 × 2000</v>
      </c>
      <c r="I588" s="11" t="str">
        <f aca="false">INDEX(MODELOS!$J$3:$J$19,MATCH($D588,MODELOS!$A$3:$A$19,0))</f>
        <v>SIM</v>
      </c>
      <c r="J588" s="11" t="str">
        <f aca="false">IF(LEFT($D588,2)&lt;&gt;"AP",IF($I588="SIM","SIM","RECOMENDADA"),IF(INDEX(PRODUTOS!$J$4:$J$63,MATCH($A588,PRODUTOS!$B$4:$B$63,0))&lt;&gt;"","NÃO (usa o A+ do EAN "&amp;INDEX(PRODUTOS!$J$4:$J$63,MATCH($A588,PRODUTOS!$B$4:$B$63,0))&amp;")",IF(AND(INDEX(PRODUTOS!$I$4:$I$63,MATCH($A588,PRODUTOS!$B$4:$B$63,0))="B",$D588="AP07"),"NÃO (modelo B)","SIM")))</f>
        <v>SIM</v>
      </c>
      <c r="K588" s="13" t="s">
        <v>325</v>
      </c>
      <c r="L588" s="13"/>
    </row>
    <row r="589" customFormat="false" ht="15" hidden="false" customHeight="false" outlineLevel="0" collapsed="false">
      <c r="A589" s="15" t="s">
        <v>194</v>
      </c>
      <c r="B589" s="11" t="str">
        <f aca="false">INDEX(PRODUTOS!$E$4:$E$63,MATCH($A589,PRODUTOS!$B$4:$B$63,0))</f>
        <v>Sachê Natural Dots Livre de Trangênico Cães Cordeiro 85 g</v>
      </c>
      <c r="C589" s="11" t="str">
        <f aca="false">INDEX(PRODUTOS!$H$4:$H$63,MATCH($A589,PRODUTOS!$B$4:$B$63,0))</f>
        <v>85 g</v>
      </c>
      <c r="D589" s="11" t="s">
        <v>332</v>
      </c>
      <c r="E589" s="16" t="str">
        <f aca="false">$A589&amp;"."&amp;$D589&amp;".jpg"</f>
        <v>7908591300383.PT07.jpg</v>
      </c>
      <c r="F589" s="11" t="str">
        <f aca="false">IF(INDEX(PRODUTOS!$I$4:$I$63,MATCH($A589,PRODUTOS!$B$4:$B$63,0))="B",INDEX(MODELOS!$F$3:$F$19,MATCH($D589,MODELOS!$A$3:$A$19,0)),INDEX(MODELOS!$B$3:$B$19,MATCH($D589,MODELOS!$A$3:$A$19,0)))</f>
        <v>Galeria · posição 8</v>
      </c>
      <c r="G589" s="11" t="str">
        <f aca="false">IF(INDEX(PRODUTOS!$F$4:$F$63,MATCH($A589,PRODUTOS!$B$4:$B$63,0))="Ração",IF(INDEX(PRODUTOS!$I$4:$I$63,MATCH($A589,PRODUTOS!$B$4:$B$63,0))="B",INDEX(MODELOS!$G$3:$G$19,MATCH($D589,MODELOS!$A$3:$A$19,0)),INDEX(MODELOS!$C$3:$C$19,MATCH($D589,MODELOS!$A$3:$A$19,0))),IF(INDEX(PRODUTOS!$I$4:$I$63,MATCH($A589,PRODUTOS!$B$4:$B$63,0))="B",INDEX(MODELOS!$H$3:$H$19,MATCH($D589,MODELOS!$A$3:$A$19,0)),INDEX(MODELOS!$D$3:$D$19,MATCH($D589,MODELOS!$A$3:$A$19,0))))</f>
        <v>Emocional / momento de uso (pet do porte certo, pote cheio)</v>
      </c>
      <c r="H589" s="11" t="str">
        <f aca="false">IF(INDEX(PRODUTOS!$I$4:$I$63,MATCH($A589,PRODUTOS!$B$4:$B$63,0))="B",INDEX(MODELOS!$I$3:$I$19,MATCH($D589,MODELOS!$A$3:$A$19,0)),INDEX(MODELOS!$E$3:$E$19,MATCH($D589,MODELOS!$A$3:$A$19,0)))</f>
        <v>2000 × 2000</v>
      </c>
      <c r="I589" s="11" t="str">
        <f aca="false">INDEX(MODELOS!$J$3:$J$19,MATCH($D589,MODELOS!$A$3:$A$19,0))</f>
        <v>Recomendada</v>
      </c>
      <c r="J589" s="11" t="str">
        <f aca="false">IF(LEFT($D589,2)&lt;&gt;"AP",IF($I589="SIM","SIM","RECOMENDADA"),IF(INDEX(PRODUTOS!$J$4:$J$63,MATCH($A589,PRODUTOS!$B$4:$B$63,0))&lt;&gt;"","NÃO (usa o A+ do EAN "&amp;INDEX(PRODUTOS!$J$4:$J$63,MATCH($A589,PRODUTOS!$B$4:$B$63,0))&amp;")",IF(AND(INDEX(PRODUTOS!$I$4:$I$63,MATCH($A589,PRODUTOS!$B$4:$B$63,0))="B",$D589="AP07"),"NÃO (modelo B)","SIM")))</f>
        <v>RECOMENDADA</v>
      </c>
      <c r="K589" s="13" t="s">
        <v>325</v>
      </c>
      <c r="L589" s="13"/>
    </row>
    <row r="590" customFormat="false" ht="15" hidden="false" customHeight="false" outlineLevel="0" collapsed="false">
      <c r="A590" s="15" t="s">
        <v>194</v>
      </c>
      <c r="B590" s="11" t="str">
        <f aca="false">INDEX(PRODUTOS!$E$4:$E$63,MATCH($A590,PRODUTOS!$B$4:$B$63,0))</f>
        <v>Sachê Natural Dots Livre de Trangênico Cães Cordeiro 85 g</v>
      </c>
      <c r="C590" s="11" t="str">
        <f aca="false">INDEX(PRODUTOS!$H$4:$H$63,MATCH($A590,PRODUTOS!$B$4:$B$63,0))</f>
        <v>85 g</v>
      </c>
      <c r="D590" s="11" t="s">
        <v>333</v>
      </c>
      <c r="E590" s="16" t="str">
        <f aca="false">$A590&amp;"."&amp;$D590&amp;".jpg"</f>
        <v>7908591300383.PT08.jpg</v>
      </c>
      <c r="F590" s="11" t="str">
        <f aca="false">IF(INDEX(PRODUTOS!$I$4:$I$63,MATCH($A590,PRODUTOS!$B$4:$B$63,0))="B",INDEX(MODELOS!$F$3:$F$19,MATCH($D590,MODELOS!$A$3:$A$19,0)),INDEX(MODELOS!$B$3:$B$19,MATCH($D590,MODELOS!$A$3:$A$19,0)))</f>
        <v>Galeria · posição 9</v>
      </c>
      <c r="G590" s="11" t="str">
        <f aca="false">IF(INDEX(PRODUTOS!$F$4:$F$63,MATCH($A590,PRODUTOS!$B$4:$B$63,0))="Ração",IF(INDEX(PRODUTOS!$I$4:$I$63,MATCH($A590,PRODUTOS!$B$4:$B$63,0))="B",INDEX(MODELOS!$G$3:$G$19,MATCH($D590,MODELOS!$A$3:$A$19,0)),INDEX(MODELOS!$C$3:$C$19,MATCH($D590,MODELOS!$A$3:$A$19,0))),IF(INDEX(PRODUTOS!$I$4:$I$63,MATCH($A590,PRODUTOS!$B$4:$B$63,0))="B",INDEX(MODELOS!$H$3:$H$19,MATCH($D590,MODELOS!$A$3:$A$19,0)),INDEX(MODELOS!$D$3:$D$19,MATCH($D590,MODELOS!$A$3:$A$19,0))))</f>
        <v>Linha da marca ou embalagem anterior × nova</v>
      </c>
      <c r="H590" s="11" t="str">
        <f aca="false">IF(INDEX(PRODUTOS!$I$4:$I$63,MATCH($A590,PRODUTOS!$B$4:$B$63,0))="B",INDEX(MODELOS!$I$3:$I$19,MATCH($D590,MODELOS!$A$3:$A$19,0)),INDEX(MODELOS!$E$3:$E$19,MATCH($D590,MODELOS!$A$3:$A$19,0)))</f>
        <v>2000 × 2000</v>
      </c>
      <c r="I590" s="11" t="str">
        <f aca="false">INDEX(MODELOS!$J$3:$J$19,MATCH($D590,MODELOS!$A$3:$A$19,0))</f>
        <v>Recomendada</v>
      </c>
      <c r="J590" s="11" t="str">
        <f aca="false">IF(LEFT($D590,2)&lt;&gt;"AP",IF($I590="SIM","SIM","RECOMENDADA"),IF(INDEX(PRODUTOS!$J$4:$J$63,MATCH($A590,PRODUTOS!$B$4:$B$63,0))&lt;&gt;"","NÃO (usa o A+ do EAN "&amp;INDEX(PRODUTOS!$J$4:$J$63,MATCH($A590,PRODUTOS!$B$4:$B$63,0))&amp;")",IF(AND(INDEX(PRODUTOS!$I$4:$I$63,MATCH($A590,PRODUTOS!$B$4:$B$63,0))="B",$D590="AP07"),"NÃO (modelo B)","SIM")))</f>
        <v>RECOMENDADA</v>
      </c>
      <c r="K590" s="13" t="s">
        <v>325</v>
      </c>
      <c r="L590" s="13"/>
    </row>
    <row r="591" customFormat="false" ht="15" hidden="false" customHeight="false" outlineLevel="0" collapsed="false">
      <c r="A591" s="15" t="s">
        <v>194</v>
      </c>
      <c r="B591" s="11" t="str">
        <f aca="false">INDEX(PRODUTOS!$E$4:$E$63,MATCH($A591,PRODUTOS!$B$4:$B$63,0))</f>
        <v>Sachê Natural Dots Livre de Trangênico Cães Cordeiro 85 g</v>
      </c>
      <c r="C591" s="11" t="str">
        <f aca="false">INDEX(PRODUTOS!$H$4:$H$63,MATCH($A591,PRODUTOS!$B$4:$B$63,0))</f>
        <v>85 g</v>
      </c>
      <c r="D591" s="11" t="s">
        <v>334</v>
      </c>
      <c r="E591" s="16" t="str">
        <f aca="false">$A591&amp;"."&amp;$D591&amp;".jpg"</f>
        <v>7908591300383.AP01.jpg</v>
      </c>
      <c r="F591" s="11" t="str">
        <f aca="false">IF(INDEX(PRODUTOS!$I$4:$I$63,MATCH($A591,PRODUTOS!$B$4:$B$63,0))="B",INDEX(MODELOS!$F$3:$F$19,MATCH($D591,MODELOS!$A$3:$A$19,0)),INDEX(MODELOS!$B$3:$B$19,MATCH($D591,MODELOS!$A$3:$A$19,0)))</f>
        <v>A+ · Módulo 1 · Banner</v>
      </c>
      <c r="G591" s="11" t="str">
        <f aca="false">IF(INDEX(PRODUTOS!$F$4:$F$63,MATCH($A591,PRODUTOS!$B$4:$B$63,0))="Ração",IF(INDEX(PRODUTOS!$I$4:$I$63,MATCH($A591,PRODUTOS!$B$4:$B$63,0))="B",INDEX(MODELOS!$G$3:$G$19,MATCH($D591,MODELOS!$A$3:$A$19,0)),INDEX(MODELOS!$C$3:$C$19,MATCH($D591,MODELOS!$A$3:$A$19,0))),IF(INDEX(PRODUTOS!$I$4:$I$63,MATCH($A591,PRODUTOS!$B$4:$B$63,0))="B",INDEX(MODELOS!$H$3:$H$19,MATCH($D591,MODELOS!$A$3:$A$19,0)),INDEX(MODELOS!$D$3:$D$19,MATCH($D591,MODELOS!$A$3:$A$19,0))))</f>
        <v>Embalagem + pet + ingredientes, com o nome da linha</v>
      </c>
      <c r="H591" s="11" t="str">
        <f aca="false">IF(INDEX(PRODUTOS!$I$4:$I$63,MATCH($A591,PRODUTOS!$B$4:$B$63,0))="B",INDEX(MODELOS!$I$3:$I$19,MATCH($D591,MODELOS!$A$3:$A$19,0)),INDEX(MODELOS!$E$3:$E$19,MATCH($D591,MODELOS!$A$3:$A$19,0)))</f>
        <v>970 × 600</v>
      </c>
      <c r="I591" s="11" t="str">
        <f aca="false">INDEX(MODELOS!$J$3:$J$19,MATCH($D591,MODELOS!$A$3:$A$19,0))</f>
        <v>Conforme modelo</v>
      </c>
      <c r="J591" s="11" t="str">
        <f aca="false">IF(LEFT($D591,2)&lt;&gt;"AP",IF($I591="SIM","SIM","RECOMENDADA"),IF(INDEX(PRODUTOS!$J$4:$J$63,MATCH($A591,PRODUTOS!$B$4:$B$63,0))&lt;&gt;"","NÃO (usa o A+ do EAN "&amp;INDEX(PRODUTOS!$J$4:$J$63,MATCH($A591,PRODUTOS!$B$4:$B$63,0))&amp;")",IF(AND(INDEX(PRODUTOS!$I$4:$I$63,MATCH($A591,PRODUTOS!$B$4:$B$63,0))="B",$D591="AP07"),"NÃO (modelo B)","SIM")))</f>
        <v>SIM</v>
      </c>
      <c r="K591" s="13" t="s">
        <v>325</v>
      </c>
      <c r="L591" s="13"/>
    </row>
    <row r="592" customFormat="false" ht="15" hidden="false" customHeight="false" outlineLevel="0" collapsed="false">
      <c r="A592" s="15" t="s">
        <v>194</v>
      </c>
      <c r="B592" s="11" t="str">
        <f aca="false">INDEX(PRODUTOS!$E$4:$E$63,MATCH($A592,PRODUTOS!$B$4:$B$63,0))</f>
        <v>Sachê Natural Dots Livre de Trangênico Cães Cordeiro 85 g</v>
      </c>
      <c r="C592" s="11" t="str">
        <f aca="false">INDEX(PRODUTOS!$H$4:$H$63,MATCH($A592,PRODUTOS!$B$4:$B$63,0))</f>
        <v>85 g</v>
      </c>
      <c r="D592" s="11" t="s">
        <v>335</v>
      </c>
      <c r="E592" s="16" t="str">
        <f aca="false">$A592&amp;"."&amp;$D592&amp;".jpg"</f>
        <v>7908591300383.AP02.jpg</v>
      </c>
      <c r="F592" s="11" t="str">
        <f aca="false">IF(INDEX(PRODUTOS!$I$4:$I$63,MATCH($A592,PRODUTOS!$B$4:$B$63,0))="B",INDEX(MODELOS!$F$3:$F$19,MATCH($D592,MODELOS!$A$3:$A$19,0)),INDEX(MODELOS!$B$3:$B$19,MATCH($D592,MODELOS!$A$3:$A$19,0)))</f>
        <v>A+ · Módulo 2 · Texto sobreposto</v>
      </c>
      <c r="G592" s="11" t="str">
        <f aca="false">IF(INDEX(PRODUTOS!$F$4:$F$63,MATCH($A592,PRODUTOS!$B$4:$B$63,0))="Ração",IF(INDEX(PRODUTOS!$I$4:$I$63,MATCH($A592,PRODUTOS!$B$4:$B$63,0))="B",INDEX(MODELOS!$G$3:$G$19,MATCH($D592,MODELOS!$A$3:$A$19,0)),INDEX(MODELOS!$C$3:$C$19,MATCH($D592,MODELOS!$A$3:$A$19,0))),IF(INDEX(PRODUTOS!$I$4:$I$63,MATCH($A592,PRODUTOS!$B$4:$B$63,0))="B",INDEX(MODELOS!$H$3:$H$19,MATCH($D592,MODELOS!$A$3:$A$19,0)),INDEX(MODELOS!$D$3:$D$19,MATCH($D592,MODELOS!$A$3:$A$19,0))))</f>
        <v>Principal diferencial; deixar o lado direito limpo</v>
      </c>
      <c r="H592" s="11" t="str">
        <f aca="false">IF(INDEX(PRODUTOS!$I$4:$I$63,MATCH($A592,PRODUTOS!$B$4:$B$63,0))="B",INDEX(MODELOS!$I$3:$I$19,MATCH($D592,MODELOS!$A$3:$A$19,0)),INDEX(MODELOS!$E$3:$E$19,MATCH($D592,MODELOS!$A$3:$A$19,0)))</f>
        <v>970 × 300</v>
      </c>
      <c r="I592" s="11" t="str">
        <f aca="false">INDEX(MODELOS!$J$3:$J$19,MATCH($D592,MODELOS!$A$3:$A$19,0))</f>
        <v>Conforme modelo</v>
      </c>
      <c r="J592" s="11" t="str">
        <f aca="false">IF(LEFT($D592,2)&lt;&gt;"AP",IF($I592="SIM","SIM","RECOMENDADA"),IF(INDEX(PRODUTOS!$J$4:$J$63,MATCH($A592,PRODUTOS!$B$4:$B$63,0))&lt;&gt;"","NÃO (usa o A+ do EAN "&amp;INDEX(PRODUTOS!$J$4:$J$63,MATCH($A592,PRODUTOS!$B$4:$B$63,0))&amp;")",IF(AND(INDEX(PRODUTOS!$I$4:$I$63,MATCH($A592,PRODUTOS!$B$4:$B$63,0))="B",$D592="AP07"),"NÃO (modelo B)","SIM")))</f>
        <v>SIM</v>
      </c>
      <c r="K592" s="13" t="s">
        <v>325</v>
      </c>
      <c r="L592" s="13"/>
    </row>
    <row r="593" customFormat="false" ht="15" hidden="false" customHeight="false" outlineLevel="0" collapsed="false">
      <c r="A593" s="15" t="s">
        <v>194</v>
      </c>
      <c r="B593" s="11" t="str">
        <f aca="false">INDEX(PRODUTOS!$E$4:$E$63,MATCH($A593,PRODUTOS!$B$4:$B$63,0))</f>
        <v>Sachê Natural Dots Livre de Trangênico Cães Cordeiro 85 g</v>
      </c>
      <c r="C593" s="11" t="str">
        <f aca="false">INDEX(PRODUTOS!$H$4:$H$63,MATCH($A593,PRODUTOS!$B$4:$B$63,0))</f>
        <v>85 g</v>
      </c>
      <c r="D593" s="11" t="s">
        <v>336</v>
      </c>
      <c r="E593" s="16" t="str">
        <f aca="false">$A593&amp;"."&amp;$D593&amp;".jpg"</f>
        <v>7908591300383.AP03.jpg</v>
      </c>
      <c r="F593" s="11" t="str">
        <f aca="false">IF(INDEX(PRODUTOS!$I$4:$I$63,MATCH($A593,PRODUTOS!$B$4:$B$63,0))="B",INDEX(MODELOS!$F$3:$F$19,MATCH($D593,MODELOS!$A$3:$A$19,0)),INDEX(MODELOS!$B$3:$B$19,MATCH($D593,MODELOS!$A$3:$A$19,0)))</f>
        <v>A+ · Módulo 3 · Benefício 1 de 4</v>
      </c>
      <c r="G593" s="11" t="str">
        <f aca="false">IF(INDEX(PRODUTOS!$F$4:$F$63,MATCH($A593,PRODUTOS!$B$4:$B$63,0))="Ração",IF(INDEX(PRODUTOS!$I$4:$I$63,MATCH($A593,PRODUTOS!$B$4:$B$63,0))="B",INDEX(MODELOS!$G$3:$G$19,MATCH($D593,MODELOS!$A$3:$A$19,0)),INDEX(MODELOS!$C$3:$C$19,MATCH($D593,MODELOS!$A$3:$A$19,0))),IF(INDEX(PRODUTOS!$I$4:$I$63,MATCH($A593,PRODUTOS!$B$4:$B$63,0))="B",INDEX(MODELOS!$H$3:$H$19,MATCH($D593,MODELOS!$A$3:$A$19,0)),INDEX(MODELOS!$D$3:$D$19,MATCH($D593,MODELOS!$A$3:$A$19,0))))</f>
        <v>Foto/ilustração do benefício 1</v>
      </c>
      <c r="H593" s="11" t="str">
        <f aca="false">IF(INDEX(PRODUTOS!$I$4:$I$63,MATCH($A593,PRODUTOS!$B$4:$B$63,0))="B",INDEX(MODELOS!$I$3:$I$19,MATCH($D593,MODELOS!$A$3:$A$19,0)),INDEX(MODELOS!$E$3:$E$19,MATCH($D593,MODELOS!$A$3:$A$19,0)))</f>
        <v>220 × 200</v>
      </c>
      <c r="I593" s="11" t="str">
        <f aca="false">INDEX(MODELOS!$J$3:$J$19,MATCH($D593,MODELOS!$A$3:$A$19,0))</f>
        <v>Conforme modelo</v>
      </c>
      <c r="J593" s="11" t="str">
        <f aca="false">IF(LEFT($D593,2)&lt;&gt;"AP",IF($I593="SIM","SIM","RECOMENDADA"),IF(INDEX(PRODUTOS!$J$4:$J$63,MATCH($A593,PRODUTOS!$B$4:$B$63,0))&lt;&gt;"","NÃO (usa o A+ do EAN "&amp;INDEX(PRODUTOS!$J$4:$J$63,MATCH($A593,PRODUTOS!$B$4:$B$63,0))&amp;")",IF(AND(INDEX(PRODUTOS!$I$4:$I$63,MATCH($A593,PRODUTOS!$B$4:$B$63,0))="B",$D593="AP07"),"NÃO (modelo B)","SIM")))</f>
        <v>SIM</v>
      </c>
      <c r="K593" s="13" t="s">
        <v>325</v>
      </c>
      <c r="L593" s="13"/>
    </row>
    <row r="594" customFormat="false" ht="15" hidden="false" customHeight="false" outlineLevel="0" collapsed="false">
      <c r="A594" s="15" t="s">
        <v>194</v>
      </c>
      <c r="B594" s="11" t="str">
        <f aca="false">INDEX(PRODUTOS!$E$4:$E$63,MATCH($A594,PRODUTOS!$B$4:$B$63,0))</f>
        <v>Sachê Natural Dots Livre de Trangênico Cães Cordeiro 85 g</v>
      </c>
      <c r="C594" s="11" t="str">
        <f aca="false">INDEX(PRODUTOS!$H$4:$H$63,MATCH($A594,PRODUTOS!$B$4:$B$63,0))</f>
        <v>85 g</v>
      </c>
      <c r="D594" s="11" t="s">
        <v>337</v>
      </c>
      <c r="E594" s="16" t="str">
        <f aca="false">$A594&amp;"."&amp;$D594&amp;".jpg"</f>
        <v>7908591300383.AP04.jpg</v>
      </c>
      <c r="F594" s="11" t="str">
        <f aca="false">IF(INDEX(PRODUTOS!$I$4:$I$63,MATCH($A594,PRODUTOS!$B$4:$B$63,0))="B",INDEX(MODELOS!$F$3:$F$19,MATCH($D594,MODELOS!$A$3:$A$19,0)),INDEX(MODELOS!$B$3:$B$19,MATCH($D594,MODELOS!$A$3:$A$19,0)))</f>
        <v>A+ · Módulo 3 · Benefício 2 de 4</v>
      </c>
      <c r="G594" s="11" t="str">
        <f aca="false">IF(INDEX(PRODUTOS!$F$4:$F$63,MATCH($A594,PRODUTOS!$B$4:$B$63,0))="Ração",IF(INDEX(PRODUTOS!$I$4:$I$63,MATCH($A594,PRODUTOS!$B$4:$B$63,0))="B",INDEX(MODELOS!$G$3:$G$19,MATCH($D594,MODELOS!$A$3:$A$19,0)),INDEX(MODELOS!$C$3:$C$19,MATCH($D594,MODELOS!$A$3:$A$19,0))),IF(INDEX(PRODUTOS!$I$4:$I$63,MATCH($A594,PRODUTOS!$B$4:$B$63,0))="B",INDEX(MODELOS!$H$3:$H$19,MATCH($D594,MODELOS!$A$3:$A$19,0)),INDEX(MODELOS!$D$3:$D$19,MATCH($D594,MODELOS!$A$3:$A$19,0))))</f>
        <v>Foto/ilustração do benefício 2</v>
      </c>
      <c r="H594" s="11" t="str">
        <f aca="false">IF(INDEX(PRODUTOS!$I$4:$I$63,MATCH($A594,PRODUTOS!$B$4:$B$63,0))="B",INDEX(MODELOS!$I$3:$I$19,MATCH($D594,MODELOS!$A$3:$A$19,0)),INDEX(MODELOS!$E$3:$E$19,MATCH($D594,MODELOS!$A$3:$A$19,0)))</f>
        <v>220 × 200</v>
      </c>
      <c r="I594" s="11" t="str">
        <f aca="false">INDEX(MODELOS!$J$3:$J$19,MATCH($D594,MODELOS!$A$3:$A$19,0))</f>
        <v>Conforme modelo</v>
      </c>
      <c r="J594" s="11" t="str">
        <f aca="false">IF(LEFT($D594,2)&lt;&gt;"AP",IF($I594="SIM","SIM","RECOMENDADA"),IF(INDEX(PRODUTOS!$J$4:$J$63,MATCH($A594,PRODUTOS!$B$4:$B$63,0))&lt;&gt;"","NÃO (usa o A+ do EAN "&amp;INDEX(PRODUTOS!$J$4:$J$63,MATCH($A594,PRODUTOS!$B$4:$B$63,0))&amp;")",IF(AND(INDEX(PRODUTOS!$I$4:$I$63,MATCH($A594,PRODUTOS!$B$4:$B$63,0))="B",$D594="AP07"),"NÃO (modelo B)","SIM")))</f>
        <v>SIM</v>
      </c>
      <c r="K594" s="13" t="s">
        <v>325</v>
      </c>
      <c r="L594" s="13"/>
    </row>
    <row r="595" customFormat="false" ht="15" hidden="false" customHeight="false" outlineLevel="0" collapsed="false">
      <c r="A595" s="15" t="s">
        <v>194</v>
      </c>
      <c r="B595" s="11" t="str">
        <f aca="false">INDEX(PRODUTOS!$E$4:$E$63,MATCH($A595,PRODUTOS!$B$4:$B$63,0))</f>
        <v>Sachê Natural Dots Livre de Trangênico Cães Cordeiro 85 g</v>
      </c>
      <c r="C595" s="11" t="str">
        <f aca="false">INDEX(PRODUTOS!$H$4:$H$63,MATCH($A595,PRODUTOS!$B$4:$B$63,0))</f>
        <v>85 g</v>
      </c>
      <c r="D595" s="11" t="s">
        <v>338</v>
      </c>
      <c r="E595" s="16" t="str">
        <f aca="false">$A595&amp;"."&amp;$D595&amp;".jpg"</f>
        <v>7908591300383.AP05.jpg</v>
      </c>
      <c r="F595" s="11" t="str">
        <f aca="false">IF(INDEX(PRODUTOS!$I$4:$I$63,MATCH($A595,PRODUTOS!$B$4:$B$63,0))="B",INDEX(MODELOS!$F$3:$F$19,MATCH($D595,MODELOS!$A$3:$A$19,0)),INDEX(MODELOS!$B$3:$B$19,MATCH($D595,MODELOS!$A$3:$A$19,0)))</f>
        <v>A+ · Módulo 3 · Benefício 3 de 4</v>
      </c>
      <c r="G595" s="11" t="str">
        <f aca="false">IF(INDEX(PRODUTOS!$F$4:$F$63,MATCH($A595,PRODUTOS!$B$4:$B$63,0))="Ração",IF(INDEX(PRODUTOS!$I$4:$I$63,MATCH($A595,PRODUTOS!$B$4:$B$63,0))="B",INDEX(MODELOS!$G$3:$G$19,MATCH($D595,MODELOS!$A$3:$A$19,0)),INDEX(MODELOS!$C$3:$C$19,MATCH($D595,MODELOS!$A$3:$A$19,0))),IF(INDEX(PRODUTOS!$I$4:$I$63,MATCH($A595,PRODUTOS!$B$4:$B$63,0))="B",INDEX(MODELOS!$H$3:$H$19,MATCH($D595,MODELOS!$A$3:$A$19,0)),INDEX(MODELOS!$D$3:$D$19,MATCH($D595,MODELOS!$A$3:$A$19,0))))</f>
        <v>Foto/ilustração do benefício 3</v>
      </c>
      <c r="H595" s="11" t="str">
        <f aca="false">IF(INDEX(PRODUTOS!$I$4:$I$63,MATCH($A595,PRODUTOS!$B$4:$B$63,0))="B",INDEX(MODELOS!$I$3:$I$19,MATCH($D595,MODELOS!$A$3:$A$19,0)),INDEX(MODELOS!$E$3:$E$19,MATCH($D595,MODELOS!$A$3:$A$19,0)))</f>
        <v>220 × 200</v>
      </c>
      <c r="I595" s="11" t="str">
        <f aca="false">INDEX(MODELOS!$J$3:$J$19,MATCH($D595,MODELOS!$A$3:$A$19,0))</f>
        <v>Conforme modelo</v>
      </c>
      <c r="J595" s="11" t="str">
        <f aca="false">IF(LEFT($D595,2)&lt;&gt;"AP",IF($I595="SIM","SIM","RECOMENDADA"),IF(INDEX(PRODUTOS!$J$4:$J$63,MATCH($A595,PRODUTOS!$B$4:$B$63,0))&lt;&gt;"","NÃO (usa o A+ do EAN "&amp;INDEX(PRODUTOS!$J$4:$J$63,MATCH($A595,PRODUTOS!$B$4:$B$63,0))&amp;")",IF(AND(INDEX(PRODUTOS!$I$4:$I$63,MATCH($A595,PRODUTOS!$B$4:$B$63,0))="B",$D595="AP07"),"NÃO (modelo B)","SIM")))</f>
        <v>SIM</v>
      </c>
      <c r="K595" s="13" t="s">
        <v>325</v>
      </c>
      <c r="L595" s="13"/>
    </row>
    <row r="596" customFormat="false" ht="15" hidden="false" customHeight="false" outlineLevel="0" collapsed="false">
      <c r="A596" s="15" t="s">
        <v>194</v>
      </c>
      <c r="B596" s="11" t="str">
        <f aca="false">INDEX(PRODUTOS!$E$4:$E$63,MATCH($A596,PRODUTOS!$B$4:$B$63,0))</f>
        <v>Sachê Natural Dots Livre de Trangênico Cães Cordeiro 85 g</v>
      </c>
      <c r="C596" s="11" t="str">
        <f aca="false">INDEX(PRODUTOS!$H$4:$H$63,MATCH($A596,PRODUTOS!$B$4:$B$63,0))</f>
        <v>85 g</v>
      </c>
      <c r="D596" s="11" t="s">
        <v>339</v>
      </c>
      <c r="E596" s="16" t="str">
        <f aca="false">$A596&amp;"."&amp;$D596&amp;".jpg"</f>
        <v>7908591300383.AP06.jpg</v>
      </c>
      <c r="F596" s="11" t="str">
        <f aca="false">IF(INDEX(PRODUTOS!$I$4:$I$63,MATCH($A596,PRODUTOS!$B$4:$B$63,0))="B",INDEX(MODELOS!$F$3:$F$19,MATCH($D596,MODELOS!$A$3:$A$19,0)),INDEX(MODELOS!$B$3:$B$19,MATCH($D596,MODELOS!$A$3:$A$19,0)))</f>
        <v>A+ · Módulo 3 · Benefício 4 de 4</v>
      </c>
      <c r="G596" s="11" t="str">
        <f aca="false">IF(INDEX(PRODUTOS!$F$4:$F$63,MATCH($A596,PRODUTOS!$B$4:$B$63,0))="Ração",IF(INDEX(PRODUTOS!$I$4:$I$63,MATCH($A596,PRODUTOS!$B$4:$B$63,0))="B",INDEX(MODELOS!$G$3:$G$19,MATCH($D596,MODELOS!$A$3:$A$19,0)),INDEX(MODELOS!$C$3:$C$19,MATCH($D596,MODELOS!$A$3:$A$19,0))),IF(INDEX(PRODUTOS!$I$4:$I$63,MATCH($A596,PRODUTOS!$B$4:$B$63,0))="B",INDEX(MODELOS!$H$3:$H$19,MATCH($D596,MODELOS!$A$3:$A$19,0)),INDEX(MODELOS!$D$3:$D$19,MATCH($D596,MODELOS!$A$3:$A$19,0))))</f>
        <v>Foto/ilustração do benefício 4</v>
      </c>
      <c r="H596" s="11" t="str">
        <f aca="false">IF(INDEX(PRODUTOS!$I$4:$I$63,MATCH($A596,PRODUTOS!$B$4:$B$63,0))="B",INDEX(MODELOS!$I$3:$I$19,MATCH($D596,MODELOS!$A$3:$A$19,0)),INDEX(MODELOS!$E$3:$E$19,MATCH($D596,MODELOS!$A$3:$A$19,0)))</f>
        <v>220 × 200</v>
      </c>
      <c r="I596" s="11" t="str">
        <f aca="false">INDEX(MODELOS!$J$3:$J$19,MATCH($D596,MODELOS!$A$3:$A$19,0))</f>
        <v>Conforme modelo</v>
      </c>
      <c r="J596" s="11" t="str">
        <f aca="false">IF(LEFT($D596,2)&lt;&gt;"AP",IF($I596="SIM","SIM","RECOMENDADA"),IF(INDEX(PRODUTOS!$J$4:$J$63,MATCH($A596,PRODUTOS!$B$4:$B$63,0))&lt;&gt;"","NÃO (usa o A+ do EAN "&amp;INDEX(PRODUTOS!$J$4:$J$63,MATCH($A596,PRODUTOS!$B$4:$B$63,0))&amp;")",IF(AND(INDEX(PRODUTOS!$I$4:$I$63,MATCH($A596,PRODUTOS!$B$4:$B$63,0))="B",$D596="AP07"),"NÃO (modelo B)","SIM")))</f>
        <v>SIM</v>
      </c>
      <c r="K596" s="13" t="s">
        <v>325</v>
      </c>
      <c r="L596" s="13"/>
    </row>
    <row r="597" customFormat="false" ht="15" hidden="false" customHeight="false" outlineLevel="0" collapsed="false">
      <c r="A597" s="15" t="s">
        <v>194</v>
      </c>
      <c r="B597" s="11" t="str">
        <f aca="false">INDEX(PRODUTOS!$E$4:$E$63,MATCH($A597,PRODUTOS!$B$4:$B$63,0))</f>
        <v>Sachê Natural Dots Livre de Trangênico Cães Cordeiro 85 g</v>
      </c>
      <c r="C597" s="11" t="str">
        <f aca="false">INDEX(PRODUTOS!$H$4:$H$63,MATCH($A597,PRODUTOS!$B$4:$B$63,0))</f>
        <v>85 g</v>
      </c>
      <c r="D597" s="11" t="s">
        <v>340</v>
      </c>
      <c r="E597" s="16" t="str">
        <f aca="false">$A597&amp;"."&amp;$D597&amp;".jpg"</f>
        <v>7908591300383.AP07.jpg</v>
      </c>
      <c r="F597" s="11" t="str">
        <f aca="false">IF(INDEX(PRODUTOS!$I$4:$I$63,MATCH($A597,PRODUTOS!$B$4:$B$63,0))="B",INDEX(MODELOS!$F$3:$F$19,MATCH($D597,MODELOS!$A$3:$A$19,0)),INDEX(MODELOS!$B$3:$B$19,MATCH($D597,MODELOS!$A$3:$A$19,0)))</f>
        <v>A+ · Módulo 4 · Especificações</v>
      </c>
      <c r="G597" s="11" t="str">
        <f aca="false">IF(INDEX(PRODUTOS!$F$4:$F$63,MATCH($A597,PRODUTOS!$B$4:$B$63,0))="Ração",IF(INDEX(PRODUTOS!$I$4:$I$63,MATCH($A597,PRODUTOS!$B$4:$B$63,0))="B",INDEX(MODELOS!$G$3:$G$19,MATCH($D597,MODELOS!$A$3:$A$19,0)),INDEX(MODELOS!$C$3:$C$19,MATCH($D597,MODELOS!$A$3:$A$19,0))),IF(INDEX(PRODUTOS!$I$4:$I$63,MATCH($A597,PRODUTOS!$B$4:$B$63,0))="B",INDEX(MODELOS!$H$3:$H$19,MATCH($D597,MODELOS!$A$3:$A$19,0)),INDEX(MODELOS!$D$3:$D$19,MATCH($D597,MODELOS!$A$3:$A$19,0))))</f>
        <v>Grão ou pacote em destaque</v>
      </c>
      <c r="H597" s="11" t="str">
        <f aca="false">IF(INDEX(PRODUTOS!$I$4:$I$63,MATCH($A597,PRODUTOS!$B$4:$B$63,0))="B",INDEX(MODELOS!$I$3:$I$19,MATCH($D597,MODELOS!$A$3:$A$19,0)),INDEX(MODELOS!$E$3:$E$19,MATCH($D597,MODELOS!$A$3:$A$19,0)))</f>
        <v>300 × 300</v>
      </c>
      <c r="I597" s="11" t="str">
        <f aca="false">INDEX(MODELOS!$J$3:$J$19,MATCH($D597,MODELOS!$A$3:$A$19,0))</f>
        <v>Conforme modelo</v>
      </c>
      <c r="J597" s="11" t="str">
        <f aca="false">IF(LEFT($D597,2)&lt;&gt;"AP",IF($I597="SIM","SIM","RECOMENDADA"),IF(INDEX(PRODUTOS!$J$4:$J$63,MATCH($A597,PRODUTOS!$B$4:$B$63,0))&lt;&gt;"","NÃO (usa o A+ do EAN "&amp;INDEX(PRODUTOS!$J$4:$J$63,MATCH($A597,PRODUTOS!$B$4:$B$63,0))&amp;")",IF(AND(INDEX(PRODUTOS!$I$4:$I$63,MATCH($A597,PRODUTOS!$B$4:$B$63,0))="B",$D597="AP07"),"NÃO (modelo B)","SIM")))</f>
        <v>SIM</v>
      </c>
      <c r="K597" s="13" t="s">
        <v>325</v>
      </c>
      <c r="L597" s="13"/>
    </row>
    <row r="598" customFormat="false" ht="15" hidden="false" customHeight="false" outlineLevel="0" collapsed="false">
      <c r="A598" s="15" t="s">
        <v>194</v>
      </c>
      <c r="B598" s="11" t="str">
        <f aca="false">INDEX(PRODUTOS!$E$4:$E$63,MATCH($A598,PRODUTOS!$B$4:$B$63,0))</f>
        <v>Sachê Natural Dots Livre de Trangênico Cães Cordeiro 85 g</v>
      </c>
      <c r="C598" s="11" t="str">
        <f aca="false">INDEX(PRODUTOS!$H$4:$H$63,MATCH($A598,PRODUTOS!$B$4:$B$63,0))</f>
        <v>85 g</v>
      </c>
      <c r="D598" s="11" t="s">
        <v>341</v>
      </c>
      <c r="E598" s="16" t="str">
        <f aca="false">$A598&amp;"."&amp;$D598&amp;".jpg"</f>
        <v>7908591300383.COMP.jpg</v>
      </c>
      <c r="F598" s="11" t="str">
        <f aca="false">IF(INDEX(PRODUTOS!$I$4:$I$63,MATCH($A598,PRODUTOS!$B$4:$B$63,0))="B",INDEX(MODELOS!$F$3:$F$19,MATCH($D598,MODELOS!$A$3:$A$19,0)),INDEX(MODELOS!$B$3:$B$19,MATCH($D598,MODELOS!$A$3:$A$19,0)))</f>
        <v>A+ · Tabela comparativa</v>
      </c>
      <c r="G598" s="11" t="str">
        <f aca="false">IF(INDEX(PRODUTOS!$F$4:$F$63,MATCH($A598,PRODUTOS!$B$4:$B$63,0))="Ração",IF(INDEX(PRODUTOS!$I$4:$I$63,MATCH($A598,PRODUTOS!$B$4:$B$63,0))="B",INDEX(MODELOS!$G$3:$G$19,MATCH($D598,MODELOS!$A$3:$A$19,0)),INDEX(MODELOS!$C$3:$C$19,MATCH($D598,MODELOS!$A$3:$A$19,0))),IF(INDEX(PRODUTOS!$I$4:$I$63,MATCH($A598,PRODUTOS!$B$4:$B$63,0))="B",INDEX(MODELOS!$H$3:$H$19,MATCH($D598,MODELOS!$A$3:$A$19,0)),INDEX(MODELOS!$D$3:$D$19,MATCH($D598,MODELOS!$A$3:$A$19,0))))</f>
        <v>Pacote na vertical, sem fundo colorido</v>
      </c>
      <c r="H598" s="11" t="str">
        <f aca="false">IF(INDEX(PRODUTOS!$I$4:$I$63,MATCH($A598,PRODUTOS!$B$4:$B$63,0))="B",INDEX(MODELOS!$I$3:$I$19,MATCH($D598,MODELOS!$A$3:$A$19,0)),INDEX(MODELOS!$E$3:$E$19,MATCH($D598,MODELOS!$A$3:$A$19,0)))</f>
        <v>150 × 300</v>
      </c>
      <c r="I598" s="11" t="str">
        <f aca="false">INDEX(MODELOS!$J$3:$J$19,MATCH($D598,MODELOS!$A$3:$A$19,0))</f>
        <v>SIM</v>
      </c>
      <c r="J598" s="11" t="str">
        <f aca="false">IF(LEFT($D598,2)&lt;&gt;"AP",IF($I598="SIM","SIM","RECOMENDADA"),IF(INDEX(PRODUTOS!$J$4:$J$63,MATCH($A598,PRODUTOS!$B$4:$B$63,0))&lt;&gt;"","NÃO (usa o A+ do EAN "&amp;INDEX(PRODUTOS!$J$4:$J$63,MATCH($A598,PRODUTOS!$B$4:$B$63,0))&amp;")",IF(AND(INDEX(PRODUTOS!$I$4:$I$63,MATCH($A598,PRODUTOS!$B$4:$B$63,0))="B",$D598="AP07"),"NÃO (modelo B)","SIM")))</f>
        <v>SIM</v>
      </c>
      <c r="K598" s="13" t="s">
        <v>325</v>
      </c>
      <c r="L598" s="13"/>
    </row>
    <row r="599" customFormat="false" ht="15" hidden="false" customHeight="false" outlineLevel="0" collapsed="false">
      <c r="A599" s="15" t="s">
        <v>198</v>
      </c>
      <c r="B599" s="11" t="str">
        <f aca="false">INDEX(PRODUTOS!$E$4:$E$63,MATCH($A599,PRODUTOS!$B$4:$B$63,0))</f>
        <v>Sachê Natural Dots Livre de Trangênico Gato Carne 85 g</v>
      </c>
      <c r="C599" s="11" t="str">
        <f aca="false">INDEX(PRODUTOS!$H$4:$H$63,MATCH($A599,PRODUTOS!$B$4:$B$63,0))</f>
        <v>85 g</v>
      </c>
      <c r="D599" s="11" t="s">
        <v>324</v>
      </c>
      <c r="E599" s="16" t="str">
        <f aca="false">$A599&amp;"."&amp;$D599&amp;".jpg"</f>
        <v>7908591300390.MAIN.jpg</v>
      </c>
      <c r="F599" s="11" t="str">
        <f aca="false">IF(INDEX(PRODUTOS!$I$4:$I$63,MATCH($A599,PRODUTOS!$B$4:$B$63,0))="B",INDEX(MODELOS!$F$3:$F$19,MATCH($D599,MODELOS!$A$3:$A$19,0)),INDEX(MODELOS!$B$3:$B$19,MATCH($D599,MODELOS!$A$3:$A$19,0)))</f>
        <v>Capa (posição 1)</v>
      </c>
      <c r="G599" s="11" t="str">
        <f aca="false">IF(INDEX(PRODUTOS!$F$4:$F$63,MATCH($A599,PRODUTOS!$B$4:$B$63,0))="Ração",IF(INDEX(PRODUTOS!$I$4:$I$63,MATCH($A599,PRODUTOS!$B$4:$B$63,0))="B",INDEX(MODELOS!$G$3:$G$19,MATCH($D599,MODELOS!$A$3:$A$19,0)),INDEX(MODELOS!$C$3:$C$19,MATCH($D599,MODELOS!$A$3:$A$19,0))),IF(INDEX(PRODUTOS!$I$4:$I$63,MATCH($A599,PRODUTOS!$B$4:$B$63,0))="B",INDEX(MODELOS!$H$3:$H$19,MATCH($D599,MODELOS!$A$3:$A$19,0)),INDEX(MODELOS!$D$3:$D$19,MATCH($D599,MODELOS!$A$3:$A$19,0))))</f>
        <v>Embalagem de frente, fundo branco puro, 85% da área, nada adicionado</v>
      </c>
      <c r="H599" s="11" t="str">
        <f aca="false">IF(INDEX(PRODUTOS!$I$4:$I$63,MATCH($A599,PRODUTOS!$B$4:$B$63,0))="B",INDEX(MODELOS!$I$3:$I$19,MATCH($D599,MODELOS!$A$3:$A$19,0)),INDEX(MODELOS!$E$3:$E$19,MATCH($D599,MODELOS!$A$3:$A$19,0)))</f>
        <v>2000 × 2000</v>
      </c>
      <c r="I599" s="11" t="str">
        <f aca="false">INDEX(MODELOS!$J$3:$J$19,MATCH($D599,MODELOS!$A$3:$A$19,0))</f>
        <v>SIM</v>
      </c>
      <c r="J599" s="11" t="str">
        <f aca="false">IF(LEFT($D599,2)&lt;&gt;"AP",IF($I599="SIM","SIM","RECOMENDADA"),IF(INDEX(PRODUTOS!$J$4:$J$63,MATCH($A599,PRODUTOS!$B$4:$B$63,0))&lt;&gt;"","NÃO (usa o A+ do EAN "&amp;INDEX(PRODUTOS!$J$4:$J$63,MATCH($A599,PRODUTOS!$B$4:$B$63,0))&amp;")",IF(AND(INDEX(PRODUTOS!$I$4:$I$63,MATCH($A599,PRODUTOS!$B$4:$B$63,0))="B",$D599="AP07"),"NÃO (modelo B)","SIM")))</f>
        <v>SIM</v>
      </c>
      <c r="K599" s="13" t="s">
        <v>325</v>
      </c>
      <c r="L599" s="13"/>
    </row>
    <row r="600" customFormat="false" ht="15" hidden="false" customHeight="false" outlineLevel="0" collapsed="false">
      <c r="A600" s="15" t="s">
        <v>198</v>
      </c>
      <c r="B600" s="11" t="str">
        <f aca="false">INDEX(PRODUTOS!$E$4:$E$63,MATCH($A600,PRODUTOS!$B$4:$B$63,0))</f>
        <v>Sachê Natural Dots Livre de Trangênico Gato Carne 85 g</v>
      </c>
      <c r="C600" s="11" t="str">
        <f aca="false">INDEX(PRODUTOS!$H$4:$H$63,MATCH($A600,PRODUTOS!$B$4:$B$63,0))</f>
        <v>85 g</v>
      </c>
      <c r="D600" s="11" t="s">
        <v>326</v>
      </c>
      <c r="E600" s="16" t="str">
        <f aca="false">$A600&amp;"."&amp;$D600&amp;".jpg"</f>
        <v>7908591300390.PT01.jpg</v>
      </c>
      <c r="F600" s="11" t="str">
        <f aca="false">IF(INDEX(PRODUTOS!$I$4:$I$63,MATCH($A600,PRODUTOS!$B$4:$B$63,0))="B",INDEX(MODELOS!$F$3:$F$19,MATCH($D600,MODELOS!$A$3:$A$19,0)),INDEX(MODELOS!$B$3:$B$19,MATCH($D600,MODELOS!$A$3:$A$19,0)))</f>
        <v>Galeria · posição 2</v>
      </c>
      <c r="G600" s="11" t="str">
        <f aca="false">IF(INDEX(PRODUTOS!$F$4:$F$63,MATCH($A600,PRODUTOS!$B$4:$B$63,0))="Ração",IF(INDEX(PRODUTOS!$I$4:$I$63,MATCH($A600,PRODUTOS!$B$4:$B$63,0))="B",INDEX(MODELOS!$G$3:$G$19,MATCH($D600,MODELOS!$A$3:$A$19,0)),INDEX(MODELOS!$C$3:$C$19,MATCH($D600,MODELOS!$A$3:$A$19,0))),IF(INDEX(PRODUTOS!$I$4:$I$63,MATCH($A600,PRODUTOS!$B$4:$B$63,0))="B",INDEX(MODELOS!$H$3:$H$19,MATCH($D600,MODELOS!$A$3:$A$19,0)),INDEX(MODELOS!$D$3:$D$19,MATCH($D600,MODELOS!$A$3:$A$19,0))))</f>
        <v>Grande diferencial da linha (número ou promessa forte + grão e ingrediente)</v>
      </c>
      <c r="H600" s="11" t="str">
        <f aca="false">IF(INDEX(PRODUTOS!$I$4:$I$63,MATCH($A600,PRODUTOS!$B$4:$B$63,0))="B",INDEX(MODELOS!$I$3:$I$19,MATCH($D600,MODELOS!$A$3:$A$19,0)),INDEX(MODELOS!$E$3:$E$19,MATCH($D600,MODELOS!$A$3:$A$19,0)))</f>
        <v>2000 × 2000</v>
      </c>
      <c r="I600" s="11" t="str">
        <f aca="false">INDEX(MODELOS!$J$3:$J$19,MATCH($D600,MODELOS!$A$3:$A$19,0))</f>
        <v>SIM</v>
      </c>
      <c r="J600" s="11" t="str">
        <f aca="false">IF(LEFT($D600,2)&lt;&gt;"AP",IF($I600="SIM","SIM","RECOMENDADA"),IF(INDEX(PRODUTOS!$J$4:$J$63,MATCH($A600,PRODUTOS!$B$4:$B$63,0))&lt;&gt;"","NÃO (usa o A+ do EAN "&amp;INDEX(PRODUTOS!$J$4:$J$63,MATCH($A600,PRODUTOS!$B$4:$B$63,0))&amp;")",IF(AND(INDEX(PRODUTOS!$I$4:$I$63,MATCH($A600,PRODUTOS!$B$4:$B$63,0))="B",$D600="AP07"),"NÃO (modelo B)","SIM")))</f>
        <v>SIM</v>
      </c>
      <c r="K600" s="13" t="s">
        <v>325</v>
      </c>
      <c r="L600" s="13"/>
    </row>
    <row r="601" customFormat="false" ht="15" hidden="false" customHeight="false" outlineLevel="0" collapsed="false">
      <c r="A601" s="15" t="s">
        <v>198</v>
      </c>
      <c r="B601" s="11" t="str">
        <f aca="false">INDEX(PRODUTOS!$E$4:$E$63,MATCH($A601,PRODUTOS!$B$4:$B$63,0))</f>
        <v>Sachê Natural Dots Livre de Trangênico Gato Carne 85 g</v>
      </c>
      <c r="C601" s="11" t="str">
        <f aca="false">INDEX(PRODUTOS!$H$4:$H$63,MATCH($A601,PRODUTOS!$B$4:$B$63,0))</f>
        <v>85 g</v>
      </c>
      <c r="D601" s="11" t="s">
        <v>327</v>
      </c>
      <c r="E601" s="16" t="str">
        <f aca="false">$A601&amp;"."&amp;$D601&amp;".jpg"</f>
        <v>7908591300390.PT02.jpg</v>
      </c>
      <c r="F601" s="11" t="str">
        <f aca="false">IF(INDEX(PRODUTOS!$I$4:$I$63,MATCH($A601,PRODUTOS!$B$4:$B$63,0))="B",INDEX(MODELOS!$F$3:$F$19,MATCH($D601,MODELOS!$A$3:$A$19,0)),INDEX(MODELOS!$B$3:$B$19,MATCH($D601,MODELOS!$A$3:$A$19,0)))</f>
        <v>Galeria · posição 3</v>
      </c>
      <c r="G601" s="11" t="str">
        <f aca="false">IF(INDEX(PRODUTOS!$F$4:$F$63,MATCH($A601,PRODUTOS!$B$4:$B$63,0))="Ração",IF(INDEX(PRODUTOS!$I$4:$I$63,MATCH($A601,PRODUTOS!$B$4:$B$63,0))="B",INDEX(MODELOS!$G$3:$G$19,MATCH($D601,MODELOS!$A$3:$A$19,0)),INDEX(MODELOS!$C$3:$C$19,MATCH($D601,MODELOS!$A$3:$A$19,0))),IF(INDEX(PRODUTOS!$I$4:$I$63,MATCH($A601,PRODUTOS!$B$4:$B$63,0))="B",INDEX(MODELOS!$H$3:$H$19,MATCH($D601,MODELOS!$A$3:$A$19,0)),INDEX(MODELOS!$D$3:$D$19,MATCH($D601,MODELOS!$A$3:$A$19,0))))</f>
        <v>Benefícios com ícones (4 a 6, impressos na embalagem) + ingrediente</v>
      </c>
      <c r="H601" s="11" t="str">
        <f aca="false">IF(INDEX(PRODUTOS!$I$4:$I$63,MATCH($A601,PRODUTOS!$B$4:$B$63,0))="B",INDEX(MODELOS!$I$3:$I$19,MATCH($D601,MODELOS!$A$3:$A$19,0)),INDEX(MODELOS!$E$3:$E$19,MATCH($D601,MODELOS!$A$3:$A$19,0)))</f>
        <v>2000 × 2000</v>
      </c>
      <c r="I601" s="11" t="str">
        <f aca="false">INDEX(MODELOS!$J$3:$J$19,MATCH($D601,MODELOS!$A$3:$A$19,0))</f>
        <v>SIM</v>
      </c>
      <c r="J601" s="11" t="str">
        <f aca="false">IF(LEFT($D601,2)&lt;&gt;"AP",IF($I601="SIM","SIM","RECOMENDADA"),IF(INDEX(PRODUTOS!$J$4:$J$63,MATCH($A601,PRODUTOS!$B$4:$B$63,0))&lt;&gt;"","NÃO (usa o A+ do EAN "&amp;INDEX(PRODUTOS!$J$4:$J$63,MATCH($A601,PRODUTOS!$B$4:$B$63,0))&amp;")",IF(AND(INDEX(PRODUTOS!$I$4:$I$63,MATCH($A601,PRODUTOS!$B$4:$B$63,0))="B",$D601="AP07"),"NÃO (modelo B)","SIM")))</f>
        <v>SIM</v>
      </c>
      <c r="K601" s="13" t="s">
        <v>325</v>
      </c>
      <c r="L601" s="13"/>
    </row>
    <row r="602" customFormat="false" ht="15" hidden="false" customHeight="false" outlineLevel="0" collapsed="false">
      <c r="A602" s="15" t="s">
        <v>198</v>
      </c>
      <c r="B602" s="11" t="str">
        <f aca="false">INDEX(PRODUTOS!$E$4:$E$63,MATCH($A602,PRODUTOS!$B$4:$B$63,0))</f>
        <v>Sachê Natural Dots Livre de Trangênico Gato Carne 85 g</v>
      </c>
      <c r="C602" s="11" t="str">
        <f aca="false">INDEX(PRODUTOS!$H$4:$H$63,MATCH($A602,PRODUTOS!$B$4:$B$63,0))</f>
        <v>85 g</v>
      </c>
      <c r="D602" s="11" t="s">
        <v>328</v>
      </c>
      <c r="E602" s="16" t="str">
        <f aca="false">$A602&amp;"."&amp;$D602&amp;".jpg"</f>
        <v>7908591300390.PT03.jpg</v>
      </c>
      <c r="F602" s="11" t="str">
        <f aca="false">IF(INDEX(PRODUTOS!$I$4:$I$63,MATCH($A602,PRODUTOS!$B$4:$B$63,0))="B",INDEX(MODELOS!$F$3:$F$19,MATCH($D602,MODELOS!$A$3:$A$19,0)),INDEX(MODELOS!$B$3:$B$19,MATCH($D602,MODELOS!$A$3:$A$19,0)))</f>
        <v>Galeria · posição 4</v>
      </c>
      <c r="G602" s="11" t="str">
        <f aca="false">IF(INDEX(PRODUTOS!$F$4:$F$63,MATCH($A602,PRODUTOS!$B$4:$B$63,0))="Ração",IF(INDEX(PRODUTOS!$I$4:$I$63,MATCH($A602,PRODUTOS!$B$4:$B$63,0))="B",INDEX(MODELOS!$G$3:$G$19,MATCH($D602,MODELOS!$A$3:$A$19,0)),INDEX(MODELOS!$C$3:$C$19,MATCH($D602,MODELOS!$A$3:$A$19,0))),IF(INDEX(PRODUTOS!$I$4:$I$63,MATCH($A602,PRODUTOS!$B$4:$B$63,0))="B",INDEX(MODELOS!$H$3:$H$19,MATCH($D602,MODELOS!$A$3:$A$19,0)),INDEX(MODELOS!$D$3:$D$19,MATCH($D602,MODELOS!$A$3:$A$19,0))))</f>
        <v>Formato e tamanho do grão, com medida em mm e referência de tamanho</v>
      </c>
      <c r="H602" s="11" t="str">
        <f aca="false">IF(INDEX(PRODUTOS!$I$4:$I$63,MATCH($A602,PRODUTOS!$B$4:$B$63,0))="B",INDEX(MODELOS!$I$3:$I$19,MATCH($D602,MODELOS!$A$3:$A$19,0)),INDEX(MODELOS!$E$3:$E$19,MATCH($D602,MODELOS!$A$3:$A$19,0)))</f>
        <v>2000 × 2000</v>
      </c>
      <c r="I602" s="11" t="str">
        <f aca="false">INDEX(MODELOS!$J$3:$J$19,MATCH($D602,MODELOS!$A$3:$A$19,0))</f>
        <v>SIM</v>
      </c>
      <c r="J602" s="11" t="str">
        <f aca="false">IF(LEFT($D602,2)&lt;&gt;"AP",IF($I602="SIM","SIM","RECOMENDADA"),IF(INDEX(PRODUTOS!$J$4:$J$63,MATCH($A602,PRODUTOS!$B$4:$B$63,0))&lt;&gt;"","NÃO (usa o A+ do EAN "&amp;INDEX(PRODUTOS!$J$4:$J$63,MATCH($A602,PRODUTOS!$B$4:$B$63,0))&amp;")",IF(AND(INDEX(PRODUTOS!$I$4:$I$63,MATCH($A602,PRODUTOS!$B$4:$B$63,0))="B",$D602="AP07"),"NÃO (modelo B)","SIM")))</f>
        <v>SIM</v>
      </c>
      <c r="K602" s="13" t="s">
        <v>325</v>
      </c>
      <c r="L602" s="13"/>
    </row>
    <row r="603" customFormat="false" ht="15" hidden="false" customHeight="false" outlineLevel="0" collapsed="false">
      <c r="A603" s="15" t="s">
        <v>198</v>
      </c>
      <c r="B603" s="11" t="str">
        <f aca="false">INDEX(PRODUTOS!$E$4:$E$63,MATCH($A603,PRODUTOS!$B$4:$B$63,0))</f>
        <v>Sachê Natural Dots Livre de Trangênico Gato Carne 85 g</v>
      </c>
      <c r="C603" s="11" t="str">
        <f aca="false">INDEX(PRODUTOS!$H$4:$H$63,MATCH($A603,PRODUTOS!$B$4:$B$63,0))</f>
        <v>85 g</v>
      </c>
      <c r="D603" s="11" t="s">
        <v>329</v>
      </c>
      <c r="E603" s="16" t="str">
        <f aca="false">$A603&amp;"."&amp;$D603&amp;".jpg"</f>
        <v>7908591300390.PT04.jpg</v>
      </c>
      <c r="F603" s="11" t="str">
        <f aca="false">IF(INDEX(PRODUTOS!$I$4:$I$63,MATCH($A603,PRODUTOS!$B$4:$B$63,0))="B",INDEX(MODELOS!$F$3:$F$19,MATCH($D603,MODELOS!$A$3:$A$19,0)),INDEX(MODELOS!$B$3:$B$19,MATCH($D603,MODELOS!$A$3:$A$19,0)))</f>
        <v>Galeria · posição 5</v>
      </c>
      <c r="G603" s="11" t="str">
        <f aca="false">IF(INDEX(PRODUTOS!$F$4:$F$63,MATCH($A603,PRODUTOS!$B$4:$B$63,0))="Ração",IF(INDEX(PRODUTOS!$I$4:$I$63,MATCH($A603,PRODUTOS!$B$4:$B$63,0))="B",INDEX(MODELOS!$G$3:$G$19,MATCH($D603,MODELOS!$A$3:$A$19,0)),INDEX(MODELOS!$C$3:$C$19,MATCH($D603,MODELOS!$A$3:$A$19,0))),IF(INDEX(PRODUTOS!$I$4:$I$63,MATCH($A603,PRODUTOS!$B$4:$B$63,0))="B",INDEX(MODELOS!$H$3:$H$19,MATCH($D603,MODELOS!$A$3:$A$19,0)),INDEX(MODELOS!$D$3:$D$19,MATCH($D603,MODELOS!$A$3:$A$19,0))))</f>
        <v>Quantidade diária por peso do cão/gato (números idênticos à embalagem)</v>
      </c>
      <c r="H603" s="11" t="str">
        <f aca="false">IF(INDEX(PRODUTOS!$I$4:$I$63,MATCH($A603,PRODUTOS!$B$4:$B$63,0))="B",INDEX(MODELOS!$I$3:$I$19,MATCH($D603,MODELOS!$A$3:$A$19,0)),INDEX(MODELOS!$E$3:$E$19,MATCH($D603,MODELOS!$A$3:$A$19,0)))</f>
        <v>2000 × 2000</v>
      </c>
      <c r="I603" s="11" t="str">
        <f aca="false">INDEX(MODELOS!$J$3:$J$19,MATCH($D603,MODELOS!$A$3:$A$19,0))</f>
        <v>SIM</v>
      </c>
      <c r="J603" s="11" t="str">
        <f aca="false">IF(LEFT($D603,2)&lt;&gt;"AP",IF($I603="SIM","SIM","RECOMENDADA"),IF(INDEX(PRODUTOS!$J$4:$J$63,MATCH($A603,PRODUTOS!$B$4:$B$63,0))&lt;&gt;"","NÃO (usa o A+ do EAN "&amp;INDEX(PRODUTOS!$J$4:$J$63,MATCH($A603,PRODUTOS!$B$4:$B$63,0))&amp;")",IF(AND(INDEX(PRODUTOS!$I$4:$I$63,MATCH($A603,PRODUTOS!$B$4:$B$63,0))="B",$D603="AP07"),"NÃO (modelo B)","SIM")))</f>
        <v>SIM</v>
      </c>
      <c r="K603" s="13" t="s">
        <v>325</v>
      </c>
      <c r="L603" s="13"/>
    </row>
    <row r="604" customFormat="false" ht="15" hidden="false" customHeight="false" outlineLevel="0" collapsed="false">
      <c r="A604" s="15" t="s">
        <v>198</v>
      </c>
      <c r="B604" s="11" t="str">
        <f aca="false">INDEX(PRODUTOS!$E$4:$E$63,MATCH($A604,PRODUTOS!$B$4:$B$63,0))</f>
        <v>Sachê Natural Dots Livre de Trangênico Gato Carne 85 g</v>
      </c>
      <c r="C604" s="11" t="str">
        <f aca="false">INDEX(PRODUTOS!$H$4:$H$63,MATCH($A604,PRODUTOS!$B$4:$B$63,0))</f>
        <v>85 g</v>
      </c>
      <c r="D604" s="11" t="s">
        <v>330</v>
      </c>
      <c r="E604" s="16" t="str">
        <f aca="false">$A604&amp;"."&amp;$D604&amp;".jpg"</f>
        <v>7908591300390.PT05.jpg</v>
      </c>
      <c r="F604" s="11" t="str">
        <f aca="false">IF(INDEX(PRODUTOS!$I$4:$I$63,MATCH($A604,PRODUTOS!$B$4:$B$63,0))="B",INDEX(MODELOS!$F$3:$F$19,MATCH($D604,MODELOS!$A$3:$A$19,0)),INDEX(MODELOS!$B$3:$B$19,MATCH($D604,MODELOS!$A$3:$A$19,0)))</f>
        <v>Galeria · posição 6</v>
      </c>
      <c r="G604" s="11" t="str">
        <f aca="false">IF(INDEX(PRODUTOS!$F$4:$F$63,MATCH($A604,PRODUTOS!$B$4:$B$63,0))="Ração",IF(INDEX(PRODUTOS!$I$4:$I$63,MATCH($A604,PRODUTOS!$B$4:$B$63,0))="B",INDEX(MODELOS!$G$3:$G$19,MATCH($D604,MODELOS!$A$3:$A$19,0)),INDEX(MODELOS!$C$3:$C$19,MATCH($D604,MODELOS!$A$3:$A$19,0))),IF(INDEX(PRODUTOS!$I$4:$I$63,MATCH($A604,PRODUTOS!$B$4:$B$63,0))="B",INDEX(MODELOS!$H$3:$H$19,MATCH($D604,MODELOS!$A$3:$A$19,0)),INDEX(MODELOS!$D$3:$D$19,MATCH($D604,MODELOS!$A$3:$A$19,0))))</f>
        <v>Transição alimentar dia a dia (igual ao verso da embalagem)</v>
      </c>
      <c r="H604" s="11" t="str">
        <f aca="false">IF(INDEX(PRODUTOS!$I$4:$I$63,MATCH($A604,PRODUTOS!$B$4:$B$63,0))="B",INDEX(MODELOS!$I$3:$I$19,MATCH($D604,MODELOS!$A$3:$A$19,0)),INDEX(MODELOS!$E$3:$E$19,MATCH($D604,MODELOS!$A$3:$A$19,0)))</f>
        <v>2000 × 2000</v>
      </c>
      <c r="I604" s="11" t="str">
        <f aca="false">INDEX(MODELOS!$J$3:$J$19,MATCH($D604,MODELOS!$A$3:$A$19,0))</f>
        <v>Recomendada</v>
      </c>
      <c r="J604" s="11" t="str">
        <f aca="false">IF(LEFT($D604,2)&lt;&gt;"AP",IF($I604="SIM","SIM","RECOMENDADA"),IF(INDEX(PRODUTOS!$J$4:$J$63,MATCH($A604,PRODUTOS!$B$4:$B$63,0))&lt;&gt;"","NÃO (usa o A+ do EAN "&amp;INDEX(PRODUTOS!$J$4:$J$63,MATCH($A604,PRODUTOS!$B$4:$B$63,0))&amp;")",IF(AND(INDEX(PRODUTOS!$I$4:$I$63,MATCH($A604,PRODUTOS!$B$4:$B$63,0))="B",$D604="AP07"),"NÃO (modelo B)","SIM")))</f>
        <v>RECOMENDADA</v>
      </c>
      <c r="K604" s="13" t="s">
        <v>325</v>
      </c>
      <c r="L604" s="13"/>
    </row>
    <row r="605" customFormat="false" ht="15" hidden="false" customHeight="false" outlineLevel="0" collapsed="false">
      <c r="A605" s="15" t="s">
        <v>198</v>
      </c>
      <c r="B605" s="11" t="str">
        <f aca="false">INDEX(PRODUTOS!$E$4:$E$63,MATCH($A605,PRODUTOS!$B$4:$B$63,0))</f>
        <v>Sachê Natural Dots Livre de Trangênico Gato Carne 85 g</v>
      </c>
      <c r="C605" s="11" t="str">
        <f aca="false">INDEX(PRODUTOS!$H$4:$H$63,MATCH($A605,PRODUTOS!$B$4:$B$63,0))</f>
        <v>85 g</v>
      </c>
      <c r="D605" s="11" t="s">
        <v>331</v>
      </c>
      <c r="E605" s="16" t="str">
        <f aca="false">$A605&amp;"."&amp;$D605&amp;".jpg"</f>
        <v>7908591300390.PT06.jpg</v>
      </c>
      <c r="F605" s="11" t="str">
        <f aca="false">IF(INDEX(PRODUTOS!$I$4:$I$63,MATCH($A605,PRODUTOS!$B$4:$B$63,0))="B",INDEX(MODELOS!$F$3:$F$19,MATCH($D605,MODELOS!$A$3:$A$19,0)),INDEX(MODELOS!$B$3:$B$19,MATCH($D605,MODELOS!$A$3:$A$19,0)))</f>
        <v>Galeria · posição 7</v>
      </c>
      <c r="G605" s="11" t="str">
        <f aca="false">IF(INDEX(PRODUTOS!$F$4:$F$63,MATCH($A605,PRODUTOS!$B$4:$B$63,0))="Ração",IF(INDEX(PRODUTOS!$I$4:$I$63,MATCH($A605,PRODUTOS!$B$4:$B$63,0))="B",INDEX(MODELOS!$G$3:$G$19,MATCH($D605,MODELOS!$A$3:$A$19,0)),INDEX(MODELOS!$C$3:$C$19,MATCH($D605,MODELOS!$A$3:$A$19,0))),IF(INDEX(PRODUTOS!$I$4:$I$63,MATCH($A605,PRODUTOS!$B$4:$B$63,0))="B",INDEX(MODELOS!$H$3:$H$19,MATCH($D605,MODELOS!$A$3:$A$19,0)),INDEX(MODELOS!$D$3:$D$19,MATCH($D605,MODELOS!$A$3:$A$19,0))))</f>
        <v>Composição e níveis de garantia em letra grande</v>
      </c>
      <c r="H605" s="11" t="str">
        <f aca="false">IF(INDEX(PRODUTOS!$I$4:$I$63,MATCH($A605,PRODUTOS!$B$4:$B$63,0))="B",INDEX(MODELOS!$I$3:$I$19,MATCH($D605,MODELOS!$A$3:$A$19,0)),INDEX(MODELOS!$E$3:$E$19,MATCH($D605,MODELOS!$A$3:$A$19,0)))</f>
        <v>2000 × 2000</v>
      </c>
      <c r="I605" s="11" t="str">
        <f aca="false">INDEX(MODELOS!$J$3:$J$19,MATCH($D605,MODELOS!$A$3:$A$19,0))</f>
        <v>SIM</v>
      </c>
      <c r="J605" s="11" t="str">
        <f aca="false">IF(LEFT($D605,2)&lt;&gt;"AP",IF($I605="SIM","SIM","RECOMENDADA"),IF(INDEX(PRODUTOS!$J$4:$J$63,MATCH($A605,PRODUTOS!$B$4:$B$63,0))&lt;&gt;"","NÃO (usa o A+ do EAN "&amp;INDEX(PRODUTOS!$J$4:$J$63,MATCH($A605,PRODUTOS!$B$4:$B$63,0))&amp;")",IF(AND(INDEX(PRODUTOS!$I$4:$I$63,MATCH($A605,PRODUTOS!$B$4:$B$63,0))="B",$D605="AP07"),"NÃO (modelo B)","SIM")))</f>
        <v>SIM</v>
      </c>
      <c r="K605" s="13" t="s">
        <v>325</v>
      </c>
      <c r="L605" s="13"/>
    </row>
    <row r="606" customFormat="false" ht="15" hidden="false" customHeight="false" outlineLevel="0" collapsed="false">
      <c r="A606" s="15" t="s">
        <v>198</v>
      </c>
      <c r="B606" s="11" t="str">
        <f aca="false">INDEX(PRODUTOS!$E$4:$E$63,MATCH($A606,PRODUTOS!$B$4:$B$63,0))</f>
        <v>Sachê Natural Dots Livre de Trangênico Gato Carne 85 g</v>
      </c>
      <c r="C606" s="11" t="str">
        <f aca="false">INDEX(PRODUTOS!$H$4:$H$63,MATCH($A606,PRODUTOS!$B$4:$B$63,0))</f>
        <v>85 g</v>
      </c>
      <c r="D606" s="11" t="s">
        <v>332</v>
      </c>
      <c r="E606" s="16" t="str">
        <f aca="false">$A606&amp;"."&amp;$D606&amp;".jpg"</f>
        <v>7908591300390.PT07.jpg</v>
      </c>
      <c r="F606" s="11" t="str">
        <f aca="false">IF(INDEX(PRODUTOS!$I$4:$I$63,MATCH($A606,PRODUTOS!$B$4:$B$63,0))="B",INDEX(MODELOS!$F$3:$F$19,MATCH($D606,MODELOS!$A$3:$A$19,0)),INDEX(MODELOS!$B$3:$B$19,MATCH($D606,MODELOS!$A$3:$A$19,0)))</f>
        <v>Galeria · posição 8</v>
      </c>
      <c r="G606" s="11" t="str">
        <f aca="false">IF(INDEX(PRODUTOS!$F$4:$F$63,MATCH($A606,PRODUTOS!$B$4:$B$63,0))="Ração",IF(INDEX(PRODUTOS!$I$4:$I$63,MATCH($A606,PRODUTOS!$B$4:$B$63,0))="B",INDEX(MODELOS!$G$3:$G$19,MATCH($D606,MODELOS!$A$3:$A$19,0)),INDEX(MODELOS!$C$3:$C$19,MATCH($D606,MODELOS!$A$3:$A$19,0))),IF(INDEX(PRODUTOS!$I$4:$I$63,MATCH($A606,PRODUTOS!$B$4:$B$63,0))="B",INDEX(MODELOS!$H$3:$H$19,MATCH($D606,MODELOS!$A$3:$A$19,0)),INDEX(MODELOS!$D$3:$D$19,MATCH($D606,MODELOS!$A$3:$A$19,0))))</f>
        <v>Emocional / momento de uso (pet do porte certo, pote cheio)</v>
      </c>
      <c r="H606" s="11" t="str">
        <f aca="false">IF(INDEX(PRODUTOS!$I$4:$I$63,MATCH($A606,PRODUTOS!$B$4:$B$63,0))="B",INDEX(MODELOS!$I$3:$I$19,MATCH($D606,MODELOS!$A$3:$A$19,0)),INDEX(MODELOS!$E$3:$E$19,MATCH($D606,MODELOS!$A$3:$A$19,0)))</f>
        <v>2000 × 2000</v>
      </c>
      <c r="I606" s="11" t="str">
        <f aca="false">INDEX(MODELOS!$J$3:$J$19,MATCH($D606,MODELOS!$A$3:$A$19,0))</f>
        <v>Recomendada</v>
      </c>
      <c r="J606" s="11" t="str">
        <f aca="false">IF(LEFT($D606,2)&lt;&gt;"AP",IF($I606="SIM","SIM","RECOMENDADA"),IF(INDEX(PRODUTOS!$J$4:$J$63,MATCH($A606,PRODUTOS!$B$4:$B$63,0))&lt;&gt;"","NÃO (usa o A+ do EAN "&amp;INDEX(PRODUTOS!$J$4:$J$63,MATCH($A606,PRODUTOS!$B$4:$B$63,0))&amp;")",IF(AND(INDEX(PRODUTOS!$I$4:$I$63,MATCH($A606,PRODUTOS!$B$4:$B$63,0))="B",$D606="AP07"),"NÃO (modelo B)","SIM")))</f>
        <v>RECOMENDADA</v>
      </c>
      <c r="K606" s="13" t="s">
        <v>325</v>
      </c>
      <c r="L606" s="13"/>
    </row>
    <row r="607" customFormat="false" ht="15" hidden="false" customHeight="false" outlineLevel="0" collapsed="false">
      <c r="A607" s="15" t="s">
        <v>198</v>
      </c>
      <c r="B607" s="11" t="str">
        <f aca="false">INDEX(PRODUTOS!$E$4:$E$63,MATCH($A607,PRODUTOS!$B$4:$B$63,0))</f>
        <v>Sachê Natural Dots Livre de Trangênico Gato Carne 85 g</v>
      </c>
      <c r="C607" s="11" t="str">
        <f aca="false">INDEX(PRODUTOS!$H$4:$H$63,MATCH($A607,PRODUTOS!$B$4:$B$63,0))</f>
        <v>85 g</v>
      </c>
      <c r="D607" s="11" t="s">
        <v>333</v>
      </c>
      <c r="E607" s="16" t="str">
        <f aca="false">$A607&amp;"."&amp;$D607&amp;".jpg"</f>
        <v>7908591300390.PT08.jpg</v>
      </c>
      <c r="F607" s="11" t="str">
        <f aca="false">IF(INDEX(PRODUTOS!$I$4:$I$63,MATCH($A607,PRODUTOS!$B$4:$B$63,0))="B",INDEX(MODELOS!$F$3:$F$19,MATCH($D607,MODELOS!$A$3:$A$19,0)),INDEX(MODELOS!$B$3:$B$19,MATCH($D607,MODELOS!$A$3:$A$19,0)))</f>
        <v>Galeria · posição 9</v>
      </c>
      <c r="G607" s="11" t="str">
        <f aca="false">IF(INDEX(PRODUTOS!$F$4:$F$63,MATCH($A607,PRODUTOS!$B$4:$B$63,0))="Ração",IF(INDEX(PRODUTOS!$I$4:$I$63,MATCH($A607,PRODUTOS!$B$4:$B$63,0))="B",INDEX(MODELOS!$G$3:$G$19,MATCH($D607,MODELOS!$A$3:$A$19,0)),INDEX(MODELOS!$C$3:$C$19,MATCH($D607,MODELOS!$A$3:$A$19,0))),IF(INDEX(PRODUTOS!$I$4:$I$63,MATCH($A607,PRODUTOS!$B$4:$B$63,0))="B",INDEX(MODELOS!$H$3:$H$19,MATCH($D607,MODELOS!$A$3:$A$19,0)),INDEX(MODELOS!$D$3:$D$19,MATCH($D607,MODELOS!$A$3:$A$19,0))))</f>
        <v>Linha da marca ou embalagem anterior × nova</v>
      </c>
      <c r="H607" s="11" t="str">
        <f aca="false">IF(INDEX(PRODUTOS!$I$4:$I$63,MATCH($A607,PRODUTOS!$B$4:$B$63,0))="B",INDEX(MODELOS!$I$3:$I$19,MATCH($D607,MODELOS!$A$3:$A$19,0)),INDEX(MODELOS!$E$3:$E$19,MATCH($D607,MODELOS!$A$3:$A$19,0)))</f>
        <v>2000 × 2000</v>
      </c>
      <c r="I607" s="11" t="str">
        <f aca="false">INDEX(MODELOS!$J$3:$J$19,MATCH($D607,MODELOS!$A$3:$A$19,0))</f>
        <v>Recomendada</v>
      </c>
      <c r="J607" s="11" t="str">
        <f aca="false">IF(LEFT($D607,2)&lt;&gt;"AP",IF($I607="SIM","SIM","RECOMENDADA"),IF(INDEX(PRODUTOS!$J$4:$J$63,MATCH($A607,PRODUTOS!$B$4:$B$63,0))&lt;&gt;"","NÃO (usa o A+ do EAN "&amp;INDEX(PRODUTOS!$J$4:$J$63,MATCH($A607,PRODUTOS!$B$4:$B$63,0))&amp;")",IF(AND(INDEX(PRODUTOS!$I$4:$I$63,MATCH($A607,PRODUTOS!$B$4:$B$63,0))="B",$D607="AP07"),"NÃO (modelo B)","SIM")))</f>
        <v>RECOMENDADA</v>
      </c>
      <c r="K607" s="13" t="s">
        <v>325</v>
      </c>
      <c r="L607" s="13"/>
    </row>
    <row r="608" customFormat="false" ht="15" hidden="false" customHeight="false" outlineLevel="0" collapsed="false">
      <c r="A608" s="15" t="s">
        <v>198</v>
      </c>
      <c r="B608" s="11" t="str">
        <f aca="false">INDEX(PRODUTOS!$E$4:$E$63,MATCH($A608,PRODUTOS!$B$4:$B$63,0))</f>
        <v>Sachê Natural Dots Livre de Trangênico Gato Carne 85 g</v>
      </c>
      <c r="C608" s="11" t="str">
        <f aca="false">INDEX(PRODUTOS!$H$4:$H$63,MATCH($A608,PRODUTOS!$B$4:$B$63,0))</f>
        <v>85 g</v>
      </c>
      <c r="D608" s="11" t="s">
        <v>334</v>
      </c>
      <c r="E608" s="16" t="str">
        <f aca="false">$A608&amp;"."&amp;$D608&amp;".jpg"</f>
        <v>7908591300390.AP01.jpg</v>
      </c>
      <c r="F608" s="11" t="str">
        <f aca="false">IF(INDEX(PRODUTOS!$I$4:$I$63,MATCH($A608,PRODUTOS!$B$4:$B$63,0))="B",INDEX(MODELOS!$F$3:$F$19,MATCH($D608,MODELOS!$A$3:$A$19,0)),INDEX(MODELOS!$B$3:$B$19,MATCH($D608,MODELOS!$A$3:$A$19,0)))</f>
        <v>A+ · Módulo 1 · Banner</v>
      </c>
      <c r="G608" s="11" t="str">
        <f aca="false">IF(INDEX(PRODUTOS!$F$4:$F$63,MATCH($A608,PRODUTOS!$B$4:$B$63,0))="Ração",IF(INDEX(PRODUTOS!$I$4:$I$63,MATCH($A608,PRODUTOS!$B$4:$B$63,0))="B",INDEX(MODELOS!$G$3:$G$19,MATCH($D608,MODELOS!$A$3:$A$19,0)),INDEX(MODELOS!$C$3:$C$19,MATCH($D608,MODELOS!$A$3:$A$19,0))),IF(INDEX(PRODUTOS!$I$4:$I$63,MATCH($A608,PRODUTOS!$B$4:$B$63,0))="B",INDEX(MODELOS!$H$3:$H$19,MATCH($D608,MODELOS!$A$3:$A$19,0)),INDEX(MODELOS!$D$3:$D$19,MATCH($D608,MODELOS!$A$3:$A$19,0))))</f>
        <v>Embalagem + pet + ingredientes, com o nome da linha</v>
      </c>
      <c r="H608" s="11" t="str">
        <f aca="false">IF(INDEX(PRODUTOS!$I$4:$I$63,MATCH($A608,PRODUTOS!$B$4:$B$63,0))="B",INDEX(MODELOS!$I$3:$I$19,MATCH($D608,MODELOS!$A$3:$A$19,0)),INDEX(MODELOS!$E$3:$E$19,MATCH($D608,MODELOS!$A$3:$A$19,0)))</f>
        <v>970 × 600</v>
      </c>
      <c r="I608" s="11" t="str">
        <f aca="false">INDEX(MODELOS!$J$3:$J$19,MATCH($D608,MODELOS!$A$3:$A$19,0))</f>
        <v>Conforme modelo</v>
      </c>
      <c r="J608" s="11" t="str">
        <f aca="false">IF(LEFT($D608,2)&lt;&gt;"AP",IF($I608="SIM","SIM","RECOMENDADA"),IF(INDEX(PRODUTOS!$J$4:$J$63,MATCH($A608,PRODUTOS!$B$4:$B$63,0))&lt;&gt;"","NÃO (usa o A+ do EAN "&amp;INDEX(PRODUTOS!$J$4:$J$63,MATCH($A608,PRODUTOS!$B$4:$B$63,0))&amp;")",IF(AND(INDEX(PRODUTOS!$I$4:$I$63,MATCH($A608,PRODUTOS!$B$4:$B$63,0))="B",$D608="AP07"),"NÃO (modelo B)","SIM")))</f>
        <v>SIM</v>
      </c>
      <c r="K608" s="13" t="s">
        <v>325</v>
      </c>
      <c r="L608" s="13"/>
    </row>
    <row r="609" customFormat="false" ht="15" hidden="false" customHeight="false" outlineLevel="0" collapsed="false">
      <c r="A609" s="15" t="s">
        <v>198</v>
      </c>
      <c r="B609" s="11" t="str">
        <f aca="false">INDEX(PRODUTOS!$E$4:$E$63,MATCH($A609,PRODUTOS!$B$4:$B$63,0))</f>
        <v>Sachê Natural Dots Livre de Trangênico Gato Carne 85 g</v>
      </c>
      <c r="C609" s="11" t="str">
        <f aca="false">INDEX(PRODUTOS!$H$4:$H$63,MATCH($A609,PRODUTOS!$B$4:$B$63,0))</f>
        <v>85 g</v>
      </c>
      <c r="D609" s="11" t="s">
        <v>335</v>
      </c>
      <c r="E609" s="16" t="str">
        <f aca="false">$A609&amp;"."&amp;$D609&amp;".jpg"</f>
        <v>7908591300390.AP02.jpg</v>
      </c>
      <c r="F609" s="11" t="str">
        <f aca="false">IF(INDEX(PRODUTOS!$I$4:$I$63,MATCH($A609,PRODUTOS!$B$4:$B$63,0))="B",INDEX(MODELOS!$F$3:$F$19,MATCH($D609,MODELOS!$A$3:$A$19,0)),INDEX(MODELOS!$B$3:$B$19,MATCH($D609,MODELOS!$A$3:$A$19,0)))</f>
        <v>A+ · Módulo 2 · Texto sobreposto</v>
      </c>
      <c r="G609" s="11" t="str">
        <f aca="false">IF(INDEX(PRODUTOS!$F$4:$F$63,MATCH($A609,PRODUTOS!$B$4:$B$63,0))="Ração",IF(INDEX(PRODUTOS!$I$4:$I$63,MATCH($A609,PRODUTOS!$B$4:$B$63,0))="B",INDEX(MODELOS!$G$3:$G$19,MATCH($D609,MODELOS!$A$3:$A$19,0)),INDEX(MODELOS!$C$3:$C$19,MATCH($D609,MODELOS!$A$3:$A$19,0))),IF(INDEX(PRODUTOS!$I$4:$I$63,MATCH($A609,PRODUTOS!$B$4:$B$63,0))="B",INDEX(MODELOS!$H$3:$H$19,MATCH($D609,MODELOS!$A$3:$A$19,0)),INDEX(MODELOS!$D$3:$D$19,MATCH($D609,MODELOS!$A$3:$A$19,0))))</f>
        <v>Principal diferencial; deixar o lado direito limpo</v>
      </c>
      <c r="H609" s="11" t="str">
        <f aca="false">IF(INDEX(PRODUTOS!$I$4:$I$63,MATCH($A609,PRODUTOS!$B$4:$B$63,0))="B",INDEX(MODELOS!$I$3:$I$19,MATCH($D609,MODELOS!$A$3:$A$19,0)),INDEX(MODELOS!$E$3:$E$19,MATCH($D609,MODELOS!$A$3:$A$19,0)))</f>
        <v>970 × 300</v>
      </c>
      <c r="I609" s="11" t="str">
        <f aca="false">INDEX(MODELOS!$J$3:$J$19,MATCH($D609,MODELOS!$A$3:$A$19,0))</f>
        <v>Conforme modelo</v>
      </c>
      <c r="J609" s="11" t="str">
        <f aca="false">IF(LEFT($D609,2)&lt;&gt;"AP",IF($I609="SIM","SIM","RECOMENDADA"),IF(INDEX(PRODUTOS!$J$4:$J$63,MATCH($A609,PRODUTOS!$B$4:$B$63,0))&lt;&gt;"","NÃO (usa o A+ do EAN "&amp;INDEX(PRODUTOS!$J$4:$J$63,MATCH($A609,PRODUTOS!$B$4:$B$63,0))&amp;")",IF(AND(INDEX(PRODUTOS!$I$4:$I$63,MATCH($A609,PRODUTOS!$B$4:$B$63,0))="B",$D609="AP07"),"NÃO (modelo B)","SIM")))</f>
        <v>SIM</v>
      </c>
      <c r="K609" s="13" t="s">
        <v>325</v>
      </c>
      <c r="L609" s="13"/>
    </row>
    <row r="610" customFormat="false" ht="15" hidden="false" customHeight="false" outlineLevel="0" collapsed="false">
      <c r="A610" s="15" t="s">
        <v>198</v>
      </c>
      <c r="B610" s="11" t="str">
        <f aca="false">INDEX(PRODUTOS!$E$4:$E$63,MATCH($A610,PRODUTOS!$B$4:$B$63,0))</f>
        <v>Sachê Natural Dots Livre de Trangênico Gato Carne 85 g</v>
      </c>
      <c r="C610" s="11" t="str">
        <f aca="false">INDEX(PRODUTOS!$H$4:$H$63,MATCH($A610,PRODUTOS!$B$4:$B$63,0))</f>
        <v>85 g</v>
      </c>
      <c r="D610" s="11" t="s">
        <v>336</v>
      </c>
      <c r="E610" s="16" t="str">
        <f aca="false">$A610&amp;"."&amp;$D610&amp;".jpg"</f>
        <v>7908591300390.AP03.jpg</v>
      </c>
      <c r="F610" s="11" t="str">
        <f aca="false">IF(INDEX(PRODUTOS!$I$4:$I$63,MATCH($A610,PRODUTOS!$B$4:$B$63,0))="B",INDEX(MODELOS!$F$3:$F$19,MATCH($D610,MODELOS!$A$3:$A$19,0)),INDEX(MODELOS!$B$3:$B$19,MATCH($D610,MODELOS!$A$3:$A$19,0)))</f>
        <v>A+ · Módulo 3 · Benefício 1 de 4</v>
      </c>
      <c r="G610" s="11" t="str">
        <f aca="false">IF(INDEX(PRODUTOS!$F$4:$F$63,MATCH($A610,PRODUTOS!$B$4:$B$63,0))="Ração",IF(INDEX(PRODUTOS!$I$4:$I$63,MATCH($A610,PRODUTOS!$B$4:$B$63,0))="B",INDEX(MODELOS!$G$3:$G$19,MATCH($D610,MODELOS!$A$3:$A$19,0)),INDEX(MODELOS!$C$3:$C$19,MATCH($D610,MODELOS!$A$3:$A$19,0))),IF(INDEX(PRODUTOS!$I$4:$I$63,MATCH($A610,PRODUTOS!$B$4:$B$63,0))="B",INDEX(MODELOS!$H$3:$H$19,MATCH($D610,MODELOS!$A$3:$A$19,0)),INDEX(MODELOS!$D$3:$D$19,MATCH($D610,MODELOS!$A$3:$A$19,0))))</f>
        <v>Foto/ilustração do benefício 1</v>
      </c>
      <c r="H610" s="11" t="str">
        <f aca="false">IF(INDEX(PRODUTOS!$I$4:$I$63,MATCH($A610,PRODUTOS!$B$4:$B$63,0))="B",INDEX(MODELOS!$I$3:$I$19,MATCH($D610,MODELOS!$A$3:$A$19,0)),INDEX(MODELOS!$E$3:$E$19,MATCH($D610,MODELOS!$A$3:$A$19,0)))</f>
        <v>220 × 200</v>
      </c>
      <c r="I610" s="11" t="str">
        <f aca="false">INDEX(MODELOS!$J$3:$J$19,MATCH($D610,MODELOS!$A$3:$A$19,0))</f>
        <v>Conforme modelo</v>
      </c>
      <c r="J610" s="11" t="str">
        <f aca="false">IF(LEFT($D610,2)&lt;&gt;"AP",IF($I610="SIM","SIM","RECOMENDADA"),IF(INDEX(PRODUTOS!$J$4:$J$63,MATCH($A610,PRODUTOS!$B$4:$B$63,0))&lt;&gt;"","NÃO (usa o A+ do EAN "&amp;INDEX(PRODUTOS!$J$4:$J$63,MATCH($A610,PRODUTOS!$B$4:$B$63,0))&amp;")",IF(AND(INDEX(PRODUTOS!$I$4:$I$63,MATCH($A610,PRODUTOS!$B$4:$B$63,0))="B",$D610="AP07"),"NÃO (modelo B)","SIM")))</f>
        <v>SIM</v>
      </c>
      <c r="K610" s="13" t="s">
        <v>325</v>
      </c>
      <c r="L610" s="13"/>
    </row>
    <row r="611" customFormat="false" ht="15" hidden="false" customHeight="false" outlineLevel="0" collapsed="false">
      <c r="A611" s="15" t="s">
        <v>198</v>
      </c>
      <c r="B611" s="11" t="str">
        <f aca="false">INDEX(PRODUTOS!$E$4:$E$63,MATCH($A611,PRODUTOS!$B$4:$B$63,0))</f>
        <v>Sachê Natural Dots Livre de Trangênico Gato Carne 85 g</v>
      </c>
      <c r="C611" s="11" t="str">
        <f aca="false">INDEX(PRODUTOS!$H$4:$H$63,MATCH($A611,PRODUTOS!$B$4:$B$63,0))</f>
        <v>85 g</v>
      </c>
      <c r="D611" s="11" t="s">
        <v>337</v>
      </c>
      <c r="E611" s="16" t="str">
        <f aca="false">$A611&amp;"."&amp;$D611&amp;".jpg"</f>
        <v>7908591300390.AP04.jpg</v>
      </c>
      <c r="F611" s="11" t="str">
        <f aca="false">IF(INDEX(PRODUTOS!$I$4:$I$63,MATCH($A611,PRODUTOS!$B$4:$B$63,0))="B",INDEX(MODELOS!$F$3:$F$19,MATCH($D611,MODELOS!$A$3:$A$19,0)),INDEX(MODELOS!$B$3:$B$19,MATCH($D611,MODELOS!$A$3:$A$19,0)))</f>
        <v>A+ · Módulo 3 · Benefício 2 de 4</v>
      </c>
      <c r="G611" s="11" t="str">
        <f aca="false">IF(INDEX(PRODUTOS!$F$4:$F$63,MATCH($A611,PRODUTOS!$B$4:$B$63,0))="Ração",IF(INDEX(PRODUTOS!$I$4:$I$63,MATCH($A611,PRODUTOS!$B$4:$B$63,0))="B",INDEX(MODELOS!$G$3:$G$19,MATCH($D611,MODELOS!$A$3:$A$19,0)),INDEX(MODELOS!$C$3:$C$19,MATCH($D611,MODELOS!$A$3:$A$19,0))),IF(INDEX(PRODUTOS!$I$4:$I$63,MATCH($A611,PRODUTOS!$B$4:$B$63,0))="B",INDEX(MODELOS!$H$3:$H$19,MATCH($D611,MODELOS!$A$3:$A$19,0)),INDEX(MODELOS!$D$3:$D$19,MATCH($D611,MODELOS!$A$3:$A$19,0))))</f>
        <v>Foto/ilustração do benefício 2</v>
      </c>
      <c r="H611" s="11" t="str">
        <f aca="false">IF(INDEX(PRODUTOS!$I$4:$I$63,MATCH($A611,PRODUTOS!$B$4:$B$63,0))="B",INDEX(MODELOS!$I$3:$I$19,MATCH($D611,MODELOS!$A$3:$A$19,0)),INDEX(MODELOS!$E$3:$E$19,MATCH($D611,MODELOS!$A$3:$A$19,0)))</f>
        <v>220 × 200</v>
      </c>
      <c r="I611" s="11" t="str">
        <f aca="false">INDEX(MODELOS!$J$3:$J$19,MATCH($D611,MODELOS!$A$3:$A$19,0))</f>
        <v>Conforme modelo</v>
      </c>
      <c r="J611" s="11" t="str">
        <f aca="false">IF(LEFT($D611,2)&lt;&gt;"AP",IF($I611="SIM","SIM","RECOMENDADA"),IF(INDEX(PRODUTOS!$J$4:$J$63,MATCH($A611,PRODUTOS!$B$4:$B$63,0))&lt;&gt;"","NÃO (usa o A+ do EAN "&amp;INDEX(PRODUTOS!$J$4:$J$63,MATCH($A611,PRODUTOS!$B$4:$B$63,0))&amp;")",IF(AND(INDEX(PRODUTOS!$I$4:$I$63,MATCH($A611,PRODUTOS!$B$4:$B$63,0))="B",$D611="AP07"),"NÃO (modelo B)","SIM")))</f>
        <v>SIM</v>
      </c>
      <c r="K611" s="13" t="s">
        <v>325</v>
      </c>
      <c r="L611" s="13"/>
    </row>
    <row r="612" customFormat="false" ht="15" hidden="false" customHeight="false" outlineLevel="0" collapsed="false">
      <c r="A612" s="15" t="s">
        <v>198</v>
      </c>
      <c r="B612" s="11" t="str">
        <f aca="false">INDEX(PRODUTOS!$E$4:$E$63,MATCH($A612,PRODUTOS!$B$4:$B$63,0))</f>
        <v>Sachê Natural Dots Livre de Trangênico Gato Carne 85 g</v>
      </c>
      <c r="C612" s="11" t="str">
        <f aca="false">INDEX(PRODUTOS!$H$4:$H$63,MATCH($A612,PRODUTOS!$B$4:$B$63,0))</f>
        <v>85 g</v>
      </c>
      <c r="D612" s="11" t="s">
        <v>338</v>
      </c>
      <c r="E612" s="16" t="str">
        <f aca="false">$A612&amp;"."&amp;$D612&amp;".jpg"</f>
        <v>7908591300390.AP05.jpg</v>
      </c>
      <c r="F612" s="11" t="str">
        <f aca="false">IF(INDEX(PRODUTOS!$I$4:$I$63,MATCH($A612,PRODUTOS!$B$4:$B$63,0))="B",INDEX(MODELOS!$F$3:$F$19,MATCH($D612,MODELOS!$A$3:$A$19,0)),INDEX(MODELOS!$B$3:$B$19,MATCH($D612,MODELOS!$A$3:$A$19,0)))</f>
        <v>A+ · Módulo 3 · Benefício 3 de 4</v>
      </c>
      <c r="G612" s="11" t="str">
        <f aca="false">IF(INDEX(PRODUTOS!$F$4:$F$63,MATCH($A612,PRODUTOS!$B$4:$B$63,0))="Ração",IF(INDEX(PRODUTOS!$I$4:$I$63,MATCH($A612,PRODUTOS!$B$4:$B$63,0))="B",INDEX(MODELOS!$G$3:$G$19,MATCH($D612,MODELOS!$A$3:$A$19,0)),INDEX(MODELOS!$C$3:$C$19,MATCH($D612,MODELOS!$A$3:$A$19,0))),IF(INDEX(PRODUTOS!$I$4:$I$63,MATCH($A612,PRODUTOS!$B$4:$B$63,0))="B",INDEX(MODELOS!$H$3:$H$19,MATCH($D612,MODELOS!$A$3:$A$19,0)),INDEX(MODELOS!$D$3:$D$19,MATCH($D612,MODELOS!$A$3:$A$19,0))))</f>
        <v>Foto/ilustração do benefício 3</v>
      </c>
      <c r="H612" s="11" t="str">
        <f aca="false">IF(INDEX(PRODUTOS!$I$4:$I$63,MATCH($A612,PRODUTOS!$B$4:$B$63,0))="B",INDEX(MODELOS!$I$3:$I$19,MATCH($D612,MODELOS!$A$3:$A$19,0)),INDEX(MODELOS!$E$3:$E$19,MATCH($D612,MODELOS!$A$3:$A$19,0)))</f>
        <v>220 × 200</v>
      </c>
      <c r="I612" s="11" t="str">
        <f aca="false">INDEX(MODELOS!$J$3:$J$19,MATCH($D612,MODELOS!$A$3:$A$19,0))</f>
        <v>Conforme modelo</v>
      </c>
      <c r="J612" s="11" t="str">
        <f aca="false">IF(LEFT($D612,2)&lt;&gt;"AP",IF($I612="SIM","SIM","RECOMENDADA"),IF(INDEX(PRODUTOS!$J$4:$J$63,MATCH($A612,PRODUTOS!$B$4:$B$63,0))&lt;&gt;"","NÃO (usa o A+ do EAN "&amp;INDEX(PRODUTOS!$J$4:$J$63,MATCH($A612,PRODUTOS!$B$4:$B$63,0))&amp;")",IF(AND(INDEX(PRODUTOS!$I$4:$I$63,MATCH($A612,PRODUTOS!$B$4:$B$63,0))="B",$D612="AP07"),"NÃO (modelo B)","SIM")))</f>
        <v>SIM</v>
      </c>
      <c r="K612" s="13" t="s">
        <v>325</v>
      </c>
      <c r="L612" s="13"/>
    </row>
    <row r="613" customFormat="false" ht="15" hidden="false" customHeight="false" outlineLevel="0" collapsed="false">
      <c r="A613" s="15" t="s">
        <v>198</v>
      </c>
      <c r="B613" s="11" t="str">
        <f aca="false">INDEX(PRODUTOS!$E$4:$E$63,MATCH($A613,PRODUTOS!$B$4:$B$63,0))</f>
        <v>Sachê Natural Dots Livre de Trangênico Gato Carne 85 g</v>
      </c>
      <c r="C613" s="11" t="str">
        <f aca="false">INDEX(PRODUTOS!$H$4:$H$63,MATCH($A613,PRODUTOS!$B$4:$B$63,0))</f>
        <v>85 g</v>
      </c>
      <c r="D613" s="11" t="s">
        <v>339</v>
      </c>
      <c r="E613" s="16" t="str">
        <f aca="false">$A613&amp;"."&amp;$D613&amp;".jpg"</f>
        <v>7908591300390.AP06.jpg</v>
      </c>
      <c r="F613" s="11" t="str">
        <f aca="false">IF(INDEX(PRODUTOS!$I$4:$I$63,MATCH($A613,PRODUTOS!$B$4:$B$63,0))="B",INDEX(MODELOS!$F$3:$F$19,MATCH($D613,MODELOS!$A$3:$A$19,0)),INDEX(MODELOS!$B$3:$B$19,MATCH($D613,MODELOS!$A$3:$A$19,0)))</f>
        <v>A+ · Módulo 3 · Benefício 4 de 4</v>
      </c>
      <c r="G613" s="11" t="str">
        <f aca="false">IF(INDEX(PRODUTOS!$F$4:$F$63,MATCH($A613,PRODUTOS!$B$4:$B$63,0))="Ração",IF(INDEX(PRODUTOS!$I$4:$I$63,MATCH($A613,PRODUTOS!$B$4:$B$63,0))="B",INDEX(MODELOS!$G$3:$G$19,MATCH($D613,MODELOS!$A$3:$A$19,0)),INDEX(MODELOS!$C$3:$C$19,MATCH($D613,MODELOS!$A$3:$A$19,0))),IF(INDEX(PRODUTOS!$I$4:$I$63,MATCH($A613,PRODUTOS!$B$4:$B$63,0))="B",INDEX(MODELOS!$H$3:$H$19,MATCH($D613,MODELOS!$A$3:$A$19,0)),INDEX(MODELOS!$D$3:$D$19,MATCH($D613,MODELOS!$A$3:$A$19,0))))</f>
        <v>Foto/ilustração do benefício 4</v>
      </c>
      <c r="H613" s="11" t="str">
        <f aca="false">IF(INDEX(PRODUTOS!$I$4:$I$63,MATCH($A613,PRODUTOS!$B$4:$B$63,0))="B",INDEX(MODELOS!$I$3:$I$19,MATCH($D613,MODELOS!$A$3:$A$19,0)),INDEX(MODELOS!$E$3:$E$19,MATCH($D613,MODELOS!$A$3:$A$19,0)))</f>
        <v>220 × 200</v>
      </c>
      <c r="I613" s="11" t="str">
        <f aca="false">INDEX(MODELOS!$J$3:$J$19,MATCH($D613,MODELOS!$A$3:$A$19,0))</f>
        <v>Conforme modelo</v>
      </c>
      <c r="J613" s="11" t="str">
        <f aca="false">IF(LEFT($D613,2)&lt;&gt;"AP",IF($I613="SIM","SIM","RECOMENDADA"),IF(INDEX(PRODUTOS!$J$4:$J$63,MATCH($A613,PRODUTOS!$B$4:$B$63,0))&lt;&gt;"","NÃO (usa o A+ do EAN "&amp;INDEX(PRODUTOS!$J$4:$J$63,MATCH($A613,PRODUTOS!$B$4:$B$63,0))&amp;")",IF(AND(INDEX(PRODUTOS!$I$4:$I$63,MATCH($A613,PRODUTOS!$B$4:$B$63,0))="B",$D613="AP07"),"NÃO (modelo B)","SIM")))</f>
        <v>SIM</v>
      </c>
      <c r="K613" s="13" t="s">
        <v>325</v>
      </c>
      <c r="L613" s="13"/>
    </row>
    <row r="614" customFormat="false" ht="15" hidden="false" customHeight="false" outlineLevel="0" collapsed="false">
      <c r="A614" s="15" t="s">
        <v>198</v>
      </c>
      <c r="B614" s="11" t="str">
        <f aca="false">INDEX(PRODUTOS!$E$4:$E$63,MATCH($A614,PRODUTOS!$B$4:$B$63,0))</f>
        <v>Sachê Natural Dots Livre de Trangênico Gato Carne 85 g</v>
      </c>
      <c r="C614" s="11" t="str">
        <f aca="false">INDEX(PRODUTOS!$H$4:$H$63,MATCH($A614,PRODUTOS!$B$4:$B$63,0))</f>
        <v>85 g</v>
      </c>
      <c r="D614" s="11" t="s">
        <v>340</v>
      </c>
      <c r="E614" s="16" t="str">
        <f aca="false">$A614&amp;"."&amp;$D614&amp;".jpg"</f>
        <v>7908591300390.AP07.jpg</v>
      </c>
      <c r="F614" s="11" t="str">
        <f aca="false">IF(INDEX(PRODUTOS!$I$4:$I$63,MATCH($A614,PRODUTOS!$B$4:$B$63,0))="B",INDEX(MODELOS!$F$3:$F$19,MATCH($D614,MODELOS!$A$3:$A$19,0)),INDEX(MODELOS!$B$3:$B$19,MATCH($D614,MODELOS!$A$3:$A$19,0)))</f>
        <v>A+ · Módulo 4 · Especificações</v>
      </c>
      <c r="G614" s="11" t="str">
        <f aca="false">IF(INDEX(PRODUTOS!$F$4:$F$63,MATCH($A614,PRODUTOS!$B$4:$B$63,0))="Ração",IF(INDEX(PRODUTOS!$I$4:$I$63,MATCH($A614,PRODUTOS!$B$4:$B$63,0))="B",INDEX(MODELOS!$G$3:$G$19,MATCH($D614,MODELOS!$A$3:$A$19,0)),INDEX(MODELOS!$C$3:$C$19,MATCH($D614,MODELOS!$A$3:$A$19,0))),IF(INDEX(PRODUTOS!$I$4:$I$63,MATCH($A614,PRODUTOS!$B$4:$B$63,0))="B",INDEX(MODELOS!$H$3:$H$19,MATCH($D614,MODELOS!$A$3:$A$19,0)),INDEX(MODELOS!$D$3:$D$19,MATCH($D614,MODELOS!$A$3:$A$19,0))))</f>
        <v>Grão ou pacote em destaque</v>
      </c>
      <c r="H614" s="11" t="str">
        <f aca="false">IF(INDEX(PRODUTOS!$I$4:$I$63,MATCH($A614,PRODUTOS!$B$4:$B$63,0))="B",INDEX(MODELOS!$I$3:$I$19,MATCH($D614,MODELOS!$A$3:$A$19,0)),INDEX(MODELOS!$E$3:$E$19,MATCH($D614,MODELOS!$A$3:$A$19,0)))</f>
        <v>300 × 300</v>
      </c>
      <c r="I614" s="11" t="str">
        <f aca="false">INDEX(MODELOS!$J$3:$J$19,MATCH($D614,MODELOS!$A$3:$A$19,0))</f>
        <v>Conforme modelo</v>
      </c>
      <c r="J614" s="11" t="str">
        <f aca="false">IF(LEFT($D614,2)&lt;&gt;"AP",IF($I614="SIM","SIM","RECOMENDADA"),IF(INDEX(PRODUTOS!$J$4:$J$63,MATCH($A614,PRODUTOS!$B$4:$B$63,0))&lt;&gt;"","NÃO (usa o A+ do EAN "&amp;INDEX(PRODUTOS!$J$4:$J$63,MATCH($A614,PRODUTOS!$B$4:$B$63,0))&amp;")",IF(AND(INDEX(PRODUTOS!$I$4:$I$63,MATCH($A614,PRODUTOS!$B$4:$B$63,0))="B",$D614="AP07"),"NÃO (modelo B)","SIM")))</f>
        <v>SIM</v>
      </c>
      <c r="K614" s="13" t="s">
        <v>325</v>
      </c>
      <c r="L614" s="13"/>
    </row>
    <row r="615" customFormat="false" ht="15" hidden="false" customHeight="false" outlineLevel="0" collapsed="false">
      <c r="A615" s="15" t="s">
        <v>198</v>
      </c>
      <c r="B615" s="11" t="str">
        <f aca="false">INDEX(PRODUTOS!$E$4:$E$63,MATCH($A615,PRODUTOS!$B$4:$B$63,0))</f>
        <v>Sachê Natural Dots Livre de Trangênico Gato Carne 85 g</v>
      </c>
      <c r="C615" s="11" t="str">
        <f aca="false">INDEX(PRODUTOS!$H$4:$H$63,MATCH($A615,PRODUTOS!$B$4:$B$63,0))</f>
        <v>85 g</v>
      </c>
      <c r="D615" s="11" t="s">
        <v>341</v>
      </c>
      <c r="E615" s="16" t="str">
        <f aca="false">$A615&amp;"."&amp;$D615&amp;".jpg"</f>
        <v>7908591300390.COMP.jpg</v>
      </c>
      <c r="F615" s="11" t="str">
        <f aca="false">IF(INDEX(PRODUTOS!$I$4:$I$63,MATCH($A615,PRODUTOS!$B$4:$B$63,0))="B",INDEX(MODELOS!$F$3:$F$19,MATCH($D615,MODELOS!$A$3:$A$19,0)),INDEX(MODELOS!$B$3:$B$19,MATCH($D615,MODELOS!$A$3:$A$19,0)))</f>
        <v>A+ · Tabela comparativa</v>
      </c>
      <c r="G615" s="11" t="str">
        <f aca="false">IF(INDEX(PRODUTOS!$F$4:$F$63,MATCH($A615,PRODUTOS!$B$4:$B$63,0))="Ração",IF(INDEX(PRODUTOS!$I$4:$I$63,MATCH($A615,PRODUTOS!$B$4:$B$63,0))="B",INDEX(MODELOS!$G$3:$G$19,MATCH($D615,MODELOS!$A$3:$A$19,0)),INDEX(MODELOS!$C$3:$C$19,MATCH($D615,MODELOS!$A$3:$A$19,0))),IF(INDEX(PRODUTOS!$I$4:$I$63,MATCH($A615,PRODUTOS!$B$4:$B$63,0))="B",INDEX(MODELOS!$H$3:$H$19,MATCH($D615,MODELOS!$A$3:$A$19,0)),INDEX(MODELOS!$D$3:$D$19,MATCH($D615,MODELOS!$A$3:$A$19,0))))</f>
        <v>Pacote na vertical, sem fundo colorido</v>
      </c>
      <c r="H615" s="11" t="str">
        <f aca="false">IF(INDEX(PRODUTOS!$I$4:$I$63,MATCH($A615,PRODUTOS!$B$4:$B$63,0))="B",INDEX(MODELOS!$I$3:$I$19,MATCH($D615,MODELOS!$A$3:$A$19,0)),INDEX(MODELOS!$E$3:$E$19,MATCH($D615,MODELOS!$A$3:$A$19,0)))</f>
        <v>150 × 300</v>
      </c>
      <c r="I615" s="11" t="str">
        <f aca="false">INDEX(MODELOS!$J$3:$J$19,MATCH($D615,MODELOS!$A$3:$A$19,0))</f>
        <v>SIM</v>
      </c>
      <c r="J615" s="11" t="str">
        <f aca="false">IF(LEFT($D615,2)&lt;&gt;"AP",IF($I615="SIM","SIM","RECOMENDADA"),IF(INDEX(PRODUTOS!$J$4:$J$63,MATCH($A615,PRODUTOS!$B$4:$B$63,0))&lt;&gt;"","NÃO (usa o A+ do EAN "&amp;INDEX(PRODUTOS!$J$4:$J$63,MATCH($A615,PRODUTOS!$B$4:$B$63,0))&amp;")",IF(AND(INDEX(PRODUTOS!$I$4:$I$63,MATCH($A615,PRODUTOS!$B$4:$B$63,0))="B",$D615="AP07"),"NÃO (modelo B)","SIM")))</f>
        <v>SIM</v>
      </c>
      <c r="K615" s="13" t="s">
        <v>325</v>
      </c>
      <c r="L615" s="13"/>
    </row>
    <row r="616" customFormat="false" ht="15" hidden="false" customHeight="false" outlineLevel="0" collapsed="false">
      <c r="A616" s="15" t="s">
        <v>202</v>
      </c>
      <c r="B616" s="11" t="str">
        <f aca="false">INDEX(PRODUTOS!$E$4:$E$63,MATCH($A616,PRODUTOS!$B$4:$B$63,0))</f>
        <v>Sachê Natural Dots para Gatos Sabor Salmão 85 g - Livre de Transgênicos</v>
      </c>
      <c r="C616" s="11" t="str">
        <f aca="false">INDEX(PRODUTOS!$H$4:$H$63,MATCH($A616,PRODUTOS!$B$4:$B$63,0))</f>
        <v>85 g</v>
      </c>
      <c r="D616" s="11" t="s">
        <v>324</v>
      </c>
      <c r="E616" s="16" t="str">
        <f aca="false">$A616&amp;"."&amp;$D616&amp;".jpg"</f>
        <v>7908591300673.MAIN.jpg</v>
      </c>
      <c r="F616" s="11" t="str">
        <f aca="false">IF(INDEX(PRODUTOS!$I$4:$I$63,MATCH($A616,PRODUTOS!$B$4:$B$63,0))="B",INDEX(MODELOS!$F$3:$F$19,MATCH($D616,MODELOS!$A$3:$A$19,0)),INDEX(MODELOS!$B$3:$B$19,MATCH($D616,MODELOS!$A$3:$A$19,0)))</f>
        <v>Capa (posição 1)</v>
      </c>
      <c r="G616" s="11" t="str">
        <f aca="false">IF(INDEX(PRODUTOS!$F$4:$F$63,MATCH($A616,PRODUTOS!$B$4:$B$63,0))="Ração",IF(INDEX(PRODUTOS!$I$4:$I$63,MATCH($A616,PRODUTOS!$B$4:$B$63,0))="B",INDEX(MODELOS!$G$3:$G$19,MATCH($D616,MODELOS!$A$3:$A$19,0)),INDEX(MODELOS!$C$3:$C$19,MATCH($D616,MODELOS!$A$3:$A$19,0))),IF(INDEX(PRODUTOS!$I$4:$I$63,MATCH($A616,PRODUTOS!$B$4:$B$63,0))="B",INDEX(MODELOS!$H$3:$H$19,MATCH($D616,MODELOS!$A$3:$A$19,0)),INDEX(MODELOS!$D$3:$D$19,MATCH($D616,MODELOS!$A$3:$A$19,0))))</f>
        <v>Embalagem de frente, fundo branco puro, 85% da área, nada adicionado</v>
      </c>
      <c r="H616" s="11" t="str">
        <f aca="false">IF(INDEX(PRODUTOS!$I$4:$I$63,MATCH($A616,PRODUTOS!$B$4:$B$63,0))="B",INDEX(MODELOS!$I$3:$I$19,MATCH($D616,MODELOS!$A$3:$A$19,0)),INDEX(MODELOS!$E$3:$E$19,MATCH($D616,MODELOS!$A$3:$A$19,0)))</f>
        <v>2000 × 2000</v>
      </c>
      <c r="I616" s="11" t="str">
        <f aca="false">INDEX(MODELOS!$J$3:$J$19,MATCH($D616,MODELOS!$A$3:$A$19,0))</f>
        <v>SIM</v>
      </c>
      <c r="J616" s="11" t="str">
        <f aca="false">IF(LEFT($D616,2)&lt;&gt;"AP",IF($I616="SIM","SIM","RECOMENDADA"),IF(INDEX(PRODUTOS!$J$4:$J$63,MATCH($A616,PRODUTOS!$B$4:$B$63,0))&lt;&gt;"","NÃO (usa o A+ do EAN "&amp;INDEX(PRODUTOS!$J$4:$J$63,MATCH($A616,PRODUTOS!$B$4:$B$63,0))&amp;")",IF(AND(INDEX(PRODUTOS!$I$4:$I$63,MATCH($A616,PRODUTOS!$B$4:$B$63,0))="B",$D616="AP07"),"NÃO (modelo B)","SIM")))</f>
        <v>SIM</v>
      </c>
      <c r="K616" s="13" t="s">
        <v>325</v>
      </c>
      <c r="L616" s="13"/>
    </row>
    <row r="617" customFormat="false" ht="15" hidden="false" customHeight="false" outlineLevel="0" collapsed="false">
      <c r="A617" s="15" t="s">
        <v>202</v>
      </c>
      <c r="B617" s="11" t="str">
        <f aca="false">INDEX(PRODUTOS!$E$4:$E$63,MATCH($A617,PRODUTOS!$B$4:$B$63,0))</f>
        <v>Sachê Natural Dots para Gatos Sabor Salmão 85 g - Livre de Transgênicos</v>
      </c>
      <c r="C617" s="11" t="str">
        <f aca="false">INDEX(PRODUTOS!$H$4:$H$63,MATCH($A617,PRODUTOS!$B$4:$B$63,0))</f>
        <v>85 g</v>
      </c>
      <c r="D617" s="11" t="s">
        <v>326</v>
      </c>
      <c r="E617" s="16" t="str">
        <f aca="false">$A617&amp;"."&amp;$D617&amp;".jpg"</f>
        <v>7908591300673.PT01.jpg</v>
      </c>
      <c r="F617" s="11" t="str">
        <f aca="false">IF(INDEX(PRODUTOS!$I$4:$I$63,MATCH($A617,PRODUTOS!$B$4:$B$63,0))="B",INDEX(MODELOS!$F$3:$F$19,MATCH($D617,MODELOS!$A$3:$A$19,0)),INDEX(MODELOS!$B$3:$B$19,MATCH($D617,MODELOS!$A$3:$A$19,0)))</f>
        <v>Galeria · posição 2</v>
      </c>
      <c r="G617" s="11" t="str">
        <f aca="false">IF(INDEX(PRODUTOS!$F$4:$F$63,MATCH($A617,PRODUTOS!$B$4:$B$63,0))="Ração",IF(INDEX(PRODUTOS!$I$4:$I$63,MATCH($A617,PRODUTOS!$B$4:$B$63,0))="B",INDEX(MODELOS!$G$3:$G$19,MATCH($D617,MODELOS!$A$3:$A$19,0)),INDEX(MODELOS!$C$3:$C$19,MATCH($D617,MODELOS!$A$3:$A$19,0))),IF(INDEX(PRODUTOS!$I$4:$I$63,MATCH($A617,PRODUTOS!$B$4:$B$63,0))="B",INDEX(MODELOS!$H$3:$H$19,MATCH($D617,MODELOS!$A$3:$A$19,0)),INDEX(MODELOS!$D$3:$D$19,MATCH($D617,MODELOS!$A$3:$A$19,0))))</f>
        <v>Grande diferencial da linha (número ou promessa forte + grão e ingrediente)</v>
      </c>
      <c r="H617" s="11" t="str">
        <f aca="false">IF(INDEX(PRODUTOS!$I$4:$I$63,MATCH($A617,PRODUTOS!$B$4:$B$63,0))="B",INDEX(MODELOS!$I$3:$I$19,MATCH($D617,MODELOS!$A$3:$A$19,0)),INDEX(MODELOS!$E$3:$E$19,MATCH($D617,MODELOS!$A$3:$A$19,0)))</f>
        <v>2000 × 2000</v>
      </c>
      <c r="I617" s="11" t="str">
        <f aca="false">INDEX(MODELOS!$J$3:$J$19,MATCH($D617,MODELOS!$A$3:$A$19,0))</f>
        <v>SIM</v>
      </c>
      <c r="J617" s="11" t="str">
        <f aca="false">IF(LEFT($D617,2)&lt;&gt;"AP",IF($I617="SIM","SIM","RECOMENDADA"),IF(INDEX(PRODUTOS!$J$4:$J$63,MATCH($A617,PRODUTOS!$B$4:$B$63,0))&lt;&gt;"","NÃO (usa o A+ do EAN "&amp;INDEX(PRODUTOS!$J$4:$J$63,MATCH($A617,PRODUTOS!$B$4:$B$63,0))&amp;")",IF(AND(INDEX(PRODUTOS!$I$4:$I$63,MATCH($A617,PRODUTOS!$B$4:$B$63,0))="B",$D617="AP07"),"NÃO (modelo B)","SIM")))</f>
        <v>SIM</v>
      </c>
      <c r="K617" s="13" t="s">
        <v>325</v>
      </c>
      <c r="L617" s="13"/>
    </row>
    <row r="618" customFormat="false" ht="15" hidden="false" customHeight="false" outlineLevel="0" collapsed="false">
      <c r="A618" s="15" t="s">
        <v>202</v>
      </c>
      <c r="B618" s="11" t="str">
        <f aca="false">INDEX(PRODUTOS!$E$4:$E$63,MATCH($A618,PRODUTOS!$B$4:$B$63,0))</f>
        <v>Sachê Natural Dots para Gatos Sabor Salmão 85 g - Livre de Transgênicos</v>
      </c>
      <c r="C618" s="11" t="str">
        <f aca="false">INDEX(PRODUTOS!$H$4:$H$63,MATCH($A618,PRODUTOS!$B$4:$B$63,0))</f>
        <v>85 g</v>
      </c>
      <c r="D618" s="11" t="s">
        <v>327</v>
      </c>
      <c r="E618" s="16" t="str">
        <f aca="false">$A618&amp;"."&amp;$D618&amp;".jpg"</f>
        <v>7908591300673.PT02.jpg</v>
      </c>
      <c r="F618" s="11" t="str">
        <f aca="false">IF(INDEX(PRODUTOS!$I$4:$I$63,MATCH($A618,PRODUTOS!$B$4:$B$63,0))="B",INDEX(MODELOS!$F$3:$F$19,MATCH($D618,MODELOS!$A$3:$A$19,0)),INDEX(MODELOS!$B$3:$B$19,MATCH($D618,MODELOS!$A$3:$A$19,0)))</f>
        <v>Galeria · posição 3</v>
      </c>
      <c r="G618" s="11" t="str">
        <f aca="false">IF(INDEX(PRODUTOS!$F$4:$F$63,MATCH($A618,PRODUTOS!$B$4:$B$63,0))="Ração",IF(INDEX(PRODUTOS!$I$4:$I$63,MATCH($A618,PRODUTOS!$B$4:$B$63,0))="B",INDEX(MODELOS!$G$3:$G$19,MATCH($D618,MODELOS!$A$3:$A$19,0)),INDEX(MODELOS!$C$3:$C$19,MATCH($D618,MODELOS!$A$3:$A$19,0))),IF(INDEX(PRODUTOS!$I$4:$I$63,MATCH($A618,PRODUTOS!$B$4:$B$63,0))="B",INDEX(MODELOS!$H$3:$H$19,MATCH($D618,MODELOS!$A$3:$A$19,0)),INDEX(MODELOS!$D$3:$D$19,MATCH($D618,MODELOS!$A$3:$A$19,0))))</f>
        <v>Benefícios com ícones (4 a 6, impressos na embalagem) + ingrediente</v>
      </c>
      <c r="H618" s="11" t="str">
        <f aca="false">IF(INDEX(PRODUTOS!$I$4:$I$63,MATCH($A618,PRODUTOS!$B$4:$B$63,0))="B",INDEX(MODELOS!$I$3:$I$19,MATCH($D618,MODELOS!$A$3:$A$19,0)),INDEX(MODELOS!$E$3:$E$19,MATCH($D618,MODELOS!$A$3:$A$19,0)))</f>
        <v>2000 × 2000</v>
      </c>
      <c r="I618" s="11" t="str">
        <f aca="false">INDEX(MODELOS!$J$3:$J$19,MATCH($D618,MODELOS!$A$3:$A$19,0))</f>
        <v>SIM</v>
      </c>
      <c r="J618" s="11" t="str">
        <f aca="false">IF(LEFT($D618,2)&lt;&gt;"AP",IF($I618="SIM","SIM","RECOMENDADA"),IF(INDEX(PRODUTOS!$J$4:$J$63,MATCH($A618,PRODUTOS!$B$4:$B$63,0))&lt;&gt;"","NÃO (usa o A+ do EAN "&amp;INDEX(PRODUTOS!$J$4:$J$63,MATCH($A618,PRODUTOS!$B$4:$B$63,0))&amp;")",IF(AND(INDEX(PRODUTOS!$I$4:$I$63,MATCH($A618,PRODUTOS!$B$4:$B$63,0))="B",$D618="AP07"),"NÃO (modelo B)","SIM")))</f>
        <v>SIM</v>
      </c>
      <c r="K618" s="13" t="s">
        <v>325</v>
      </c>
      <c r="L618" s="13"/>
    </row>
    <row r="619" customFormat="false" ht="15" hidden="false" customHeight="false" outlineLevel="0" collapsed="false">
      <c r="A619" s="15" t="s">
        <v>202</v>
      </c>
      <c r="B619" s="11" t="str">
        <f aca="false">INDEX(PRODUTOS!$E$4:$E$63,MATCH($A619,PRODUTOS!$B$4:$B$63,0))</f>
        <v>Sachê Natural Dots para Gatos Sabor Salmão 85 g - Livre de Transgênicos</v>
      </c>
      <c r="C619" s="11" t="str">
        <f aca="false">INDEX(PRODUTOS!$H$4:$H$63,MATCH($A619,PRODUTOS!$B$4:$B$63,0))</f>
        <v>85 g</v>
      </c>
      <c r="D619" s="11" t="s">
        <v>328</v>
      </c>
      <c r="E619" s="16" t="str">
        <f aca="false">$A619&amp;"."&amp;$D619&amp;".jpg"</f>
        <v>7908591300673.PT03.jpg</v>
      </c>
      <c r="F619" s="11" t="str">
        <f aca="false">IF(INDEX(PRODUTOS!$I$4:$I$63,MATCH($A619,PRODUTOS!$B$4:$B$63,0))="B",INDEX(MODELOS!$F$3:$F$19,MATCH($D619,MODELOS!$A$3:$A$19,0)),INDEX(MODELOS!$B$3:$B$19,MATCH($D619,MODELOS!$A$3:$A$19,0)))</f>
        <v>Galeria · posição 4</v>
      </c>
      <c r="G619" s="11" t="str">
        <f aca="false">IF(INDEX(PRODUTOS!$F$4:$F$63,MATCH($A619,PRODUTOS!$B$4:$B$63,0))="Ração",IF(INDEX(PRODUTOS!$I$4:$I$63,MATCH($A619,PRODUTOS!$B$4:$B$63,0))="B",INDEX(MODELOS!$G$3:$G$19,MATCH($D619,MODELOS!$A$3:$A$19,0)),INDEX(MODELOS!$C$3:$C$19,MATCH($D619,MODELOS!$A$3:$A$19,0))),IF(INDEX(PRODUTOS!$I$4:$I$63,MATCH($A619,PRODUTOS!$B$4:$B$63,0))="B",INDEX(MODELOS!$H$3:$H$19,MATCH($D619,MODELOS!$A$3:$A$19,0)),INDEX(MODELOS!$D$3:$D$19,MATCH($D619,MODELOS!$A$3:$A$19,0))))</f>
        <v>Formato e tamanho do grão, com medida em mm e referência de tamanho</v>
      </c>
      <c r="H619" s="11" t="str">
        <f aca="false">IF(INDEX(PRODUTOS!$I$4:$I$63,MATCH($A619,PRODUTOS!$B$4:$B$63,0))="B",INDEX(MODELOS!$I$3:$I$19,MATCH($D619,MODELOS!$A$3:$A$19,0)),INDEX(MODELOS!$E$3:$E$19,MATCH($D619,MODELOS!$A$3:$A$19,0)))</f>
        <v>2000 × 2000</v>
      </c>
      <c r="I619" s="11" t="str">
        <f aca="false">INDEX(MODELOS!$J$3:$J$19,MATCH($D619,MODELOS!$A$3:$A$19,0))</f>
        <v>SIM</v>
      </c>
      <c r="J619" s="11" t="str">
        <f aca="false">IF(LEFT($D619,2)&lt;&gt;"AP",IF($I619="SIM","SIM","RECOMENDADA"),IF(INDEX(PRODUTOS!$J$4:$J$63,MATCH($A619,PRODUTOS!$B$4:$B$63,0))&lt;&gt;"","NÃO (usa o A+ do EAN "&amp;INDEX(PRODUTOS!$J$4:$J$63,MATCH($A619,PRODUTOS!$B$4:$B$63,0))&amp;")",IF(AND(INDEX(PRODUTOS!$I$4:$I$63,MATCH($A619,PRODUTOS!$B$4:$B$63,0))="B",$D619="AP07"),"NÃO (modelo B)","SIM")))</f>
        <v>SIM</v>
      </c>
      <c r="K619" s="13" t="s">
        <v>325</v>
      </c>
      <c r="L619" s="13"/>
    </row>
    <row r="620" customFormat="false" ht="15" hidden="false" customHeight="false" outlineLevel="0" collapsed="false">
      <c r="A620" s="15" t="s">
        <v>202</v>
      </c>
      <c r="B620" s="11" t="str">
        <f aca="false">INDEX(PRODUTOS!$E$4:$E$63,MATCH($A620,PRODUTOS!$B$4:$B$63,0))</f>
        <v>Sachê Natural Dots para Gatos Sabor Salmão 85 g - Livre de Transgênicos</v>
      </c>
      <c r="C620" s="11" t="str">
        <f aca="false">INDEX(PRODUTOS!$H$4:$H$63,MATCH($A620,PRODUTOS!$B$4:$B$63,0))</f>
        <v>85 g</v>
      </c>
      <c r="D620" s="11" t="s">
        <v>329</v>
      </c>
      <c r="E620" s="16" t="str">
        <f aca="false">$A620&amp;"."&amp;$D620&amp;".jpg"</f>
        <v>7908591300673.PT04.jpg</v>
      </c>
      <c r="F620" s="11" t="str">
        <f aca="false">IF(INDEX(PRODUTOS!$I$4:$I$63,MATCH($A620,PRODUTOS!$B$4:$B$63,0))="B",INDEX(MODELOS!$F$3:$F$19,MATCH($D620,MODELOS!$A$3:$A$19,0)),INDEX(MODELOS!$B$3:$B$19,MATCH($D620,MODELOS!$A$3:$A$19,0)))</f>
        <v>Galeria · posição 5</v>
      </c>
      <c r="G620" s="11" t="str">
        <f aca="false">IF(INDEX(PRODUTOS!$F$4:$F$63,MATCH($A620,PRODUTOS!$B$4:$B$63,0))="Ração",IF(INDEX(PRODUTOS!$I$4:$I$63,MATCH($A620,PRODUTOS!$B$4:$B$63,0))="B",INDEX(MODELOS!$G$3:$G$19,MATCH($D620,MODELOS!$A$3:$A$19,0)),INDEX(MODELOS!$C$3:$C$19,MATCH($D620,MODELOS!$A$3:$A$19,0))),IF(INDEX(PRODUTOS!$I$4:$I$63,MATCH($A620,PRODUTOS!$B$4:$B$63,0))="B",INDEX(MODELOS!$H$3:$H$19,MATCH($D620,MODELOS!$A$3:$A$19,0)),INDEX(MODELOS!$D$3:$D$19,MATCH($D620,MODELOS!$A$3:$A$19,0))))</f>
        <v>Quantidade diária por peso do cão/gato (números idênticos à embalagem)</v>
      </c>
      <c r="H620" s="11" t="str">
        <f aca="false">IF(INDEX(PRODUTOS!$I$4:$I$63,MATCH($A620,PRODUTOS!$B$4:$B$63,0))="B",INDEX(MODELOS!$I$3:$I$19,MATCH($D620,MODELOS!$A$3:$A$19,0)),INDEX(MODELOS!$E$3:$E$19,MATCH($D620,MODELOS!$A$3:$A$19,0)))</f>
        <v>2000 × 2000</v>
      </c>
      <c r="I620" s="11" t="str">
        <f aca="false">INDEX(MODELOS!$J$3:$J$19,MATCH($D620,MODELOS!$A$3:$A$19,0))</f>
        <v>SIM</v>
      </c>
      <c r="J620" s="11" t="str">
        <f aca="false">IF(LEFT($D620,2)&lt;&gt;"AP",IF($I620="SIM","SIM","RECOMENDADA"),IF(INDEX(PRODUTOS!$J$4:$J$63,MATCH($A620,PRODUTOS!$B$4:$B$63,0))&lt;&gt;"","NÃO (usa o A+ do EAN "&amp;INDEX(PRODUTOS!$J$4:$J$63,MATCH($A620,PRODUTOS!$B$4:$B$63,0))&amp;")",IF(AND(INDEX(PRODUTOS!$I$4:$I$63,MATCH($A620,PRODUTOS!$B$4:$B$63,0))="B",$D620="AP07"),"NÃO (modelo B)","SIM")))</f>
        <v>SIM</v>
      </c>
      <c r="K620" s="13" t="s">
        <v>325</v>
      </c>
      <c r="L620" s="13"/>
    </row>
    <row r="621" customFormat="false" ht="15" hidden="false" customHeight="false" outlineLevel="0" collapsed="false">
      <c r="A621" s="15" t="s">
        <v>202</v>
      </c>
      <c r="B621" s="11" t="str">
        <f aca="false">INDEX(PRODUTOS!$E$4:$E$63,MATCH($A621,PRODUTOS!$B$4:$B$63,0))</f>
        <v>Sachê Natural Dots para Gatos Sabor Salmão 85 g - Livre de Transgênicos</v>
      </c>
      <c r="C621" s="11" t="str">
        <f aca="false">INDEX(PRODUTOS!$H$4:$H$63,MATCH($A621,PRODUTOS!$B$4:$B$63,0))</f>
        <v>85 g</v>
      </c>
      <c r="D621" s="11" t="s">
        <v>330</v>
      </c>
      <c r="E621" s="16" t="str">
        <f aca="false">$A621&amp;"."&amp;$D621&amp;".jpg"</f>
        <v>7908591300673.PT05.jpg</v>
      </c>
      <c r="F621" s="11" t="str">
        <f aca="false">IF(INDEX(PRODUTOS!$I$4:$I$63,MATCH($A621,PRODUTOS!$B$4:$B$63,0))="B",INDEX(MODELOS!$F$3:$F$19,MATCH($D621,MODELOS!$A$3:$A$19,0)),INDEX(MODELOS!$B$3:$B$19,MATCH($D621,MODELOS!$A$3:$A$19,0)))</f>
        <v>Galeria · posição 6</v>
      </c>
      <c r="G621" s="11" t="str">
        <f aca="false">IF(INDEX(PRODUTOS!$F$4:$F$63,MATCH($A621,PRODUTOS!$B$4:$B$63,0))="Ração",IF(INDEX(PRODUTOS!$I$4:$I$63,MATCH($A621,PRODUTOS!$B$4:$B$63,0))="B",INDEX(MODELOS!$G$3:$G$19,MATCH($D621,MODELOS!$A$3:$A$19,0)),INDEX(MODELOS!$C$3:$C$19,MATCH($D621,MODELOS!$A$3:$A$19,0))),IF(INDEX(PRODUTOS!$I$4:$I$63,MATCH($A621,PRODUTOS!$B$4:$B$63,0))="B",INDEX(MODELOS!$H$3:$H$19,MATCH($D621,MODELOS!$A$3:$A$19,0)),INDEX(MODELOS!$D$3:$D$19,MATCH($D621,MODELOS!$A$3:$A$19,0))))</f>
        <v>Transição alimentar dia a dia (igual ao verso da embalagem)</v>
      </c>
      <c r="H621" s="11" t="str">
        <f aca="false">IF(INDEX(PRODUTOS!$I$4:$I$63,MATCH($A621,PRODUTOS!$B$4:$B$63,0))="B",INDEX(MODELOS!$I$3:$I$19,MATCH($D621,MODELOS!$A$3:$A$19,0)),INDEX(MODELOS!$E$3:$E$19,MATCH($D621,MODELOS!$A$3:$A$19,0)))</f>
        <v>2000 × 2000</v>
      </c>
      <c r="I621" s="11" t="str">
        <f aca="false">INDEX(MODELOS!$J$3:$J$19,MATCH($D621,MODELOS!$A$3:$A$19,0))</f>
        <v>Recomendada</v>
      </c>
      <c r="J621" s="11" t="str">
        <f aca="false">IF(LEFT($D621,2)&lt;&gt;"AP",IF($I621="SIM","SIM","RECOMENDADA"),IF(INDEX(PRODUTOS!$J$4:$J$63,MATCH($A621,PRODUTOS!$B$4:$B$63,0))&lt;&gt;"","NÃO (usa o A+ do EAN "&amp;INDEX(PRODUTOS!$J$4:$J$63,MATCH($A621,PRODUTOS!$B$4:$B$63,0))&amp;")",IF(AND(INDEX(PRODUTOS!$I$4:$I$63,MATCH($A621,PRODUTOS!$B$4:$B$63,0))="B",$D621="AP07"),"NÃO (modelo B)","SIM")))</f>
        <v>RECOMENDADA</v>
      </c>
      <c r="K621" s="13" t="s">
        <v>325</v>
      </c>
      <c r="L621" s="13"/>
    </row>
    <row r="622" customFormat="false" ht="15" hidden="false" customHeight="false" outlineLevel="0" collapsed="false">
      <c r="A622" s="15" t="s">
        <v>202</v>
      </c>
      <c r="B622" s="11" t="str">
        <f aca="false">INDEX(PRODUTOS!$E$4:$E$63,MATCH($A622,PRODUTOS!$B$4:$B$63,0))</f>
        <v>Sachê Natural Dots para Gatos Sabor Salmão 85 g - Livre de Transgênicos</v>
      </c>
      <c r="C622" s="11" t="str">
        <f aca="false">INDEX(PRODUTOS!$H$4:$H$63,MATCH($A622,PRODUTOS!$B$4:$B$63,0))</f>
        <v>85 g</v>
      </c>
      <c r="D622" s="11" t="s">
        <v>331</v>
      </c>
      <c r="E622" s="16" t="str">
        <f aca="false">$A622&amp;"."&amp;$D622&amp;".jpg"</f>
        <v>7908591300673.PT06.jpg</v>
      </c>
      <c r="F622" s="11" t="str">
        <f aca="false">IF(INDEX(PRODUTOS!$I$4:$I$63,MATCH($A622,PRODUTOS!$B$4:$B$63,0))="B",INDEX(MODELOS!$F$3:$F$19,MATCH($D622,MODELOS!$A$3:$A$19,0)),INDEX(MODELOS!$B$3:$B$19,MATCH($D622,MODELOS!$A$3:$A$19,0)))</f>
        <v>Galeria · posição 7</v>
      </c>
      <c r="G622" s="11" t="str">
        <f aca="false">IF(INDEX(PRODUTOS!$F$4:$F$63,MATCH($A622,PRODUTOS!$B$4:$B$63,0))="Ração",IF(INDEX(PRODUTOS!$I$4:$I$63,MATCH($A622,PRODUTOS!$B$4:$B$63,0))="B",INDEX(MODELOS!$G$3:$G$19,MATCH($D622,MODELOS!$A$3:$A$19,0)),INDEX(MODELOS!$C$3:$C$19,MATCH($D622,MODELOS!$A$3:$A$19,0))),IF(INDEX(PRODUTOS!$I$4:$I$63,MATCH($A622,PRODUTOS!$B$4:$B$63,0))="B",INDEX(MODELOS!$H$3:$H$19,MATCH($D622,MODELOS!$A$3:$A$19,0)),INDEX(MODELOS!$D$3:$D$19,MATCH($D622,MODELOS!$A$3:$A$19,0))))</f>
        <v>Composição e níveis de garantia em letra grande</v>
      </c>
      <c r="H622" s="11" t="str">
        <f aca="false">IF(INDEX(PRODUTOS!$I$4:$I$63,MATCH($A622,PRODUTOS!$B$4:$B$63,0))="B",INDEX(MODELOS!$I$3:$I$19,MATCH($D622,MODELOS!$A$3:$A$19,0)),INDEX(MODELOS!$E$3:$E$19,MATCH($D622,MODELOS!$A$3:$A$19,0)))</f>
        <v>2000 × 2000</v>
      </c>
      <c r="I622" s="11" t="str">
        <f aca="false">INDEX(MODELOS!$J$3:$J$19,MATCH($D622,MODELOS!$A$3:$A$19,0))</f>
        <v>SIM</v>
      </c>
      <c r="J622" s="11" t="str">
        <f aca="false">IF(LEFT($D622,2)&lt;&gt;"AP",IF($I622="SIM","SIM","RECOMENDADA"),IF(INDEX(PRODUTOS!$J$4:$J$63,MATCH($A622,PRODUTOS!$B$4:$B$63,0))&lt;&gt;"","NÃO (usa o A+ do EAN "&amp;INDEX(PRODUTOS!$J$4:$J$63,MATCH($A622,PRODUTOS!$B$4:$B$63,0))&amp;")",IF(AND(INDEX(PRODUTOS!$I$4:$I$63,MATCH($A622,PRODUTOS!$B$4:$B$63,0))="B",$D622="AP07"),"NÃO (modelo B)","SIM")))</f>
        <v>SIM</v>
      </c>
      <c r="K622" s="13" t="s">
        <v>325</v>
      </c>
      <c r="L622" s="13"/>
    </row>
    <row r="623" customFormat="false" ht="15" hidden="false" customHeight="false" outlineLevel="0" collapsed="false">
      <c r="A623" s="15" t="s">
        <v>202</v>
      </c>
      <c r="B623" s="11" t="str">
        <f aca="false">INDEX(PRODUTOS!$E$4:$E$63,MATCH($A623,PRODUTOS!$B$4:$B$63,0))</f>
        <v>Sachê Natural Dots para Gatos Sabor Salmão 85 g - Livre de Transgênicos</v>
      </c>
      <c r="C623" s="11" t="str">
        <f aca="false">INDEX(PRODUTOS!$H$4:$H$63,MATCH($A623,PRODUTOS!$B$4:$B$63,0))</f>
        <v>85 g</v>
      </c>
      <c r="D623" s="11" t="s">
        <v>332</v>
      </c>
      <c r="E623" s="16" t="str">
        <f aca="false">$A623&amp;"."&amp;$D623&amp;".jpg"</f>
        <v>7908591300673.PT07.jpg</v>
      </c>
      <c r="F623" s="11" t="str">
        <f aca="false">IF(INDEX(PRODUTOS!$I$4:$I$63,MATCH($A623,PRODUTOS!$B$4:$B$63,0))="B",INDEX(MODELOS!$F$3:$F$19,MATCH($D623,MODELOS!$A$3:$A$19,0)),INDEX(MODELOS!$B$3:$B$19,MATCH($D623,MODELOS!$A$3:$A$19,0)))</f>
        <v>Galeria · posição 8</v>
      </c>
      <c r="G623" s="11" t="str">
        <f aca="false">IF(INDEX(PRODUTOS!$F$4:$F$63,MATCH($A623,PRODUTOS!$B$4:$B$63,0))="Ração",IF(INDEX(PRODUTOS!$I$4:$I$63,MATCH($A623,PRODUTOS!$B$4:$B$63,0))="B",INDEX(MODELOS!$G$3:$G$19,MATCH($D623,MODELOS!$A$3:$A$19,0)),INDEX(MODELOS!$C$3:$C$19,MATCH($D623,MODELOS!$A$3:$A$19,0))),IF(INDEX(PRODUTOS!$I$4:$I$63,MATCH($A623,PRODUTOS!$B$4:$B$63,0))="B",INDEX(MODELOS!$H$3:$H$19,MATCH($D623,MODELOS!$A$3:$A$19,0)),INDEX(MODELOS!$D$3:$D$19,MATCH($D623,MODELOS!$A$3:$A$19,0))))</f>
        <v>Emocional / momento de uso (pet do porte certo, pote cheio)</v>
      </c>
      <c r="H623" s="11" t="str">
        <f aca="false">IF(INDEX(PRODUTOS!$I$4:$I$63,MATCH($A623,PRODUTOS!$B$4:$B$63,0))="B",INDEX(MODELOS!$I$3:$I$19,MATCH($D623,MODELOS!$A$3:$A$19,0)),INDEX(MODELOS!$E$3:$E$19,MATCH($D623,MODELOS!$A$3:$A$19,0)))</f>
        <v>2000 × 2000</v>
      </c>
      <c r="I623" s="11" t="str">
        <f aca="false">INDEX(MODELOS!$J$3:$J$19,MATCH($D623,MODELOS!$A$3:$A$19,0))</f>
        <v>Recomendada</v>
      </c>
      <c r="J623" s="11" t="str">
        <f aca="false">IF(LEFT($D623,2)&lt;&gt;"AP",IF($I623="SIM","SIM","RECOMENDADA"),IF(INDEX(PRODUTOS!$J$4:$J$63,MATCH($A623,PRODUTOS!$B$4:$B$63,0))&lt;&gt;"","NÃO (usa o A+ do EAN "&amp;INDEX(PRODUTOS!$J$4:$J$63,MATCH($A623,PRODUTOS!$B$4:$B$63,0))&amp;")",IF(AND(INDEX(PRODUTOS!$I$4:$I$63,MATCH($A623,PRODUTOS!$B$4:$B$63,0))="B",$D623="AP07"),"NÃO (modelo B)","SIM")))</f>
        <v>RECOMENDADA</v>
      </c>
      <c r="K623" s="13" t="s">
        <v>325</v>
      </c>
      <c r="L623" s="13"/>
    </row>
    <row r="624" customFormat="false" ht="15" hidden="false" customHeight="false" outlineLevel="0" collapsed="false">
      <c r="A624" s="15" t="s">
        <v>202</v>
      </c>
      <c r="B624" s="11" t="str">
        <f aca="false">INDEX(PRODUTOS!$E$4:$E$63,MATCH($A624,PRODUTOS!$B$4:$B$63,0))</f>
        <v>Sachê Natural Dots para Gatos Sabor Salmão 85 g - Livre de Transgênicos</v>
      </c>
      <c r="C624" s="11" t="str">
        <f aca="false">INDEX(PRODUTOS!$H$4:$H$63,MATCH($A624,PRODUTOS!$B$4:$B$63,0))</f>
        <v>85 g</v>
      </c>
      <c r="D624" s="11" t="s">
        <v>333</v>
      </c>
      <c r="E624" s="16" t="str">
        <f aca="false">$A624&amp;"."&amp;$D624&amp;".jpg"</f>
        <v>7908591300673.PT08.jpg</v>
      </c>
      <c r="F624" s="11" t="str">
        <f aca="false">IF(INDEX(PRODUTOS!$I$4:$I$63,MATCH($A624,PRODUTOS!$B$4:$B$63,0))="B",INDEX(MODELOS!$F$3:$F$19,MATCH($D624,MODELOS!$A$3:$A$19,0)),INDEX(MODELOS!$B$3:$B$19,MATCH($D624,MODELOS!$A$3:$A$19,0)))</f>
        <v>Galeria · posição 9</v>
      </c>
      <c r="G624" s="11" t="str">
        <f aca="false">IF(INDEX(PRODUTOS!$F$4:$F$63,MATCH($A624,PRODUTOS!$B$4:$B$63,0))="Ração",IF(INDEX(PRODUTOS!$I$4:$I$63,MATCH($A624,PRODUTOS!$B$4:$B$63,0))="B",INDEX(MODELOS!$G$3:$G$19,MATCH($D624,MODELOS!$A$3:$A$19,0)),INDEX(MODELOS!$C$3:$C$19,MATCH($D624,MODELOS!$A$3:$A$19,0))),IF(INDEX(PRODUTOS!$I$4:$I$63,MATCH($A624,PRODUTOS!$B$4:$B$63,0))="B",INDEX(MODELOS!$H$3:$H$19,MATCH($D624,MODELOS!$A$3:$A$19,0)),INDEX(MODELOS!$D$3:$D$19,MATCH($D624,MODELOS!$A$3:$A$19,0))))</f>
        <v>Linha da marca ou embalagem anterior × nova</v>
      </c>
      <c r="H624" s="11" t="str">
        <f aca="false">IF(INDEX(PRODUTOS!$I$4:$I$63,MATCH($A624,PRODUTOS!$B$4:$B$63,0))="B",INDEX(MODELOS!$I$3:$I$19,MATCH($D624,MODELOS!$A$3:$A$19,0)),INDEX(MODELOS!$E$3:$E$19,MATCH($D624,MODELOS!$A$3:$A$19,0)))</f>
        <v>2000 × 2000</v>
      </c>
      <c r="I624" s="11" t="str">
        <f aca="false">INDEX(MODELOS!$J$3:$J$19,MATCH($D624,MODELOS!$A$3:$A$19,0))</f>
        <v>Recomendada</v>
      </c>
      <c r="J624" s="11" t="str">
        <f aca="false">IF(LEFT($D624,2)&lt;&gt;"AP",IF($I624="SIM","SIM","RECOMENDADA"),IF(INDEX(PRODUTOS!$J$4:$J$63,MATCH($A624,PRODUTOS!$B$4:$B$63,0))&lt;&gt;"","NÃO (usa o A+ do EAN "&amp;INDEX(PRODUTOS!$J$4:$J$63,MATCH($A624,PRODUTOS!$B$4:$B$63,0))&amp;")",IF(AND(INDEX(PRODUTOS!$I$4:$I$63,MATCH($A624,PRODUTOS!$B$4:$B$63,0))="B",$D624="AP07"),"NÃO (modelo B)","SIM")))</f>
        <v>RECOMENDADA</v>
      </c>
      <c r="K624" s="13" t="s">
        <v>325</v>
      </c>
      <c r="L624" s="13"/>
    </row>
    <row r="625" customFormat="false" ht="15" hidden="false" customHeight="false" outlineLevel="0" collapsed="false">
      <c r="A625" s="15" t="s">
        <v>202</v>
      </c>
      <c r="B625" s="11" t="str">
        <f aca="false">INDEX(PRODUTOS!$E$4:$E$63,MATCH($A625,PRODUTOS!$B$4:$B$63,0))</f>
        <v>Sachê Natural Dots para Gatos Sabor Salmão 85 g - Livre de Transgênicos</v>
      </c>
      <c r="C625" s="11" t="str">
        <f aca="false">INDEX(PRODUTOS!$H$4:$H$63,MATCH($A625,PRODUTOS!$B$4:$B$63,0))</f>
        <v>85 g</v>
      </c>
      <c r="D625" s="11" t="s">
        <v>334</v>
      </c>
      <c r="E625" s="16" t="str">
        <f aca="false">$A625&amp;"."&amp;$D625&amp;".jpg"</f>
        <v>7908591300673.AP01.jpg</v>
      </c>
      <c r="F625" s="11" t="str">
        <f aca="false">IF(INDEX(PRODUTOS!$I$4:$I$63,MATCH($A625,PRODUTOS!$B$4:$B$63,0))="B",INDEX(MODELOS!$F$3:$F$19,MATCH($D625,MODELOS!$A$3:$A$19,0)),INDEX(MODELOS!$B$3:$B$19,MATCH($D625,MODELOS!$A$3:$A$19,0)))</f>
        <v>A+ · Módulo 1 · Banner</v>
      </c>
      <c r="G625" s="11" t="str">
        <f aca="false">IF(INDEX(PRODUTOS!$F$4:$F$63,MATCH($A625,PRODUTOS!$B$4:$B$63,0))="Ração",IF(INDEX(PRODUTOS!$I$4:$I$63,MATCH($A625,PRODUTOS!$B$4:$B$63,0))="B",INDEX(MODELOS!$G$3:$G$19,MATCH($D625,MODELOS!$A$3:$A$19,0)),INDEX(MODELOS!$C$3:$C$19,MATCH($D625,MODELOS!$A$3:$A$19,0))),IF(INDEX(PRODUTOS!$I$4:$I$63,MATCH($A625,PRODUTOS!$B$4:$B$63,0))="B",INDEX(MODELOS!$H$3:$H$19,MATCH($D625,MODELOS!$A$3:$A$19,0)),INDEX(MODELOS!$D$3:$D$19,MATCH($D625,MODELOS!$A$3:$A$19,0))))</f>
        <v>Embalagem + pet + ingredientes, com o nome da linha</v>
      </c>
      <c r="H625" s="11" t="str">
        <f aca="false">IF(INDEX(PRODUTOS!$I$4:$I$63,MATCH($A625,PRODUTOS!$B$4:$B$63,0))="B",INDEX(MODELOS!$I$3:$I$19,MATCH($D625,MODELOS!$A$3:$A$19,0)),INDEX(MODELOS!$E$3:$E$19,MATCH($D625,MODELOS!$A$3:$A$19,0)))</f>
        <v>970 × 600</v>
      </c>
      <c r="I625" s="11" t="str">
        <f aca="false">INDEX(MODELOS!$J$3:$J$19,MATCH($D625,MODELOS!$A$3:$A$19,0))</f>
        <v>Conforme modelo</v>
      </c>
      <c r="J625" s="11" t="str">
        <f aca="false">IF(LEFT($D625,2)&lt;&gt;"AP",IF($I625="SIM","SIM","RECOMENDADA"),IF(INDEX(PRODUTOS!$J$4:$J$63,MATCH($A625,PRODUTOS!$B$4:$B$63,0))&lt;&gt;"","NÃO (usa o A+ do EAN "&amp;INDEX(PRODUTOS!$J$4:$J$63,MATCH($A625,PRODUTOS!$B$4:$B$63,0))&amp;")",IF(AND(INDEX(PRODUTOS!$I$4:$I$63,MATCH($A625,PRODUTOS!$B$4:$B$63,0))="B",$D625="AP07"),"NÃO (modelo B)","SIM")))</f>
        <v>SIM</v>
      </c>
      <c r="K625" s="13" t="s">
        <v>325</v>
      </c>
      <c r="L625" s="13"/>
    </row>
    <row r="626" customFormat="false" ht="15" hidden="false" customHeight="false" outlineLevel="0" collapsed="false">
      <c r="A626" s="15" t="s">
        <v>202</v>
      </c>
      <c r="B626" s="11" t="str">
        <f aca="false">INDEX(PRODUTOS!$E$4:$E$63,MATCH($A626,PRODUTOS!$B$4:$B$63,0))</f>
        <v>Sachê Natural Dots para Gatos Sabor Salmão 85 g - Livre de Transgênicos</v>
      </c>
      <c r="C626" s="11" t="str">
        <f aca="false">INDEX(PRODUTOS!$H$4:$H$63,MATCH($A626,PRODUTOS!$B$4:$B$63,0))</f>
        <v>85 g</v>
      </c>
      <c r="D626" s="11" t="s">
        <v>335</v>
      </c>
      <c r="E626" s="16" t="str">
        <f aca="false">$A626&amp;"."&amp;$D626&amp;".jpg"</f>
        <v>7908591300673.AP02.jpg</v>
      </c>
      <c r="F626" s="11" t="str">
        <f aca="false">IF(INDEX(PRODUTOS!$I$4:$I$63,MATCH($A626,PRODUTOS!$B$4:$B$63,0))="B",INDEX(MODELOS!$F$3:$F$19,MATCH($D626,MODELOS!$A$3:$A$19,0)),INDEX(MODELOS!$B$3:$B$19,MATCH($D626,MODELOS!$A$3:$A$19,0)))</f>
        <v>A+ · Módulo 2 · Texto sobreposto</v>
      </c>
      <c r="G626" s="11" t="str">
        <f aca="false">IF(INDEX(PRODUTOS!$F$4:$F$63,MATCH($A626,PRODUTOS!$B$4:$B$63,0))="Ração",IF(INDEX(PRODUTOS!$I$4:$I$63,MATCH($A626,PRODUTOS!$B$4:$B$63,0))="B",INDEX(MODELOS!$G$3:$G$19,MATCH($D626,MODELOS!$A$3:$A$19,0)),INDEX(MODELOS!$C$3:$C$19,MATCH($D626,MODELOS!$A$3:$A$19,0))),IF(INDEX(PRODUTOS!$I$4:$I$63,MATCH($A626,PRODUTOS!$B$4:$B$63,0))="B",INDEX(MODELOS!$H$3:$H$19,MATCH($D626,MODELOS!$A$3:$A$19,0)),INDEX(MODELOS!$D$3:$D$19,MATCH($D626,MODELOS!$A$3:$A$19,0))))</f>
        <v>Principal diferencial; deixar o lado direito limpo</v>
      </c>
      <c r="H626" s="11" t="str">
        <f aca="false">IF(INDEX(PRODUTOS!$I$4:$I$63,MATCH($A626,PRODUTOS!$B$4:$B$63,0))="B",INDEX(MODELOS!$I$3:$I$19,MATCH($D626,MODELOS!$A$3:$A$19,0)),INDEX(MODELOS!$E$3:$E$19,MATCH($D626,MODELOS!$A$3:$A$19,0)))</f>
        <v>970 × 300</v>
      </c>
      <c r="I626" s="11" t="str">
        <f aca="false">INDEX(MODELOS!$J$3:$J$19,MATCH($D626,MODELOS!$A$3:$A$19,0))</f>
        <v>Conforme modelo</v>
      </c>
      <c r="J626" s="11" t="str">
        <f aca="false">IF(LEFT($D626,2)&lt;&gt;"AP",IF($I626="SIM","SIM","RECOMENDADA"),IF(INDEX(PRODUTOS!$J$4:$J$63,MATCH($A626,PRODUTOS!$B$4:$B$63,0))&lt;&gt;"","NÃO (usa o A+ do EAN "&amp;INDEX(PRODUTOS!$J$4:$J$63,MATCH($A626,PRODUTOS!$B$4:$B$63,0))&amp;")",IF(AND(INDEX(PRODUTOS!$I$4:$I$63,MATCH($A626,PRODUTOS!$B$4:$B$63,0))="B",$D626="AP07"),"NÃO (modelo B)","SIM")))</f>
        <v>SIM</v>
      </c>
      <c r="K626" s="13" t="s">
        <v>325</v>
      </c>
      <c r="L626" s="13"/>
    </row>
    <row r="627" customFormat="false" ht="15" hidden="false" customHeight="false" outlineLevel="0" collapsed="false">
      <c r="A627" s="15" t="s">
        <v>202</v>
      </c>
      <c r="B627" s="11" t="str">
        <f aca="false">INDEX(PRODUTOS!$E$4:$E$63,MATCH($A627,PRODUTOS!$B$4:$B$63,0))</f>
        <v>Sachê Natural Dots para Gatos Sabor Salmão 85 g - Livre de Transgênicos</v>
      </c>
      <c r="C627" s="11" t="str">
        <f aca="false">INDEX(PRODUTOS!$H$4:$H$63,MATCH($A627,PRODUTOS!$B$4:$B$63,0))</f>
        <v>85 g</v>
      </c>
      <c r="D627" s="11" t="s">
        <v>336</v>
      </c>
      <c r="E627" s="16" t="str">
        <f aca="false">$A627&amp;"."&amp;$D627&amp;".jpg"</f>
        <v>7908591300673.AP03.jpg</v>
      </c>
      <c r="F627" s="11" t="str">
        <f aca="false">IF(INDEX(PRODUTOS!$I$4:$I$63,MATCH($A627,PRODUTOS!$B$4:$B$63,0))="B",INDEX(MODELOS!$F$3:$F$19,MATCH($D627,MODELOS!$A$3:$A$19,0)),INDEX(MODELOS!$B$3:$B$19,MATCH($D627,MODELOS!$A$3:$A$19,0)))</f>
        <v>A+ · Módulo 3 · Benefício 1 de 4</v>
      </c>
      <c r="G627" s="11" t="str">
        <f aca="false">IF(INDEX(PRODUTOS!$F$4:$F$63,MATCH($A627,PRODUTOS!$B$4:$B$63,0))="Ração",IF(INDEX(PRODUTOS!$I$4:$I$63,MATCH($A627,PRODUTOS!$B$4:$B$63,0))="B",INDEX(MODELOS!$G$3:$G$19,MATCH($D627,MODELOS!$A$3:$A$19,0)),INDEX(MODELOS!$C$3:$C$19,MATCH($D627,MODELOS!$A$3:$A$19,0))),IF(INDEX(PRODUTOS!$I$4:$I$63,MATCH($A627,PRODUTOS!$B$4:$B$63,0))="B",INDEX(MODELOS!$H$3:$H$19,MATCH($D627,MODELOS!$A$3:$A$19,0)),INDEX(MODELOS!$D$3:$D$19,MATCH($D627,MODELOS!$A$3:$A$19,0))))</f>
        <v>Foto/ilustração do benefício 1</v>
      </c>
      <c r="H627" s="11" t="str">
        <f aca="false">IF(INDEX(PRODUTOS!$I$4:$I$63,MATCH($A627,PRODUTOS!$B$4:$B$63,0))="B",INDEX(MODELOS!$I$3:$I$19,MATCH($D627,MODELOS!$A$3:$A$19,0)),INDEX(MODELOS!$E$3:$E$19,MATCH($D627,MODELOS!$A$3:$A$19,0)))</f>
        <v>220 × 200</v>
      </c>
      <c r="I627" s="11" t="str">
        <f aca="false">INDEX(MODELOS!$J$3:$J$19,MATCH($D627,MODELOS!$A$3:$A$19,0))</f>
        <v>Conforme modelo</v>
      </c>
      <c r="J627" s="11" t="str">
        <f aca="false">IF(LEFT($D627,2)&lt;&gt;"AP",IF($I627="SIM","SIM","RECOMENDADA"),IF(INDEX(PRODUTOS!$J$4:$J$63,MATCH($A627,PRODUTOS!$B$4:$B$63,0))&lt;&gt;"","NÃO (usa o A+ do EAN "&amp;INDEX(PRODUTOS!$J$4:$J$63,MATCH($A627,PRODUTOS!$B$4:$B$63,0))&amp;")",IF(AND(INDEX(PRODUTOS!$I$4:$I$63,MATCH($A627,PRODUTOS!$B$4:$B$63,0))="B",$D627="AP07"),"NÃO (modelo B)","SIM")))</f>
        <v>SIM</v>
      </c>
      <c r="K627" s="13" t="s">
        <v>325</v>
      </c>
      <c r="L627" s="13"/>
    </row>
    <row r="628" customFormat="false" ht="15" hidden="false" customHeight="false" outlineLevel="0" collapsed="false">
      <c r="A628" s="15" t="s">
        <v>202</v>
      </c>
      <c r="B628" s="11" t="str">
        <f aca="false">INDEX(PRODUTOS!$E$4:$E$63,MATCH($A628,PRODUTOS!$B$4:$B$63,0))</f>
        <v>Sachê Natural Dots para Gatos Sabor Salmão 85 g - Livre de Transgênicos</v>
      </c>
      <c r="C628" s="11" t="str">
        <f aca="false">INDEX(PRODUTOS!$H$4:$H$63,MATCH($A628,PRODUTOS!$B$4:$B$63,0))</f>
        <v>85 g</v>
      </c>
      <c r="D628" s="11" t="s">
        <v>337</v>
      </c>
      <c r="E628" s="16" t="str">
        <f aca="false">$A628&amp;"."&amp;$D628&amp;".jpg"</f>
        <v>7908591300673.AP04.jpg</v>
      </c>
      <c r="F628" s="11" t="str">
        <f aca="false">IF(INDEX(PRODUTOS!$I$4:$I$63,MATCH($A628,PRODUTOS!$B$4:$B$63,0))="B",INDEX(MODELOS!$F$3:$F$19,MATCH($D628,MODELOS!$A$3:$A$19,0)),INDEX(MODELOS!$B$3:$B$19,MATCH($D628,MODELOS!$A$3:$A$19,0)))</f>
        <v>A+ · Módulo 3 · Benefício 2 de 4</v>
      </c>
      <c r="G628" s="11" t="str">
        <f aca="false">IF(INDEX(PRODUTOS!$F$4:$F$63,MATCH($A628,PRODUTOS!$B$4:$B$63,0))="Ração",IF(INDEX(PRODUTOS!$I$4:$I$63,MATCH($A628,PRODUTOS!$B$4:$B$63,0))="B",INDEX(MODELOS!$G$3:$G$19,MATCH($D628,MODELOS!$A$3:$A$19,0)),INDEX(MODELOS!$C$3:$C$19,MATCH($D628,MODELOS!$A$3:$A$19,0))),IF(INDEX(PRODUTOS!$I$4:$I$63,MATCH($A628,PRODUTOS!$B$4:$B$63,0))="B",INDEX(MODELOS!$H$3:$H$19,MATCH($D628,MODELOS!$A$3:$A$19,0)),INDEX(MODELOS!$D$3:$D$19,MATCH($D628,MODELOS!$A$3:$A$19,0))))</f>
        <v>Foto/ilustração do benefício 2</v>
      </c>
      <c r="H628" s="11" t="str">
        <f aca="false">IF(INDEX(PRODUTOS!$I$4:$I$63,MATCH($A628,PRODUTOS!$B$4:$B$63,0))="B",INDEX(MODELOS!$I$3:$I$19,MATCH($D628,MODELOS!$A$3:$A$19,0)),INDEX(MODELOS!$E$3:$E$19,MATCH($D628,MODELOS!$A$3:$A$19,0)))</f>
        <v>220 × 200</v>
      </c>
      <c r="I628" s="11" t="str">
        <f aca="false">INDEX(MODELOS!$J$3:$J$19,MATCH($D628,MODELOS!$A$3:$A$19,0))</f>
        <v>Conforme modelo</v>
      </c>
      <c r="J628" s="11" t="str">
        <f aca="false">IF(LEFT($D628,2)&lt;&gt;"AP",IF($I628="SIM","SIM","RECOMENDADA"),IF(INDEX(PRODUTOS!$J$4:$J$63,MATCH($A628,PRODUTOS!$B$4:$B$63,0))&lt;&gt;"","NÃO (usa o A+ do EAN "&amp;INDEX(PRODUTOS!$J$4:$J$63,MATCH($A628,PRODUTOS!$B$4:$B$63,0))&amp;")",IF(AND(INDEX(PRODUTOS!$I$4:$I$63,MATCH($A628,PRODUTOS!$B$4:$B$63,0))="B",$D628="AP07"),"NÃO (modelo B)","SIM")))</f>
        <v>SIM</v>
      </c>
      <c r="K628" s="13" t="s">
        <v>325</v>
      </c>
      <c r="L628" s="13"/>
    </row>
    <row r="629" customFormat="false" ht="15" hidden="false" customHeight="false" outlineLevel="0" collapsed="false">
      <c r="A629" s="15" t="s">
        <v>202</v>
      </c>
      <c r="B629" s="11" t="str">
        <f aca="false">INDEX(PRODUTOS!$E$4:$E$63,MATCH($A629,PRODUTOS!$B$4:$B$63,0))</f>
        <v>Sachê Natural Dots para Gatos Sabor Salmão 85 g - Livre de Transgênicos</v>
      </c>
      <c r="C629" s="11" t="str">
        <f aca="false">INDEX(PRODUTOS!$H$4:$H$63,MATCH($A629,PRODUTOS!$B$4:$B$63,0))</f>
        <v>85 g</v>
      </c>
      <c r="D629" s="11" t="s">
        <v>338</v>
      </c>
      <c r="E629" s="16" t="str">
        <f aca="false">$A629&amp;"."&amp;$D629&amp;".jpg"</f>
        <v>7908591300673.AP05.jpg</v>
      </c>
      <c r="F629" s="11" t="str">
        <f aca="false">IF(INDEX(PRODUTOS!$I$4:$I$63,MATCH($A629,PRODUTOS!$B$4:$B$63,0))="B",INDEX(MODELOS!$F$3:$F$19,MATCH($D629,MODELOS!$A$3:$A$19,0)),INDEX(MODELOS!$B$3:$B$19,MATCH($D629,MODELOS!$A$3:$A$19,0)))</f>
        <v>A+ · Módulo 3 · Benefício 3 de 4</v>
      </c>
      <c r="G629" s="11" t="str">
        <f aca="false">IF(INDEX(PRODUTOS!$F$4:$F$63,MATCH($A629,PRODUTOS!$B$4:$B$63,0))="Ração",IF(INDEX(PRODUTOS!$I$4:$I$63,MATCH($A629,PRODUTOS!$B$4:$B$63,0))="B",INDEX(MODELOS!$G$3:$G$19,MATCH($D629,MODELOS!$A$3:$A$19,0)),INDEX(MODELOS!$C$3:$C$19,MATCH($D629,MODELOS!$A$3:$A$19,0))),IF(INDEX(PRODUTOS!$I$4:$I$63,MATCH($A629,PRODUTOS!$B$4:$B$63,0))="B",INDEX(MODELOS!$H$3:$H$19,MATCH($D629,MODELOS!$A$3:$A$19,0)),INDEX(MODELOS!$D$3:$D$19,MATCH($D629,MODELOS!$A$3:$A$19,0))))</f>
        <v>Foto/ilustração do benefício 3</v>
      </c>
      <c r="H629" s="11" t="str">
        <f aca="false">IF(INDEX(PRODUTOS!$I$4:$I$63,MATCH($A629,PRODUTOS!$B$4:$B$63,0))="B",INDEX(MODELOS!$I$3:$I$19,MATCH($D629,MODELOS!$A$3:$A$19,0)),INDEX(MODELOS!$E$3:$E$19,MATCH($D629,MODELOS!$A$3:$A$19,0)))</f>
        <v>220 × 200</v>
      </c>
      <c r="I629" s="11" t="str">
        <f aca="false">INDEX(MODELOS!$J$3:$J$19,MATCH($D629,MODELOS!$A$3:$A$19,0))</f>
        <v>Conforme modelo</v>
      </c>
      <c r="J629" s="11" t="str">
        <f aca="false">IF(LEFT($D629,2)&lt;&gt;"AP",IF($I629="SIM","SIM","RECOMENDADA"),IF(INDEX(PRODUTOS!$J$4:$J$63,MATCH($A629,PRODUTOS!$B$4:$B$63,0))&lt;&gt;"","NÃO (usa o A+ do EAN "&amp;INDEX(PRODUTOS!$J$4:$J$63,MATCH($A629,PRODUTOS!$B$4:$B$63,0))&amp;")",IF(AND(INDEX(PRODUTOS!$I$4:$I$63,MATCH($A629,PRODUTOS!$B$4:$B$63,0))="B",$D629="AP07"),"NÃO (modelo B)","SIM")))</f>
        <v>SIM</v>
      </c>
      <c r="K629" s="13" t="s">
        <v>325</v>
      </c>
      <c r="L629" s="13"/>
    </row>
    <row r="630" customFormat="false" ht="15" hidden="false" customHeight="false" outlineLevel="0" collapsed="false">
      <c r="A630" s="15" t="s">
        <v>202</v>
      </c>
      <c r="B630" s="11" t="str">
        <f aca="false">INDEX(PRODUTOS!$E$4:$E$63,MATCH($A630,PRODUTOS!$B$4:$B$63,0))</f>
        <v>Sachê Natural Dots para Gatos Sabor Salmão 85 g - Livre de Transgênicos</v>
      </c>
      <c r="C630" s="11" t="str">
        <f aca="false">INDEX(PRODUTOS!$H$4:$H$63,MATCH($A630,PRODUTOS!$B$4:$B$63,0))</f>
        <v>85 g</v>
      </c>
      <c r="D630" s="11" t="s">
        <v>339</v>
      </c>
      <c r="E630" s="16" t="str">
        <f aca="false">$A630&amp;"."&amp;$D630&amp;".jpg"</f>
        <v>7908591300673.AP06.jpg</v>
      </c>
      <c r="F630" s="11" t="str">
        <f aca="false">IF(INDEX(PRODUTOS!$I$4:$I$63,MATCH($A630,PRODUTOS!$B$4:$B$63,0))="B",INDEX(MODELOS!$F$3:$F$19,MATCH($D630,MODELOS!$A$3:$A$19,0)),INDEX(MODELOS!$B$3:$B$19,MATCH($D630,MODELOS!$A$3:$A$19,0)))</f>
        <v>A+ · Módulo 3 · Benefício 4 de 4</v>
      </c>
      <c r="G630" s="11" t="str">
        <f aca="false">IF(INDEX(PRODUTOS!$F$4:$F$63,MATCH($A630,PRODUTOS!$B$4:$B$63,0))="Ração",IF(INDEX(PRODUTOS!$I$4:$I$63,MATCH($A630,PRODUTOS!$B$4:$B$63,0))="B",INDEX(MODELOS!$G$3:$G$19,MATCH($D630,MODELOS!$A$3:$A$19,0)),INDEX(MODELOS!$C$3:$C$19,MATCH($D630,MODELOS!$A$3:$A$19,0))),IF(INDEX(PRODUTOS!$I$4:$I$63,MATCH($A630,PRODUTOS!$B$4:$B$63,0))="B",INDEX(MODELOS!$H$3:$H$19,MATCH($D630,MODELOS!$A$3:$A$19,0)),INDEX(MODELOS!$D$3:$D$19,MATCH($D630,MODELOS!$A$3:$A$19,0))))</f>
        <v>Foto/ilustração do benefício 4</v>
      </c>
      <c r="H630" s="11" t="str">
        <f aca="false">IF(INDEX(PRODUTOS!$I$4:$I$63,MATCH($A630,PRODUTOS!$B$4:$B$63,0))="B",INDEX(MODELOS!$I$3:$I$19,MATCH($D630,MODELOS!$A$3:$A$19,0)),INDEX(MODELOS!$E$3:$E$19,MATCH($D630,MODELOS!$A$3:$A$19,0)))</f>
        <v>220 × 200</v>
      </c>
      <c r="I630" s="11" t="str">
        <f aca="false">INDEX(MODELOS!$J$3:$J$19,MATCH($D630,MODELOS!$A$3:$A$19,0))</f>
        <v>Conforme modelo</v>
      </c>
      <c r="J630" s="11" t="str">
        <f aca="false">IF(LEFT($D630,2)&lt;&gt;"AP",IF($I630="SIM","SIM","RECOMENDADA"),IF(INDEX(PRODUTOS!$J$4:$J$63,MATCH($A630,PRODUTOS!$B$4:$B$63,0))&lt;&gt;"","NÃO (usa o A+ do EAN "&amp;INDEX(PRODUTOS!$J$4:$J$63,MATCH($A630,PRODUTOS!$B$4:$B$63,0))&amp;")",IF(AND(INDEX(PRODUTOS!$I$4:$I$63,MATCH($A630,PRODUTOS!$B$4:$B$63,0))="B",$D630="AP07"),"NÃO (modelo B)","SIM")))</f>
        <v>SIM</v>
      </c>
      <c r="K630" s="13" t="s">
        <v>325</v>
      </c>
      <c r="L630" s="13"/>
    </row>
    <row r="631" customFormat="false" ht="15" hidden="false" customHeight="false" outlineLevel="0" collapsed="false">
      <c r="A631" s="15" t="s">
        <v>202</v>
      </c>
      <c r="B631" s="11" t="str">
        <f aca="false">INDEX(PRODUTOS!$E$4:$E$63,MATCH($A631,PRODUTOS!$B$4:$B$63,0))</f>
        <v>Sachê Natural Dots para Gatos Sabor Salmão 85 g - Livre de Transgênicos</v>
      </c>
      <c r="C631" s="11" t="str">
        <f aca="false">INDEX(PRODUTOS!$H$4:$H$63,MATCH($A631,PRODUTOS!$B$4:$B$63,0))</f>
        <v>85 g</v>
      </c>
      <c r="D631" s="11" t="s">
        <v>340</v>
      </c>
      <c r="E631" s="16" t="str">
        <f aca="false">$A631&amp;"."&amp;$D631&amp;".jpg"</f>
        <v>7908591300673.AP07.jpg</v>
      </c>
      <c r="F631" s="11" t="str">
        <f aca="false">IF(INDEX(PRODUTOS!$I$4:$I$63,MATCH($A631,PRODUTOS!$B$4:$B$63,0))="B",INDEX(MODELOS!$F$3:$F$19,MATCH($D631,MODELOS!$A$3:$A$19,0)),INDEX(MODELOS!$B$3:$B$19,MATCH($D631,MODELOS!$A$3:$A$19,0)))</f>
        <v>A+ · Módulo 4 · Especificações</v>
      </c>
      <c r="G631" s="11" t="str">
        <f aca="false">IF(INDEX(PRODUTOS!$F$4:$F$63,MATCH($A631,PRODUTOS!$B$4:$B$63,0))="Ração",IF(INDEX(PRODUTOS!$I$4:$I$63,MATCH($A631,PRODUTOS!$B$4:$B$63,0))="B",INDEX(MODELOS!$G$3:$G$19,MATCH($D631,MODELOS!$A$3:$A$19,0)),INDEX(MODELOS!$C$3:$C$19,MATCH($D631,MODELOS!$A$3:$A$19,0))),IF(INDEX(PRODUTOS!$I$4:$I$63,MATCH($A631,PRODUTOS!$B$4:$B$63,0))="B",INDEX(MODELOS!$H$3:$H$19,MATCH($D631,MODELOS!$A$3:$A$19,0)),INDEX(MODELOS!$D$3:$D$19,MATCH($D631,MODELOS!$A$3:$A$19,0))))</f>
        <v>Grão ou pacote em destaque</v>
      </c>
      <c r="H631" s="11" t="str">
        <f aca="false">IF(INDEX(PRODUTOS!$I$4:$I$63,MATCH($A631,PRODUTOS!$B$4:$B$63,0))="B",INDEX(MODELOS!$I$3:$I$19,MATCH($D631,MODELOS!$A$3:$A$19,0)),INDEX(MODELOS!$E$3:$E$19,MATCH($D631,MODELOS!$A$3:$A$19,0)))</f>
        <v>300 × 300</v>
      </c>
      <c r="I631" s="11" t="str">
        <f aca="false">INDEX(MODELOS!$J$3:$J$19,MATCH($D631,MODELOS!$A$3:$A$19,0))</f>
        <v>Conforme modelo</v>
      </c>
      <c r="J631" s="11" t="str">
        <f aca="false">IF(LEFT($D631,2)&lt;&gt;"AP",IF($I631="SIM","SIM","RECOMENDADA"),IF(INDEX(PRODUTOS!$J$4:$J$63,MATCH($A631,PRODUTOS!$B$4:$B$63,0))&lt;&gt;"","NÃO (usa o A+ do EAN "&amp;INDEX(PRODUTOS!$J$4:$J$63,MATCH($A631,PRODUTOS!$B$4:$B$63,0))&amp;")",IF(AND(INDEX(PRODUTOS!$I$4:$I$63,MATCH($A631,PRODUTOS!$B$4:$B$63,0))="B",$D631="AP07"),"NÃO (modelo B)","SIM")))</f>
        <v>SIM</v>
      </c>
      <c r="K631" s="13" t="s">
        <v>325</v>
      </c>
      <c r="L631" s="13"/>
    </row>
    <row r="632" customFormat="false" ht="15" hidden="false" customHeight="false" outlineLevel="0" collapsed="false">
      <c r="A632" s="15" t="s">
        <v>202</v>
      </c>
      <c r="B632" s="11" t="str">
        <f aca="false">INDEX(PRODUTOS!$E$4:$E$63,MATCH($A632,PRODUTOS!$B$4:$B$63,0))</f>
        <v>Sachê Natural Dots para Gatos Sabor Salmão 85 g - Livre de Transgênicos</v>
      </c>
      <c r="C632" s="11" t="str">
        <f aca="false">INDEX(PRODUTOS!$H$4:$H$63,MATCH($A632,PRODUTOS!$B$4:$B$63,0))</f>
        <v>85 g</v>
      </c>
      <c r="D632" s="11" t="s">
        <v>341</v>
      </c>
      <c r="E632" s="16" t="str">
        <f aca="false">$A632&amp;"."&amp;$D632&amp;".jpg"</f>
        <v>7908591300673.COMP.jpg</v>
      </c>
      <c r="F632" s="11" t="str">
        <f aca="false">IF(INDEX(PRODUTOS!$I$4:$I$63,MATCH($A632,PRODUTOS!$B$4:$B$63,0))="B",INDEX(MODELOS!$F$3:$F$19,MATCH($D632,MODELOS!$A$3:$A$19,0)),INDEX(MODELOS!$B$3:$B$19,MATCH($D632,MODELOS!$A$3:$A$19,0)))</f>
        <v>A+ · Tabela comparativa</v>
      </c>
      <c r="G632" s="11" t="str">
        <f aca="false">IF(INDEX(PRODUTOS!$F$4:$F$63,MATCH($A632,PRODUTOS!$B$4:$B$63,0))="Ração",IF(INDEX(PRODUTOS!$I$4:$I$63,MATCH($A632,PRODUTOS!$B$4:$B$63,0))="B",INDEX(MODELOS!$G$3:$G$19,MATCH($D632,MODELOS!$A$3:$A$19,0)),INDEX(MODELOS!$C$3:$C$19,MATCH($D632,MODELOS!$A$3:$A$19,0))),IF(INDEX(PRODUTOS!$I$4:$I$63,MATCH($A632,PRODUTOS!$B$4:$B$63,0))="B",INDEX(MODELOS!$H$3:$H$19,MATCH($D632,MODELOS!$A$3:$A$19,0)),INDEX(MODELOS!$D$3:$D$19,MATCH($D632,MODELOS!$A$3:$A$19,0))))</f>
        <v>Pacote na vertical, sem fundo colorido</v>
      </c>
      <c r="H632" s="11" t="str">
        <f aca="false">IF(INDEX(PRODUTOS!$I$4:$I$63,MATCH($A632,PRODUTOS!$B$4:$B$63,0))="B",INDEX(MODELOS!$I$3:$I$19,MATCH($D632,MODELOS!$A$3:$A$19,0)),INDEX(MODELOS!$E$3:$E$19,MATCH($D632,MODELOS!$A$3:$A$19,0)))</f>
        <v>150 × 300</v>
      </c>
      <c r="I632" s="11" t="str">
        <f aca="false">INDEX(MODELOS!$J$3:$J$19,MATCH($D632,MODELOS!$A$3:$A$19,0))</f>
        <v>SIM</v>
      </c>
      <c r="J632" s="11" t="str">
        <f aca="false">IF(LEFT($D632,2)&lt;&gt;"AP",IF($I632="SIM","SIM","RECOMENDADA"),IF(INDEX(PRODUTOS!$J$4:$J$63,MATCH($A632,PRODUTOS!$B$4:$B$63,0))&lt;&gt;"","NÃO (usa o A+ do EAN "&amp;INDEX(PRODUTOS!$J$4:$J$63,MATCH($A632,PRODUTOS!$B$4:$B$63,0))&amp;")",IF(AND(INDEX(PRODUTOS!$I$4:$I$63,MATCH($A632,PRODUTOS!$B$4:$B$63,0))="B",$D632="AP07"),"NÃO (modelo B)","SIM")))</f>
        <v>SIM</v>
      </c>
      <c r="K632" s="13" t="s">
        <v>325</v>
      </c>
      <c r="L632" s="13"/>
    </row>
    <row r="633" customFormat="false" ht="15" hidden="false" customHeight="false" outlineLevel="0" collapsed="false">
      <c r="A633" s="15" t="s">
        <v>206</v>
      </c>
      <c r="B633" s="11" t="str">
        <f aca="false">INDEX(PRODUTOS!$E$4:$E$63,MATCH($A633,PRODUTOS!$B$4:$B$63,0))</f>
        <v>Bifinhos New Dots Cães Carne, Vegetais e Cereais 50 g</v>
      </c>
      <c r="C633" s="11" t="str">
        <f aca="false">INDEX(PRODUTOS!$H$4:$H$63,MATCH($A633,PRODUTOS!$B$4:$B$63,0))</f>
        <v>50 g</v>
      </c>
      <c r="D633" s="11" t="s">
        <v>324</v>
      </c>
      <c r="E633" s="16" t="str">
        <f aca="false">$A633&amp;"."&amp;$D633&amp;".jpg"</f>
        <v>7898968541887.MAIN.jpg</v>
      </c>
      <c r="F633" s="11" t="str">
        <f aca="false">IF(INDEX(PRODUTOS!$I$4:$I$63,MATCH($A633,PRODUTOS!$B$4:$B$63,0))="B",INDEX(MODELOS!$F$3:$F$19,MATCH($D633,MODELOS!$A$3:$A$19,0)),INDEX(MODELOS!$B$3:$B$19,MATCH($D633,MODELOS!$A$3:$A$19,0)))</f>
        <v>Capa (posição 1)</v>
      </c>
      <c r="G633" s="11" t="str">
        <f aca="false">IF(INDEX(PRODUTOS!$F$4:$F$63,MATCH($A633,PRODUTOS!$B$4:$B$63,0))="Ração",IF(INDEX(PRODUTOS!$I$4:$I$63,MATCH($A633,PRODUTOS!$B$4:$B$63,0))="B",INDEX(MODELOS!$G$3:$G$19,MATCH($D633,MODELOS!$A$3:$A$19,0)),INDEX(MODELOS!$C$3:$C$19,MATCH($D633,MODELOS!$A$3:$A$19,0))),IF(INDEX(PRODUTOS!$I$4:$I$63,MATCH($A633,PRODUTOS!$B$4:$B$63,0))="B",INDEX(MODELOS!$H$3:$H$19,MATCH($D633,MODELOS!$A$3:$A$19,0)),INDEX(MODELOS!$D$3:$D$19,MATCH($D633,MODELOS!$A$3:$A$19,0))))</f>
        <v>Embalagem de frente, fundo branco puro, 85% da área, nada adicionado</v>
      </c>
      <c r="H633" s="11" t="str">
        <f aca="false">IF(INDEX(PRODUTOS!$I$4:$I$63,MATCH($A633,PRODUTOS!$B$4:$B$63,0))="B",INDEX(MODELOS!$I$3:$I$19,MATCH($D633,MODELOS!$A$3:$A$19,0)),INDEX(MODELOS!$E$3:$E$19,MATCH($D633,MODELOS!$A$3:$A$19,0)))</f>
        <v>2000 × 2000</v>
      </c>
      <c r="I633" s="11" t="str">
        <f aca="false">INDEX(MODELOS!$J$3:$J$19,MATCH($D633,MODELOS!$A$3:$A$19,0))</f>
        <v>SIM</v>
      </c>
      <c r="J633" s="11" t="str">
        <f aca="false">IF(LEFT($D633,2)&lt;&gt;"AP",IF($I633="SIM","SIM","RECOMENDADA"),IF(INDEX(PRODUTOS!$J$4:$J$63,MATCH($A633,PRODUTOS!$B$4:$B$63,0))&lt;&gt;"","NÃO (usa o A+ do EAN "&amp;INDEX(PRODUTOS!$J$4:$J$63,MATCH($A633,PRODUTOS!$B$4:$B$63,0))&amp;")",IF(AND(INDEX(PRODUTOS!$I$4:$I$63,MATCH($A633,PRODUTOS!$B$4:$B$63,0))="B",$D633="AP07"),"NÃO (modelo B)","SIM")))</f>
        <v>SIM</v>
      </c>
      <c r="K633" s="13" t="s">
        <v>325</v>
      </c>
      <c r="L633" s="13"/>
    </row>
    <row r="634" customFormat="false" ht="15" hidden="false" customHeight="false" outlineLevel="0" collapsed="false">
      <c r="A634" s="15" t="s">
        <v>206</v>
      </c>
      <c r="B634" s="11" t="str">
        <f aca="false">INDEX(PRODUTOS!$E$4:$E$63,MATCH($A634,PRODUTOS!$B$4:$B$63,0))</f>
        <v>Bifinhos New Dots Cães Carne, Vegetais e Cereais 50 g</v>
      </c>
      <c r="C634" s="11" t="str">
        <f aca="false">INDEX(PRODUTOS!$H$4:$H$63,MATCH($A634,PRODUTOS!$B$4:$B$63,0))</f>
        <v>50 g</v>
      </c>
      <c r="D634" s="11" t="s">
        <v>326</v>
      </c>
      <c r="E634" s="16" t="str">
        <f aca="false">$A634&amp;"."&amp;$D634&amp;".jpg"</f>
        <v>7898968541887.PT01.jpg</v>
      </c>
      <c r="F634" s="11" t="str">
        <f aca="false">IF(INDEX(PRODUTOS!$I$4:$I$63,MATCH($A634,PRODUTOS!$B$4:$B$63,0))="B",INDEX(MODELOS!$F$3:$F$19,MATCH($D634,MODELOS!$A$3:$A$19,0)),INDEX(MODELOS!$B$3:$B$19,MATCH($D634,MODELOS!$A$3:$A$19,0)))</f>
        <v>Galeria · posição 2</v>
      </c>
      <c r="G634" s="11" t="str">
        <f aca="false">IF(INDEX(PRODUTOS!$F$4:$F$63,MATCH($A634,PRODUTOS!$B$4:$B$63,0))="Ração",IF(INDEX(PRODUTOS!$I$4:$I$63,MATCH($A634,PRODUTOS!$B$4:$B$63,0))="B",INDEX(MODELOS!$G$3:$G$19,MATCH($D634,MODELOS!$A$3:$A$19,0)),INDEX(MODELOS!$C$3:$C$19,MATCH($D634,MODELOS!$A$3:$A$19,0))),IF(INDEX(PRODUTOS!$I$4:$I$63,MATCH($A634,PRODUTOS!$B$4:$B$63,0))="B",INDEX(MODELOS!$H$3:$H$19,MATCH($D634,MODELOS!$A$3:$A$19,0)),INDEX(MODELOS!$D$3:$D$19,MATCH($D634,MODELOS!$A$3:$A$19,0))))</f>
        <v>Grande diferencial (ex.: natural, biodegradável, perfumado)</v>
      </c>
      <c r="H634" s="11" t="str">
        <f aca="false">IF(INDEX(PRODUTOS!$I$4:$I$63,MATCH($A634,PRODUTOS!$B$4:$B$63,0))="B",INDEX(MODELOS!$I$3:$I$19,MATCH($D634,MODELOS!$A$3:$A$19,0)),INDEX(MODELOS!$E$3:$E$19,MATCH($D634,MODELOS!$A$3:$A$19,0)))</f>
        <v>2000 × 2000</v>
      </c>
      <c r="I634" s="11" t="str">
        <f aca="false">INDEX(MODELOS!$J$3:$J$19,MATCH($D634,MODELOS!$A$3:$A$19,0))</f>
        <v>SIM</v>
      </c>
      <c r="J634" s="11" t="str">
        <f aca="false">IF(LEFT($D634,2)&lt;&gt;"AP",IF($I634="SIM","SIM","RECOMENDADA"),IF(INDEX(PRODUTOS!$J$4:$J$63,MATCH($A634,PRODUTOS!$B$4:$B$63,0))&lt;&gt;"","NÃO (usa o A+ do EAN "&amp;INDEX(PRODUTOS!$J$4:$J$63,MATCH($A634,PRODUTOS!$B$4:$B$63,0))&amp;")",IF(AND(INDEX(PRODUTOS!$I$4:$I$63,MATCH($A634,PRODUTOS!$B$4:$B$63,0))="B",$D634="AP07"),"NÃO (modelo B)","SIM")))</f>
        <v>SIM</v>
      </c>
      <c r="K634" s="13" t="s">
        <v>325</v>
      </c>
      <c r="L634" s="13"/>
    </row>
    <row r="635" customFormat="false" ht="15" hidden="false" customHeight="false" outlineLevel="0" collapsed="false">
      <c r="A635" s="15" t="s">
        <v>206</v>
      </c>
      <c r="B635" s="11" t="str">
        <f aca="false">INDEX(PRODUTOS!$E$4:$E$63,MATCH($A635,PRODUTOS!$B$4:$B$63,0))</f>
        <v>Bifinhos New Dots Cães Carne, Vegetais e Cereais 50 g</v>
      </c>
      <c r="C635" s="11" t="str">
        <f aca="false">INDEX(PRODUTOS!$H$4:$H$63,MATCH($A635,PRODUTOS!$B$4:$B$63,0))</f>
        <v>50 g</v>
      </c>
      <c r="D635" s="11" t="s">
        <v>327</v>
      </c>
      <c r="E635" s="16" t="str">
        <f aca="false">$A635&amp;"."&amp;$D635&amp;".jpg"</f>
        <v>7898968541887.PT02.jpg</v>
      </c>
      <c r="F635" s="11" t="str">
        <f aca="false">IF(INDEX(PRODUTOS!$I$4:$I$63,MATCH($A635,PRODUTOS!$B$4:$B$63,0))="B",INDEX(MODELOS!$F$3:$F$19,MATCH($D635,MODELOS!$A$3:$A$19,0)),INDEX(MODELOS!$B$3:$B$19,MATCH($D635,MODELOS!$A$3:$A$19,0)))</f>
        <v>Galeria · posição 3</v>
      </c>
      <c r="G635" s="11" t="str">
        <f aca="false">IF(INDEX(PRODUTOS!$F$4:$F$63,MATCH($A635,PRODUTOS!$B$4:$B$63,0))="Ração",IF(INDEX(PRODUTOS!$I$4:$I$63,MATCH($A635,PRODUTOS!$B$4:$B$63,0))="B",INDEX(MODELOS!$G$3:$G$19,MATCH($D635,MODELOS!$A$3:$A$19,0)),INDEX(MODELOS!$C$3:$C$19,MATCH($D635,MODELOS!$A$3:$A$19,0))),IF(INDEX(PRODUTOS!$I$4:$I$63,MATCH($A635,PRODUTOS!$B$4:$B$63,0))="B",INDEX(MODELOS!$H$3:$H$19,MATCH($D635,MODELOS!$A$3:$A$19,0)),INDEX(MODELOS!$D$3:$D$19,MATCH($D635,MODELOS!$A$3:$A$19,0))))</f>
        <v>Benefícios com ícones (4 a 6, impressos na embalagem)</v>
      </c>
      <c r="H635" s="11" t="str">
        <f aca="false">IF(INDEX(PRODUTOS!$I$4:$I$63,MATCH($A635,PRODUTOS!$B$4:$B$63,0))="B",INDEX(MODELOS!$I$3:$I$19,MATCH($D635,MODELOS!$A$3:$A$19,0)),INDEX(MODELOS!$E$3:$E$19,MATCH($D635,MODELOS!$A$3:$A$19,0)))</f>
        <v>2000 × 2000</v>
      </c>
      <c r="I635" s="11" t="str">
        <f aca="false">INDEX(MODELOS!$J$3:$J$19,MATCH($D635,MODELOS!$A$3:$A$19,0))</f>
        <v>SIM</v>
      </c>
      <c r="J635" s="11" t="str">
        <f aca="false">IF(LEFT($D635,2)&lt;&gt;"AP",IF($I635="SIM","SIM","RECOMENDADA"),IF(INDEX(PRODUTOS!$J$4:$J$63,MATCH($A635,PRODUTOS!$B$4:$B$63,0))&lt;&gt;"","NÃO (usa o A+ do EAN "&amp;INDEX(PRODUTOS!$J$4:$J$63,MATCH($A635,PRODUTOS!$B$4:$B$63,0))&amp;")",IF(AND(INDEX(PRODUTOS!$I$4:$I$63,MATCH($A635,PRODUTOS!$B$4:$B$63,0))="B",$D635="AP07"),"NÃO (modelo B)","SIM")))</f>
        <v>SIM</v>
      </c>
      <c r="K635" s="13" t="s">
        <v>325</v>
      </c>
      <c r="L635" s="13"/>
    </row>
    <row r="636" customFormat="false" ht="15" hidden="false" customHeight="false" outlineLevel="0" collapsed="false">
      <c r="A636" s="15" t="s">
        <v>206</v>
      </c>
      <c r="B636" s="11" t="str">
        <f aca="false">INDEX(PRODUTOS!$E$4:$E$63,MATCH($A636,PRODUTOS!$B$4:$B$63,0))</f>
        <v>Bifinhos New Dots Cães Carne, Vegetais e Cereais 50 g</v>
      </c>
      <c r="C636" s="11" t="str">
        <f aca="false">INDEX(PRODUTOS!$H$4:$H$63,MATCH($A636,PRODUTOS!$B$4:$B$63,0))</f>
        <v>50 g</v>
      </c>
      <c r="D636" s="11" t="s">
        <v>328</v>
      </c>
      <c r="E636" s="16" t="str">
        <f aca="false">$A636&amp;"."&amp;$D636&amp;".jpg"</f>
        <v>7898968541887.PT03.jpg</v>
      </c>
      <c r="F636" s="11" t="str">
        <f aca="false">IF(INDEX(PRODUTOS!$I$4:$I$63,MATCH($A636,PRODUTOS!$B$4:$B$63,0))="B",INDEX(MODELOS!$F$3:$F$19,MATCH($D636,MODELOS!$A$3:$A$19,0)),INDEX(MODELOS!$B$3:$B$19,MATCH($D636,MODELOS!$A$3:$A$19,0)))</f>
        <v>Galeria · posição 4</v>
      </c>
      <c r="G636" s="11" t="str">
        <f aca="false">IF(INDEX(PRODUTOS!$F$4:$F$63,MATCH($A636,PRODUTOS!$B$4:$B$63,0))="Ração",IF(INDEX(PRODUTOS!$I$4:$I$63,MATCH($A636,PRODUTOS!$B$4:$B$63,0))="B",INDEX(MODELOS!$G$3:$G$19,MATCH($D636,MODELOS!$A$3:$A$19,0)),INDEX(MODELOS!$C$3:$C$19,MATCH($D636,MODELOS!$A$3:$A$19,0))),IF(INDEX(PRODUTOS!$I$4:$I$63,MATCH($A636,PRODUTOS!$B$4:$B$63,0))="B",INDEX(MODELOS!$H$3:$H$19,MATCH($D636,MODELOS!$A$3:$A$19,0)),INDEX(MODELOS!$D$3:$D$19,MATCH($D636,MODELOS!$A$3:$A$19,0))))</f>
        <v>Detalhe e tamanho real (petisco, grânulo ou tapete aberto), com medidas</v>
      </c>
      <c r="H636" s="11" t="str">
        <f aca="false">IF(INDEX(PRODUTOS!$I$4:$I$63,MATCH($A636,PRODUTOS!$B$4:$B$63,0))="B",INDEX(MODELOS!$I$3:$I$19,MATCH($D636,MODELOS!$A$3:$A$19,0)),INDEX(MODELOS!$E$3:$E$19,MATCH($D636,MODELOS!$A$3:$A$19,0)))</f>
        <v>2000 × 2000</v>
      </c>
      <c r="I636" s="11" t="str">
        <f aca="false">INDEX(MODELOS!$J$3:$J$19,MATCH($D636,MODELOS!$A$3:$A$19,0))</f>
        <v>SIM</v>
      </c>
      <c r="J636" s="11" t="str">
        <f aca="false">IF(LEFT($D636,2)&lt;&gt;"AP",IF($I636="SIM","SIM","RECOMENDADA"),IF(INDEX(PRODUTOS!$J$4:$J$63,MATCH($A636,PRODUTOS!$B$4:$B$63,0))&lt;&gt;"","NÃO (usa o A+ do EAN "&amp;INDEX(PRODUTOS!$J$4:$J$63,MATCH($A636,PRODUTOS!$B$4:$B$63,0))&amp;")",IF(AND(INDEX(PRODUTOS!$I$4:$I$63,MATCH($A636,PRODUTOS!$B$4:$B$63,0))="B",$D636="AP07"),"NÃO (modelo B)","SIM")))</f>
        <v>SIM</v>
      </c>
      <c r="K636" s="13" t="s">
        <v>325</v>
      </c>
      <c r="L636" s="13"/>
    </row>
    <row r="637" customFormat="false" ht="15" hidden="false" customHeight="false" outlineLevel="0" collapsed="false">
      <c r="A637" s="15" t="s">
        <v>206</v>
      </c>
      <c r="B637" s="11" t="str">
        <f aca="false">INDEX(PRODUTOS!$E$4:$E$63,MATCH($A637,PRODUTOS!$B$4:$B$63,0))</f>
        <v>Bifinhos New Dots Cães Carne, Vegetais e Cereais 50 g</v>
      </c>
      <c r="C637" s="11" t="str">
        <f aca="false">INDEX(PRODUTOS!$H$4:$H$63,MATCH($A637,PRODUTOS!$B$4:$B$63,0))</f>
        <v>50 g</v>
      </c>
      <c r="D637" s="11" t="s">
        <v>329</v>
      </c>
      <c r="E637" s="16" t="str">
        <f aca="false">$A637&amp;"."&amp;$D637&amp;".jpg"</f>
        <v>7898968541887.PT04.jpg</v>
      </c>
      <c r="F637" s="11" t="str">
        <f aca="false">IF(INDEX(PRODUTOS!$I$4:$I$63,MATCH($A637,PRODUTOS!$B$4:$B$63,0))="B",INDEX(MODELOS!$F$3:$F$19,MATCH($D637,MODELOS!$A$3:$A$19,0)),INDEX(MODELOS!$B$3:$B$19,MATCH($D637,MODELOS!$A$3:$A$19,0)))</f>
        <v>Galeria · posição 5</v>
      </c>
      <c r="G637" s="11" t="str">
        <f aca="false">IF(INDEX(PRODUTOS!$F$4:$F$63,MATCH($A637,PRODUTOS!$B$4:$B$63,0))="Ração",IF(INDEX(PRODUTOS!$I$4:$I$63,MATCH($A637,PRODUTOS!$B$4:$B$63,0))="B",INDEX(MODELOS!$G$3:$G$19,MATCH($D637,MODELOS!$A$3:$A$19,0)),INDEX(MODELOS!$C$3:$C$19,MATCH($D637,MODELOS!$A$3:$A$19,0))),IF(INDEX(PRODUTOS!$I$4:$I$63,MATCH($A637,PRODUTOS!$B$4:$B$63,0))="B",INDEX(MODELOS!$H$3:$H$19,MATCH($D637,MODELOS!$A$3:$A$19,0)),INDEX(MODELOS!$D$3:$D$19,MATCH($D637,MODELOS!$A$3:$A$19,0))))</f>
        <v>Modo de uso (como oferecer o petisco / como usar o produto)</v>
      </c>
      <c r="H637" s="11" t="str">
        <f aca="false">IF(INDEX(PRODUTOS!$I$4:$I$63,MATCH($A637,PRODUTOS!$B$4:$B$63,0))="B",INDEX(MODELOS!$I$3:$I$19,MATCH($D637,MODELOS!$A$3:$A$19,0)),INDEX(MODELOS!$E$3:$E$19,MATCH($D637,MODELOS!$A$3:$A$19,0)))</f>
        <v>2000 × 2000</v>
      </c>
      <c r="I637" s="11" t="str">
        <f aca="false">INDEX(MODELOS!$J$3:$J$19,MATCH($D637,MODELOS!$A$3:$A$19,0))</f>
        <v>SIM</v>
      </c>
      <c r="J637" s="11" t="str">
        <f aca="false">IF(LEFT($D637,2)&lt;&gt;"AP",IF($I637="SIM","SIM","RECOMENDADA"),IF(INDEX(PRODUTOS!$J$4:$J$63,MATCH($A637,PRODUTOS!$B$4:$B$63,0))&lt;&gt;"","NÃO (usa o A+ do EAN "&amp;INDEX(PRODUTOS!$J$4:$J$63,MATCH($A637,PRODUTOS!$B$4:$B$63,0))&amp;")",IF(AND(INDEX(PRODUTOS!$I$4:$I$63,MATCH($A637,PRODUTOS!$B$4:$B$63,0))="B",$D637="AP07"),"NÃO (modelo B)","SIM")))</f>
        <v>SIM</v>
      </c>
      <c r="K637" s="13" t="s">
        <v>325</v>
      </c>
      <c r="L637" s="13"/>
    </row>
    <row r="638" customFormat="false" ht="15" hidden="false" customHeight="false" outlineLevel="0" collapsed="false">
      <c r="A638" s="15" t="s">
        <v>206</v>
      </c>
      <c r="B638" s="11" t="str">
        <f aca="false">INDEX(PRODUTOS!$E$4:$E$63,MATCH($A638,PRODUTOS!$B$4:$B$63,0))</f>
        <v>Bifinhos New Dots Cães Carne, Vegetais e Cereais 50 g</v>
      </c>
      <c r="C638" s="11" t="str">
        <f aca="false">INDEX(PRODUTOS!$H$4:$H$63,MATCH($A638,PRODUTOS!$B$4:$B$63,0))</f>
        <v>50 g</v>
      </c>
      <c r="D638" s="11" t="s">
        <v>330</v>
      </c>
      <c r="E638" s="16" t="str">
        <f aca="false">$A638&amp;"."&amp;$D638&amp;".jpg"</f>
        <v>7898968541887.PT05.jpg</v>
      </c>
      <c r="F638" s="11" t="str">
        <f aca="false">IF(INDEX(PRODUTOS!$I$4:$I$63,MATCH($A638,PRODUTOS!$B$4:$B$63,0))="B",INDEX(MODELOS!$F$3:$F$19,MATCH($D638,MODELOS!$A$3:$A$19,0)),INDEX(MODELOS!$B$3:$B$19,MATCH($D638,MODELOS!$A$3:$A$19,0)))</f>
        <v>Galeria · posição 6</v>
      </c>
      <c r="G638" s="11" t="str">
        <f aca="false">IF(INDEX(PRODUTOS!$F$4:$F$63,MATCH($A638,PRODUTOS!$B$4:$B$63,0))="Ração",IF(INDEX(PRODUTOS!$I$4:$I$63,MATCH($A638,PRODUTOS!$B$4:$B$63,0))="B",INDEX(MODELOS!$G$3:$G$19,MATCH($D638,MODELOS!$A$3:$A$19,0)),INDEX(MODELOS!$C$3:$C$19,MATCH($D638,MODELOS!$A$3:$A$19,0))),IF(INDEX(PRODUTOS!$I$4:$I$63,MATCH($A638,PRODUTOS!$B$4:$B$63,0))="B",INDEX(MODELOS!$H$3:$H$19,MATCH($D638,MODELOS!$A$3:$A$19,0)),INDEX(MODELOS!$D$3:$D$19,MATCH($D638,MODELOS!$A$3:$A$19,0))))</f>
        <v>Quantidade por dia ou rendimento do pacote</v>
      </c>
      <c r="H638" s="11" t="str">
        <f aca="false">IF(INDEX(PRODUTOS!$I$4:$I$63,MATCH($A638,PRODUTOS!$B$4:$B$63,0))="B",INDEX(MODELOS!$I$3:$I$19,MATCH($D638,MODELOS!$A$3:$A$19,0)),INDEX(MODELOS!$E$3:$E$19,MATCH($D638,MODELOS!$A$3:$A$19,0)))</f>
        <v>2000 × 2000</v>
      </c>
      <c r="I638" s="11" t="str">
        <f aca="false">INDEX(MODELOS!$J$3:$J$19,MATCH($D638,MODELOS!$A$3:$A$19,0))</f>
        <v>Recomendada</v>
      </c>
      <c r="J638" s="11" t="str">
        <f aca="false">IF(LEFT($D638,2)&lt;&gt;"AP",IF($I638="SIM","SIM","RECOMENDADA"),IF(INDEX(PRODUTOS!$J$4:$J$63,MATCH($A638,PRODUTOS!$B$4:$B$63,0))&lt;&gt;"","NÃO (usa o A+ do EAN "&amp;INDEX(PRODUTOS!$J$4:$J$63,MATCH($A638,PRODUTOS!$B$4:$B$63,0))&amp;")",IF(AND(INDEX(PRODUTOS!$I$4:$I$63,MATCH($A638,PRODUTOS!$B$4:$B$63,0))="B",$D638="AP07"),"NÃO (modelo B)","SIM")))</f>
        <v>RECOMENDADA</v>
      </c>
      <c r="K638" s="13" t="s">
        <v>325</v>
      </c>
      <c r="L638" s="13"/>
    </row>
    <row r="639" customFormat="false" ht="15" hidden="false" customHeight="false" outlineLevel="0" collapsed="false">
      <c r="A639" s="15" t="s">
        <v>206</v>
      </c>
      <c r="B639" s="11" t="str">
        <f aca="false">INDEX(PRODUTOS!$E$4:$E$63,MATCH($A639,PRODUTOS!$B$4:$B$63,0))</f>
        <v>Bifinhos New Dots Cães Carne, Vegetais e Cereais 50 g</v>
      </c>
      <c r="C639" s="11" t="str">
        <f aca="false">INDEX(PRODUTOS!$H$4:$H$63,MATCH($A639,PRODUTOS!$B$4:$B$63,0))</f>
        <v>50 g</v>
      </c>
      <c r="D639" s="11" t="s">
        <v>331</v>
      </c>
      <c r="E639" s="16" t="str">
        <f aca="false">$A639&amp;"."&amp;$D639&amp;".jpg"</f>
        <v>7898968541887.PT06.jpg</v>
      </c>
      <c r="F639" s="11" t="str">
        <f aca="false">IF(INDEX(PRODUTOS!$I$4:$I$63,MATCH($A639,PRODUTOS!$B$4:$B$63,0))="B",INDEX(MODELOS!$F$3:$F$19,MATCH($D639,MODELOS!$A$3:$A$19,0)),INDEX(MODELOS!$B$3:$B$19,MATCH($D639,MODELOS!$A$3:$A$19,0)))</f>
        <v>Galeria · posição 7</v>
      </c>
      <c r="G639" s="11" t="str">
        <f aca="false">IF(INDEX(PRODUTOS!$F$4:$F$63,MATCH($A639,PRODUTOS!$B$4:$B$63,0))="Ração",IF(INDEX(PRODUTOS!$I$4:$I$63,MATCH($A639,PRODUTOS!$B$4:$B$63,0))="B",INDEX(MODELOS!$G$3:$G$19,MATCH($D639,MODELOS!$A$3:$A$19,0)),INDEX(MODELOS!$C$3:$C$19,MATCH($D639,MODELOS!$A$3:$A$19,0))),IF(INDEX(PRODUTOS!$I$4:$I$63,MATCH($A639,PRODUTOS!$B$4:$B$63,0))="B",INDEX(MODELOS!$H$3:$H$19,MATCH($D639,MODELOS!$A$3:$A$19,0)),INDEX(MODELOS!$D$3:$D$19,MATCH($D639,MODELOS!$A$3:$A$19,0))))</f>
        <v>Composição/níveis de garantia (petiscos) ou especificações (higiene)</v>
      </c>
      <c r="H639" s="11" t="str">
        <f aca="false">IF(INDEX(PRODUTOS!$I$4:$I$63,MATCH($A639,PRODUTOS!$B$4:$B$63,0))="B",INDEX(MODELOS!$I$3:$I$19,MATCH($D639,MODELOS!$A$3:$A$19,0)),INDEX(MODELOS!$E$3:$E$19,MATCH($D639,MODELOS!$A$3:$A$19,0)))</f>
        <v>2000 × 2000</v>
      </c>
      <c r="I639" s="11" t="str">
        <f aca="false">INDEX(MODELOS!$J$3:$J$19,MATCH($D639,MODELOS!$A$3:$A$19,0))</f>
        <v>SIM</v>
      </c>
      <c r="J639" s="11" t="str">
        <f aca="false">IF(LEFT($D639,2)&lt;&gt;"AP",IF($I639="SIM","SIM","RECOMENDADA"),IF(INDEX(PRODUTOS!$J$4:$J$63,MATCH($A639,PRODUTOS!$B$4:$B$63,0))&lt;&gt;"","NÃO (usa o A+ do EAN "&amp;INDEX(PRODUTOS!$J$4:$J$63,MATCH($A639,PRODUTOS!$B$4:$B$63,0))&amp;")",IF(AND(INDEX(PRODUTOS!$I$4:$I$63,MATCH($A639,PRODUTOS!$B$4:$B$63,0))="B",$D639="AP07"),"NÃO (modelo B)","SIM")))</f>
        <v>SIM</v>
      </c>
      <c r="K639" s="13" t="s">
        <v>325</v>
      </c>
      <c r="L639" s="13"/>
    </row>
    <row r="640" customFormat="false" ht="15" hidden="false" customHeight="false" outlineLevel="0" collapsed="false">
      <c r="A640" s="15" t="s">
        <v>206</v>
      </c>
      <c r="B640" s="11" t="str">
        <f aca="false">INDEX(PRODUTOS!$E$4:$E$63,MATCH($A640,PRODUTOS!$B$4:$B$63,0))</f>
        <v>Bifinhos New Dots Cães Carne, Vegetais e Cereais 50 g</v>
      </c>
      <c r="C640" s="11" t="str">
        <f aca="false">INDEX(PRODUTOS!$H$4:$H$63,MATCH($A640,PRODUTOS!$B$4:$B$63,0))</f>
        <v>50 g</v>
      </c>
      <c r="D640" s="11" t="s">
        <v>332</v>
      </c>
      <c r="E640" s="16" t="str">
        <f aca="false">$A640&amp;"."&amp;$D640&amp;".jpg"</f>
        <v>7898968541887.PT07.jpg</v>
      </c>
      <c r="F640" s="11" t="str">
        <f aca="false">IF(INDEX(PRODUTOS!$I$4:$I$63,MATCH($A640,PRODUTOS!$B$4:$B$63,0))="B",INDEX(MODELOS!$F$3:$F$19,MATCH($D640,MODELOS!$A$3:$A$19,0)),INDEX(MODELOS!$B$3:$B$19,MATCH($D640,MODELOS!$A$3:$A$19,0)))</f>
        <v>Galeria · posição 8</v>
      </c>
      <c r="G640" s="11" t="str">
        <f aca="false">IF(INDEX(PRODUTOS!$F$4:$F$63,MATCH($A640,PRODUTOS!$B$4:$B$63,0))="Ração",IF(INDEX(PRODUTOS!$I$4:$I$63,MATCH($A640,PRODUTOS!$B$4:$B$63,0))="B",INDEX(MODELOS!$G$3:$G$19,MATCH($D640,MODELOS!$A$3:$A$19,0)),INDEX(MODELOS!$C$3:$C$19,MATCH($D640,MODELOS!$A$3:$A$19,0))),IF(INDEX(PRODUTOS!$I$4:$I$63,MATCH($A640,PRODUTOS!$B$4:$B$63,0))="B",INDEX(MODELOS!$H$3:$H$19,MATCH($D640,MODELOS!$A$3:$A$19,0)),INDEX(MODELOS!$D$3:$D$19,MATCH($D640,MODELOS!$A$3:$A$19,0))))</f>
        <v>Emocional / momento de uso</v>
      </c>
      <c r="H640" s="11" t="str">
        <f aca="false">IF(INDEX(PRODUTOS!$I$4:$I$63,MATCH($A640,PRODUTOS!$B$4:$B$63,0))="B",INDEX(MODELOS!$I$3:$I$19,MATCH($D640,MODELOS!$A$3:$A$19,0)),INDEX(MODELOS!$E$3:$E$19,MATCH($D640,MODELOS!$A$3:$A$19,0)))</f>
        <v>2000 × 2000</v>
      </c>
      <c r="I640" s="11" t="str">
        <f aca="false">INDEX(MODELOS!$J$3:$J$19,MATCH($D640,MODELOS!$A$3:$A$19,0))</f>
        <v>Recomendada</v>
      </c>
      <c r="J640" s="11" t="str">
        <f aca="false">IF(LEFT($D640,2)&lt;&gt;"AP",IF($I640="SIM","SIM","RECOMENDADA"),IF(INDEX(PRODUTOS!$J$4:$J$63,MATCH($A640,PRODUTOS!$B$4:$B$63,0))&lt;&gt;"","NÃO (usa o A+ do EAN "&amp;INDEX(PRODUTOS!$J$4:$J$63,MATCH($A640,PRODUTOS!$B$4:$B$63,0))&amp;")",IF(AND(INDEX(PRODUTOS!$I$4:$I$63,MATCH($A640,PRODUTOS!$B$4:$B$63,0))="B",$D640="AP07"),"NÃO (modelo B)","SIM")))</f>
        <v>RECOMENDADA</v>
      </c>
      <c r="K640" s="13" t="s">
        <v>325</v>
      </c>
      <c r="L640" s="13"/>
    </row>
    <row r="641" customFormat="false" ht="15" hidden="false" customHeight="false" outlineLevel="0" collapsed="false">
      <c r="A641" s="15" t="s">
        <v>206</v>
      </c>
      <c r="B641" s="11" t="str">
        <f aca="false">INDEX(PRODUTOS!$E$4:$E$63,MATCH($A641,PRODUTOS!$B$4:$B$63,0))</f>
        <v>Bifinhos New Dots Cães Carne, Vegetais e Cereais 50 g</v>
      </c>
      <c r="C641" s="11" t="str">
        <f aca="false">INDEX(PRODUTOS!$H$4:$H$63,MATCH($A641,PRODUTOS!$B$4:$B$63,0))</f>
        <v>50 g</v>
      </c>
      <c r="D641" s="11" t="s">
        <v>333</v>
      </c>
      <c r="E641" s="16" t="str">
        <f aca="false">$A641&amp;"."&amp;$D641&amp;".jpg"</f>
        <v>7898968541887.PT08.jpg</v>
      </c>
      <c r="F641" s="11" t="str">
        <f aca="false">IF(INDEX(PRODUTOS!$I$4:$I$63,MATCH($A641,PRODUTOS!$B$4:$B$63,0))="B",INDEX(MODELOS!$F$3:$F$19,MATCH($D641,MODELOS!$A$3:$A$19,0)),INDEX(MODELOS!$B$3:$B$19,MATCH($D641,MODELOS!$A$3:$A$19,0)))</f>
        <v>Galeria · posição 9</v>
      </c>
      <c r="G641" s="11" t="str">
        <f aca="false">IF(INDEX(PRODUTOS!$F$4:$F$63,MATCH($A641,PRODUTOS!$B$4:$B$63,0))="Ração",IF(INDEX(PRODUTOS!$I$4:$I$63,MATCH($A641,PRODUTOS!$B$4:$B$63,0))="B",INDEX(MODELOS!$G$3:$G$19,MATCH($D641,MODELOS!$A$3:$A$19,0)),INDEX(MODELOS!$C$3:$C$19,MATCH($D641,MODELOS!$A$3:$A$19,0))),IF(INDEX(PRODUTOS!$I$4:$I$63,MATCH($A641,PRODUTOS!$B$4:$B$63,0))="B",INDEX(MODELOS!$H$3:$H$19,MATCH($D641,MODELOS!$A$3:$A$19,0)),INDEX(MODELOS!$D$3:$D$19,MATCH($D641,MODELOS!$A$3:$A$19,0))))</f>
        <v>Linha da marca ("conheça também")</v>
      </c>
      <c r="H641" s="11" t="str">
        <f aca="false">IF(INDEX(PRODUTOS!$I$4:$I$63,MATCH($A641,PRODUTOS!$B$4:$B$63,0))="B",INDEX(MODELOS!$I$3:$I$19,MATCH($D641,MODELOS!$A$3:$A$19,0)),INDEX(MODELOS!$E$3:$E$19,MATCH($D641,MODELOS!$A$3:$A$19,0)))</f>
        <v>2000 × 2000</v>
      </c>
      <c r="I641" s="11" t="str">
        <f aca="false">INDEX(MODELOS!$J$3:$J$19,MATCH($D641,MODELOS!$A$3:$A$19,0))</f>
        <v>Recomendada</v>
      </c>
      <c r="J641" s="11" t="str">
        <f aca="false">IF(LEFT($D641,2)&lt;&gt;"AP",IF($I641="SIM","SIM","RECOMENDADA"),IF(INDEX(PRODUTOS!$J$4:$J$63,MATCH($A641,PRODUTOS!$B$4:$B$63,0))&lt;&gt;"","NÃO (usa o A+ do EAN "&amp;INDEX(PRODUTOS!$J$4:$J$63,MATCH($A641,PRODUTOS!$B$4:$B$63,0))&amp;")",IF(AND(INDEX(PRODUTOS!$I$4:$I$63,MATCH($A641,PRODUTOS!$B$4:$B$63,0))="B",$D641="AP07"),"NÃO (modelo B)","SIM")))</f>
        <v>RECOMENDADA</v>
      </c>
      <c r="K641" s="13" t="s">
        <v>325</v>
      </c>
      <c r="L641" s="13"/>
    </row>
    <row r="642" customFormat="false" ht="15" hidden="false" customHeight="false" outlineLevel="0" collapsed="false">
      <c r="A642" s="15" t="s">
        <v>206</v>
      </c>
      <c r="B642" s="11" t="str">
        <f aca="false">INDEX(PRODUTOS!$E$4:$E$63,MATCH($A642,PRODUTOS!$B$4:$B$63,0))</f>
        <v>Bifinhos New Dots Cães Carne, Vegetais e Cereais 50 g</v>
      </c>
      <c r="C642" s="11" t="str">
        <f aca="false">INDEX(PRODUTOS!$H$4:$H$63,MATCH($A642,PRODUTOS!$B$4:$B$63,0))</f>
        <v>50 g</v>
      </c>
      <c r="D642" s="11" t="s">
        <v>334</v>
      </c>
      <c r="E642" s="16" t="str">
        <f aca="false">$A642&amp;"."&amp;$D642&amp;".jpg"</f>
        <v>7898968541887.AP01.jpg</v>
      </c>
      <c r="F642" s="11" t="str">
        <f aca="false">IF(INDEX(PRODUTOS!$I$4:$I$63,MATCH($A642,PRODUTOS!$B$4:$B$63,0))="B",INDEX(MODELOS!$F$3:$F$19,MATCH($D642,MODELOS!$A$3:$A$19,0)),INDEX(MODELOS!$B$3:$B$19,MATCH($D642,MODELOS!$A$3:$A$19,0)))</f>
        <v>A+ · Módulo 1 · Banner</v>
      </c>
      <c r="G642" s="11" t="str">
        <f aca="false">IF(INDEX(PRODUTOS!$F$4:$F$63,MATCH($A642,PRODUTOS!$B$4:$B$63,0))="Ração",IF(INDEX(PRODUTOS!$I$4:$I$63,MATCH($A642,PRODUTOS!$B$4:$B$63,0))="B",INDEX(MODELOS!$G$3:$G$19,MATCH($D642,MODELOS!$A$3:$A$19,0)),INDEX(MODELOS!$C$3:$C$19,MATCH($D642,MODELOS!$A$3:$A$19,0))),IF(INDEX(PRODUTOS!$I$4:$I$63,MATCH($A642,PRODUTOS!$B$4:$B$63,0))="B",INDEX(MODELOS!$H$3:$H$19,MATCH($D642,MODELOS!$A$3:$A$19,0)),INDEX(MODELOS!$D$3:$D$19,MATCH($D642,MODELOS!$A$3:$A$19,0))))</f>
        <v>Produto + pet, com o nome da linha</v>
      </c>
      <c r="H642" s="11" t="str">
        <f aca="false">IF(INDEX(PRODUTOS!$I$4:$I$63,MATCH($A642,PRODUTOS!$B$4:$B$63,0))="B",INDEX(MODELOS!$I$3:$I$19,MATCH($D642,MODELOS!$A$3:$A$19,0)),INDEX(MODELOS!$E$3:$E$19,MATCH($D642,MODELOS!$A$3:$A$19,0)))</f>
        <v>970 × 600</v>
      </c>
      <c r="I642" s="11" t="str">
        <f aca="false">INDEX(MODELOS!$J$3:$J$19,MATCH($D642,MODELOS!$A$3:$A$19,0))</f>
        <v>Conforme modelo</v>
      </c>
      <c r="J642" s="11" t="str">
        <f aca="false">IF(LEFT($D642,2)&lt;&gt;"AP",IF($I642="SIM","SIM","RECOMENDADA"),IF(INDEX(PRODUTOS!$J$4:$J$63,MATCH($A642,PRODUTOS!$B$4:$B$63,0))&lt;&gt;"","NÃO (usa o A+ do EAN "&amp;INDEX(PRODUTOS!$J$4:$J$63,MATCH($A642,PRODUTOS!$B$4:$B$63,0))&amp;")",IF(AND(INDEX(PRODUTOS!$I$4:$I$63,MATCH($A642,PRODUTOS!$B$4:$B$63,0))="B",$D642="AP07"),"NÃO (modelo B)","SIM")))</f>
        <v>SIM</v>
      </c>
      <c r="K642" s="13" t="s">
        <v>325</v>
      </c>
      <c r="L642" s="13"/>
    </row>
    <row r="643" customFormat="false" ht="15" hidden="false" customHeight="false" outlineLevel="0" collapsed="false">
      <c r="A643" s="15" t="s">
        <v>206</v>
      </c>
      <c r="B643" s="11" t="str">
        <f aca="false">INDEX(PRODUTOS!$E$4:$E$63,MATCH($A643,PRODUTOS!$B$4:$B$63,0))</f>
        <v>Bifinhos New Dots Cães Carne, Vegetais e Cereais 50 g</v>
      </c>
      <c r="C643" s="11" t="str">
        <f aca="false">INDEX(PRODUTOS!$H$4:$H$63,MATCH($A643,PRODUTOS!$B$4:$B$63,0))</f>
        <v>50 g</v>
      </c>
      <c r="D643" s="11" t="s">
        <v>335</v>
      </c>
      <c r="E643" s="16" t="str">
        <f aca="false">$A643&amp;"."&amp;$D643&amp;".jpg"</f>
        <v>7898968541887.AP02.jpg</v>
      </c>
      <c r="F643" s="11" t="str">
        <f aca="false">IF(INDEX(PRODUTOS!$I$4:$I$63,MATCH($A643,PRODUTOS!$B$4:$B$63,0))="B",INDEX(MODELOS!$F$3:$F$19,MATCH($D643,MODELOS!$A$3:$A$19,0)),INDEX(MODELOS!$B$3:$B$19,MATCH($D643,MODELOS!$A$3:$A$19,0)))</f>
        <v>A+ · Módulo 2 · Texto sobreposto</v>
      </c>
      <c r="G643" s="11" t="str">
        <f aca="false">IF(INDEX(PRODUTOS!$F$4:$F$63,MATCH($A643,PRODUTOS!$B$4:$B$63,0))="Ração",IF(INDEX(PRODUTOS!$I$4:$I$63,MATCH($A643,PRODUTOS!$B$4:$B$63,0))="B",INDEX(MODELOS!$G$3:$G$19,MATCH($D643,MODELOS!$A$3:$A$19,0)),INDEX(MODELOS!$C$3:$C$19,MATCH($D643,MODELOS!$A$3:$A$19,0))),IF(INDEX(PRODUTOS!$I$4:$I$63,MATCH($A643,PRODUTOS!$B$4:$B$63,0))="B",INDEX(MODELOS!$H$3:$H$19,MATCH($D643,MODELOS!$A$3:$A$19,0)),INDEX(MODELOS!$D$3:$D$19,MATCH($D643,MODELOS!$A$3:$A$19,0))))</f>
        <v>Principal diferencial; deixar o lado direito limpo</v>
      </c>
      <c r="H643" s="11" t="str">
        <f aca="false">IF(INDEX(PRODUTOS!$I$4:$I$63,MATCH($A643,PRODUTOS!$B$4:$B$63,0))="B",INDEX(MODELOS!$I$3:$I$19,MATCH($D643,MODELOS!$A$3:$A$19,0)),INDEX(MODELOS!$E$3:$E$19,MATCH($D643,MODELOS!$A$3:$A$19,0)))</f>
        <v>970 × 300</v>
      </c>
      <c r="I643" s="11" t="str">
        <f aca="false">INDEX(MODELOS!$J$3:$J$19,MATCH($D643,MODELOS!$A$3:$A$19,0))</f>
        <v>Conforme modelo</v>
      </c>
      <c r="J643" s="11" t="str">
        <f aca="false">IF(LEFT($D643,2)&lt;&gt;"AP",IF($I643="SIM","SIM","RECOMENDADA"),IF(INDEX(PRODUTOS!$J$4:$J$63,MATCH($A643,PRODUTOS!$B$4:$B$63,0))&lt;&gt;"","NÃO (usa o A+ do EAN "&amp;INDEX(PRODUTOS!$J$4:$J$63,MATCH($A643,PRODUTOS!$B$4:$B$63,0))&amp;")",IF(AND(INDEX(PRODUTOS!$I$4:$I$63,MATCH($A643,PRODUTOS!$B$4:$B$63,0))="B",$D643="AP07"),"NÃO (modelo B)","SIM")))</f>
        <v>SIM</v>
      </c>
      <c r="K643" s="13" t="s">
        <v>325</v>
      </c>
      <c r="L643" s="13"/>
    </row>
    <row r="644" customFormat="false" ht="15" hidden="false" customHeight="false" outlineLevel="0" collapsed="false">
      <c r="A644" s="15" t="s">
        <v>206</v>
      </c>
      <c r="B644" s="11" t="str">
        <f aca="false">INDEX(PRODUTOS!$E$4:$E$63,MATCH($A644,PRODUTOS!$B$4:$B$63,0))</f>
        <v>Bifinhos New Dots Cães Carne, Vegetais e Cereais 50 g</v>
      </c>
      <c r="C644" s="11" t="str">
        <f aca="false">INDEX(PRODUTOS!$H$4:$H$63,MATCH($A644,PRODUTOS!$B$4:$B$63,0))</f>
        <v>50 g</v>
      </c>
      <c r="D644" s="11" t="s">
        <v>336</v>
      </c>
      <c r="E644" s="16" t="str">
        <f aca="false">$A644&amp;"."&amp;$D644&amp;".jpg"</f>
        <v>7898968541887.AP03.jpg</v>
      </c>
      <c r="F644" s="11" t="str">
        <f aca="false">IF(INDEX(PRODUTOS!$I$4:$I$63,MATCH($A644,PRODUTOS!$B$4:$B$63,0))="B",INDEX(MODELOS!$F$3:$F$19,MATCH($D644,MODELOS!$A$3:$A$19,0)),INDEX(MODELOS!$B$3:$B$19,MATCH($D644,MODELOS!$A$3:$A$19,0)))</f>
        <v>A+ · Módulo 3 · Benefício 1 de 4</v>
      </c>
      <c r="G644" s="11" t="str">
        <f aca="false">IF(INDEX(PRODUTOS!$F$4:$F$63,MATCH($A644,PRODUTOS!$B$4:$B$63,0))="Ração",IF(INDEX(PRODUTOS!$I$4:$I$63,MATCH($A644,PRODUTOS!$B$4:$B$63,0))="B",INDEX(MODELOS!$G$3:$G$19,MATCH($D644,MODELOS!$A$3:$A$19,0)),INDEX(MODELOS!$C$3:$C$19,MATCH($D644,MODELOS!$A$3:$A$19,0))),IF(INDEX(PRODUTOS!$I$4:$I$63,MATCH($A644,PRODUTOS!$B$4:$B$63,0))="B",INDEX(MODELOS!$H$3:$H$19,MATCH($D644,MODELOS!$A$3:$A$19,0)),INDEX(MODELOS!$D$3:$D$19,MATCH($D644,MODELOS!$A$3:$A$19,0))))</f>
        <v>Foto/ilustração do benefício 1</v>
      </c>
      <c r="H644" s="11" t="str">
        <f aca="false">IF(INDEX(PRODUTOS!$I$4:$I$63,MATCH($A644,PRODUTOS!$B$4:$B$63,0))="B",INDEX(MODELOS!$I$3:$I$19,MATCH($D644,MODELOS!$A$3:$A$19,0)),INDEX(MODELOS!$E$3:$E$19,MATCH($D644,MODELOS!$A$3:$A$19,0)))</f>
        <v>220 × 200</v>
      </c>
      <c r="I644" s="11" t="str">
        <f aca="false">INDEX(MODELOS!$J$3:$J$19,MATCH($D644,MODELOS!$A$3:$A$19,0))</f>
        <v>Conforme modelo</v>
      </c>
      <c r="J644" s="11" t="str">
        <f aca="false">IF(LEFT($D644,2)&lt;&gt;"AP",IF($I644="SIM","SIM","RECOMENDADA"),IF(INDEX(PRODUTOS!$J$4:$J$63,MATCH($A644,PRODUTOS!$B$4:$B$63,0))&lt;&gt;"","NÃO (usa o A+ do EAN "&amp;INDEX(PRODUTOS!$J$4:$J$63,MATCH($A644,PRODUTOS!$B$4:$B$63,0))&amp;")",IF(AND(INDEX(PRODUTOS!$I$4:$I$63,MATCH($A644,PRODUTOS!$B$4:$B$63,0))="B",$D644="AP07"),"NÃO (modelo B)","SIM")))</f>
        <v>SIM</v>
      </c>
      <c r="K644" s="13" t="s">
        <v>325</v>
      </c>
      <c r="L644" s="13"/>
    </row>
    <row r="645" customFormat="false" ht="15" hidden="false" customHeight="false" outlineLevel="0" collapsed="false">
      <c r="A645" s="15" t="s">
        <v>206</v>
      </c>
      <c r="B645" s="11" t="str">
        <f aca="false">INDEX(PRODUTOS!$E$4:$E$63,MATCH($A645,PRODUTOS!$B$4:$B$63,0))</f>
        <v>Bifinhos New Dots Cães Carne, Vegetais e Cereais 50 g</v>
      </c>
      <c r="C645" s="11" t="str">
        <f aca="false">INDEX(PRODUTOS!$H$4:$H$63,MATCH($A645,PRODUTOS!$B$4:$B$63,0))</f>
        <v>50 g</v>
      </c>
      <c r="D645" s="11" t="s">
        <v>337</v>
      </c>
      <c r="E645" s="16" t="str">
        <f aca="false">$A645&amp;"."&amp;$D645&amp;".jpg"</f>
        <v>7898968541887.AP04.jpg</v>
      </c>
      <c r="F645" s="11" t="str">
        <f aca="false">IF(INDEX(PRODUTOS!$I$4:$I$63,MATCH($A645,PRODUTOS!$B$4:$B$63,0))="B",INDEX(MODELOS!$F$3:$F$19,MATCH($D645,MODELOS!$A$3:$A$19,0)),INDEX(MODELOS!$B$3:$B$19,MATCH($D645,MODELOS!$A$3:$A$19,0)))</f>
        <v>A+ · Módulo 3 · Benefício 2 de 4</v>
      </c>
      <c r="G645" s="11" t="str">
        <f aca="false">IF(INDEX(PRODUTOS!$F$4:$F$63,MATCH($A645,PRODUTOS!$B$4:$B$63,0))="Ração",IF(INDEX(PRODUTOS!$I$4:$I$63,MATCH($A645,PRODUTOS!$B$4:$B$63,0))="B",INDEX(MODELOS!$G$3:$G$19,MATCH($D645,MODELOS!$A$3:$A$19,0)),INDEX(MODELOS!$C$3:$C$19,MATCH($D645,MODELOS!$A$3:$A$19,0))),IF(INDEX(PRODUTOS!$I$4:$I$63,MATCH($A645,PRODUTOS!$B$4:$B$63,0))="B",INDEX(MODELOS!$H$3:$H$19,MATCH($D645,MODELOS!$A$3:$A$19,0)),INDEX(MODELOS!$D$3:$D$19,MATCH($D645,MODELOS!$A$3:$A$19,0))))</f>
        <v>Foto/ilustração do benefício 2</v>
      </c>
      <c r="H645" s="11" t="str">
        <f aca="false">IF(INDEX(PRODUTOS!$I$4:$I$63,MATCH($A645,PRODUTOS!$B$4:$B$63,0))="B",INDEX(MODELOS!$I$3:$I$19,MATCH($D645,MODELOS!$A$3:$A$19,0)),INDEX(MODELOS!$E$3:$E$19,MATCH($D645,MODELOS!$A$3:$A$19,0)))</f>
        <v>220 × 200</v>
      </c>
      <c r="I645" s="11" t="str">
        <f aca="false">INDEX(MODELOS!$J$3:$J$19,MATCH($D645,MODELOS!$A$3:$A$19,0))</f>
        <v>Conforme modelo</v>
      </c>
      <c r="J645" s="11" t="str">
        <f aca="false">IF(LEFT($D645,2)&lt;&gt;"AP",IF($I645="SIM","SIM","RECOMENDADA"),IF(INDEX(PRODUTOS!$J$4:$J$63,MATCH($A645,PRODUTOS!$B$4:$B$63,0))&lt;&gt;"","NÃO (usa o A+ do EAN "&amp;INDEX(PRODUTOS!$J$4:$J$63,MATCH($A645,PRODUTOS!$B$4:$B$63,0))&amp;")",IF(AND(INDEX(PRODUTOS!$I$4:$I$63,MATCH($A645,PRODUTOS!$B$4:$B$63,0))="B",$D645="AP07"),"NÃO (modelo B)","SIM")))</f>
        <v>SIM</v>
      </c>
      <c r="K645" s="13" t="s">
        <v>325</v>
      </c>
      <c r="L645" s="13"/>
    </row>
    <row r="646" customFormat="false" ht="15" hidden="false" customHeight="false" outlineLevel="0" collapsed="false">
      <c r="A646" s="15" t="s">
        <v>206</v>
      </c>
      <c r="B646" s="11" t="str">
        <f aca="false">INDEX(PRODUTOS!$E$4:$E$63,MATCH($A646,PRODUTOS!$B$4:$B$63,0))</f>
        <v>Bifinhos New Dots Cães Carne, Vegetais e Cereais 50 g</v>
      </c>
      <c r="C646" s="11" t="str">
        <f aca="false">INDEX(PRODUTOS!$H$4:$H$63,MATCH($A646,PRODUTOS!$B$4:$B$63,0))</f>
        <v>50 g</v>
      </c>
      <c r="D646" s="11" t="s">
        <v>338</v>
      </c>
      <c r="E646" s="16" t="str">
        <f aca="false">$A646&amp;"."&amp;$D646&amp;".jpg"</f>
        <v>7898968541887.AP05.jpg</v>
      </c>
      <c r="F646" s="11" t="str">
        <f aca="false">IF(INDEX(PRODUTOS!$I$4:$I$63,MATCH($A646,PRODUTOS!$B$4:$B$63,0))="B",INDEX(MODELOS!$F$3:$F$19,MATCH($D646,MODELOS!$A$3:$A$19,0)),INDEX(MODELOS!$B$3:$B$19,MATCH($D646,MODELOS!$A$3:$A$19,0)))</f>
        <v>A+ · Módulo 3 · Benefício 3 de 4</v>
      </c>
      <c r="G646" s="11" t="str">
        <f aca="false">IF(INDEX(PRODUTOS!$F$4:$F$63,MATCH($A646,PRODUTOS!$B$4:$B$63,0))="Ração",IF(INDEX(PRODUTOS!$I$4:$I$63,MATCH($A646,PRODUTOS!$B$4:$B$63,0))="B",INDEX(MODELOS!$G$3:$G$19,MATCH($D646,MODELOS!$A$3:$A$19,0)),INDEX(MODELOS!$C$3:$C$19,MATCH($D646,MODELOS!$A$3:$A$19,0))),IF(INDEX(PRODUTOS!$I$4:$I$63,MATCH($A646,PRODUTOS!$B$4:$B$63,0))="B",INDEX(MODELOS!$H$3:$H$19,MATCH($D646,MODELOS!$A$3:$A$19,0)),INDEX(MODELOS!$D$3:$D$19,MATCH($D646,MODELOS!$A$3:$A$19,0))))</f>
        <v>Foto/ilustração do benefício 3</v>
      </c>
      <c r="H646" s="11" t="str">
        <f aca="false">IF(INDEX(PRODUTOS!$I$4:$I$63,MATCH($A646,PRODUTOS!$B$4:$B$63,0))="B",INDEX(MODELOS!$I$3:$I$19,MATCH($D646,MODELOS!$A$3:$A$19,0)),INDEX(MODELOS!$E$3:$E$19,MATCH($D646,MODELOS!$A$3:$A$19,0)))</f>
        <v>220 × 200</v>
      </c>
      <c r="I646" s="11" t="str">
        <f aca="false">INDEX(MODELOS!$J$3:$J$19,MATCH($D646,MODELOS!$A$3:$A$19,0))</f>
        <v>Conforme modelo</v>
      </c>
      <c r="J646" s="11" t="str">
        <f aca="false">IF(LEFT($D646,2)&lt;&gt;"AP",IF($I646="SIM","SIM","RECOMENDADA"),IF(INDEX(PRODUTOS!$J$4:$J$63,MATCH($A646,PRODUTOS!$B$4:$B$63,0))&lt;&gt;"","NÃO (usa o A+ do EAN "&amp;INDEX(PRODUTOS!$J$4:$J$63,MATCH($A646,PRODUTOS!$B$4:$B$63,0))&amp;")",IF(AND(INDEX(PRODUTOS!$I$4:$I$63,MATCH($A646,PRODUTOS!$B$4:$B$63,0))="B",$D646="AP07"),"NÃO (modelo B)","SIM")))</f>
        <v>SIM</v>
      </c>
      <c r="K646" s="13" t="s">
        <v>325</v>
      </c>
      <c r="L646" s="13"/>
    </row>
    <row r="647" customFormat="false" ht="15" hidden="false" customHeight="false" outlineLevel="0" collapsed="false">
      <c r="A647" s="15" t="s">
        <v>206</v>
      </c>
      <c r="B647" s="11" t="str">
        <f aca="false">INDEX(PRODUTOS!$E$4:$E$63,MATCH($A647,PRODUTOS!$B$4:$B$63,0))</f>
        <v>Bifinhos New Dots Cães Carne, Vegetais e Cereais 50 g</v>
      </c>
      <c r="C647" s="11" t="str">
        <f aca="false">INDEX(PRODUTOS!$H$4:$H$63,MATCH($A647,PRODUTOS!$B$4:$B$63,0))</f>
        <v>50 g</v>
      </c>
      <c r="D647" s="11" t="s">
        <v>339</v>
      </c>
      <c r="E647" s="16" t="str">
        <f aca="false">$A647&amp;"."&amp;$D647&amp;".jpg"</f>
        <v>7898968541887.AP06.jpg</v>
      </c>
      <c r="F647" s="11" t="str">
        <f aca="false">IF(INDEX(PRODUTOS!$I$4:$I$63,MATCH($A647,PRODUTOS!$B$4:$B$63,0))="B",INDEX(MODELOS!$F$3:$F$19,MATCH($D647,MODELOS!$A$3:$A$19,0)),INDEX(MODELOS!$B$3:$B$19,MATCH($D647,MODELOS!$A$3:$A$19,0)))</f>
        <v>A+ · Módulo 3 · Benefício 4 de 4</v>
      </c>
      <c r="G647" s="11" t="str">
        <f aca="false">IF(INDEX(PRODUTOS!$F$4:$F$63,MATCH($A647,PRODUTOS!$B$4:$B$63,0))="Ração",IF(INDEX(PRODUTOS!$I$4:$I$63,MATCH($A647,PRODUTOS!$B$4:$B$63,0))="B",INDEX(MODELOS!$G$3:$G$19,MATCH($D647,MODELOS!$A$3:$A$19,0)),INDEX(MODELOS!$C$3:$C$19,MATCH($D647,MODELOS!$A$3:$A$19,0))),IF(INDEX(PRODUTOS!$I$4:$I$63,MATCH($A647,PRODUTOS!$B$4:$B$63,0))="B",INDEX(MODELOS!$H$3:$H$19,MATCH($D647,MODELOS!$A$3:$A$19,0)),INDEX(MODELOS!$D$3:$D$19,MATCH($D647,MODELOS!$A$3:$A$19,0))))</f>
        <v>Foto/ilustração do benefício 4</v>
      </c>
      <c r="H647" s="11" t="str">
        <f aca="false">IF(INDEX(PRODUTOS!$I$4:$I$63,MATCH($A647,PRODUTOS!$B$4:$B$63,0))="B",INDEX(MODELOS!$I$3:$I$19,MATCH($D647,MODELOS!$A$3:$A$19,0)),INDEX(MODELOS!$E$3:$E$19,MATCH($D647,MODELOS!$A$3:$A$19,0)))</f>
        <v>220 × 200</v>
      </c>
      <c r="I647" s="11" t="str">
        <f aca="false">INDEX(MODELOS!$J$3:$J$19,MATCH($D647,MODELOS!$A$3:$A$19,0))</f>
        <v>Conforme modelo</v>
      </c>
      <c r="J647" s="11" t="str">
        <f aca="false">IF(LEFT($D647,2)&lt;&gt;"AP",IF($I647="SIM","SIM","RECOMENDADA"),IF(INDEX(PRODUTOS!$J$4:$J$63,MATCH($A647,PRODUTOS!$B$4:$B$63,0))&lt;&gt;"","NÃO (usa o A+ do EAN "&amp;INDEX(PRODUTOS!$J$4:$J$63,MATCH($A647,PRODUTOS!$B$4:$B$63,0))&amp;")",IF(AND(INDEX(PRODUTOS!$I$4:$I$63,MATCH($A647,PRODUTOS!$B$4:$B$63,0))="B",$D647="AP07"),"NÃO (modelo B)","SIM")))</f>
        <v>SIM</v>
      </c>
      <c r="K647" s="13" t="s">
        <v>325</v>
      </c>
      <c r="L647" s="13"/>
    </row>
    <row r="648" customFormat="false" ht="15" hidden="false" customHeight="false" outlineLevel="0" collapsed="false">
      <c r="A648" s="15" t="s">
        <v>206</v>
      </c>
      <c r="B648" s="11" t="str">
        <f aca="false">INDEX(PRODUTOS!$E$4:$E$63,MATCH($A648,PRODUTOS!$B$4:$B$63,0))</f>
        <v>Bifinhos New Dots Cães Carne, Vegetais e Cereais 50 g</v>
      </c>
      <c r="C648" s="11" t="str">
        <f aca="false">INDEX(PRODUTOS!$H$4:$H$63,MATCH($A648,PRODUTOS!$B$4:$B$63,0))</f>
        <v>50 g</v>
      </c>
      <c r="D648" s="11" t="s">
        <v>340</v>
      </c>
      <c r="E648" s="16" t="str">
        <f aca="false">$A648&amp;"."&amp;$D648&amp;".jpg"</f>
        <v>7898968541887.AP07.jpg</v>
      </c>
      <c r="F648" s="11" t="str">
        <f aca="false">IF(INDEX(PRODUTOS!$I$4:$I$63,MATCH($A648,PRODUTOS!$B$4:$B$63,0))="B",INDEX(MODELOS!$F$3:$F$19,MATCH($D648,MODELOS!$A$3:$A$19,0)),INDEX(MODELOS!$B$3:$B$19,MATCH($D648,MODELOS!$A$3:$A$19,0)))</f>
        <v>A+ · Módulo 4 · Especificações</v>
      </c>
      <c r="G648" s="11" t="str">
        <f aca="false">IF(INDEX(PRODUTOS!$F$4:$F$63,MATCH($A648,PRODUTOS!$B$4:$B$63,0))="Ração",IF(INDEX(PRODUTOS!$I$4:$I$63,MATCH($A648,PRODUTOS!$B$4:$B$63,0))="B",INDEX(MODELOS!$G$3:$G$19,MATCH($D648,MODELOS!$A$3:$A$19,0)),INDEX(MODELOS!$C$3:$C$19,MATCH($D648,MODELOS!$A$3:$A$19,0))),IF(INDEX(PRODUTOS!$I$4:$I$63,MATCH($A648,PRODUTOS!$B$4:$B$63,0))="B",INDEX(MODELOS!$H$3:$H$19,MATCH($D648,MODELOS!$A$3:$A$19,0)),INDEX(MODELOS!$D$3:$D$19,MATCH($D648,MODELOS!$A$3:$A$19,0))))</f>
        <v>Produto em destaque</v>
      </c>
      <c r="H648" s="11" t="str">
        <f aca="false">IF(INDEX(PRODUTOS!$I$4:$I$63,MATCH($A648,PRODUTOS!$B$4:$B$63,0))="B",INDEX(MODELOS!$I$3:$I$19,MATCH($D648,MODELOS!$A$3:$A$19,0)),INDEX(MODELOS!$E$3:$E$19,MATCH($D648,MODELOS!$A$3:$A$19,0)))</f>
        <v>300 × 300</v>
      </c>
      <c r="I648" s="11" t="str">
        <f aca="false">INDEX(MODELOS!$J$3:$J$19,MATCH($D648,MODELOS!$A$3:$A$19,0))</f>
        <v>Conforme modelo</v>
      </c>
      <c r="J648" s="11" t="str">
        <f aca="false">IF(LEFT($D648,2)&lt;&gt;"AP",IF($I648="SIM","SIM","RECOMENDADA"),IF(INDEX(PRODUTOS!$J$4:$J$63,MATCH($A648,PRODUTOS!$B$4:$B$63,0))&lt;&gt;"","NÃO (usa o A+ do EAN "&amp;INDEX(PRODUTOS!$J$4:$J$63,MATCH($A648,PRODUTOS!$B$4:$B$63,0))&amp;")",IF(AND(INDEX(PRODUTOS!$I$4:$I$63,MATCH($A648,PRODUTOS!$B$4:$B$63,0))="B",$D648="AP07"),"NÃO (modelo B)","SIM")))</f>
        <v>SIM</v>
      </c>
      <c r="K648" s="13" t="s">
        <v>325</v>
      </c>
      <c r="L648" s="13"/>
    </row>
    <row r="649" customFormat="false" ht="15" hidden="false" customHeight="false" outlineLevel="0" collapsed="false">
      <c r="A649" s="15" t="s">
        <v>206</v>
      </c>
      <c r="B649" s="11" t="str">
        <f aca="false">INDEX(PRODUTOS!$E$4:$E$63,MATCH($A649,PRODUTOS!$B$4:$B$63,0))</f>
        <v>Bifinhos New Dots Cães Carne, Vegetais e Cereais 50 g</v>
      </c>
      <c r="C649" s="11" t="str">
        <f aca="false">INDEX(PRODUTOS!$H$4:$H$63,MATCH($A649,PRODUTOS!$B$4:$B$63,0))</f>
        <v>50 g</v>
      </c>
      <c r="D649" s="11" t="s">
        <v>341</v>
      </c>
      <c r="E649" s="16" t="str">
        <f aca="false">$A649&amp;"."&amp;$D649&amp;".jpg"</f>
        <v>7898968541887.COMP.jpg</v>
      </c>
      <c r="F649" s="11" t="str">
        <f aca="false">IF(INDEX(PRODUTOS!$I$4:$I$63,MATCH($A649,PRODUTOS!$B$4:$B$63,0))="B",INDEX(MODELOS!$F$3:$F$19,MATCH($D649,MODELOS!$A$3:$A$19,0)),INDEX(MODELOS!$B$3:$B$19,MATCH($D649,MODELOS!$A$3:$A$19,0)))</f>
        <v>A+ · Tabela comparativa</v>
      </c>
      <c r="G649" s="11" t="str">
        <f aca="false">IF(INDEX(PRODUTOS!$F$4:$F$63,MATCH($A649,PRODUTOS!$B$4:$B$63,0))="Ração",IF(INDEX(PRODUTOS!$I$4:$I$63,MATCH($A649,PRODUTOS!$B$4:$B$63,0))="B",INDEX(MODELOS!$G$3:$G$19,MATCH($D649,MODELOS!$A$3:$A$19,0)),INDEX(MODELOS!$C$3:$C$19,MATCH($D649,MODELOS!$A$3:$A$19,0))),IF(INDEX(PRODUTOS!$I$4:$I$63,MATCH($A649,PRODUTOS!$B$4:$B$63,0))="B",INDEX(MODELOS!$H$3:$H$19,MATCH($D649,MODELOS!$A$3:$A$19,0)),INDEX(MODELOS!$D$3:$D$19,MATCH($D649,MODELOS!$A$3:$A$19,0))))</f>
        <v>Produto na vertical, sem fundo colorido</v>
      </c>
      <c r="H649" s="11" t="str">
        <f aca="false">IF(INDEX(PRODUTOS!$I$4:$I$63,MATCH($A649,PRODUTOS!$B$4:$B$63,0))="B",INDEX(MODELOS!$I$3:$I$19,MATCH($D649,MODELOS!$A$3:$A$19,0)),INDEX(MODELOS!$E$3:$E$19,MATCH($D649,MODELOS!$A$3:$A$19,0)))</f>
        <v>150 × 300</v>
      </c>
      <c r="I649" s="11" t="str">
        <f aca="false">INDEX(MODELOS!$J$3:$J$19,MATCH($D649,MODELOS!$A$3:$A$19,0))</f>
        <v>SIM</v>
      </c>
      <c r="J649" s="11" t="str">
        <f aca="false">IF(LEFT($D649,2)&lt;&gt;"AP",IF($I649="SIM","SIM","RECOMENDADA"),IF(INDEX(PRODUTOS!$J$4:$J$63,MATCH($A649,PRODUTOS!$B$4:$B$63,0))&lt;&gt;"","NÃO (usa o A+ do EAN "&amp;INDEX(PRODUTOS!$J$4:$J$63,MATCH($A649,PRODUTOS!$B$4:$B$63,0))&amp;")",IF(AND(INDEX(PRODUTOS!$I$4:$I$63,MATCH($A649,PRODUTOS!$B$4:$B$63,0))="B",$D649="AP07"),"NÃO (modelo B)","SIM")))</f>
        <v>SIM</v>
      </c>
      <c r="K649" s="13" t="s">
        <v>325</v>
      </c>
      <c r="L649" s="13"/>
    </row>
    <row r="650" customFormat="false" ht="15" hidden="false" customHeight="false" outlineLevel="0" collapsed="false">
      <c r="A650" s="15" t="s">
        <v>212</v>
      </c>
      <c r="B650" s="11" t="str">
        <f aca="false">INDEX(PRODUTOS!$E$4:$E$63,MATCH($A650,PRODUTOS!$B$4:$B$63,0))</f>
        <v>Bifinhos New Dots Cães Churrasco 400 g</v>
      </c>
      <c r="C650" s="11" t="str">
        <f aca="false">INDEX(PRODUTOS!$H$4:$H$63,MATCH($A650,PRODUTOS!$B$4:$B$63,0))</f>
        <v>400 g</v>
      </c>
      <c r="D650" s="11" t="s">
        <v>324</v>
      </c>
      <c r="E650" s="16" t="str">
        <f aca="false">$A650&amp;"."&amp;$D650&amp;".jpg"</f>
        <v>7898968541863.MAIN.jpg</v>
      </c>
      <c r="F650" s="11" t="str">
        <f aca="false">IF(INDEX(PRODUTOS!$I$4:$I$63,MATCH($A650,PRODUTOS!$B$4:$B$63,0))="B",INDEX(MODELOS!$F$3:$F$19,MATCH($D650,MODELOS!$A$3:$A$19,0)),INDEX(MODELOS!$B$3:$B$19,MATCH($D650,MODELOS!$A$3:$A$19,0)))</f>
        <v>Capa (posição 1)</v>
      </c>
      <c r="G650" s="11" t="str">
        <f aca="false">IF(INDEX(PRODUTOS!$F$4:$F$63,MATCH($A650,PRODUTOS!$B$4:$B$63,0))="Ração",IF(INDEX(PRODUTOS!$I$4:$I$63,MATCH($A650,PRODUTOS!$B$4:$B$63,0))="B",INDEX(MODELOS!$G$3:$G$19,MATCH($D650,MODELOS!$A$3:$A$19,0)),INDEX(MODELOS!$C$3:$C$19,MATCH($D650,MODELOS!$A$3:$A$19,0))),IF(INDEX(PRODUTOS!$I$4:$I$63,MATCH($A650,PRODUTOS!$B$4:$B$63,0))="B",INDEX(MODELOS!$H$3:$H$19,MATCH($D650,MODELOS!$A$3:$A$19,0)),INDEX(MODELOS!$D$3:$D$19,MATCH($D650,MODELOS!$A$3:$A$19,0))))</f>
        <v>Embalagem de frente, fundo branco puro, 85% da área, nada adicionado</v>
      </c>
      <c r="H650" s="11" t="str">
        <f aca="false">IF(INDEX(PRODUTOS!$I$4:$I$63,MATCH($A650,PRODUTOS!$B$4:$B$63,0))="B",INDEX(MODELOS!$I$3:$I$19,MATCH($D650,MODELOS!$A$3:$A$19,0)),INDEX(MODELOS!$E$3:$E$19,MATCH($D650,MODELOS!$A$3:$A$19,0)))</f>
        <v>2000 × 2000</v>
      </c>
      <c r="I650" s="11" t="str">
        <f aca="false">INDEX(MODELOS!$J$3:$J$19,MATCH($D650,MODELOS!$A$3:$A$19,0))</f>
        <v>SIM</v>
      </c>
      <c r="J650" s="11" t="str">
        <f aca="false">IF(LEFT($D650,2)&lt;&gt;"AP",IF($I650="SIM","SIM","RECOMENDADA"),IF(INDEX(PRODUTOS!$J$4:$J$63,MATCH($A650,PRODUTOS!$B$4:$B$63,0))&lt;&gt;"","NÃO (usa o A+ do EAN "&amp;INDEX(PRODUTOS!$J$4:$J$63,MATCH($A650,PRODUTOS!$B$4:$B$63,0))&amp;")",IF(AND(INDEX(PRODUTOS!$I$4:$I$63,MATCH($A650,PRODUTOS!$B$4:$B$63,0))="B",$D650="AP07"),"NÃO (modelo B)","SIM")))</f>
        <v>SIM</v>
      </c>
      <c r="K650" s="13" t="s">
        <v>325</v>
      </c>
      <c r="L650" s="13"/>
    </row>
    <row r="651" customFormat="false" ht="15" hidden="false" customHeight="false" outlineLevel="0" collapsed="false">
      <c r="A651" s="15" t="s">
        <v>212</v>
      </c>
      <c r="B651" s="11" t="str">
        <f aca="false">INDEX(PRODUTOS!$E$4:$E$63,MATCH($A651,PRODUTOS!$B$4:$B$63,0))</f>
        <v>Bifinhos New Dots Cães Churrasco 400 g</v>
      </c>
      <c r="C651" s="11" t="str">
        <f aca="false">INDEX(PRODUTOS!$H$4:$H$63,MATCH($A651,PRODUTOS!$B$4:$B$63,0))</f>
        <v>400 g</v>
      </c>
      <c r="D651" s="11" t="s">
        <v>326</v>
      </c>
      <c r="E651" s="16" t="str">
        <f aca="false">$A651&amp;"."&amp;$D651&amp;".jpg"</f>
        <v>7898968541863.PT01.jpg</v>
      </c>
      <c r="F651" s="11" t="str">
        <f aca="false">IF(INDEX(PRODUTOS!$I$4:$I$63,MATCH($A651,PRODUTOS!$B$4:$B$63,0))="B",INDEX(MODELOS!$F$3:$F$19,MATCH($D651,MODELOS!$A$3:$A$19,0)),INDEX(MODELOS!$B$3:$B$19,MATCH($D651,MODELOS!$A$3:$A$19,0)))</f>
        <v>Galeria · posição 2</v>
      </c>
      <c r="G651" s="11" t="str">
        <f aca="false">IF(INDEX(PRODUTOS!$F$4:$F$63,MATCH($A651,PRODUTOS!$B$4:$B$63,0))="Ração",IF(INDEX(PRODUTOS!$I$4:$I$63,MATCH($A651,PRODUTOS!$B$4:$B$63,0))="B",INDEX(MODELOS!$G$3:$G$19,MATCH($D651,MODELOS!$A$3:$A$19,0)),INDEX(MODELOS!$C$3:$C$19,MATCH($D651,MODELOS!$A$3:$A$19,0))),IF(INDEX(PRODUTOS!$I$4:$I$63,MATCH($A651,PRODUTOS!$B$4:$B$63,0))="B",INDEX(MODELOS!$H$3:$H$19,MATCH($D651,MODELOS!$A$3:$A$19,0)),INDEX(MODELOS!$D$3:$D$19,MATCH($D651,MODELOS!$A$3:$A$19,0))))</f>
        <v>Grande diferencial (ex.: natural, biodegradável, perfumado)</v>
      </c>
      <c r="H651" s="11" t="str">
        <f aca="false">IF(INDEX(PRODUTOS!$I$4:$I$63,MATCH($A651,PRODUTOS!$B$4:$B$63,0))="B",INDEX(MODELOS!$I$3:$I$19,MATCH($D651,MODELOS!$A$3:$A$19,0)),INDEX(MODELOS!$E$3:$E$19,MATCH($D651,MODELOS!$A$3:$A$19,0)))</f>
        <v>2000 × 2000</v>
      </c>
      <c r="I651" s="11" t="str">
        <f aca="false">INDEX(MODELOS!$J$3:$J$19,MATCH($D651,MODELOS!$A$3:$A$19,0))</f>
        <v>SIM</v>
      </c>
      <c r="J651" s="11" t="str">
        <f aca="false">IF(LEFT($D651,2)&lt;&gt;"AP",IF($I651="SIM","SIM","RECOMENDADA"),IF(INDEX(PRODUTOS!$J$4:$J$63,MATCH($A651,PRODUTOS!$B$4:$B$63,0))&lt;&gt;"","NÃO (usa o A+ do EAN "&amp;INDEX(PRODUTOS!$J$4:$J$63,MATCH($A651,PRODUTOS!$B$4:$B$63,0))&amp;")",IF(AND(INDEX(PRODUTOS!$I$4:$I$63,MATCH($A651,PRODUTOS!$B$4:$B$63,0))="B",$D651="AP07"),"NÃO (modelo B)","SIM")))</f>
        <v>SIM</v>
      </c>
      <c r="K651" s="13" t="s">
        <v>325</v>
      </c>
      <c r="L651" s="13"/>
    </row>
    <row r="652" customFormat="false" ht="15" hidden="false" customHeight="false" outlineLevel="0" collapsed="false">
      <c r="A652" s="15" t="s">
        <v>212</v>
      </c>
      <c r="B652" s="11" t="str">
        <f aca="false">INDEX(PRODUTOS!$E$4:$E$63,MATCH($A652,PRODUTOS!$B$4:$B$63,0))</f>
        <v>Bifinhos New Dots Cães Churrasco 400 g</v>
      </c>
      <c r="C652" s="11" t="str">
        <f aca="false">INDEX(PRODUTOS!$H$4:$H$63,MATCH($A652,PRODUTOS!$B$4:$B$63,0))</f>
        <v>400 g</v>
      </c>
      <c r="D652" s="11" t="s">
        <v>327</v>
      </c>
      <c r="E652" s="16" t="str">
        <f aca="false">$A652&amp;"."&amp;$D652&amp;".jpg"</f>
        <v>7898968541863.PT02.jpg</v>
      </c>
      <c r="F652" s="11" t="str">
        <f aca="false">IF(INDEX(PRODUTOS!$I$4:$I$63,MATCH($A652,PRODUTOS!$B$4:$B$63,0))="B",INDEX(MODELOS!$F$3:$F$19,MATCH($D652,MODELOS!$A$3:$A$19,0)),INDEX(MODELOS!$B$3:$B$19,MATCH($D652,MODELOS!$A$3:$A$19,0)))</f>
        <v>Galeria · posição 3</v>
      </c>
      <c r="G652" s="11" t="str">
        <f aca="false">IF(INDEX(PRODUTOS!$F$4:$F$63,MATCH($A652,PRODUTOS!$B$4:$B$63,0))="Ração",IF(INDEX(PRODUTOS!$I$4:$I$63,MATCH($A652,PRODUTOS!$B$4:$B$63,0))="B",INDEX(MODELOS!$G$3:$G$19,MATCH($D652,MODELOS!$A$3:$A$19,0)),INDEX(MODELOS!$C$3:$C$19,MATCH($D652,MODELOS!$A$3:$A$19,0))),IF(INDEX(PRODUTOS!$I$4:$I$63,MATCH($A652,PRODUTOS!$B$4:$B$63,0))="B",INDEX(MODELOS!$H$3:$H$19,MATCH($D652,MODELOS!$A$3:$A$19,0)),INDEX(MODELOS!$D$3:$D$19,MATCH($D652,MODELOS!$A$3:$A$19,0))))</f>
        <v>Benefícios com ícones (4 a 6, impressos na embalagem)</v>
      </c>
      <c r="H652" s="11" t="str">
        <f aca="false">IF(INDEX(PRODUTOS!$I$4:$I$63,MATCH($A652,PRODUTOS!$B$4:$B$63,0))="B",INDEX(MODELOS!$I$3:$I$19,MATCH($D652,MODELOS!$A$3:$A$19,0)),INDEX(MODELOS!$E$3:$E$19,MATCH($D652,MODELOS!$A$3:$A$19,0)))</f>
        <v>2000 × 2000</v>
      </c>
      <c r="I652" s="11" t="str">
        <f aca="false">INDEX(MODELOS!$J$3:$J$19,MATCH($D652,MODELOS!$A$3:$A$19,0))</f>
        <v>SIM</v>
      </c>
      <c r="J652" s="11" t="str">
        <f aca="false">IF(LEFT($D652,2)&lt;&gt;"AP",IF($I652="SIM","SIM","RECOMENDADA"),IF(INDEX(PRODUTOS!$J$4:$J$63,MATCH($A652,PRODUTOS!$B$4:$B$63,0))&lt;&gt;"","NÃO (usa o A+ do EAN "&amp;INDEX(PRODUTOS!$J$4:$J$63,MATCH($A652,PRODUTOS!$B$4:$B$63,0))&amp;")",IF(AND(INDEX(PRODUTOS!$I$4:$I$63,MATCH($A652,PRODUTOS!$B$4:$B$63,0))="B",$D652="AP07"),"NÃO (modelo B)","SIM")))</f>
        <v>SIM</v>
      </c>
      <c r="K652" s="13" t="s">
        <v>325</v>
      </c>
      <c r="L652" s="13"/>
    </row>
    <row r="653" customFormat="false" ht="15" hidden="false" customHeight="false" outlineLevel="0" collapsed="false">
      <c r="A653" s="15" t="s">
        <v>212</v>
      </c>
      <c r="B653" s="11" t="str">
        <f aca="false">INDEX(PRODUTOS!$E$4:$E$63,MATCH($A653,PRODUTOS!$B$4:$B$63,0))</f>
        <v>Bifinhos New Dots Cães Churrasco 400 g</v>
      </c>
      <c r="C653" s="11" t="str">
        <f aca="false">INDEX(PRODUTOS!$H$4:$H$63,MATCH($A653,PRODUTOS!$B$4:$B$63,0))</f>
        <v>400 g</v>
      </c>
      <c r="D653" s="11" t="s">
        <v>328</v>
      </c>
      <c r="E653" s="16" t="str">
        <f aca="false">$A653&amp;"."&amp;$D653&amp;".jpg"</f>
        <v>7898968541863.PT03.jpg</v>
      </c>
      <c r="F653" s="11" t="str">
        <f aca="false">IF(INDEX(PRODUTOS!$I$4:$I$63,MATCH($A653,PRODUTOS!$B$4:$B$63,0))="B",INDEX(MODELOS!$F$3:$F$19,MATCH($D653,MODELOS!$A$3:$A$19,0)),INDEX(MODELOS!$B$3:$B$19,MATCH($D653,MODELOS!$A$3:$A$19,0)))</f>
        <v>Galeria · posição 4</v>
      </c>
      <c r="G653" s="11" t="str">
        <f aca="false">IF(INDEX(PRODUTOS!$F$4:$F$63,MATCH($A653,PRODUTOS!$B$4:$B$63,0))="Ração",IF(INDEX(PRODUTOS!$I$4:$I$63,MATCH($A653,PRODUTOS!$B$4:$B$63,0))="B",INDEX(MODELOS!$G$3:$G$19,MATCH($D653,MODELOS!$A$3:$A$19,0)),INDEX(MODELOS!$C$3:$C$19,MATCH($D653,MODELOS!$A$3:$A$19,0))),IF(INDEX(PRODUTOS!$I$4:$I$63,MATCH($A653,PRODUTOS!$B$4:$B$63,0))="B",INDEX(MODELOS!$H$3:$H$19,MATCH($D653,MODELOS!$A$3:$A$19,0)),INDEX(MODELOS!$D$3:$D$19,MATCH($D653,MODELOS!$A$3:$A$19,0))))</f>
        <v>Detalhe e tamanho real (petisco, grânulo ou tapete aberto), com medidas</v>
      </c>
      <c r="H653" s="11" t="str">
        <f aca="false">IF(INDEX(PRODUTOS!$I$4:$I$63,MATCH($A653,PRODUTOS!$B$4:$B$63,0))="B",INDEX(MODELOS!$I$3:$I$19,MATCH($D653,MODELOS!$A$3:$A$19,0)),INDEX(MODELOS!$E$3:$E$19,MATCH($D653,MODELOS!$A$3:$A$19,0)))</f>
        <v>2000 × 2000</v>
      </c>
      <c r="I653" s="11" t="str">
        <f aca="false">INDEX(MODELOS!$J$3:$J$19,MATCH($D653,MODELOS!$A$3:$A$19,0))</f>
        <v>SIM</v>
      </c>
      <c r="J653" s="11" t="str">
        <f aca="false">IF(LEFT($D653,2)&lt;&gt;"AP",IF($I653="SIM","SIM","RECOMENDADA"),IF(INDEX(PRODUTOS!$J$4:$J$63,MATCH($A653,PRODUTOS!$B$4:$B$63,0))&lt;&gt;"","NÃO (usa o A+ do EAN "&amp;INDEX(PRODUTOS!$J$4:$J$63,MATCH($A653,PRODUTOS!$B$4:$B$63,0))&amp;")",IF(AND(INDEX(PRODUTOS!$I$4:$I$63,MATCH($A653,PRODUTOS!$B$4:$B$63,0))="B",$D653="AP07"),"NÃO (modelo B)","SIM")))</f>
        <v>SIM</v>
      </c>
      <c r="K653" s="13" t="s">
        <v>325</v>
      </c>
      <c r="L653" s="13"/>
    </row>
    <row r="654" customFormat="false" ht="15" hidden="false" customHeight="false" outlineLevel="0" collapsed="false">
      <c r="A654" s="15" t="s">
        <v>212</v>
      </c>
      <c r="B654" s="11" t="str">
        <f aca="false">INDEX(PRODUTOS!$E$4:$E$63,MATCH($A654,PRODUTOS!$B$4:$B$63,0))</f>
        <v>Bifinhos New Dots Cães Churrasco 400 g</v>
      </c>
      <c r="C654" s="11" t="str">
        <f aca="false">INDEX(PRODUTOS!$H$4:$H$63,MATCH($A654,PRODUTOS!$B$4:$B$63,0))</f>
        <v>400 g</v>
      </c>
      <c r="D654" s="11" t="s">
        <v>329</v>
      </c>
      <c r="E654" s="16" t="str">
        <f aca="false">$A654&amp;"."&amp;$D654&amp;".jpg"</f>
        <v>7898968541863.PT04.jpg</v>
      </c>
      <c r="F654" s="11" t="str">
        <f aca="false">IF(INDEX(PRODUTOS!$I$4:$I$63,MATCH($A654,PRODUTOS!$B$4:$B$63,0))="B",INDEX(MODELOS!$F$3:$F$19,MATCH($D654,MODELOS!$A$3:$A$19,0)),INDEX(MODELOS!$B$3:$B$19,MATCH($D654,MODELOS!$A$3:$A$19,0)))</f>
        <v>Galeria · posição 5</v>
      </c>
      <c r="G654" s="11" t="str">
        <f aca="false">IF(INDEX(PRODUTOS!$F$4:$F$63,MATCH($A654,PRODUTOS!$B$4:$B$63,0))="Ração",IF(INDEX(PRODUTOS!$I$4:$I$63,MATCH($A654,PRODUTOS!$B$4:$B$63,0))="B",INDEX(MODELOS!$G$3:$G$19,MATCH($D654,MODELOS!$A$3:$A$19,0)),INDEX(MODELOS!$C$3:$C$19,MATCH($D654,MODELOS!$A$3:$A$19,0))),IF(INDEX(PRODUTOS!$I$4:$I$63,MATCH($A654,PRODUTOS!$B$4:$B$63,0))="B",INDEX(MODELOS!$H$3:$H$19,MATCH($D654,MODELOS!$A$3:$A$19,0)),INDEX(MODELOS!$D$3:$D$19,MATCH($D654,MODELOS!$A$3:$A$19,0))))</f>
        <v>Modo de uso (como oferecer o petisco / como usar o produto)</v>
      </c>
      <c r="H654" s="11" t="str">
        <f aca="false">IF(INDEX(PRODUTOS!$I$4:$I$63,MATCH($A654,PRODUTOS!$B$4:$B$63,0))="B",INDEX(MODELOS!$I$3:$I$19,MATCH($D654,MODELOS!$A$3:$A$19,0)),INDEX(MODELOS!$E$3:$E$19,MATCH($D654,MODELOS!$A$3:$A$19,0)))</f>
        <v>2000 × 2000</v>
      </c>
      <c r="I654" s="11" t="str">
        <f aca="false">INDEX(MODELOS!$J$3:$J$19,MATCH($D654,MODELOS!$A$3:$A$19,0))</f>
        <v>SIM</v>
      </c>
      <c r="J654" s="11" t="str">
        <f aca="false">IF(LEFT($D654,2)&lt;&gt;"AP",IF($I654="SIM","SIM","RECOMENDADA"),IF(INDEX(PRODUTOS!$J$4:$J$63,MATCH($A654,PRODUTOS!$B$4:$B$63,0))&lt;&gt;"","NÃO (usa o A+ do EAN "&amp;INDEX(PRODUTOS!$J$4:$J$63,MATCH($A654,PRODUTOS!$B$4:$B$63,0))&amp;")",IF(AND(INDEX(PRODUTOS!$I$4:$I$63,MATCH($A654,PRODUTOS!$B$4:$B$63,0))="B",$D654="AP07"),"NÃO (modelo B)","SIM")))</f>
        <v>SIM</v>
      </c>
      <c r="K654" s="13" t="s">
        <v>325</v>
      </c>
      <c r="L654" s="13"/>
    </row>
    <row r="655" customFormat="false" ht="15" hidden="false" customHeight="false" outlineLevel="0" collapsed="false">
      <c r="A655" s="15" t="s">
        <v>212</v>
      </c>
      <c r="B655" s="11" t="str">
        <f aca="false">INDEX(PRODUTOS!$E$4:$E$63,MATCH($A655,PRODUTOS!$B$4:$B$63,0))</f>
        <v>Bifinhos New Dots Cães Churrasco 400 g</v>
      </c>
      <c r="C655" s="11" t="str">
        <f aca="false">INDEX(PRODUTOS!$H$4:$H$63,MATCH($A655,PRODUTOS!$B$4:$B$63,0))</f>
        <v>400 g</v>
      </c>
      <c r="D655" s="11" t="s">
        <v>330</v>
      </c>
      <c r="E655" s="16" t="str">
        <f aca="false">$A655&amp;"."&amp;$D655&amp;".jpg"</f>
        <v>7898968541863.PT05.jpg</v>
      </c>
      <c r="F655" s="11" t="str">
        <f aca="false">IF(INDEX(PRODUTOS!$I$4:$I$63,MATCH($A655,PRODUTOS!$B$4:$B$63,0))="B",INDEX(MODELOS!$F$3:$F$19,MATCH($D655,MODELOS!$A$3:$A$19,0)),INDEX(MODELOS!$B$3:$B$19,MATCH($D655,MODELOS!$A$3:$A$19,0)))</f>
        <v>Galeria · posição 6</v>
      </c>
      <c r="G655" s="11" t="str">
        <f aca="false">IF(INDEX(PRODUTOS!$F$4:$F$63,MATCH($A655,PRODUTOS!$B$4:$B$63,0))="Ração",IF(INDEX(PRODUTOS!$I$4:$I$63,MATCH($A655,PRODUTOS!$B$4:$B$63,0))="B",INDEX(MODELOS!$G$3:$G$19,MATCH($D655,MODELOS!$A$3:$A$19,0)),INDEX(MODELOS!$C$3:$C$19,MATCH($D655,MODELOS!$A$3:$A$19,0))),IF(INDEX(PRODUTOS!$I$4:$I$63,MATCH($A655,PRODUTOS!$B$4:$B$63,0))="B",INDEX(MODELOS!$H$3:$H$19,MATCH($D655,MODELOS!$A$3:$A$19,0)),INDEX(MODELOS!$D$3:$D$19,MATCH($D655,MODELOS!$A$3:$A$19,0))))</f>
        <v>Quantidade por dia ou rendimento do pacote</v>
      </c>
      <c r="H655" s="11" t="str">
        <f aca="false">IF(INDEX(PRODUTOS!$I$4:$I$63,MATCH($A655,PRODUTOS!$B$4:$B$63,0))="B",INDEX(MODELOS!$I$3:$I$19,MATCH($D655,MODELOS!$A$3:$A$19,0)),INDEX(MODELOS!$E$3:$E$19,MATCH($D655,MODELOS!$A$3:$A$19,0)))</f>
        <v>2000 × 2000</v>
      </c>
      <c r="I655" s="11" t="str">
        <f aca="false">INDEX(MODELOS!$J$3:$J$19,MATCH($D655,MODELOS!$A$3:$A$19,0))</f>
        <v>Recomendada</v>
      </c>
      <c r="J655" s="11" t="str">
        <f aca="false">IF(LEFT($D655,2)&lt;&gt;"AP",IF($I655="SIM","SIM","RECOMENDADA"),IF(INDEX(PRODUTOS!$J$4:$J$63,MATCH($A655,PRODUTOS!$B$4:$B$63,0))&lt;&gt;"","NÃO (usa o A+ do EAN "&amp;INDEX(PRODUTOS!$J$4:$J$63,MATCH($A655,PRODUTOS!$B$4:$B$63,0))&amp;")",IF(AND(INDEX(PRODUTOS!$I$4:$I$63,MATCH($A655,PRODUTOS!$B$4:$B$63,0))="B",$D655="AP07"),"NÃO (modelo B)","SIM")))</f>
        <v>RECOMENDADA</v>
      </c>
      <c r="K655" s="13" t="s">
        <v>325</v>
      </c>
      <c r="L655" s="13"/>
    </row>
    <row r="656" customFormat="false" ht="15" hidden="false" customHeight="false" outlineLevel="0" collapsed="false">
      <c r="A656" s="15" t="s">
        <v>212</v>
      </c>
      <c r="B656" s="11" t="str">
        <f aca="false">INDEX(PRODUTOS!$E$4:$E$63,MATCH($A656,PRODUTOS!$B$4:$B$63,0))</f>
        <v>Bifinhos New Dots Cães Churrasco 400 g</v>
      </c>
      <c r="C656" s="11" t="str">
        <f aca="false">INDEX(PRODUTOS!$H$4:$H$63,MATCH($A656,PRODUTOS!$B$4:$B$63,0))</f>
        <v>400 g</v>
      </c>
      <c r="D656" s="11" t="s">
        <v>331</v>
      </c>
      <c r="E656" s="16" t="str">
        <f aca="false">$A656&amp;"."&amp;$D656&amp;".jpg"</f>
        <v>7898968541863.PT06.jpg</v>
      </c>
      <c r="F656" s="11" t="str">
        <f aca="false">IF(INDEX(PRODUTOS!$I$4:$I$63,MATCH($A656,PRODUTOS!$B$4:$B$63,0))="B",INDEX(MODELOS!$F$3:$F$19,MATCH($D656,MODELOS!$A$3:$A$19,0)),INDEX(MODELOS!$B$3:$B$19,MATCH($D656,MODELOS!$A$3:$A$19,0)))</f>
        <v>Galeria · posição 7</v>
      </c>
      <c r="G656" s="11" t="str">
        <f aca="false">IF(INDEX(PRODUTOS!$F$4:$F$63,MATCH($A656,PRODUTOS!$B$4:$B$63,0))="Ração",IF(INDEX(PRODUTOS!$I$4:$I$63,MATCH($A656,PRODUTOS!$B$4:$B$63,0))="B",INDEX(MODELOS!$G$3:$G$19,MATCH($D656,MODELOS!$A$3:$A$19,0)),INDEX(MODELOS!$C$3:$C$19,MATCH($D656,MODELOS!$A$3:$A$19,0))),IF(INDEX(PRODUTOS!$I$4:$I$63,MATCH($A656,PRODUTOS!$B$4:$B$63,0))="B",INDEX(MODELOS!$H$3:$H$19,MATCH($D656,MODELOS!$A$3:$A$19,0)),INDEX(MODELOS!$D$3:$D$19,MATCH($D656,MODELOS!$A$3:$A$19,0))))</f>
        <v>Composição/níveis de garantia (petiscos) ou especificações (higiene)</v>
      </c>
      <c r="H656" s="11" t="str">
        <f aca="false">IF(INDEX(PRODUTOS!$I$4:$I$63,MATCH($A656,PRODUTOS!$B$4:$B$63,0))="B",INDEX(MODELOS!$I$3:$I$19,MATCH($D656,MODELOS!$A$3:$A$19,0)),INDEX(MODELOS!$E$3:$E$19,MATCH($D656,MODELOS!$A$3:$A$19,0)))</f>
        <v>2000 × 2000</v>
      </c>
      <c r="I656" s="11" t="str">
        <f aca="false">INDEX(MODELOS!$J$3:$J$19,MATCH($D656,MODELOS!$A$3:$A$19,0))</f>
        <v>SIM</v>
      </c>
      <c r="J656" s="11" t="str">
        <f aca="false">IF(LEFT($D656,2)&lt;&gt;"AP",IF($I656="SIM","SIM","RECOMENDADA"),IF(INDEX(PRODUTOS!$J$4:$J$63,MATCH($A656,PRODUTOS!$B$4:$B$63,0))&lt;&gt;"","NÃO (usa o A+ do EAN "&amp;INDEX(PRODUTOS!$J$4:$J$63,MATCH($A656,PRODUTOS!$B$4:$B$63,0))&amp;")",IF(AND(INDEX(PRODUTOS!$I$4:$I$63,MATCH($A656,PRODUTOS!$B$4:$B$63,0))="B",$D656="AP07"),"NÃO (modelo B)","SIM")))</f>
        <v>SIM</v>
      </c>
      <c r="K656" s="13" t="s">
        <v>325</v>
      </c>
      <c r="L656" s="13"/>
    </row>
    <row r="657" customFormat="false" ht="15" hidden="false" customHeight="false" outlineLevel="0" collapsed="false">
      <c r="A657" s="15" t="s">
        <v>212</v>
      </c>
      <c r="B657" s="11" t="str">
        <f aca="false">INDEX(PRODUTOS!$E$4:$E$63,MATCH($A657,PRODUTOS!$B$4:$B$63,0))</f>
        <v>Bifinhos New Dots Cães Churrasco 400 g</v>
      </c>
      <c r="C657" s="11" t="str">
        <f aca="false">INDEX(PRODUTOS!$H$4:$H$63,MATCH($A657,PRODUTOS!$B$4:$B$63,0))</f>
        <v>400 g</v>
      </c>
      <c r="D657" s="11" t="s">
        <v>332</v>
      </c>
      <c r="E657" s="16" t="str">
        <f aca="false">$A657&amp;"."&amp;$D657&amp;".jpg"</f>
        <v>7898968541863.PT07.jpg</v>
      </c>
      <c r="F657" s="11" t="str">
        <f aca="false">IF(INDEX(PRODUTOS!$I$4:$I$63,MATCH($A657,PRODUTOS!$B$4:$B$63,0))="B",INDEX(MODELOS!$F$3:$F$19,MATCH($D657,MODELOS!$A$3:$A$19,0)),INDEX(MODELOS!$B$3:$B$19,MATCH($D657,MODELOS!$A$3:$A$19,0)))</f>
        <v>Galeria · posição 8</v>
      </c>
      <c r="G657" s="11" t="str">
        <f aca="false">IF(INDEX(PRODUTOS!$F$4:$F$63,MATCH($A657,PRODUTOS!$B$4:$B$63,0))="Ração",IF(INDEX(PRODUTOS!$I$4:$I$63,MATCH($A657,PRODUTOS!$B$4:$B$63,0))="B",INDEX(MODELOS!$G$3:$G$19,MATCH($D657,MODELOS!$A$3:$A$19,0)),INDEX(MODELOS!$C$3:$C$19,MATCH($D657,MODELOS!$A$3:$A$19,0))),IF(INDEX(PRODUTOS!$I$4:$I$63,MATCH($A657,PRODUTOS!$B$4:$B$63,0))="B",INDEX(MODELOS!$H$3:$H$19,MATCH($D657,MODELOS!$A$3:$A$19,0)),INDEX(MODELOS!$D$3:$D$19,MATCH($D657,MODELOS!$A$3:$A$19,0))))</f>
        <v>Emocional / momento de uso</v>
      </c>
      <c r="H657" s="11" t="str">
        <f aca="false">IF(INDEX(PRODUTOS!$I$4:$I$63,MATCH($A657,PRODUTOS!$B$4:$B$63,0))="B",INDEX(MODELOS!$I$3:$I$19,MATCH($D657,MODELOS!$A$3:$A$19,0)),INDEX(MODELOS!$E$3:$E$19,MATCH($D657,MODELOS!$A$3:$A$19,0)))</f>
        <v>2000 × 2000</v>
      </c>
      <c r="I657" s="11" t="str">
        <f aca="false">INDEX(MODELOS!$J$3:$J$19,MATCH($D657,MODELOS!$A$3:$A$19,0))</f>
        <v>Recomendada</v>
      </c>
      <c r="J657" s="11" t="str">
        <f aca="false">IF(LEFT($D657,2)&lt;&gt;"AP",IF($I657="SIM","SIM","RECOMENDADA"),IF(INDEX(PRODUTOS!$J$4:$J$63,MATCH($A657,PRODUTOS!$B$4:$B$63,0))&lt;&gt;"","NÃO (usa o A+ do EAN "&amp;INDEX(PRODUTOS!$J$4:$J$63,MATCH($A657,PRODUTOS!$B$4:$B$63,0))&amp;")",IF(AND(INDEX(PRODUTOS!$I$4:$I$63,MATCH($A657,PRODUTOS!$B$4:$B$63,0))="B",$D657="AP07"),"NÃO (modelo B)","SIM")))</f>
        <v>RECOMENDADA</v>
      </c>
      <c r="K657" s="13" t="s">
        <v>325</v>
      </c>
      <c r="L657" s="13"/>
    </row>
    <row r="658" customFormat="false" ht="15" hidden="false" customHeight="false" outlineLevel="0" collapsed="false">
      <c r="A658" s="15" t="s">
        <v>212</v>
      </c>
      <c r="B658" s="11" t="str">
        <f aca="false">INDEX(PRODUTOS!$E$4:$E$63,MATCH($A658,PRODUTOS!$B$4:$B$63,0))</f>
        <v>Bifinhos New Dots Cães Churrasco 400 g</v>
      </c>
      <c r="C658" s="11" t="str">
        <f aca="false">INDEX(PRODUTOS!$H$4:$H$63,MATCH($A658,PRODUTOS!$B$4:$B$63,0))</f>
        <v>400 g</v>
      </c>
      <c r="D658" s="11" t="s">
        <v>333</v>
      </c>
      <c r="E658" s="16" t="str">
        <f aca="false">$A658&amp;"."&amp;$D658&amp;".jpg"</f>
        <v>7898968541863.PT08.jpg</v>
      </c>
      <c r="F658" s="11" t="str">
        <f aca="false">IF(INDEX(PRODUTOS!$I$4:$I$63,MATCH($A658,PRODUTOS!$B$4:$B$63,0))="B",INDEX(MODELOS!$F$3:$F$19,MATCH($D658,MODELOS!$A$3:$A$19,0)),INDEX(MODELOS!$B$3:$B$19,MATCH($D658,MODELOS!$A$3:$A$19,0)))</f>
        <v>Galeria · posição 9</v>
      </c>
      <c r="G658" s="11" t="str">
        <f aca="false">IF(INDEX(PRODUTOS!$F$4:$F$63,MATCH($A658,PRODUTOS!$B$4:$B$63,0))="Ração",IF(INDEX(PRODUTOS!$I$4:$I$63,MATCH($A658,PRODUTOS!$B$4:$B$63,0))="B",INDEX(MODELOS!$G$3:$G$19,MATCH($D658,MODELOS!$A$3:$A$19,0)),INDEX(MODELOS!$C$3:$C$19,MATCH($D658,MODELOS!$A$3:$A$19,0))),IF(INDEX(PRODUTOS!$I$4:$I$63,MATCH($A658,PRODUTOS!$B$4:$B$63,0))="B",INDEX(MODELOS!$H$3:$H$19,MATCH($D658,MODELOS!$A$3:$A$19,0)),INDEX(MODELOS!$D$3:$D$19,MATCH($D658,MODELOS!$A$3:$A$19,0))))</f>
        <v>Linha da marca ("conheça também")</v>
      </c>
      <c r="H658" s="11" t="str">
        <f aca="false">IF(INDEX(PRODUTOS!$I$4:$I$63,MATCH($A658,PRODUTOS!$B$4:$B$63,0))="B",INDEX(MODELOS!$I$3:$I$19,MATCH($D658,MODELOS!$A$3:$A$19,0)),INDEX(MODELOS!$E$3:$E$19,MATCH($D658,MODELOS!$A$3:$A$19,0)))</f>
        <v>2000 × 2000</v>
      </c>
      <c r="I658" s="11" t="str">
        <f aca="false">INDEX(MODELOS!$J$3:$J$19,MATCH($D658,MODELOS!$A$3:$A$19,0))</f>
        <v>Recomendada</v>
      </c>
      <c r="J658" s="11" t="str">
        <f aca="false">IF(LEFT($D658,2)&lt;&gt;"AP",IF($I658="SIM","SIM","RECOMENDADA"),IF(INDEX(PRODUTOS!$J$4:$J$63,MATCH($A658,PRODUTOS!$B$4:$B$63,0))&lt;&gt;"","NÃO (usa o A+ do EAN "&amp;INDEX(PRODUTOS!$J$4:$J$63,MATCH($A658,PRODUTOS!$B$4:$B$63,0))&amp;")",IF(AND(INDEX(PRODUTOS!$I$4:$I$63,MATCH($A658,PRODUTOS!$B$4:$B$63,0))="B",$D658="AP07"),"NÃO (modelo B)","SIM")))</f>
        <v>RECOMENDADA</v>
      </c>
      <c r="K658" s="13" t="s">
        <v>325</v>
      </c>
      <c r="L658" s="13"/>
    </row>
    <row r="659" customFormat="false" ht="15" hidden="false" customHeight="false" outlineLevel="0" collapsed="false">
      <c r="A659" s="15" t="s">
        <v>212</v>
      </c>
      <c r="B659" s="11" t="str">
        <f aca="false">INDEX(PRODUTOS!$E$4:$E$63,MATCH($A659,PRODUTOS!$B$4:$B$63,0))</f>
        <v>Bifinhos New Dots Cães Churrasco 400 g</v>
      </c>
      <c r="C659" s="11" t="str">
        <f aca="false">INDEX(PRODUTOS!$H$4:$H$63,MATCH($A659,PRODUTOS!$B$4:$B$63,0))</f>
        <v>400 g</v>
      </c>
      <c r="D659" s="11" t="s">
        <v>334</v>
      </c>
      <c r="E659" s="16" t="str">
        <f aca="false">$A659&amp;"."&amp;$D659&amp;".jpg"</f>
        <v>7898968541863.AP01.jpg</v>
      </c>
      <c r="F659" s="11" t="str">
        <f aca="false">IF(INDEX(PRODUTOS!$I$4:$I$63,MATCH($A659,PRODUTOS!$B$4:$B$63,0))="B",INDEX(MODELOS!$F$3:$F$19,MATCH($D659,MODELOS!$A$3:$A$19,0)),INDEX(MODELOS!$B$3:$B$19,MATCH($D659,MODELOS!$A$3:$A$19,0)))</f>
        <v>A+ · Módulo 1 · Banner</v>
      </c>
      <c r="G659" s="11" t="str">
        <f aca="false">IF(INDEX(PRODUTOS!$F$4:$F$63,MATCH($A659,PRODUTOS!$B$4:$B$63,0))="Ração",IF(INDEX(PRODUTOS!$I$4:$I$63,MATCH($A659,PRODUTOS!$B$4:$B$63,0))="B",INDEX(MODELOS!$G$3:$G$19,MATCH($D659,MODELOS!$A$3:$A$19,0)),INDEX(MODELOS!$C$3:$C$19,MATCH($D659,MODELOS!$A$3:$A$19,0))),IF(INDEX(PRODUTOS!$I$4:$I$63,MATCH($A659,PRODUTOS!$B$4:$B$63,0))="B",INDEX(MODELOS!$H$3:$H$19,MATCH($D659,MODELOS!$A$3:$A$19,0)),INDEX(MODELOS!$D$3:$D$19,MATCH($D659,MODELOS!$A$3:$A$19,0))))</f>
        <v>Produto + pet, com o nome da linha</v>
      </c>
      <c r="H659" s="11" t="str">
        <f aca="false">IF(INDEX(PRODUTOS!$I$4:$I$63,MATCH($A659,PRODUTOS!$B$4:$B$63,0))="B",INDEX(MODELOS!$I$3:$I$19,MATCH($D659,MODELOS!$A$3:$A$19,0)),INDEX(MODELOS!$E$3:$E$19,MATCH($D659,MODELOS!$A$3:$A$19,0)))</f>
        <v>970 × 600</v>
      </c>
      <c r="I659" s="11" t="str">
        <f aca="false">INDEX(MODELOS!$J$3:$J$19,MATCH($D659,MODELOS!$A$3:$A$19,0))</f>
        <v>Conforme modelo</v>
      </c>
      <c r="J659" s="11" t="str">
        <f aca="false">IF(LEFT($D659,2)&lt;&gt;"AP",IF($I659="SIM","SIM","RECOMENDADA"),IF(INDEX(PRODUTOS!$J$4:$J$63,MATCH($A659,PRODUTOS!$B$4:$B$63,0))&lt;&gt;"","NÃO (usa o A+ do EAN "&amp;INDEX(PRODUTOS!$J$4:$J$63,MATCH($A659,PRODUTOS!$B$4:$B$63,0))&amp;")",IF(AND(INDEX(PRODUTOS!$I$4:$I$63,MATCH($A659,PRODUTOS!$B$4:$B$63,0))="B",$D659="AP07"),"NÃO (modelo B)","SIM")))</f>
        <v>SIM</v>
      </c>
      <c r="K659" s="13" t="s">
        <v>325</v>
      </c>
      <c r="L659" s="13"/>
    </row>
    <row r="660" customFormat="false" ht="15" hidden="false" customHeight="false" outlineLevel="0" collapsed="false">
      <c r="A660" s="15" t="s">
        <v>212</v>
      </c>
      <c r="B660" s="11" t="str">
        <f aca="false">INDEX(PRODUTOS!$E$4:$E$63,MATCH($A660,PRODUTOS!$B$4:$B$63,0))</f>
        <v>Bifinhos New Dots Cães Churrasco 400 g</v>
      </c>
      <c r="C660" s="11" t="str">
        <f aca="false">INDEX(PRODUTOS!$H$4:$H$63,MATCH($A660,PRODUTOS!$B$4:$B$63,0))</f>
        <v>400 g</v>
      </c>
      <c r="D660" s="11" t="s">
        <v>335</v>
      </c>
      <c r="E660" s="16" t="str">
        <f aca="false">$A660&amp;"."&amp;$D660&amp;".jpg"</f>
        <v>7898968541863.AP02.jpg</v>
      </c>
      <c r="F660" s="11" t="str">
        <f aca="false">IF(INDEX(PRODUTOS!$I$4:$I$63,MATCH($A660,PRODUTOS!$B$4:$B$63,0))="B",INDEX(MODELOS!$F$3:$F$19,MATCH($D660,MODELOS!$A$3:$A$19,0)),INDEX(MODELOS!$B$3:$B$19,MATCH($D660,MODELOS!$A$3:$A$19,0)))</f>
        <v>A+ · Módulo 2 · Texto sobreposto</v>
      </c>
      <c r="G660" s="11" t="str">
        <f aca="false">IF(INDEX(PRODUTOS!$F$4:$F$63,MATCH($A660,PRODUTOS!$B$4:$B$63,0))="Ração",IF(INDEX(PRODUTOS!$I$4:$I$63,MATCH($A660,PRODUTOS!$B$4:$B$63,0))="B",INDEX(MODELOS!$G$3:$G$19,MATCH($D660,MODELOS!$A$3:$A$19,0)),INDEX(MODELOS!$C$3:$C$19,MATCH($D660,MODELOS!$A$3:$A$19,0))),IF(INDEX(PRODUTOS!$I$4:$I$63,MATCH($A660,PRODUTOS!$B$4:$B$63,0))="B",INDEX(MODELOS!$H$3:$H$19,MATCH($D660,MODELOS!$A$3:$A$19,0)),INDEX(MODELOS!$D$3:$D$19,MATCH($D660,MODELOS!$A$3:$A$19,0))))</f>
        <v>Principal diferencial; deixar o lado direito limpo</v>
      </c>
      <c r="H660" s="11" t="str">
        <f aca="false">IF(INDEX(PRODUTOS!$I$4:$I$63,MATCH($A660,PRODUTOS!$B$4:$B$63,0))="B",INDEX(MODELOS!$I$3:$I$19,MATCH($D660,MODELOS!$A$3:$A$19,0)),INDEX(MODELOS!$E$3:$E$19,MATCH($D660,MODELOS!$A$3:$A$19,0)))</f>
        <v>970 × 300</v>
      </c>
      <c r="I660" s="11" t="str">
        <f aca="false">INDEX(MODELOS!$J$3:$J$19,MATCH($D660,MODELOS!$A$3:$A$19,0))</f>
        <v>Conforme modelo</v>
      </c>
      <c r="J660" s="11" t="str">
        <f aca="false">IF(LEFT($D660,2)&lt;&gt;"AP",IF($I660="SIM","SIM","RECOMENDADA"),IF(INDEX(PRODUTOS!$J$4:$J$63,MATCH($A660,PRODUTOS!$B$4:$B$63,0))&lt;&gt;"","NÃO (usa o A+ do EAN "&amp;INDEX(PRODUTOS!$J$4:$J$63,MATCH($A660,PRODUTOS!$B$4:$B$63,0))&amp;")",IF(AND(INDEX(PRODUTOS!$I$4:$I$63,MATCH($A660,PRODUTOS!$B$4:$B$63,0))="B",$D660="AP07"),"NÃO (modelo B)","SIM")))</f>
        <v>SIM</v>
      </c>
      <c r="K660" s="13" t="s">
        <v>325</v>
      </c>
      <c r="L660" s="13"/>
    </row>
    <row r="661" customFormat="false" ht="15" hidden="false" customHeight="false" outlineLevel="0" collapsed="false">
      <c r="A661" s="15" t="s">
        <v>212</v>
      </c>
      <c r="B661" s="11" t="str">
        <f aca="false">INDEX(PRODUTOS!$E$4:$E$63,MATCH($A661,PRODUTOS!$B$4:$B$63,0))</f>
        <v>Bifinhos New Dots Cães Churrasco 400 g</v>
      </c>
      <c r="C661" s="11" t="str">
        <f aca="false">INDEX(PRODUTOS!$H$4:$H$63,MATCH($A661,PRODUTOS!$B$4:$B$63,0))</f>
        <v>400 g</v>
      </c>
      <c r="D661" s="11" t="s">
        <v>336</v>
      </c>
      <c r="E661" s="16" t="str">
        <f aca="false">$A661&amp;"."&amp;$D661&amp;".jpg"</f>
        <v>7898968541863.AP03.jpg</v>
      </c>
      <c r="F661" s="11" t="str">
        <f aca="false">IF(INDEX(PRODUTOS!$I$4:$I$63,MATCH($A661,PRODUTOS!$B$4:$B$63,0))="B",INDEX(MODELOS!$F$3:$F$19,MATCH($D661,MODELOS!$A$3:$A$19,0)),INDEX(MODELOS!$B$3:$B$19,MATCH($D661,MODELOS!$A$3:$A$19,0)))</f>
        <v>A+ · Módulo 3 · Benefício 1 de 4</v>
      </c>
      <c r="G661" s="11" t="str">
        <f aca="false">IF(INDEX(PRODUTOS!$F$4:$F$63,MATCH($A661,PRODUTOS!$B$4:$B$63,0))="Ração",IF(INDEX(PRODUTOS!$I$4:$I$63,MATCH($A661,PRODUTOS!$B$4:$B$63,0))="B",INDEX(MODELOS!$G$3:$G$19,MATCH($D661,MODELOS!$A$3:$A$19,0)),INDEX(MODELOS!$C$3:$C$19,MATCH($D661,MODELOS!$A$3:$A$19,0))),IF(INDEX(PRODUTOS!$I$4:$I$63,MATCH($A661,PRODUTOS!$B$4:$B$63,0))="B",INDEX(MODELOS!$H$3:$H$19,MATCH($D661,MODELOS!$A$3:$A$19,0)),INDEX(MODELOS!$D$3:$D$19,MATCH($D661,MODELOS!$A$3:$A$19,0))))</f>
        <v>Foto/ilustração do benefício 1</v>
      </c>
      <c r="H661" s="11" t="str">
        <f aca="false">IF(INDEX(PRODUTOS!$I$4:$I$63,MATCH($A661,PRODUTOS!$B$4:$B$63,0))="B",INDEX(MODELOS!$I$3:$I$19,MATCH($D661,MODELOS!$A$3:$A$19,0)),INDEX(MODELOS!$E$3:$E$19,MATCH($D661,MODELOS!$A$3:$A$19,0)))</f>
        <v>220 × 200</v>
      </c>
      <c r="I661" s="11" t="str">
        <f aca="false">INDEX(MODELOS!$J$3:$J$19,MATCH($D661,MODELOS!$A$3:$A$19,0))</f>
        <v>Conforme modelo</v>
      </c>
      <c r="J661" s="11" t="str">
        <f aca="false">IF(LEFT($D661,2)&lt;&gt;"AP",IF($I661="SIM","SIM","RECOMENDADA"),IF(INDEX(PRODUTOS!$J$4:$J$63,MATCH($A661,PRODUTOS!$B$4:$B$63,0))&lt;&gt;"","NÃO (usa o A+ do EAN "&amp;INDEX(PRODUTOS!$J$4:$J$63,MATCH($A661,PRODUTOS!$B$4:$B$63,0))&amp;")",IF(AND(INDEX(PRODUTOS!$I$4:$I$63,MATCH($A661,PRODUTOS!$B$4:$B$63,0))="B",$D661="AP07"),"NÃO (modelo B)","SIM")))</f>
        <v>SIM</v>
      </c>
      <c r="K661" s="13" t="s">
        <v>325</v>
      </c>
      <c r="L661" s="13"/>
    </row>
    <row r="662" customFormat="false" ht="15" hidden="false" customHeight="false" outlineLevel="0" collapsed="false">
      <c r="A662" s="15" t="s">
        <v>212</v>
      </c>
      <c r="B662" s="11" t="str">
        <f aca="false">INDEX(PRODUTOS!$E$4:$E$63,MATCH($A662,PRODUTOS!$B$4:$B$63,0))</f>
        <v>Bifinhos New Dots Cães Churrasco 400 g</v>
      </c>
      <c r="C662" s="11" t="str">
        <f aca="false">INDEX(PRODUTOS!$H$4:$H$63,MATCH($A662,PRODUTOS!$B$4:$B$63,0))</f>
        <v>400 g</v>
      </c>
      <c r="D662" s="11" t="s">
        <v>337</v>
      </c>
      <c r="E662" s="16" t="str">
        <f aca="false">$A662&amp;"."&amp;$D662&amp;".jpg"</f>
        <v>7898968541863.AP04.jpg</v>
      </c>
      <c r="F662" s="11" t="str">
        <f aca="false">IF(INDEX(PRODUTOS!$I$4:$I$63,MATCH($A662,PRODUTOS!$B$4:$B$63,0))="B",INDEX(MODELOS!$F$3:$F$19,MATCH($D662,MODELOS!$A$3:$A$19,0)),INDEX(MODELOS!$B$3:$B$19,MATCH($D662,MODELOS!$A$3:$A$19,0)))</f>
        <v>A+ · Módulo 3 · Benefício 2 de 4</v>
      </c>
      <c r="G662" s="11" t="str">
        <f aca="false">IF(INDEX(PRODUTOS!$F$4:$F$63,MATCH($A662,PRODUTOS!$B$4:$B$63,0))="Ração",IF(INDEX(PRODUTOS!$I$4:$I$63,MATCH($A662,PRODUTOS!$B$4:$B$63,0))="B",INDEX(MODELOS!$G$3:$G$19,MATCH($D662,MODELOS!$A$3:$A$19,0)),INDEX(MODELOS!$C$3:$C$19,MATCH($D662,MODELOS!$A$3:$A$19,0))),IF(INDEX(PRODUTOS!$I$4:$I$63,MATCH($A662,PRODUTOS!$B$4:$B$63,0))="B",INDEX(MODELOS!$H$3:$H$19,MATCH($D662,MODELOS!$A$3:$A$19,0)),INDEX(MODELOS!$D$3:$D$19,MATCH($D662,MODELOS!$A$3:$A$19,0))))</f>
        <v>Foto/ilustração do benefício 2</v>
      </c>
      <c r="H662" s="11" t="str">
        <f aca="false">IF(INDEX(PRODUTOS!$I$4:$I$63,MATCH($A662,PRODUTOS!$B$4:$B$63,0))="B",INDEX(MODELOS!$I$3:$I$19,MATCH($D662,MODELOS!$A$3:$A$19,0)),INDEX(MODELOS!$E$3:$E$19,MATCH($D662,MODELOS!$A$3:$A$19,0)))</f>
        <v>220 × 200</v>
      </c>
      <c r="I662" s="11" t="str">
        <f aca="false">INDEX(MODELOS!$J$3:$J$19,MATCH($D662,MODELOS!$A$3:$A$19,0))</f>
        <v>Conforme modelo</v>
      </c>
      <c r="J662" s="11" t="str">
        <f aca="false">IF(LEFT($D662,2)&lt;&gt;"AP",IF($I662="SIM","SIM","RECOMENDADA"),IF(INDEX(PRODUTOS!$J$4:$J$63,MATCH($A662,PRODUTOS!$B$4:$B$63,0))&lt;&gt;"","NÃO (usa o A+ do EAN "&amp;INDEX(PRODUTOS!$J$4:$J$63,MATCH($A662,PRODUTOS!$B$4:$B$63,0))&amp;")",IF(AND(INDEX(PRODUTOS!$I$4:$I$63,MATCH($A662,PRODUTOS!$B$4:$B$63,0))="B",$D662="AP07"),"NÃO (modelo B)","SIM")))</f>
        <v>SIM</v>
      </c>
      <c r="K662" s="13" t="s">
        <v>325</v>
      </c>
      <c r="L662" s="13"/>
    </row>
    <row r="663" customFormat="false" ht="15" hidden="false" customHeight="false" outlineLevel="0" collapsed="false">
      <c r="A663" s="15" t="s">
        <v>212</v>
      </c>
      <c r="B663" s="11" t="str">
        <f aca="false">INDEX(PRODUTOS!$E$4:$E$63,MATCH($A663,PRODUTOS!$B$4:$B$63,0))</f>
        <v>Bifinhos New Dots Cães Churrasco 400 g</v>
      </c>
      <c r="C663" s="11" t="str">
        <f aca="false">INDEX(PRODUTOS!$H$4:$H$63,MATCH($A663,PRODUTOS!$B$4:$B$63,0))</f>
        <v>400 g</v>
      </c>
      <c r="D663" s="11" t="s">
        <v>338</v>
      </c>
      <c r="E663" s="16" t="str">
        <f aca="false">$A663&amp;"."&amp;$D663&amp;".jpg"</f>
        <v>7898968541863.AP05.jpg</v>
      </c>
      <c r="F663" s="11" t="str">
        <f aca="false">IF(INDEX(PRODUTOS!$I$4:$I$63,MATCH($A663,PRODUTOS!$B$4:$B$63,0))="B",INDEX(MODELOS!$F$3:$F$19,MATCH($D663,MODELOS!$A$3:$A$19,0)),INDEX(MODELOS!$B$3:$B$19,MATCH($D663,MODELOS!$A$3:$A$19,0)))</f>
        <v>A+ · Módulo 3 · Benefício 3 de 4</v>
      </c>
      <c r="G663" s="11" t="str">
        <f aca="false">IF(INDEX(PRODUTOS!$F$4:$F$63,MATCH($A663,PRODUTOS!$B$4:$B$63,0))="Ração",IF(INDEX(PRODUTOS!$I$4:$I$63,MATCH($A663,PRODUTOS!$B$4:$B$63,0))="B",INDEX(MODELOS!$G$3:$G$19,MATCH($D663,MODELOS!$A$3:$A$19,0)),INDEX(MODELOS!$C$3:$C$19,MATCH($D663,MODELOS!$A$3:$A$19,0))),IF(INDEX(PRODUTOS!$I$4:$I$63,MATCH($A663,PRODUTOS!$B$4:$B$63,0))="B",INDEX(MODELOS!$H$3:$H$19,MATCH($D663,MODELOS!$A$3:$A$19,0)),INDEX(MODELOS!$D$3:$D$19,MATCH($D663,MODELOS!$A$3:$A$19,0))))</f>
        <v>Foto/ilustração do benefício 3</v>
      </c>
      <c r="H663" s="11" t="str">
        <f aca="false">IF(INDEX(PRODUTOS!$I$4:$I$63,MATCH($A663,PRODUTOS!$B$4:$B$63,0))="B",INDEX(MODELOS!$I$3:$I$19,MATCH($D663,MODELOS!$A$3:$A$19,0)),INDEX(MODELOS!$E$3:$E$19,MATCH($D663,MODELOS!$A$3:$A$19,0)))</f>
        <v>220 × 200</v>
      </c>
      <c r="I663" s="11" t="str">
        <f aca="false">INDEX(MODELOS!$J$3:$J$19,MATCH($D663,MODELOS!$A$3:$A$19,0))</f>
        <v>Conforme modelo</v>
      </c>
      <c r="J663" s="11" t="str">
        <f aca="false">IF(LEFT($D663,2)&lt;&gt;"AP",IF($I663="SIM","SIM","RECOMENDADA"),IF(INDEX(PRODUTOS!$J$4:$J$63,MATCH($A663,PRODUTOS!$B$4:$B$63,0))&lt;&gt;"","NÃO (usa o A+ do EAN "&amp;INDEX(PRODUTOS!$J$4:$J$63,MATCH($A663,PRODUTOS!$B$4:$B$63,0))&amp;")",IF(AND(INDEX(PRODUTOS!$I$4:$I$63,MATCH($A663,PRODUTOS!$B$4:$B$63,0))="B",$D663="AP07"),"NÃO (modelo B)","SIM")))</f>
        <v>SIM</v>
      </c>
      <c r="K663" s="13" t="s">
        <v>325</v>
      </c>
      <c r="L663" s="13"/>
    </row>
    <row r="664" customFormat="false" ht="15" hidden="false" customHeight="false" outlineLevel="0" collapsed="false">
      <c r="A664" s="15" t="s">
        <v>212</v>
      </c>
      <c r="B664" s="11" t="str">
        <f aca="false">INDEX(PRODUTOS!$E$4:$E$63,MATCH($A664,PRODUTOS!$B$4:$B$63,0))</f>
        <v>Bifinhos New Dots Cães Churrasco 400 g</v>
      </c>
      <c r="C664" s="11" t="str">
        <f aca="false">INDEX(PRODUTOS!$H$4:$H$63,MATCH($A664,PRODUTOS!$B$4:$B$63,0))</f>
        <v>400 g</v>
      </c>
      <c r="D664" s="11" t="s">
        <v>339</v>
      </c>
      <c r="E664" s="16" t="str">
        <f aca="false">$A664&amp;"."&amp;$D664&amp;".jpg"</f>
        <v>7898968541863.AP06.jpg</v>
      </c>
      <c r="F664" s="11" t="str">
        <f aca="false">IF(INDEX(PRODUTOS!$I$4:$I$63,MATCH($A664,PRODUTOS!$B$4:$B$63,0))="B",INDEX(MODELOS!$F$3:$F$19,MATCH($D664,MODELOS!$A$3:$A$19,0)),INDEX(MODELOS!$B$3:$B$19,MATCH($D664,MODELOS!$A$3:$A$19,0)))</f>
        <v>A+ · Módulo 3 · Benefício 4 de 4</v>
      </c>
      <c r="G664" s="11" t="str">
        <f aca="false">IF(INDEX(PRODUTOS!$F$4:$F$63,MATCH($A664,PRODUTOS!$B$4:$B$63,0))="Ração",IF(INDEX(PRODUTOS!$I$4:$I$63,MATCH($A664,PRODUTOS!$B$4:$B$63,0))="B",INDEX(MODELOS!$G$3:$G$19,MATCH($D664,MODELOS!$A$3:$A$19,0)),INDEX(MODELOS!$C$3:$C$19,MATCH($D664,MODELOS!$A$3:$A$19,0))),IF(INDEX(PRODUTOS!$I$4:$I$63,MATCH($A664,PRODUTOS!$B$4:$B$63,0))="B",INDEX(MODELOS!$H$3:$H$19,MATCH($D664,MODELOS!$A$3:$A$19,0)),INDEX(MODELOS!$D$3:$D$19,MATCH($D664,MODELOS!$A$3:$A$19,0))))</f>
        <v>Foto/ilustração do benefício 4</v>
      </c>
      <c r="H664" s="11" t="str">
        <f aca="false">IF(INDEX(PRODUTOS!$I$4:$I$63,MATCH($A664,PRODUTOS!$B$4:$B$63,0))="B",INDEX(MODELOS!$I$3:$I$19,MATCH($D664,MODELOS!$A$3:$A$19,0)),INDEX(MODELOS!$E$3:$E$19,MATCH($D664,MODELOS!$A$3:$A$19,0)))</f>
        <v>220 × 200</v>
      </c>
      <c r="I664" s="11" t="str">
        <f aca="false">INDEX(MODELOS!$J$3:$J$19,MATCH($D664,MODELOS!$A$3:$A$19,0))</f>
        <v>Conforme modelo</v>
      </c>
      <c r="J664" s="11" t="str">
        <f aca="false">IF(LEFT($D664,2)&lt;&gt;"AP",IF($I664="SIM","SIM","RECOMENDADA"),IF(INDEX(PRODUTOS!$J$4:$J$63,MATCH($A664,PRODUTOS!$B$4:$B$63,0))&lt;&gt;"","NÃO (usa o A+ do EAN "&amp;INDEX(PRODUTOS!$J$4:$J$63,MATCH($A664,PRODUTOS!$B$4:$B$63,0))&amp;")",IF(AND(INDEX(PRODUTOS!$I$4:$I$63,MATCH($A664,PRODUTOS!$B$4:$B$63,0))="B",$D664="AP07"),"NÃO (modelo B)","SIM")))</f>
        <v>SIM</v>
      </c>
      <c r="K664" s="13" t="s">
        <v>325</v>
      </c>
      <c r="L664" s="13"/>
    </row>
    <row r="665" customFormat="false" ht="15" hidden="false" customHeight="false" outlineLevel="0" collapsed="false">
      <c r="A665" s="15" t="s">
        <v>212</v>
      </c>
      <c r="B665" s="11" t="str">
        <f aca="false">INDEX(PRODUTOS!$E$4:$E$63,MATCH($A665,PRODUTOS!$B$4:$B$63,0))</f>
        <v>Bifinhos New Dots Cães Churrasco 400 g</v>
      </c>
      <c r="C665" s="11" t="str">
        <f aca="false">INDEX(PRODUTOS!$H$4:$H$63,MATCH($A665,PRODUTOS!$B$4:$B$63,0))</f>
        <v>400 g</v>
      </c>
      <c r="D665" s="11" t="s">
        <v>340</v>
      </c>
      <c r="E665" s="16" t="str">
        <f aca="false">$A665&amp;"."&amp;$D665&amp;".jpg"</f>
        <v>7898968541863.AP07.jpg</v>
      </c>
      <c r="F665" s="11" t="str">
        <f aca="false">IF(INDEX(PRODUTOS!$I$4:$I$63,MATCH($A665,PRODUTOS!$B$4:$B$63,0))="B",INDEX(MODELOS!$F$3:$F$19,MATCH($D665,MODELOS!$A$3:$A$19,0)),INDEX(MODELOS!$B$3:$B$19,MATCH($D665,MODELOS!$A$3:$A$19,0)))</f>
        <v>A+ · Módulo 4 · Especificações</v>
      </c>
      <c r="G665" s="11" t="str">
        <f aca="false">IF(INDEX(PRODUTOS!$F$4:$F$63,MATCH($A665,PRODUTOS!$B$4:$B$63,0))="Ração",IF(INDEX(PRODUTOS!$I$4:$I$63,MATCH($A665,PRODUTOS!$B$4:$B$63,0))="B",INDEX(MODELOS!$G$3:$G$19,MATCH($D665,MODELOS!$A$3:$A$19,0)),INDEX(MODELOS!$C$3:$C$19,MATCH($D665,MODELOS!$A$3:$A$19,0))),IF(INDEX(PRODUTOS!$I$4:$I$63,MATCH($A665,PRODUTOS!$B$4:$B$63,0))="B",INDEX(MODELOS!$H$3:$H$19,MATCH($D665,MODELOS!$A$3:$A$19,0)),INDEX(MODELOS!$D$3:$D$19,MATCH($D665,MODELOS!$A$3:$A$19,0))))</f>
        <v>Produto em destaque</v>
      </c>
      <c r="H665" s="11" t="str">
        <f aca="false">IF(INDEX(PRODUTOS!$I$4:$I$63,MATCH($A665,PRODUTOS!$B$4:$B$63,0))="B",INDEX(MODELOS!$I$3:$I$19,MATCH($D665,MODELOS!$A$3:$A$19,0)),INDEX(MODELOS!$E$3:$E$19,MATCH($D665,MODELOS!$A$3:$A$19,0)))</f>
        <v>300 × 300</v>
      </c>
      <c r="I665" s="11" t="str">
        <f aca="false">INDEX(MODELOS!$J$3:$J$19,MATCH($D665,MODELOS!$A$3:$A$19,0))</f>
        <v>Conforme modelo</v>
      </c>
      <c r="J665" s="11" t="str">
        <f aca="false">IF(LEFT($D665,2)&lt;&gt;"AP",IF($I665="SIM","SIM","RECOMENDADA"),IF(INDEX(PRODUTOS!$J$4:$J$63,MATCH($A665,PRODUTOS!$B$4:$B$63,0))&lt;&gt;"","NÃO (usa o A+ do EAN "&amp;INDEX(PRODUTOS!$J$4:$J$63,MATCH($A665,PRODUTOS!$B$4:$B$63,0))&amp;")",IF(AND(INDEX(PRODUTOS!$I$4:$I$63,MATCH($A665,PRODUTOS!$B$4:$B$63,0))="B",$D665="AP07"),"NÃO (modelo B)","SIM")))</f>
        <v>SIM</v>
      </c>
      <c r="K665" s="13" t="s">
        <v>325</v>
      </c>
      <c r="L665" s="13"/>
    </row>
    <row r="666" customFormat="false" ht="15" hidden="false" customHeight="false" outlineLevel="0" collapsed="false">
      <c r="A666" s="15" t="s">
        <v>212</v>
      </c>
      <c r="B666" s="11" t="str">
        <f aca="false">INDEX(PRODUTOS!$E$4:$E$63,MATCH($A666,PRODUTOS!$B$4:$B$63,0))</f>
        <v>Bifinhos New Dots Cães Churrasco 400 g</v>
      </c>
      <c r="C666" s="11" t="str">
        <f aca="false">INDEX(PRODUTOS!$H$4:$H$63,MATCH($A666,PRODUTOS!$B$4:$B$63,0))</f>
        <v>400 g</v>
      </c>
      <c r="D666" s="11" t="s">
        <v>341</v>
      </c>
      <c r="E666" s="16" t="str">
        <f aca="false">$A666&amp;"."&amp;$D666&amp;".jpg"</f>
        <v>7898968541863.COMP.jpg</v>
      </c>
      <c r="F666" s="11" t="str">
        <f aca="false">IF(INDEX(PRODUTOS!$I$4:$I$63,MATCH($A666,PRODUTOS!$B$4:$B$63,0))="B",INDEX(MODELOS!$F$3:$F$19,MATCH($D666,MODELOS!$A$3:$A$19,0)),INDEX(MODELOS!$B$3:$B$19,MATCH($D666,MODELOS!$A$3:$A$19,0)))</f>
        <v>A+ · Tabela comparativa</v>
      </c>
      <c r="G666" s="11" t="str">
        <f aca="false">IF(INDEX(PRODUTOS!$F$4:$F$63,MATCH($A666,PRODUTOS!$B$4:$B$63,0))="Ração",IF(INDEX(PRODUTOS!$I$4:$I$63,MATCH($A666,PRODUTOS!$B$4:$B$63,0))="B",INDEX(MODELOS!$G$3:$G$19,MATCH($D666,MODELOS!$A$3:$A$19,0)),INDEX(MODELOS!$C$3:$C$19,MATCH($D666,MODELOS!$A$3:$A$19,0))),IF(INDEX(PRODUTOS!$I$4:$I$63,MATCH($A666,PRODUTOS!$B$4:$B$63,0))="B",INDEX(MODELOS!$H$3:$H$19,MATCH($D666,MODELOS!$A$3:$A$19,0)),INDEX(MODELOS!$D$3:$D$19,MATCH($D666,MODELOS!$A$3:$A$19,0))))</f>
        <v>Produto na vertical, sem fundo colorido</v>
      </c>
      <c r="H666" s="11" t="str">
        <f aca="false">IF(INDEX(PRODUTOS!$I$4:$I$63,MATCH($A666,PRODUTOS!$B$4:$B$63,0))="B",INDEX(MODELOS!$I$3:$I$19,MATCH($D666,MODELOS!$A$3:$A$19,0)),INDEX(MODELOS!$E$3:$E$19,MATCH($D666,MODELOS!$A$3:$A$19,0)))</f>
        <v>150 × 300</v>
      </c>
      <c r="I666" s="11" t="str">
        <f aca="false">INDEX(MODELOS!$J$3:$J$19,MATCH($D666,MODELOS!$A$3:$A$19,0))</f>
        <v>SIM</v>
      </c>
      <c r="J666" s="11" t="str">
        <f aca="false">IF(LEFT($D666,2)&lt;&gt;"AP",IF($I666="SIM","SIM","RECOMENDADA"),IF(INDEX(PRODUTOS!$J$4:$J$63,MATCH($A666,PRODUTOS!$B$4:$B$63,0))&lt;&gt;"","NÃO (usa o A+ do EAN "&amp;INDEX(PRODUTOS!$J$4:$J$63,MATCH($A666,PRODUTOS!$B$4:$B$63,0))&amp;")",IF(AND(INDEX(PRODUTOS!$I$4:$I$63,MATCH($A666,PRODUTOS!$B$4:$B$63,0))="B",$D666="AP07"),"NÃO (modelo B)","SIM")))</f>
        <v>SIM</v>
      </c>
      <c r="K666" s="13" t="s">
        <v>325</v>
      </c>
      <c r="L666" s="13"/>
    </row>
    <row r="667" customFormat="false" ht="15" hidden="false" customHeight="false" outlineLevel="0" collapsed="false">
      <c r="A667" s="15" t="s">
        <v>217</v>
      </c>
      <c r="B667" s="11" t="str">
        <f aca="false">INDEX(PRODUTOS!$E$4:$E$63,MATCH($A667,PRODUTOS!$B$4:$B$63,0))</f>
        <v>Bifinhos New Dots Cães Churrasco 50 g</v>
      </c>
      <c r="C667" s="11" t="str">
        <f aca="false">INDEX(PRODUTOS!$H$4:$H$63,MATCH($A667,PRODUTOS!$B$4:$B$63,0))</f>
        <v>50 g</v>
      </c>
      <c r="D667" s="11" t="s">
        <v>324</v>
      </c>
      <c r="E667" s="16" t="str">
        <f aca="false">$A667&amp;"."&amp;$D667&amp;".jpg"</f>
        <v>7898968541856.MAIN.jpg</v>
      </c>
      <c r="F667" s="11" t="str">
        <f aca="false">IF(INDEX(PRODUTOS!$I$4:$I$63,MATCH($A667,PRODUTOS!$B$4:$B$63,0))="B",INDEX(MODELOS!$F$3:$F$19,MATCH($D667,MODELOS!$A$3:$A$19,0)),INDEX(MODELOS!$B$3:$B$19,MATCH($D667,MODELOS!$A$3:$A$19,0)))</f>
        <v>Capa (posição 1)</v>
      </c>
      <c r="G667" s="11" t="str">
        <f aca="false">IF(INDEX(PRODUTOS!$F$4:$F$63,MATCH($A667,PRODUTOS!$B$4:$B$63,0))="Ração",IF(INDEX(PRODUTOS!$I$4:$I$63,MATCH($A667,PRODUTOS!$B$4:$B$63,0))="B",INDEX(MODELOS!$G$3:$G$19,MATCH($D667,MODELOS!$A$3:$A$19,0)),INDEX(MODELOS!$C$3:$C$19,MATCH($D667,MODELOS!$A$3:$A$19,0))),IF(INDEX(PRODUTOS!$I$4:$I$63,MATCH($A667,PRODUTOS!$B$4:$B$63,0))="B",INDEX(MODELOS!$H$3:$H$19,MATCH($D667,MODELOS!$A$3:$A$19,0)),INDEX(MODELOS!$D$3:$D$19,MATCH($D667,MODELOS!$A$3:$A$19,0))))</f>
        <v>Embalagem de frente, fundo branco puro, 85% da área, nada adicionado</v>
      </c>
      <c r="H667" s="11" t="str">
        <f aca="false">IF(INDEX(PRODUTOS!$I$4:$I$63,MATCH($A667,PRODUTOS!$B$4:$B$63,0))="B",INDEX(MODELOS!$I$3:$I$19,MATCH($D667,MODELOS!$A$3:$A$19,0)),INDEX(MODELOS!$E$3:$E$19,MATCH($D667,MODELOS!$A$3:$A$19,0)))</f>
        <v>2000 × 2000</v>
      </c>
      <c r="I667" s="11" t="str">
        <f aca="false">INDEX(MODELOS!$J$3:$J$19,MATCH($D667,MODELOS!$A$3:$A$19,0))</f>
        <v>SIM</v>
      </c>
      <c r="J667" s="11" t="str">
        <f aca="false">IF(LEFT($D667,2)&lt;&gt;"AP",IF($I667="SIM","SIM","RECOMENDADA"),IF(INDEX(PRODUTOS!$J$4:$J$63,MATCH($A667,PRODUTOS!$B$4:$B$63,0))&lt;&gt;"","NÃO (usa o A+ do EAN "&amp;INDEX(PRODUTOS!$J$4:$J$63,MATCH($A667,PRODUTOS!$B$4:$B$63,0))&amp;")",IF(AND(INDEX(PRODUTOS!$I$4:$I$63,MATCH($A667,PRODUTOS!$B$4:$B$63,0))="B",$D667="AP07"),"NÃO (modelo B)","SIM")))</f>
        <v>SIM</v>
      </c>
      <c r="K667" s="13" t="s">
        <v>325</v>
      </c>
      <c r="L667" s="13"/>
    </row>
    <row r="668" customFormat="false" ht="15" hidden="false" customHeight="false" outlineLevel="0" collapsed="false">
      <c r="A668" s="15" t="s">
        <v>217</v>
      </c>
      <c r="B668" s="11" t="str">
        <f aca="false">INDEX(PRODUTOS!$E$4:$E$63,MATCH($A668,PRODUTOS!$B$4:$B$63,0))</f>
        <v>Bifinhos New Dots Cães Churrasco 50 g</v>
      </c>
      <c r="C668" s="11" t="str">
        <f aca="false">INDEX(PRODUTOS!$H$4:$H$63,MATCH($A668,PRODUTOS!$B$4:$B$63,0))</f>
        <v>50 g</v>
      </c>
      <c r="D668" s="11" t="s">
        <v>326</v>
      </c>
      <c r="E668" s="16" t="str">
        <f aca="false">$A668&amp;"."&amp;$D668&amp;".jpg"</f>
        <v>7898968541856.PT01.jpg</v>
      </c>
      <c r="F668" s="11" t="str">
        <f aca="false">IF(INDEX(PRODUTOS!$I$4:$I$63,MATCH($A668,PRODUTOS!$B$4:$B$63,0))="B",INDEX(MODELOS!$F$3:$F$19,MATCH($D668,MODELOS!$A$3:$A$19,0)),INDEX(MODELOS!$B$3:$B$19,MATCH($D668,MODELOS!$A$3:$A$19,0)))</f>
        <v>Galeria · posição 2</v>
      </c>
      <c r="G668" s="11" t="str">
        <f aca="false">IF(INDEX(PRODUTOS!$F$4:$F$63,MATCH($A668,PRODUTOS!$B$4:$B$63,0))="Ração",IF(INDEX(PRODUTOS!$I$4:$I$63,MATCH($A668,PRODUTOS!$B$4:$B$63,0))="B",INDEX(MODELOS!$G$3:$G$19,MATCH($D668,MODELOS!$A$3:$A$19,0)),INDEX(MODELOS!$C$3:$C$19,MATCH($D668,MODELOS!$A$3:$A$19,0))),IF(INDEX(PRODUTOS!$I$4:$I$63,MATCH($A668,PRODUTOS!$B$4:$B$63,0))="B",INDEX(MODELOS!$H$3:$H$19,MATCH($D668,MODELOS!$A$3:$A$19,0)),INDEX(MODELOS!$D$3:$D$19,MATCH($D668,MODELOS!$A$3:$A$19,0))))</f>
        <v>Grande diferencial (ex.: natural, biodegradável, perfumado)</v>
      </c>
      <c r="H668" s="11" t="str">
        <f aca="false">IF(INDEX(PRODUTOS!$I$4:$I$63,MATCH($A668,PRODUTOS!$B$4:$B$63,0))="B",INDEX(MODELOS!$I$3:$I$19,MATCH($D668,MODELOS!$A$3:$A$19,0)),INDEX(MODELOS!$E$3:$E$19,MATCH($D668,MODELOS!$A$3:$A$19,0)))</f>
        <v>2000 × 2000</v>
      </c>
      <c r="I668" s="11" t="str">
        <f aca="false">INDEX(MODELOS!$J$3:$J$19,MATCH($D668,MODELOS!$A$3:$A$19,0))</f>
        <v>SIM</v>
      </c>
      <c r="J668" s="11" t="str">
        <f aca="false">IF(LEFT($D668,2)&lt;&gt;"AP",IF($I668="SIM","SIM","RECOMENDADA"),IF(INDEX(PRODUTOS!$J$4:$J$63,MATCH($A668,PRODUTOS!$B$4:$B$63,0))&lt;&gt;"","NÃO (usa o A+ do EAN "&amp;INDEX(PRODUTOS!$J$4:$J$63,MATCH($A668,PRODUTOS!$B$4:$B$63,0))&amp;")",IF(AND(INDEX(PRODUTOS!$I$4:$I$63,MATCH($A668,PRODUTOS!$B$4:$B$63,0))="B",$D668="AP07"),"NÃO (modelo B)","SIM")))</f>
        <v>SIM</v>
      </c>
      <c r="K668" s="13" t="s">
        <v>325</v>
      </c>
      <c r="L668" s="13"/>
    </row>
    <row r="669" customFormat="false" ht="15" hidden="false" customHeight="false" outlineLevel="0" collapsed="false">
      <c r="A669" s="15" t="s">
        <v>217</v>
      </c>
      <c r="B669" s="11" t="str">
        <f aca="false">INDEX(PRODUTOS!$E$4:$E$63,MATCH($A669,PRODUTOS!$B$4:$B$63,0))</f>
        <v>Bifinhos New Dots Cães Churrasco 50 g</v>
      </c>
      <c r="C669" s="11" t="str">
        <f aca="false">INDEX(PRODUTOS!$H$4:$H$63,MATCH($A669,PRODUTOS!$B$4:$B$63,0))</f>
        <v>50 g</v>
      </c>
      <c r="D669" s="11" t="s">
        <v>327</v>
      </c>
      <c r="E669" s="16" t="str">
        <f aca="false">$A669&amp;"."&amp;$D669&amp;".jpg"</f>
        <v>7898968541856.PT02.jpg</v>
      </c>
      <c r="F669" s="11" t="str">
        <f aca="false">IF(INDEX(PRODUTOS!$I$4:$I$63,MATCH($A669,PRODUTOS!$B$4:$B$63,0))="B",INDEX(MODELOS!$F$3:$F$19,MATCH($D669,MODELOS!$A$3:$A$19,0)),INDEX(MODELOS!$B$3:$B$19,MATCH($D669,MODELOS!$A$3:$A$19,0)))</f>
        <v>Galeria · posição 3</v>
      </c>
      <c r="G669" s="11" t="str">
        <f aca="false">IF(INDEX(PRODUTOS!$F$4:$F$63,MATCH($A669,PRODUTOS!$B$4:$B$63,0))="Ração",IF(INDEX(PRODUTOS!$I$4:$I$63,MATCH($A669,PRODUTOS!$B$4:$B$63,0))="B",INDEX(MODELOS!$G$3:$G$19,MATCH($D669,MODELOS!$A$3:$A$19,0)),INDEX(MODELOS!$C$3:$C$19,MATCH($D669,MODELOS!$A$3:$A$19,0))),IF(INDEX(PRODUTOS!$I$4:$I$63,MATCH($A669,PRODUTOS!$B$4:$B$63,0))="B",INDEX(MODELOS!$H$3:$H$19,MATCH($D669,MODELOS!$A$3:$A$19,0)),INDEX(MODELOS!$D$3:$D$19,MATCH($D669,MODELOS!$A$3:$A$19,0))))</f>
        <v>Benefícios com ícones (4 a 6, impressos na embalagem)</v>
      </c>
      <c r="H669" s="11" t="str">
        <f aca="false">IF(INDEX(PRODUTOS!$I$4:$I$63,MATCH($A669,PRODUTOS!$B$4:$B$63,0))="B",INDEX(MODELOS!$I$3:$I$19,MATCH($D669,MODELOS!$A$3:$A$19,0)),INDEX(MODELOS!$E$3:$E$19,MATCH($D669,MODELOS!$A$3:$A$19,0)))</f>
        <v>2000 × 2000</v>
      </c>
      <c r="I669" s="11" t="str">
        <f aca="false">INDEX(MODELOS!$J$3:$J$19,MATCH($D669,MODELOS!$A$3:$A$19,0))</f>
        <v>SIM</v>
      </c>
      <c r="J669" s="11" t="str">
        <f aca="false">IF(LEFT($D669,2)&lt;&gt;"AP",IF($I669="SIM","SIM","RECOMENDADA"),IF(INDEX(PRODUTOS!$J$4:$J$63,MATCH($A669,PRODUTOS!$B$4:$B$63,0))&lt;&gt;"","NÃO (usa o A+ do EAN "&amp;INDEX(PRODUTOS!$J$4:$J$63,MATCH($A669,PRODUTOS!$B$4:$B$63,0))&amp;")",IF(AND(INDEX(PRODUTOS!$I$4:$I$63,MATCH($A669,PRODUTOS!$B$4:$B$63,0))="B",$D669="AP07"),"NÃO (modelo B)","SIM")))</f>
        <v>SIM</v>
      </c>
      <c r="K669" s="13" t="s">
        <v>325</v>
      </c>
      <c r="L669" s="13"/>
    </row>
    <row r="670" customFormat="false" ht="15" hidden="false" customHeight="false" outlineLevel="0" collapsed="false">
      <c r="A670" s="15" t="s">
        <v>217</v>
      </c>
      <c r="B670" s="11" t="str">
        <f aca="false">INDEX(PRODUTOS!$E$4:$E$63,MATCH($A670,PRODUTOS!$B$4:$B$63,0))</f>
        <v>Bifinhos New Dots Cães Churrasco 50 g</v>
      </c>
      <c r="C670" s="11" t="str">
        <f aca="false">INDEX(PRODUTOS!$H$4:$H$63,MATCH($A670,PRODUTOS!$B$4:$B$63,0))</f>
        <v>50 g</v>
      </c>
      <c r="D670" s="11" t="s">
        <v>328</v>
      </c>
      <c r="E670" s="16" t="str">
        <f aca="false">$A670&amp;"."&amp;$D670&amp;".jpg"</f>
        <v>7898968541856.PT03.jpg</v>
      </c>
      <c r="F670" s="11" t="str">
        <f aca="false">IF(INDEX(PRODUTOS!$I$4:$I$63,MATCH($A670,PRODUTOS!$B$4:$B$63,0))="B",INDEX(MODELOS!$F$3:$F$19,MATCH($D670,MODELOS!$A$3:$A$19,0)),INDEX(MODELOS!$B$3:$B$19,MATCH($D670,MODELOS!$A$3:$A$19,0)))</f>
        <v>Galeria · posição 4</v>
      </c>
      <c r="G670" s="11" t="str">
        <f aca="false">IF(INDEX(PRODUTOS!$F$4:$F$63,MATCH($A670,PRODUTOS!$B$4:$B$63,0))="Ração",IF(INDEX(PRODUTOS!$I$4:$I$63,MATCH($A670,PRODUTOS!$B$4:$B$63,0))="B",INDEX(MODELOS!$G$3:$G$19,MATCH($D670,MODELOS!$A$3:$A$19,0)),INDEX(MODELOS!$C$3:$C$19,MATCH($D670,MODELOS!$A$3:$A$19,0))),IF(INDEX(PRODUTOS!$I$4:$I$63,MATCH($A670,PRODUTOS!$B$4:$B$63,0))="B",INDEX(MODELOS!$H$3:$H$19,MATCH($D670,MODELOS!$A$3:$A$19,0)),INDEX(MODELOS!$D$3:$D$19,MATCH($D670,MODELOS!$A$3:$A$19,0))))</f>
        <v>Detalhe e tamanho real (petisco, grânulo ou tapete aberto), com medidas</v>
      </c>
      <c r="H670" s="11" t="str">
        <f aca="false">IF(INDEX(PRODUTOS!$I$4:$I$63,MATCH($A670,PRODUTOS!$B$4:$B$63,0))="B",INDEX(MODELOS!$I$3:$I$19,MATCH($D670,MODELOS!$A$3:$A$19,0)),INDEX(MODELOS!$E$3:$E$19,MATCH($D670,MODELOS!$A$3:$A$19,0)))</f>
        <v>2000 × 2000</v>
      </c>
      <c r="I670" s="11" t="str">
        <f aca="false">INDEX(MODELOS!$J$3:$J$19,MATCH($D670,MODELOS!$A$3:$A$19,0))</f>
        <v>SIM</v>
      </c>
      <c r="J670" s="11" t="str">
        <f aca="false">IF(LEFT($D670,2)&lt;&gt;"AP",IF($I670="SIM","SIM","RECOMENDADA"),IF(INDEX(PRODUTOS!$J$4:$J$63,MATCH($A670,PRODUTOS!$B$4:$B$63,0))&lt;&gt;"","NÃO (usa o A+ do EAN "&amp;INDEX(PRODUTOS!$J$4:$J$63,MATCH($A670,PRODUTOS!$B$4:$B$63,0))&amp;")",IF(AND(INDEX(PRODUTOS!$I$4:$I$63,MATCH($A670,PRODUTOS!$B$4:$B$63,0))="B",$D670="AP07"),"NÃO (modelo B)","SIM")))</f>
        <v>SIM</v>
      </c>
      <c r="K670" s="13" t="s">
        <v>325</v>
      </c>
      <c r="L670" s="13"/>
    </row>
    <row r="671" customFormat="false" ht="15" hidden="false" customHeight="false" outlineLevel="0" collapsed="false">
      <c r="A671" s="15" t="s">
        <v>217</v>
      </c>
      <c r="B671" s="11" t="str">
        <f aca="false">INDEX(PRODUTOS!$E$4:$E$63,MATCH($A671,PRODUTOS!$B$4:$B$63,0))</f>
        <v>Bifinhos New Dots Cães Churrasco 50 g</v>
      </c>
      <c r="C671" s="11" t="str">
        <f aca="false">INDEX(PRODUTOS!$H$4:$H$63,MATCH($A671,PRODUTOS!$B$4:$B$63,0))</f>
        <v>50 g</v>
      </c>
      <c r="D671" s="11" t="s">
        <v>329</v>
      </c>
      <c r="E671" s="16" t="str">
        <f aca="false">$A671&amp;"."&amp;$D671&amp;".jpg"</f>
        <v>7898968541856.PT04.jpg</v>
      </c>
      <c r="F671" s="11" t="str">
        <f aca="false">IF(INDEX(PRODUTOS!$I$4:$I$63,MATCH($A671,PRODUTOS!$B$4:$B$63,0))="B",INDEX(MODELOS!$F$3:$F$19,MATCH($D671,MODELOS!$A$3:$A$19,0)),INDEX(MODELOS!$B$3:$B$19,MATCH($D671,MODELOS!$A$3:$A$19,0)))</f>
        <v>Galeria · posição 5</v>
      </c>
      <c r="G671" s="11" t="str">
        <f aca="false">IF(INDEX(PRODUTOS!$F$4:$F$63,MATCH($A671,PRODUTOS!$B$4:$B$63,0))="Ração",IF(INDEX(PRODUTOS!$I$4:$I$63,MATCH($A671,PRODUTOS!$B$4:$B$63,0))="B",INDEX(MODELOS!$G$3:$G$19,MATCH($D671,MODELOS!$A$3:$A$19,0)),INDEX(MODELOS!$C$3:$C$19,MATCH($D671,MODELOS!$A$3:$A$19,0))),IF(INDEX(PRODUTOS!$I$4:$I$63,MATCH($A671,PRODUTOS!$B$4:$B$63,0))="B",INDEX(MODELOS!$H$3:$H$19,MATCH($D671,MODELOS!$A$3:$A$19,0)),INDEX(MODELOS!$D$3:$D$19,MATCH($D671,MODELOS!$A$3:$A$19,0))))</f>
        <v>Modo de uso (como oferecer o petisco / como usar o produto)</v>
      </c>
      <c r="H671" s="11" t="str">
        <f aca="false">IF(INDEX(PRODUTOS!$I$4:$I$63,MATCH($A671,PRODUTOS!$B$4:$B$63,0))="B",INDEX(MODELOS!$I$3:$I$19,MATCH($D671,MODELOS!$A$3:$A$19,0)),INDEX(MODELOS!$E$3:$E$19,MATCH($D671,MODELOS!$A$3:$A$19,0)))</f>
        <v>2000 × 2000</v>
      </c>
      <c r="I671" s="11" t="str">
        <f aca="false">INDEX(MODELOS!$J$3:$J$19,MATCH($D671,MODELOS!$A$3:$A$19,0))</f>
        <v>SIM</v>
      </c>
      <c r="J671" s="11" t="str">
        <f aca="false">IF(LEFT($D671,2)&lt;&gt;"AP",IF($I671="SIM","SIM","RECOMENDADA"),IF(INDEX(PRODUTOS!$J$4:$J$63,MATCH($A671,PRODUTOS!$B$4:$B$63,0))&lt;&gt;"","NÃO (usa o A+ do EAN "&amp;INDEX(PRODUTOS!$J$4:$J$63,MATCH($A671,PRODUTOS!$B$4:$B$63,0))&amp;")",IF(AND(INDEX(PRODUTOS!$I$4:$I$63,MATCH($A671,PRODUTOS!$B$4:$B$63,0))="B",$D671="AP07"),"NÃO (modelo B)","SIM")))</f>
        <v>SIM</v>
      </c>
      <c r="K671" s="13" t="s">
        <v>325</v>
      </c>
      <c r="L671" s="13"/>
    </row>
    <row r="672" customFormat="false" ht="15" hidden="false" customHeight="false" outlineLevel="0" collapsed="false">
      <c r="A672" s="15" t="s">
        <v>217</v>
      </c>
      <c r="B672" s="11" t="str">
        <f aca="false">INDEX(PRODUTOS!$E$4:$E$63,MATCH($A672,PRODUTOS!$B$4:$B$63,0))</f>
        <v>Bifinhos New Dots Cães Churrasco 50 g</v>
      </c>
      <c r="C672" s="11" t="str">
        <f aca="false">INDEX(PRODUTOS!$H$4:$H$63,MATCH($A672,PRODUTOS!$B$4:$B$63,0))</f>
        <v>50 g</v>
      </c>
      <c r="D672" s="11" t="s">
        <v>330</v>
      </c>
      <c r="E672" s="16" t="str">
        <f aca="false">$A672&amp;"."&amp;$D672&amp;".jpg"</f>
        <v>7898968541856.PT05.jpg</v>
      </c>
      <c r="F672" s="11" t="str">
        <f aca="false">IF(INDEX(PRODUTOS!$I$4:$I$63,MATCH($A672,PRODUTOS!$B$4:$B$63,0))="B",INDEX(MODELOS!$F$3:$F$19,MATCH($D672,MODELOS!$A$3:$A$19,0)),INDEX(MODELOS!$B$3:$B$19,MATCH($D672,MODELOS!$A$3:$A$19,0)))</f>
        <v>Galeria · posição 6</v>
      </c>
      <c r="G672" s="11" t="str">
        <f aca="false">IF(INDEX(PRODUTOS!$F$4:$F$63,MATCH($A672,PRODUTOS!$B$4:$B$63,0))="Ração",IF(INDEX(PRODUTOS!$I$4:$I$63,MATCH($A672,PRODUTOS!$B$4:$B$63,0))="B",INDEX(MODELOS!$G$3:$G$19,MATCH($D672,MODELOS!$A$3:$A$19,0)),INDEX(MODELOS!$C$3:$C$19,MATCH($D672,MODELOS!$A$3:$A$19,0))),IF(INDEX(PRODUTOS!$I$4:$I$63,MATCH($A672,PRODUTOS!$B$4:$B$63,0))="B",INDEX(MODELOS!$H$3:$H$19,MATCH($D672,MODELOS!$A$3:$A$19,0)),INDEX(MODELOS!$D$3:$D$19,MATCH($D672,MODELOS!$A$3:$A$19,0))))</f>
        <v>Quantidade por dia ou rendimento do pacote</v>
      </c>
      <c r="H672" s="11" t="str">
        <f aca="false">IF(INDEX(PRODUTOS!$I$4:$I$63,MATCH($A672,PRODUTOS!$B$4:$B$63,0))="B",INDEX(MODELOS!$I$3:$I$19,MATCH($D672,MODELOS!$A$3:$A$19,0)),INDEX(MODELOS!$E$3:$E$19,MATCH($D672,MODELOS!$A$3:$A$19,0)))</f>
        <v>2000 × 2000</v>
      </c>
      <c r="I672" s="11" t="str">
        <f aca="false">INDEX(MODELOS!$J$3:$J$19,MATCH($D672,MODELOS!$A$3:$A$19,0))</f>
        <v>Recomendada</v>
      </c>
      <c r="J672" s="11" t="str">
        <f aca="false">IF(LEFT($D672,2)&lt;&gt;"AP",IF($I672="SIM","SIM","RECOMENDADA"),IF(INDEX(PRODUTOS!$J$4:$J$63,MATCH($A672,PRODUTOS!$B$4:$B$63,0))&lt;&gt;"","NÃO (usa o A+ do EAN "&amp;INDEX(PRODUTOS!$J$4:$J$63,MATCH($A672,PRODUTOS!$B$4:$B$63,0))&amp;")",IF(AND(INDEX(PRODUTOS!$I$4:$I$63,MATCH($A672,PRODUTOS!$B$4:$B$63,0))="B",$D672="AP07"),"NÃO (modelo B)","SIM")))</f>
        <v>RECOMENDADA</v>
      </c>
      <c r="K672" s="13" t="s">
        <v>325</v>
      </c>
      <c r="L672" s="13"/>
    </row>
    <row r="673" customFormat="false" ht="15" hidden="false" customHeight="false" outlineLevel="0" collapsed="false">
      <c r="A673" s="15" t="s">
        <v>217</v>
      </c>
      <c r="B673" s="11" t="str">
        <f aca="false">INDEX(PRODUTOS!$E$4:$E$63,MATCH($A673,PRODUTOS!$B$4:$B$63,0))</f>
        <v>Bifinhos New Dots Cães Churrasco 50 g</v>
      </c>
      <c r="C673" s="11" t="str">
        <f aca="false">INDEX(PRODUTOS!$H$4:$H$63,MATCH($A673,PRODUTOS!$B$4:$B$63,0))</f>
        <v>50 g</v>
      </c>
      <c r="D673" s="11" t="s">
        <v>331</v>
      </c>
      <c r="E673" s="16" t="str">
        <f aca="false">$A673&amp;"."&amp;$D673&amp;".jpg"</f>
        <v>7898968541856.PT06.jpg</v>
      </c>
      <c r="F673" s="11" t="str">
        <f aca="false">IF(INDEX(PRODUTOS!$I$4:$I$63,MATCH($A673,PRODUTOS!$B$4:$B$63,0))="B",INDEX(MODELOS!$F$3:$F$19,MATCH($D673,MODELOS!$A$3:$A$19,0)),INDEX(MODELOS!$B$3:$B$19,MATCH($D673,MODELOS!$A$3:$A$19,0)))</f>
        <v>Galeria · posição 7</v>
      </c>
      <c r="G673" s="11" t="str">
        <f aca="false">IF(INDEX(PRODUTOS!$F$4:$F$63,MATCH($A673,PRODUTOS!$B$4:$B$63,0))="Ração",IF(INDEX(PRODUTOS!$I$4:$I$63,MATCH($A673,PRODUTOS!$B$4:$B$63,0))="B",INDEX(MODELOS!$G$3:$G$19,MATCH($D673,MODELOS!$A$3:$A$19,0)),INDEX(MODELOS!$C$3:$C$19,MATCH($D673,MODELOS!$A$3:$A$19,0))),IF(INDEX(PRODUTOS!$I$4:$I$63,MATCH($A673,PRODUTOS!$B$4:$B$63,0))="B",INDEX(MODELOS!$H$3:$H$19,MATCH($D673,MODELOS!$A$3:$A$19,0)),INDEX(MODELOS!$D$3:$D$19,MATCH($D673,MODELOS!$A$3:$A$19,0))))</f>
        <v>Composição/níveis de garantia (petiscos) ou especificações (higiene)</v>
      </c>
      <c r="H673" s="11" t="str">
        <f aca="false">IF(INDEX(PRODUTOS!$I$4:$I$63,MATCH($A673,PRODUTOS!$B$4:$B$63,0))="B",INDEX(MODELOS!$I$3:$I$19,MATCH($D673,MODELOS!$A$3:$A$19,0)),INDEX(MODELOS!$E$3:$E$19,MATCH($D673,MODELOS!$A$3:$A$19,0)))</f>
        <v>2000 × 2000</v>
      </c>
      <c r="I673" s="11" t="str">
        <f aca="false">INDEX(MODELOS!$J$3:$J$19,MATCH($D673,MODELOS!$A$3:$A$19,0))</f>
        <v>SIM</v>
      </c>
      <c r="J673" s="11" t="str">
        <f aca="false">IF(LEFT($D673,2)&lt;&gt;"AP",IF($I673="SIM","SIM","RECOMENDADA"),IF(INDEX(PRODUTOS!$J$4:$J$63,MATCH($A673,PRODUTOS!$B$4:$B$63,0))&lt;&gt;"","NÃO (usa o A+ do EAN "&amp;INDEX(PRODUTOS!$J$4:$J$63,MATCH($A673,PRODUTOS!$B$4:$B$63,0))&amp;")",IF(AND(INDEX(PRODUTOS!$I$4:$I$63,MATCH($A673,PRODUTOS!$B$4:$B$63,0))="B",$D673="AP07"),"NÃO (modelo B)","SIM")))</f>
        <v>SIM</v>
      </c>
      <c r="K673" s="13" t="s">
        <v>325</v>
      </c>
      <c r="L673" s="13"/>
    </row>
    <row r="674" customFormat="false" ht="15" hidden="false" customHeight="false" outlineLevel="0" collapsed="false">
      <c r="A674" s="15" t="s">
        <v>217</v>
      </c>
      <c r="B674" s="11" t="str">
        <f aca="false">INDEX(PRODUTOS!$E$4:$E$63,MATCH($A674,PRODUTOS!$B$4:$B$63,0))</f>
        <v>Bifinhos New Dots Cães Churrasco 50 g</v>
      </c>
      <c r="C674" s="11" t="str">
        <f aca="false">INDEX(PRODUTOS!$H$4:$H$63,MATCH($A674,PRODUTOS!$B$4:$B$63,0))</f>
        <v>50 g</v>
      </c>
      <c r="D674" s="11" t="s">
        <v>332</v>
      </c>
      <c r="E674" s="16" t="str">
        <f aca="false">$A674&amp;"."&amp;$D674&amp;".jpg"</f>
        <v>7898968541856.PT07.jpg</v>
      </c>
      <c r="F674" s="11" t="str">
        <f aca="false">IF(INDEX(PRODUTOS!$I$4:$I$63,MATCH($A674,PRODUTOS!$B$4:$B$63,0))="B",INDEX(MODELOS!$F$3:$F$19,MATCH($D674,MODELOS!$A$3:$A$19,0)),INDEX(MODELOS!$B$3:$B$19,MATCH($D674,MODELOS!$A$3:$A$19,0)))</f>
        <v>Galeria · posição 8</v>
      </c>
      <c r="G674" s="11" t="str">
        <f aca="false">IF(INDEX(PRODUTOS!$F$4:$F$63,MATCH($A674,PRODUTOS!$B$4:$B$63,0))="Ração",IF(INDEX(PRODUTOS!$I$4:$I$63,MATCH($A674,PRODUTOS!$B$4:$B$63,0))="B",INDEX(MODELOS!$G$3:$G$19,MATCH($D674,MODELOS!$A$3:$A$19,0)),INDEX(MODELOS!$C$3:$C$19,MATCH($D674,MODELOS!$A$3:$A$19,0))),IF(INDEX(PRODUTOS!$I$4:$I$63,MATCH($A674,PRODUTOS!$B$4:$B$63,0))="B",INDEX(MODELOS!$H$3:$H$19,MATCH($D674,MODELOS!$A$3:$A$19,0)),INDEX(MODELOS!$D$3:$D$19,MATCH($D674,MODELOS!$A$3:$A$19,0))))</f>
        <v>Emocional / momento de uso</v>
      </c>
      <c r="H674" s="11" t="str">
        <f aca="false">IF(INDEX(PRODUTOS!$I$4:$I$63,MATCH($A674,PRODUTOS!$B$4:$B$63,0))="B",INDEX(MODELOS!$I$3:$I$19,MATCH($D674,MODELOS!$A$3:$A$19,0)),INDEX(MODELOS!$E$3:$E$19,MATCH($D674,MODELOS!$A$3:$A$19,0)))</f>
        <v>2000 × 2000</v>
      </c>
      <c r="I674" s="11" t="str">
        <f aca="false">INDEX(MODELOS!$J$3:$J$19,MATCH($D674,MODELOS!$A$3:$A$19,0))</f>
        <v>Recomendada</v>
      </c>
      <c r="J674" s="11" t="str">
        <f aca="false">IF(LEFT($D674,2)&lt;&gt;"AP",IF($I674="SIM","SIM","RECOMENDADA"),IF(INDEX(PRODUTOS!$J$4:$J$63,MATCH($A674,PRODUTOS!$B$4:$B$63,0))&lt;&gt;"","NÃO (usa o A+ do EAN "&amp;INDEX(PRODUTOS!$J$4:$J$63,MATCH($A674,PRODUTOS!$B$4:$B$63,0))&amp;")",IF(AND(INDEX(PRODUTOS!$I$4:$I$63,MATCH($A674,PRODUTOS!$B$4:$B$63,0))="B",$D674="AP07"),"NÃO (modelo B)","SIM")))</f>
        <v>RECOMENDADA</v>
      </c>
      <c r="K674" s="13" t="s">
        <v>325</v>
      </c>
      <c r="L674" s="13"/>
    </row>
    <row r="675" customFormat="false" ht="15" hidden="false" customHeight="false" outlineLevel="0" collapsed="false">
      <c r="A675" s="15" t="s">
        <v>217</v>
      </c>
      <c r="B675" s="11" t="str">
        <f aca="false">INDEX(PRODUTOS!$E$4:$E$63,MATCH($A675,PRODUTOS!$B$4:$B$63,0))</f>
        <v>Bifinhos New Dots Cães Churrasco 50 g</v>
      </c>
      <c r="C675" s="11" t="str">
        <f aca="false">INDEX(PRODUTOS!$H$4:$H$63,MATCH($A675,PRODUTOS!$B$4:$B$63,0))</f>
        <v>50 g</v>
      </c>
      <c r="D675" s="11" t="s">
        <v>333</v>
      </c>
      <c r="E675" s="16" t="str">
        <f aca="false">$A675&amp;"."&amp;$D675&amp;".jpg"</f>
        <v>7898968541856.PT08.jpg</v>
      </c>
      <c r="F675" s="11" t="str">
        <f aca="false">IF(INDEX(PRODUTOS!$I$4:$I$63,MATCH($A675,PRODUTOS!$B$4:$B$63,0))="B",INDEX(MODELOS!$F$3:$F$19,MATCH($D675,MODELOS!$A$3:$A$19,0)),INDEX(MODELOS!$B$3:$B$19,MATCH($D675,MODELOS!$A$3:$A$19,0)))</f>
        <v>Galeria · posição 9</v>
      </c>
      <c r="G675" s="11" t="str">
        <f aca="false">IF(INDEX(PRODUTOS!$F$4:$F$63,MATCH($A675,PRODUTOS!$B$4:$B$63,0))="Ração",IF(INDEX(PRODUTOS!$I$4:$I$63,MATCH($A675,PRODUTOS!$B$4:$B$63,0))="B",INDEX(MODELOS!$G$3:$G$19,MATCH($D675,MODELOS!$A$3:$A$19,0)),INDEX(MODELOS!$C$3:$C$19,MATCH($D675,MODELOS!$A$3:$A$19,0))),IF(INDEX(PRODUTOS!$I$4:$I$63,MATCH($A675,PRODUTOS!$B$4:$B$63,0))="B",INDEX(MODELOS!$H$3:$H$19,MATCH($D675,MODELOS!$A$3:$A$19,0)),INDEX(MODELOS!$D$3:$D$19,MATCH($D675,MODELOS!$A$3:$A$19,0))))</f>
        <v>Linha da marca ("conheça também")</v>
      </c>
      <c r="H675" s="11" t="str">
        <f aca="false">IF(INDEX(PRODUTOS!$I$4:$I$63,MATCH($A675,PRODUTOS!$B$4:$B$63,0))="B",INDEX(MODELOS!$I$3:$I$19,MATCH($D675,MODELOS!$A$3:$A$19,0)),INDEX(MODELOS!$E$3:$E$19,MATCH($D675,MODELOS!$A$3:$A$19,0)))</f>
        <v>2000 × 2000</v>
      </c>
      <c r="I675" s="11" t="str">
        <f aca="false">INDEX(MODELOS!$J$3:$J$19,MATCH($D675,MODELOS!$A$3:$A$19,0))</f>
        <v>Recomendada</v>
      </c>
      <c r="J675" s="11" t="str">
        <f aca="false">IF(LEFT($D675,2)&lt;&gt;"AP",IF($I675="SIM","SIM","RECOMENDADA"),IF(INDEX(PRODUTOS!$J$4:$J$63,MATCH($A675,PRODUTOS!$B$4:$B$63,0))&lt;&gt;"","NÃO (usa o A+ do EAN "&amp;INDEX(PRODUTOS!$J$4:$J$63,MATCH($A675,PRODUTOS!$B$4:$B$63,0))&amp;")",IF(AND(INDEX(PRODUTOS!$I$4:$I$63,MATCH($A675,PRODUTOS!$B$4:$B$63,0))="B",$D675="AP07"),"NÃO (modelo B)","SIM")))</f>
        <v>RECOMENDADA</v>
      </c>
      <c r="K675" s="13" t="s">
        <v>325</v>
      </c>
      <c r="L675" s="13"/>
    </row>
    <row r="676" customFormat="false" ht="15" hidden="false" customHeight="false" outlineLevel="0" collapsed="false">
      <c r="A676" s="15" t="s">
        <v>217</v>
      </c>
      <c r="B676" s="11" t="str">
        <f aca="false">INDEX(PRODUTOS!$E$4:$E$63,MATCH($A676,PRODUTOS!$B$4:$B$63,0))</f>
        <v>Bifinhos New Dots Cães Churrasco 50 g</v>
      </c>
      <c r="C676" s="11" t="str">
        <f aca="false">INDEX(PRODUTOS!$H$4:$H$63,MATCH($A676,PRODUTOS!$B$4:$B$63,0))</f>
        <v>50 g</v>
      </c>
      <c r="D676" s="11" t="s">
        <v>334</v>
      </c>
      <c r="E676" s="16" t="str">
        <f aca="false">$A676&amp;"."&amp;$D676&amp;".jpg"</f>
        <v>7898968541856.AP01.jpg</v>
      </c>
      <c r="F676" s="11" t="str">
        <f aca="false">IF(INDEX(PRODUTOS!$I$4:$I$63,MATCH($A676,PRODUTOS!$B$4:$B$63,0))="B",INDEX(MODELOS!$F$3:$F$19,MATCH($D676,MODELOS!$A$3:$A$19,0)),INDEX(MODELOS!$B$3:$B$19,MATCH($D676,MODELOS!$A$3:$A$19,0)))</f>
        <v>A+ · Módulo 1 · Banner</v>
      </c>
      <c r="G676" s="11" t="str">
        <f aca="false">IF(INDEX(PRODUTOS!$F$4:$F$63,MATCH($A676,PRODUTOS!$B$4:$B$63,0))="Ração",IF(INDEX(PRODUTOS!$I$4:$I$63,MATCH($A676,PRODUTOS!$B$4:$B$63,0))="B",INDEX(MODELOS!$G$3:$G$19,MATCH($D676,MODELOS!$A$3:$A$19,0)),INDEX(MODELOS!$C$3:$C$19,MATCH($D676,MODELOS!$A$3:$A$19,0))),IF(INDEX(PRODUTOS!$I$4:$I$63,MATCH($A676,PRODUTOS!$B$4:$B$63,0))="B",INDEX(MODELOS!$H$3:$H$19,MATCH($D676,MODELOS!$A$3:$A$19,0)),INDEX(MODELOS!$D$3:$D$19,MATCH($D676,MODELOS!$A$3:$A$19,0))))</f>
        <v>Produto + pet, com o nome da linha</v>
      </c>
      <c r="H676" s="11" t="str">
        <f aca="false">IF(INDEX(PRODUTOS!$I$4:$I$63,MATCH($A676,PRODUTOS!$B$4:$B$63,0))="B",INDEX(MODELOS!$I$3:$I$19,MATCH($D676,MODELOS!$A$3:$A$19,0)),INDEX(MODELOS!$E$3:$E$19,MATCH($D676,MODELOS!$A$3:$A$19,0)))</f>
        <v>970 × 600</v>
      </c>
      <c r="I676" s="11" t="str">
        <f aca="false">INDEX(MODELOS!$J$3:$J$19,MATCH($D676,MODELOS!$A$3:$A$19,0))</f>
        <v>Conforme modelo</v>
      </c>
      <c r="J676" s="11" t="str">
        <f aca="false">IF(LEFT($D676,2)&lt;&gt;"AP",IF($I676="SIM","SIM","RECOMENDADA"),IF(INDEX(PRODUTOS!$J$4:$J$63,MATCH($A676,PRODUTOS!$B$4:$B$63,0))&lt;&gt;"","NÃO (usa o A+ do EAN "&amp;INDEX(PRODUTOS!$J$4:$J$63,MATCH($A676,PRODUTOS!$B$4:$B$63,0))&amp;")",IF(AND(INDEX(PRODUTOS!$I$4:$I$63,MATCH($A676,PRODUTOS!$B$4:$B$63,0))="B",$D676="AP07"),"NÃO (modelo B)","SIM")))</f>
        <v>SIM</v>
      </c>
      <c r="K676" s="13" t="s">
        <v>325</v>
      </c>
      <c r="L676" s="13"/>
    </row>
    <row r="677" customFormat="false" ht="15" hidden="false" customHeight="false" outlineLevel="0" collapsed="false">
      <c r="A677" s="15" t="s">
        <v>217</v>
      </c>
      <c r="B677" s="11" t="str">
        <f aca="false">INDEX(PRODUTOS!$E$4:$E$63,MATCH($A677,PRODUTOS!$B$4:$B$63,0))</f>
        <v>Bifinhos New Dots Cães Churrasco 50 g</v>
      </c>
      <c r="C677" s="11" t="str">
        <f aca="false">INDEX(PRODUTOS!$H$4:$H$63,MATCH($A677,PRODUTOS!$B$4:$B$63,0))</f>
        <v>50 g</v>
      </c>
      <c r="D677" s="11" t="s">
        <v>335</v>
      </c>
      <c r="E677" s="16" t="str">
        <f aca="false">$A677&amp;"."&amp;$D677&amp;".jpg"</f>
        <v>7898968541856.AP02.jpg</v>
      </c>
      <c r="F677" s="11" t="str">
        <f aca="false">IF(INDEX(PRODUTOS!$I$4:$I$63,MATCH($A677,PRODUTOS!$B$4:$B$63,0))="B",INDEX(MODELOS!$F$3:$F$19,MATCH($D677,MODELOS!$A$3:$A$19,0)),INDEX(MODELOS!$B$3:$B$19,MATCH($D677,MODELOS!$A$3:$A$19,0)))</f>
        <v>A+ · Módulo 2 · Texto sobreposto</v>
      </c>
      <c r="G677" s="11" t="str">
        <f aca="false">IF(INDEX(PRODUTOS!$F$4:$F$63,MATCH($A677,PRODUTOS!$B$4:$B$63,0))="Ração",IF(INDEX(PRODUTOS!$I$4:$I$63,MATCH($A677,PRODUTOS!$B$4:$B$63,0))="B",INDEX(MODELOS!$G$3:$G$19,MATCH($D677,MODELOS!$A$3:$A$19,0)),INDEX(MODELOS!$C$3:$C$19,MATCH($D677,MODELOS!$A$3:$A$19,0))),IF(INDEX(PRODUTOS!$I$4:$I$63,MATCH($A677,PRODUTOS!$B$4:$B$63,0))="B",INDEX(MODELOS!$H$3:$H$19,MATCH($D677,MODELOS!$A$3:$A$19,0)),INDEX(MODELOS!$D$3:$D$19,MATCH($D677,MODELOS!$A$3:$A$19,0))))</f>
        <v>Principal diferencial; deixar o lado direito limpo</v>
      </c>
      <c r="H677" s="11" t="str">
        <f aca="false">IF(INDEX(PRODUTOS!$I$4:$I$63,MATCH($A677,PRODUTOS!$B$4:$B$63,0))="B",INDEX(MODELOS!$I$3:$I$19,MATCH($D677,MODELOS!$A$3:$A$19,0)),INDEX(MODELOS!$E$3:$E$19,MATCH($D677,MODELOS!$A$3:$A$19,0)))</f>
        <v>970 × 300</v>
      </c>
      <c r="I677" s="11" t="str">
        <f aca="false">INDEX(MODELOS!$J$3:$J$19,MATCH($D677,MODELOS!$A$3:$A$19,0))</f>
        <v>Conforme modelo</v>
      </c>
      <c r="J677" s="11" t="str">
        <f aca="false">IF(LEFT($D677,2)&lt;&gt;"AP",IF($I677="SIM","SIM","RECOMENDADA"),IF(INDEX(PRODUTOS!$J$4:$J$63,MATCH($A677,PRODUTOS!$B$4:$B$63,0))&lt;&gt;"","NÃO (usa o A+ do EAN "&amp;INDEX(PRODUTOS!$J$4:$J$63,MATCH($A677,PRODUTOS!$B$4:$B$63,0))&amp;")",IF(AND(INDEX(PRODUTOS!$I$4:$I$63,MATCH($A677,PRODUTOS!$B$4:$B$63,0))="B",$D677="AP07"),"NÃO (modelo B)","SIM")))</f>
        <v>SIM</v>
      </c>
      <c r="K677" s="13" t="s">
        <v>325</v>
      </c>
      <c r="L677" s="13"/>
    </row>
    <row r="678" customFormat="false" ht="15" hidden="false" customHeight="false" outlineLevel="0" collapsed="false">
      <c r="A678" s="15" t="s">
        <v>217</v>
      </c>
      <c r="B678" s="11" t="str">
        <f aca="false">INDEX(PRODUTOS!$E$4:$E$63,MATCH($A678,PRODUTOS!$B$4:$B$63,0))</f>
        <v>Bifinhos New Dots Cães Churrasco 50 g</v>
      </c>
      <c r="C678" s="11" t="str">
        <f aca="false">INDEX(PRODUTOS!$H$4:$H$63,MATCH($A678,PRODUTOS!$B$4:$B$63,0))</f>
        <v>50 g</v>
      </c>
      <c r="D678" s="11" t="s">
        <v>336</v>
      </c>
      <c r="E678" s="16" t="str">
        <f aca="false">$A678&amp;"."&amp;$D678&amp;".jpg"</f>
        <v>7898968541856.AP03.jpg</v>
      </c>
      <c r="F678" s="11" t="str">
        <f aca="false">IF(INDEX(PRODUTOS!$I$4:$I$63,MATCH($A678,PRODUTOS!$B$4:$B$63,0))="B",INDEX(MODELOS!$F$3:$F$19,MATCH($D678,MODELOS!$A$3:$A$19,0)),INDEX(MODELOS!$B$3:$B$19,MATCH($D678,MODELOS!$A$3:$A$19,0)))</f>
        <v>A+ · Módulo 3 · Benefício 1 de 4</v>
      </c>
      <c r="G678" s="11" t="str">
        <f aca="false">IF(INDEX(PRODUTOS!$F$4:$F$63,MATCH($A678,PRODUTOS!$B$4:$B$63,0))="Ração",IF(INDEX(PRODUTOS!$I$4:$I$63,MATCH($A678,PRODUTOS!$B$4:$B$63,0))="B",INDEX(MODELOS!$G$3:$G$19,MATCH($D678,MODELOS!$A$3:$A$19,0)),INDEX(MODELOS!$C$3:$C$19,MATCH($D678,MODELOS!$A$3:$A$19,0))),IF(INDEX(PRODUTOS!$I$4:$I$63,MATCH($A678,PRODUTOS!$B$4:$B$63,0))="B",INDEX(MODELOS!$H$3:$H$19,MATCH($D678,MODELOS!$A$3:$A$19,0)),INDEX(MODELOS!$D$3:$D$19,MATCH($D678,MODELOS!$A$3:$A$19,0))))</f>
        <v>Foto/ilustração do benefício 1</v>
      </c>
      <c r="H678" s="11" t="str">
        <f aca="false">IF(INDEX(PRODUTOS!$I$4:$I$63,MATCH($A678,PRODUTOS!$B$4:$B$63,0))="B",INDEX(MODELOS!$I$3:$I$19,MATCH($D678,MODELOS!$A$3:$A$19,0)),INDEX(MODELOS!$E$3:$E$19,MATCH($D678,MODELOS!$A$3:$A$19,0)))</f>
        <v>220 × 200</v>
      </c>
      <c r="I678" s="11" t="str">
        <f aca="false">INDEX(MODELOS!$J$3:$J$19,MATCH($D678,MODELOS!$A$3:$A$19,0))</f>
        <v>Conforme modelo</v>
      </c>
      <c r="J678" s="11" t="str">
        <f aca="false">IF(LEFT($D678,2)&lt;&gt;"AP",IF($I678="SIM","SIM","RECOMENDADA"),IF(INDEX(PRODUTOS!$J$4:$J$63,MATCH($A678,PRODUTOS!$B$4:$B$63,0))&lt;&gt;"","NÃO (usa o A+ do EAN "&amp;INDEX(PRODUTOS!$J$4:$J$63,MATCH($A678,PRODUTOS!$B$4:$B$63,0))&amp;")",IF(AND(INDEX(PRODUTOS!$I$4:$I$63,MATCH($A678,PRODUTOS!$B$4:$B$63,0))="B",$D678="AP07"),"NÃO (modelo B)","SIM")))</f>
        <v>SIM</v>
      </c>
      <c r="K678" s="13" t="s">
        <v>325</v>
      </c>
      <c r="L678" s="13"/>
    </row>
    <row r="679" customFormat="false" ht="15" hidden="false" customHeight="false" outlineLevel="0" collapsed="false">
      <c r="A679" s="15" t="s">
        <v>217</v>
      </c>
      <c r="B679" s="11" t="str">
        <f aca="false">INDEX(PRODUTOS!$E$4:$E$63,MATCH($A679,PRODUTOS!$B$4:$B$63,0))</f>
        <v>Bifinhos New Dots Cães Churrasco 50 g</v>
      </c>
      <c r="C679" s="11" t="str">
        <f aca="false">INDEX(PRODUTOS!$H$4:$H$63,MATCH($A679,PRODUTOS!$B$4:$B$63,0))</f>
        <v>50 g</v>
      </c>
      <c r="D679" s="11" t="s">
        <v>337</v>
      </c>
      <c r="E679" s="16" t="str">
        <f aca="false">$A679&amp;"."&amp;$D679&amp;".jpg"</f>
        <v>7898968541856.AP04.jpg</v>
      </c>
      <c r="F679" s="11" t="str">
        <f aca="false">IF(INDEX(PRODUTOS!$I$4:$I$63,MATCH($A679,PRODUTOS!$B$4:$B$63,0))="B",INDEX(MODELOS!$F$3:$F$19,MATCH($D679,MODELOS!$A$3:$A$19,0)),INDEX(MODELOS!$B$3:$B$19,MATCH($D679,MODELOS!$A$3:$A$19,0)))</f>
        <v>A+ · Módulo 3 · Benefício 2 de 4</v>
      </c>
      <c r="G679" s="11" t="str">
        <f aca="false">IF(INDEX(PRODUTOS!$F$4:$F$63,MATCH($A679,PRODUTOS!$B$4:$B$63,0))="Ração",IF(INDEX(PRODUTOS!$I$4:$I$63,MATCH($A679,PRODUTOS!$B$4:$B$63,0))="B",INDEX(MODELOS!$G$3:$G$19,MATCH($D679,MODELOS!$A$3:$A$19,0)),INDEX(MODELOS!$C$3:$C$19,MATCH($D679,MODELOS!$A$3:$A$19,0))),IF(INDEX(PRODUTOS!$I$4:$I$63,MATCH($A679,PRODUTOS!$B$4:$B$63,0))="B",INDEX(MODELOS!$H$3:$H$19,MATCH($D679,MODELOS!$A$3:$A$19,0)),INDEX(MODELOS!$D$3:$D$19,MATCH($D679,MODELOS!$A$3:$A$19,0))))</f>
        <v>Foto/ilustração do benefício 2</v>
      </c>
      <c r="H679" s="11" t="str">
        <f aca="false">IF(INDEX(PRODUTOS!$I$4:$I$63,MATCH($A679,PRODUTOS!$B$4:$B$63,0))="B",INDEX(MODELOS!$I$3:$I$19,MATCH($D679,MODELOS!$A$3:$A$19,0)),INDEX(MODELOS!$E$3:$E$19,MATCH($D679,MODELOS!$A$3:$A$19,0)))</f>
        <v>220 × 200</v>
      </c>
      <c r="I679" s="11" t="str">
        <f aca="false">INDEX(MODELOS!$J$3:$J$19,MATCH($D679,MODELOS!$A$3:$A$19,0))</f>
        <v>Conforme modelo</v>
      </c>
      <c r="J679" s="11" t="str">
        <f aca="false">IF(LEFT($D679,2)&lt;&gt;"AP",IF($I679="SIM","SIM","RECOMENDADA"),IF(INDEX(PRODUTOS!$J$4:$J$63,MATCH($A679,PRODUTOS!$B$4:$B$63,0))&lt;&gt;"","NÃO (usa o A+ do EAN "&amp;INDEX(PRODUTOS!$J$4:$J$63,MATCH($A679,PRODUTOS!$B$4:$B$63,0))&amp;")",IF(AND(INDEX(PRODUTOS!$I$4:$I$63,MATCH($A679,PRODUTOS!$B$4:$B$63,0))="B",$D679="AP07"),"NÃO (modelo B)","SIM")))</f>
        <v>SIM</v>
      </c>
      <c r="K679" s="13" t="s">
        <v>325</v>
      </c>
      <c r="L679" s="13"/>
    </row>
    <row r="680" customFormat="false" ht="15" hidden="false" customHeight="false" outlineLevel="0" collapsed="false">
      <c r="A680" s="15" t="s">
        <v>217</v>
      </c>
      <c r="B680" s="11" t="str">
        <f aca="false">INDEX(PRODUTOS!$E$4:$E$63,MATCH($A680,PRODUTOS!$B$4:$B$63,0))</f>
        <v>Bifinhos New Dots Cães Churrasco 50 g</v>
      </c>
      <c r="C680" s="11" t="str">
        <f aca="false">INDEX(PRODUTOS!$H$4:$H$63,MATCH($A680,PRODUTOS!$B$4:$B$63,0))</f>
        <v>50 g</v>
      </c>
      <c r="D680" s="11" t="s">
        <v>338</v>
      </c>
      <c r="E680" s="16" t="str">
        <f aca="false">$A680&amp;"."&amp;$D680&amp;".jpg"</f>
        <v>7898968541856.AP05.jpg</v>
      </c>
      <c r="F680" s="11" t="str">
        <f aca="false">IF(INDEX(PRODUTOS!$I$4:$I$63,MATCH($A680,PRODUTOS!$B$4:$B$63,0))="B",INDEX(MODELOS!$F$3:$F$19,MATCH($D680,MODELOS!$A$3:$A$19,0)),INDEX(MODELOS!$B$3:$B$19,MATCH($D680,MODELOS!$A$3:$A$19,0)))</f>
        <v>A+ · Módulo 3 · Benefício 3 de 4</v>
      </c>
      <c r="G680" s="11" t="str">
        <f aca="false">IF(INDEX(PRODUTOS!$F$4:$F$63,MATCH($A680,PRODUTOS!$B$4:$B$63,0))="Ração",IF(INDEX(PRODUTOS!$I$4:$I$63,MATCH($A680,PRODUTOS!$B$4:$B$63,0))="B",INDEX(MODELOS!$G$3:$G$19,MATCH($D680,MODELOS!$A$3:$A$19,0)),INDEX(MODELOS!$C$3:$C$19,MATCH($D680,MODELOS!$A$3:$A$19,0))),IF(INDEX(PRODUTOS!$I$4:$I$63,MATCH($A680,PRODUTOS!$B$4:$B$63,0))="B",INDEX(MODELOS!$H$3:$H$19,MATCH($D680,MODELOS!$A$3:$A$19,0)),INDEX(MODELOS!$D$3:$D$19,MATCH($D680,MODELOS!$A$3:$A$19,0))))</f>
        <v>Foto/ilustração do benefício 3</v>
      </c>
      <c r="H680" s="11" t="str">
        <f aca="false">IF(INDEX(PRODUTOS!$I$4:$I$63,MATCH($A680,PRODUTOS!$B$4:$B$63,0))="B",INDEX(MODELOS!$I$3:$I$19,MATCH($D680,MODELOS!$A$3:$A$19,0)),INDEX(MODELOS!$E$3:$E$19,MATCH($D680,MODELOS!$A$3:$A$19,0)))</f>
        <v>220 × 200</v>
      </c>
      <c r="I680" s="11" t="str">
        <f aca="false">INDEX(MODELOS!$J$3:$J$19,MATCH($D680,MODELOS!$A$3:$A$19,0))</f>
        <v>Conforme modelo</v>
      </c>
      <c r="J680" s="11" t="str">
        <f aca="false">IF(LEFT($D680,2)&lt;&gt;"AP",IF($I680="SIM","SIM","RECOMENDADA"),IF(INDEX(PRODUTOS!$J$4:$J$63,MATCH($A680,PRODUTOS!$B$4:$B$63,0))&lt;&gt;"","NÃO (usa o A+ do EAN "&amp;INDEX(PRODUTOS!$J$4:$J$63,MATCH($A680,PRODUTOS!$B$4:$B$63,0))&amp;")",IF(AND(INDEX(PRODUTOS!$I$4:$I$63,MATCH($A680,PRODUTOS!$B$4:$B$63,0))="B",$D680="AP07"),"NÃO (modelo B)","SIM")))</f>
        <v>SIM</v>
      </c>
      <c r="K680" s="13" t="s">
        <v>325</v>
      </c>
      <c r="L680" s="13"/>
    </row>
    <row r="681" customFormat="false" ht="15" hidden="false" customHeight="false" outlineLevel="0" collapsed="false">
      <c r="A681" s="15" t="s">
        <v>217</v>
      </c>
      <c r="B681" s="11" t="str">
        <f aca="false">INDEX(PRODUTOS!$E$4:$E$63,MATCH($A681,PRODUTOS!$B$4:$B$63,0))</f>
        <v>Bifinhos New Dots Cães Churrasco 50 g</v>
      </c>
      <c r="C681" s="11" t="str">
        <f aca="false">INDEX(PRODUTOS!$H$4:$H$63,MATCH($A681,PRODUTOS!$B$4:$B$63,0))</f>
        <v>50 g</v>
      </c>
      <c r="D681" s="11" t="s">
        <v>339</v>
      </c>
      <c r="E681" s="16" t="str">
        <f aca="false">$A681&amp;"."&amp;$D681&amp;".jpg"</f>
        <v>7898968541856.AP06.jpg</v>
      </c>
      <c r="F681" s="11" t="str">
        <f aca="false">IF(INDEX(PRODUTOS!$I$4:$I$63,MATCH($A681,PRODUTOS!$B$4:$B$63,0))="B",INDEX(MODELOS!$F$3:$F$19,MATCH($D681,MODELOS!$A$3:$A$19,0)),INDEX(MODELOS!$B$3:$B$19,MATCH($D681,MODELOS!$A$3:$A$19,0)))</f>
        <v>A+ · Módulo 3 · Benefício 4 de 4</v>
      </c>
      <c r="G681" s="11" t="str">
        <f aca="false">IF(INDEX(PRODUTOS!$F$4:$F$63,MATCH($A681,PRODUTOS!$B$4:$B$63,0))="Ração",IF(INDEX(PRODUTOS!$I$4:$I$63,MATCH($A681,PRODUTOS!$B$4:$B$63,0))="B",INDEX(MODELOS!$G$3:$G$19,MATCH($D681,MODELOS!$A$3:$A$19,0)),INDEX(MODELOS!$C$3:$C$19,MATCH($D681,MODELOS!$A$3:$A$19,0))),IF(INDEX(PRODUTOS!$I$4:$I$63,MATCH($A681,PRODUTOS!$B$4:$B$63,0))="B",INDEX(MODELOS!$H$3:$H$19,MATCH($D681,MODELOS!$A$3:$A$19,0)),INDEX(MODELOS!$D$3:$D$19,MATCH($D681,MODELOS!$A$3:$A$19,0))))</f>
        <v>Foto/ilustração do benefício 4</v>
      </c>
      <c r="H681" s="11" t="str">
        <f aca="false">IF(INDEX(PRODUTOS!$I$4:$I$63,MATCH($A681,PRODUTOS!$B$4:$B$63,0))="B",INDEX(MODELOS!$I$3:$I$19,MATCH($D681,MODELOS!$A$3:$A$19,0)),INDEX(MODELOS!$E$3:$E$19,MATCH($D681,MODELOS!$A$3:$A$19,0)))</f>
        <v>220 × 200</v>
      </c>
      <c r="I681" s="11" t="str">
        <f aca="false">INDEX(MODELOS!$J$3:$J$19,MATCH($D681,MODELOS!$A$3:$A$19,0))</f>
        <v>Conforme modelo</v>
      </c>
      <c r="J681" s="11" t="str">
        <f aca="false">IF(LEFT($D681,2)&lt;&gt;"AP",IF($I681="SIM","SIM","RECOMENDADA"),IF(INDEX(PRODUTOS!$J$4:$J$63,MATCH($A681,PRODUTOS!$B$4:$B$63,0))&lt;&gt;"","NÃO (usa o A+ do EAN "&amp;INDEX(PRODUTOS!$J$4:$J$63,MATCH($A681,PRODUTOS!$B$4:$B$63,0))&amp;")",IF(AND(INDEX(PRODUTOS!$I$4:$I$63,MATCH($A681,PRODUTOS!$B$4:$B$63,0))="B",$D681="AP07"),"NÃO (modelo B)","SIM")))</f>
        <v>SIM</v>
      </c>
      <c r="K681" s="13" t="s">
        <v>325</v>
      </c>
      <c r="L681" s="13"/>
    </row>
    <row r="682" customFormat="false" ht="15" hidden="false" customHeight="false" outlineLevel="0" collapsed="false">
      <c r="A682" s="15" t="s">
        <v>217</v>
      </c>
      <c r="B682" s="11" t="str">
        <f aca="false">INDEX(PRODUTOS!$E$4:$E$63,MATCH($A682,PRODUTOS!$B$4:$B$63,0))</f>
        <v>Bifinhos New Dots Cães Churrasco 50 g</v>
      </c>
      <c r="C682" s="11" t="str">
        <f aca="false">INDEX(PRODUTOS!$H$4:$H$63,MATCH($A682,PRODUTOS!$B$4:$B$63,0))</f>
        <v>50 g</v>
      </c>
      <c r="D682" s="11" t="s">
        <v>340</v>
      </c>
      <c r="E682" s="16" t="str">
        <f aca="false">$A682&amp;"."&amp;$D682&amp;".jpg"</f>
        <v>7898968541856.AP07.jpg</v>
      </c>
      <c r="F682" s="11" t="str">
        <f aca="false">IF(INDEX(PRODUTOS!$I$4:$I$63,MATCH($A682,PRODUTOS!$B$4:$B$63,0))="B",INDEX(MODELOS!$F$3:$F$19,MATCH($D682,MODELOS!$A$3:$A$19,0)),INDEX(MODELOS!$B$3:$B$19,MATCH($D682,MODELOS!$A$3:$A$19,0)))</f>
        <v>A+ · Módulo 4 · Especificações</v>
      </c>
      <c r="G682" s="11" t="str">
        <f aca="false">IF(INDEX(PRODUTOS!$F$4:$F$63,MATCH($A682,PRODUTOS!$B$4:$B$63,0))="Ração",IF(INDEX(PRODUTOS!$I$4:$I$63,MATCH($A682,PRODUTOS!$B$4:$B$63,0))="B",INDEX(MODELOS!$G$3:$G$19,MATCH($D682,MODELOS!$A$3:$A$19,0)),INDEX(MODELOS!$C$3:$C$19,MATCH($D682,MODELOS!$A$3:$A$19,0))),IF(INDEX(PRODUTOS!$I$4:$I$63,MATCH($A682,PRODUTOS!$B$4:$B$63,0))="B",INDEX(MODELOS!$H$3:$H$19,MATCH($D682,MODELOS!$A$3:$A$19,0)),INDEX(MODELOS!$D$3:$D$19,MATCH($D682,MODELOS!$A$3:$A$19,0))))</f>
        <v>Produto em destaque</v>
      </c>
      <c r="H682" s="11" t="str">
        <f aca="false">IF(INDEX(PRODUTOS!$I$4:$I$63,MATCH($A682,PRODUTOS!$B$4:$B$63,0))="B",INDEX(MODELOS!$I$3:$I$19,MATCH($D682,MODELOS!$A$3:$A$19,0)),INDEX(MODELOS!$E$3:$E$19,MATCH($D682,MODELOS!$A$3:$A$19,0)))</f>
        <v>300 × 300</v>
      </c>
      <c r="I682" s="11" t="str">
        <f aca="false">INDEX(MODELOS!$J$3:$J$19,MATCH($D682,MODELOS!$A$3:$A$19,0))</f>
        <v>Conforme modelo</v>
      </c>
      <c r="J682" s="11" t="str">
        <f aca="false">IF(LEFT($D682,2)&lt;&gt;"AP",IF($I682="SIM","SIM","RECOMENDADA"),IF(INDEX(PRODUTOS!$J$4:$J$63,MATCH($A682,PRODUTOS!$B$4:$B$63,0))&lt;&gt;"","NÃO (usa o A+ do EAN "&amp;INDEX(PRODUTOS!$J$4:$J$63,MATCH($A682,PRODUTOS!$B$4:$B$63,0))&amp;")",IF(AND(INDEX(PRODUTOS!$I$4:$I$63,MATCH($A682,PRODUTOS!$B$4:$B$63,0))="B",$D682="AP07"),"NÃO (modelo B)","SIM")))</f>
        <v>SIM</v>
      </c>
      <c r="K682" s="13" t="s">
        <v>325</v>
      </c>
      <c r="L682" s="13"/>
    </row>
    <row r="683" customFormat="false" ht="15" hidden="false" customHeight="false" outlineLevel="0" collapsed="false">
      <c r="A683" s="15" t="s">
        <v>217</v>
      </c>
      <c r="B683" s="11" t="str">
        <f aca="false">INDEX(PRODUTOS!$E$4:$E$63,MATCH($A683,PRODUTOS!$B$4:$B$63,0))</f>
        <v>Bifinhos New Dots Cães Churrasco 50 g</v>
      </c>
      <c r="C683" s="11" t="str">
        <f aca="false">INDEX(PRODUTOS!$H$4:$H$63,MATCH($A683,PRODUTOS!$B$4:$B$63,0))</f>
        <v>50 g</v>
      </c>
      <c r="D683" s="11" t="s">
        <v>341</v>
      </c>
      <c r="E683" s="16" t="str">
        <f aca="false">$A683&amp;"."&amp;$D683&amp;".jpg"</f>
        <v>7898968541856.COMP.jpg</v>
      </c>
      <c r="F683" s="11" t="str">
        <f aca="false">IF(INDEX(PRODUTOS!$I$4:$I$63,MATCH($A683,PRODUTOS!$B$4:$B$63,0))="B",INDEX(MODELOS!$F$3:$F$19,MATCH($D683,MODELOS!$A$3:$A$19,0)),INDEX(MODELOS!$B$3:$B$19,MATCH($D683,MODELOS!$A$3:$A$19,0)))</f>
        <v>A+ · Tabela comparativa</v>
      </c>
      <c r="G683" s="11" t="str">
        <f aca="false">IF(INDEX(PRODUTOS!$F$4:$F$63,MATCH($A683,PRODUTOS!$B$4:$B$63,0))="Ração",IF(INDEX(PRODUTOS!$I$4:$I$63,MATCH($A683,PRODUTOS!$B$4:$B$63,0))="B",INDEX(MODELOS!$G$3:$G$19,MATCH($D683,MODELOS!$A$3:$A$19,0)),INDEX(MODELOS!$C$3:$C$19,MATCH($D683,MODELOS!$A$3:$A$19,0))),IF(INDEX(PRODUTOS!$I$4:$I$63,MATCH($A683,PRODUTOS!$B$4:$B$63,0))="B",INDEX(MODELOS!$H$3:$H$19,MATCH($D683,MODELOS!$A$3:$A$19,0)),INDEX(MODELOS!$D$3:$D$19,MATCH($D683,MODELOS!$A$3:$A$19,0))))</f>
        <v>Produto na vertical, sem fundo colorido</v>
      </c>
      <c r="H683" s="11" t="str">
        <f aca="false">IF(INDEX(PRODUTOS!$I$4:$I$63,MATCH($A683,PRODUTOS!$B$4:$B$63,0))="B",INDEX(MODELOS!$I$3:$I$19,MATCH($D683,MODELOS!$A$3:$A$19,0)),INDEX(MODELOS!$E$3:$E$19,MATCH($D683,MODELOS!$A$3:$A$19,0)))</f>
        <v>150 × 300</v>
      </c>
      <c r="I683" s="11" t="str">
        <f aca="false">INDEX(MODELOS!$J$3:$J$19,MATCH($D683,MODELOS!$A$3:$A$19,0))</f>
        <v>SIM</v>
      </c>
      <c r="J683" s="11" t="str">
        <f aca="false">IF(LEFT($D683,2)&lt;&gt;"AP",IF($I683="SIM","SIM","RECOMENDADA"),IF(INDEX(PRODUTOS!$J$4:$J$63,MATCH($A683,PRODUTOS!$B$4:$B$63,0))&lt;&gt;"","NÃO (usa o A+ do EAN "&amp;INDEX(PRODUTOS!$J$4:$J$63,MATCH($A683,PRODUTOS!$B$4:$B$63,0))&amp;")",IF(AND(INDEX(PRODUTOS!$I$4:$I$63,MATCH($A683,PRODUTOS!$B$4:$B$63,0))="B",$D683="AP07"),"NÃO (modelo B)","SIM")))</f>
        <v>SIM</v>
      </c>
      <c r="K683" s="13" t="s">
        <v>325</v>
      </c>
      <c r="L683" s="13"/>
    </row>
    <row r="684" customFormat="false" ht="15" hidden="false" customHeight="false" outlineLevel="0" collapsed="false">
      <c r="A684" s="15" t="s">
        <v>221</v>
      </c>
      <c r="B684" s="11" t="str">
        <f aca="false">INDEX(PRODUTOS!$E$4:$E$63,MATCH($A684,PRODUTOS!$B$4:$B$63,0))</f>
        <v>Bifinhos New Dots Cães RPM Cordeiro 50 g</v>
      </c>
      <c r="C684" s="11" t="str">
        <f aca="false">INDEX(PRODUTOS!$H$4:$H$63,MATCH($A684,PRODUTOS!$B$4:$B$63,0))</f>
        <v>50 g</v>
      </c>
      <c r="D684" s="11" t="s">
        <v>324</v>
      </c>
      <c r="E684" s="16" t="str">
        <f aca="false">$A684&amp;"."&amp;$D684&amp;".jpg"</f>
        <v>7898968541870.MAIN.jpg</v>
      </c>
      <c r="F684" s="11" t="str">
        <f aca="false">IF(INDEX(PRODUTOS!$I$4:$I$63,MATCH($A684,PRODUTOS!$B$4:$B$63,0))="B",INDEX(MODELOS!$F$3:$F$19,MATCH($D684,MODELOS!$A$3:$A$19,0)),INDEX(MODELOS!$B$3:$B$19,MATCH($D684,MODELOS!$A$3:$A$19,0)))</f>
        <v>Capa (posição 1)</v>
      </c>
      <c r="G684" s="11" t="str">
        <f aca="false">IF(INDEX(PRODUTOS!$F$4:$F$63,MATCH($A684,PRODUTOS!$B$4:$B$63,0))="Ração",IF(INDEX(PRODUTOS!$I$4:$I$63,MATCH($A684,PRODUTOS!$B$4:$B$63,0))="B",INDEX(MODELOS!$G$3:$G$19,MATCH($D684,MODELOS!$A$3:$A$19,0)),INDEX(MODELOS!$C$3:$C$19,MATCH($D684,MODELOS!$A$3:$A$19,0))),IF(INDEX(PRODUTOS!$I$4:$I$63,MATCH($A684,PRODUTOS!$B$4:$B$63,0))="B",INDEX(MODELOS!$H$3:$H$19,MATCH($D684,MODELOS!$A$3:$A$19,0)),INDEX(MODELOS!$D$3:$D$19,MATCH($D684,MODELOS!$A$3:$A$19,0))))</f>
        <v>Embalagem de frente, fundo branco puro, 85% da área, nada adicionado</v>
      </c>
      <c r="H684" s="11" t="str">
        <f aca="false">IF(INDEX(PRODUTOS!$I$4:$I$63,MATCH($A684,PRODUTOS!$B$4:$B$63,0))="B",INDEX(MODELOS!$I$3:$I$19,MATCH($D684,MODELOS!$A$3:$A$19,0)),INDEX(MODELOS!$E$3:$E$19,MATCH($D684,MODELOS!$A$3:$A$19,0)))</f>
        <v>2000 × 2000</v>
      </c>
      <c r="I684" s="11" t="str">
        <f aca="false">INDEX(MODELOS!$J$3:$J$19,MATCH($D684,MODELOS!$A$3:$A$19,0))</f>
        <v>SIM</v>
      </c>
      <c r="J684" s="11" t="str">
        <f aca="false">IF(LEFT($D684,2)&lt;&gt;"AP",IF($I684="SIM","SIM","RECOMENDADA"),IF(INDEX(PRODUTOS!$J$4:$J$63,MATCH($A684,PRODUTOS!$B$4:$B$63,0))&lt;&gt;"","NÃO (usa o A+ do EAN "&amp;INDEX(PRODUTOS!$J$4:$J$63,MATCH($A684,PRODUTOS!$B$4:$B$63,0))&amp;")",IF(AND(INDEX(PRODUTOS!$I$4:$I$63,MATCH($A684,PRODUTOS!$B$4:$B$63,0))="B",$D684="AP07"),"NÃO (modelo B)","SIM")))</f>
        <v>SIM</v>
      </c>
      <c r="K684" s="13" t="s">
        <v>325</v>
      </c>
      <c r="L684" s="13"/>
    </row>
    <row r="685" customFormat="false" ht="15" hidden="false" customHeight="false" outlineLevel="0" collapsed="false">
      <c r="A685" s="15" t="s">
        <v>221</v>
      </c>
      <c r="B685" s="11" t="str">
        <f aca="false">INDEX(PRODUTOS!$E$4:$E$63,MATCH($A685,PRODUTOS!$B$4:$B$63,0))</f>
        <v>Bifinhos New Dots Cães RPM Cordeiro 50 g</v>
      </c>
      <c r="C685" s="11" t="str">
        <f aca="false">INDEX(PRODUTOS!$H$4:$H$63,MATCH($A685,PRODUTOS!$B$4:$B$63,0))</f>
        <v>50 g</v>
      </c>
      <c r="D685" s="11" t="s">
        <v>326</v>
      </c>
      <c r="E685" s="16" t="str">
        <f aca="false">$A685&amp;"."&amp;$D685&amp;".jpg"</f>
        <v>7898968541870.PT01.jpg</v>
      </c>
      <c r="F685" s="11" t="str">
        <f aca="false">IF(INDEX(PRODUTOS!$I$4:$I$63,MATCH($A685,PRODUTOS!$B$4:$B$63,0))="B",INDEX(MODELOS!$F$3:$F$19,MATCH($D685,MODELOS!$A$3:$A$19,0)),INDEX(MODELOS!$B$3:$B$19,MATCH($D685,MODELOS!$A$3:$A$19,0)))</f>
        <v>Galeria · posição 2</v>
      </c>
      <c r="G685" s="11" t="str">
        <f aca="false">IF(INDEX(PRODUTOS!$F$4:$F$63,MATCH($A685,PRODUTOS!$B$4:$B$63,0))="Ração",IF(INDEX(PRODUTOS!$I$4:$I$63,MATCH($A685,PRODUTOS!$B$4:$B$63,0))="B",INDEX(MODELOS!$G$3:$G$19,MATCH($D685,MODELOS!$A$3:$A$19,0)),INDEX(MODELOS!$C$3:$C$19,MATCH($D685,MODELOS!$A$3:$A$19,0))),IF(INDEX(PRODUTOS!$I$4:$I$63,MATCH($A685,PRODUTOS!$B$4:$B$63,0))="B",INDEX(MODELOS!$H$3:$H$19,MATCH($D685,MODELOS!$A$3:$A$19,0)),INDEX(MODELOS!$D$3:$D$19,MATCH($D685,MODELOS!$A$3:$A$19,0))))</f>
        <v>Grande diferencial (ex.: natural, biodegradável, perfumado)</v>
      </c>
      <c r="H685" s="11" t="str">
        <f aca="false">IF(INDEX(PRODUTOS!$I$4:$I$63,MATCH($A685,PRODUTOS!$B$4:$B$63,0))="B",INDEX(MODELOS!$I$3:$I$19,MATCH($D685,MODELOS!$A$3:$A$19,0)),INDEX(MODELOS!$E$3:$E$19,MATCH($D685,MODELOS!$A$3:$A$19,0)))</f>
        <v>2000 × 2000</v>
      </c>
      <c r="I685" s="11" t="str">
        <f aca="false">INDEX(MODELOS!$J$3:$J$19,MATCH($D685,MODELOS!$A$3:$A$19,0))</f>
        <v>SIM</v>
      </c>
      <c r="J685" s="11" t="str">
        <f aca="false">IF(LEFT($D685,2)&lt;&gt;"AP",IF($I685="SIM","SIM","RECOMENDADA"),IF(INDEX(PRODUTOS!$J$4:$J$63,MATCH($A685,PRODUTOS!$B$4:$B$63,0))&lt;&gt;"","NÃO (usa o A+ do EAN "&amp;INDEX(PRODUTOS!$J$4:$J$63,MATCH($A685,PRODUTOS!$B$4:$B$63,0))&amp;")",IF(AND(INDEX(PRODUTOS!$I$4:$I$63,MATCH($A685,PRODUTOS!$B$4:$B$63,0))="B",$D685="AP07"),"NÃO (modelo B)","SIM")))</f>
        <v>SIM</v>
      </c>
      <c r="K685" s="13" t="s">
        <v>325</v>
      </c>
      <c r="L685" s="13"/>
    </row>
    <row r="686" customFormat="false" ht="15" hidden="false" customHeight="false" outlineLevel="0" collapsed="false">
      <c r="A686" s="15" t="s">
        <v>221</v>
      </c>
      <c r="B686" s="11" t="str">
        <f aca="false">INDEX(PRODUTOS!$E$4:$E$63,MATCH($A686,PRODUTOS!$B$4:$B$63,0))</f>
        <v>Bifinhos New Dots Cães RPM Cordeiro 50 g</v>
      </c>
      <c r="C686" s="11" t="str">
        <f aca="false">INDEX(PRODUTOS!$H$4:$H$63,MATCH($A686,PRODUTOS!$B$4:$B$63,0))</f>
        <v>50 g</v>
      </c>
      <c r="D686" s="11" t="s">
        <v>327</v>
      </c>
      <c r="E686" s="16" t="str">
        <f aca="false">$A686&amp;"."&amp;$D686&amp;".jpg"</f>
        <v>7898968541870.PT02.jpg</v>
      </c>
      <c r="F686" s="11" t="str">
        <f aca="false">IF(INDEX(PRODUTOS!$I$4:$I$63,MATCH($A686,PRODUTOS!$B$4:$B$63,0))="B",INDEX(MODELOS!$F$3:$F$19,MATCH($D686,MODELOS!$A$3:$A$19,0)),INDEX(MODELOS!$B$3:$B$19,MATCH($D686,MODELOS!$A$3:$A$19,0)))</f>
        <v>Galeria · posição 3</v>
      </c>
      <c r="G686" s="11" t="str">
        <f aca="false">IF(INDEX(PRODUTOS!$F$4:$F$63,MATCH($A686,PRODUTOS!$B$4:$B$63,0))="Ração",IF(INDEX(PRODUTOS!$I$4:$I$63,MATCH($A686,PRODUTOS!$B$4:$B$63,0))="B",INDEX(MODELOS!$G$3:$G$19,MATCH($D686,MODELOS!$A$3:$A$19,0)),INDEX(MODELOS!$C$3:$C$19,MATCH($D686,MODELOS!$A$3:$A$19,0))),IF(INDEX(PRODUTOS!$I$4:$I$63,MATCH($A686,PRODUTOS!$B$4:$B$63,0))="B",INDEX(MODELOS!$H$3:$H$19,MATCH($D686,MODELOS!$A$3:$A$19,0)),INDEX(MODELOS!$D$3:$D$19,MATCH($D686,MODELOS!$A$3:$A$19,0))))</f>
        <v>Benefícios com ícones (4 a 6, impressos na embalagem)</v>
      </c>
      <c r="H686" s="11" t="str">
        <f aca="false">IF(INDEX(PRODUTOS!$I$4:$I$63,MATCH($A686,PRODUTOS!$B$4:$B$63,0))="B",INDEX(MODELOS!$I$3:$I$19,MATCH($D686,MODELOS!$A$3:$A$19,0)),INDEX(MODELOS!$E$3:$E$19,MATCH($D686,MODELOS!$A$3:$A$19,0)))</f>
        <v>2000 × 2000</v>
      </c>
      <c r="I686" s="11" t="str">
        <f aca="false">INDEX(MODELOS!$J$3:$J$19,MATCH($D686,MODELOS!$A$3:$A$19,0))</f>
        <v>SIM</v>
      </c>
      <c r="J686" s="11" t="str">
        <f aca="false">IF(LEFT($D686,2)&lt;&gt;"AP",IF($I686="SIM","SIM","RECOMENDADA"),IF(INDEX(PRODUTOS!$J$4:$J$63,MATCH($A686,PRODUTOS!$B$4:$B$63,0))&lt;&gt;"","NÃO (usa o A+ do EAN "&amp;INDEX(PRODUTOS!$J$4:$J$63,MATCH($A686,PRODUTOS!$B$4:$B$63,0))&amp;")",IF(AND(INDEX(PRODUTOS!$I$4:$I$63,MATCH($A686,PRODUTOS!$B$4:$B$63,0))="B",$D686="AP07"),"NÃO (modelo B)","SIM")))</f>
        <v>SIM</v>
      </c>
      <c r="K686" s="13" t="s">
        <v>325</v>
      </c>
      <c r="L686" s="13"/>
    </row>
    <row r="687" customFormat="false" ht="15" hidden="false" customHeight="false" outlineLevel="0" collapsed="false">
      <c r="A687" s="15" t="s">
        <v>221</v>
      </c>
      <c r="B687" s="11" t="str">
        <f aca="false">INDEX(PRODUTOS!$E$4:$E$63,MATCH($A687,PRODUTOS!$B$4:$B$63,0))</f>
        <v>Bifinhos New Dots Cães RPM Cordeiro 50 g</v>
      </c>
      <c r="C687" s="11" t="str">
        <f aca="false">INDEX(PRODUTOS!$H$4:$H$63,MATCH($A687,PRODUTOS!$B$4:$B$63,0))</f>
        <v>50 g</v>
      </c>
      <c r="D687" s="11" t="s">
        <v>328</v>
      </c>
      <c r="E687" s="16" t="str">
        <f aca="false">$A687&amp;"."&amp;$D687&amp;".jpg"</f>
        <v>7898968541870.PT03.jpg</v>
      </c>
      <c r="F687" s="11" t="str">
        <f aca="false">IF(INDEX(PRODUTOS!$I$4:$I$63,MATCH($A687,PRODUTOS!$B$4:$B$63,0))="B",INDEX(MODELOS!$F$3:$F$19,MATCH($D687,MODELOS!$A$3:$A$19,0)),INDEX(MODELOS!$B$3:$B$19,MATCH($D687,MODELOS!$A$3:$A$19,0)))</f>
        <v>Galeria · posição 4</v>
      </c>
      <c r="G687" s="11" t="str">
        <f aca="false">IF(INDEX(PRODUTOS!$F$4:$F$63,MATCH($A687,PRODUTOS!$B$4:$B$63,0))="Ração",IF(INDEX(PRODUTOS!$I$4:$I$63,MATCH($A687,PRODUTOS!$B$4:$B$63,0))="B",INDEX(MODELOS!$G$3:$G$19,MATCH($D687,MODELOS!$A$3:$A$19,0)),INDEX(MODELOS!$C$3:$C$19,MATCH($D687,MODELOS!$A$3:$A$19,0))),IF(INDEX(PRODUTOS!$I$4:$I$63,MATCH($A687,PRODUTOS!$B$4:$B$63,0))="B",INDEX(MODELOS!$H$3:$H$19,MATCH($D687,MODELOS!$A$3:$A$19,0)),INDEX(MODELOS!$D$3:$D$19,MATCH($D687,MODELOS!$A$3:$A$19,0))))</f>
        <v>Detalhe e tamanho real (petisco, grânulo ou tapete aberto), com medidas</v>
      </c>
      <c r="H687" s="11" t="str">
        <f aca="false">IF(INDEX(PRODUTOS!$I$4:$I$63,MATCH($A687,PRODUTOS!$B$4:$B$63,0))="B",INDEX(MODELOS!$I$3:$I$19,MATCH($D687,MODELOS!$A$3:$A$19,0)),INDEX(MODELOS!$E$3:$E$19,MATCH($D687,MODELOS!$A$3:$A$19,0)))</f>
        <v>2000 × 2000</v>
      </c>
      <c r="I687" s="11" t="str">
        <f aca="false">INDEX(MODELOS!$J$3:$J$19,MATCH($D687,MODELOS!$A$3:$A$19,0))</f>
        <v>SIM</v>
      </c>
      <c r="J687" s="11" t="str">
        <f aca="false">IF(LEFT($D687,2)&lt;&gt;"AP",IF($I687="SIM","SIM","RECOMENDADA"),IF(INDEX(PRODUTOS!$J$4:$J$63,MATCH($A687,PRODUTOS!$B$4:$B$63,0))&lt;&gt;"","NÃO (usa o A+ do EAN "&amp;INDEX(PRODUTOS!$J$4:$J$63,MATCH($A687,PRODUTOS!$B$4:$B$63,0))&amp;")",IF(AND(INDEX(PRODUTOS!$I$4:$I$63,MATCH($A687,PRODUTOS!$B$4:$B$63,0))="B",$D687="AP07"),"NÃO (modelo B)","SIM")))</f>
        <v>SIM</v>
      </c>
      <c r="K687" s="13" t="s">
        <v>325</v>
      </c>
      <c r="L687" s="13"/>
    </row>
    <row r="688" customFormat="false" ht="15" hidden="false" customHeight="false" outlineLevel="0" collapsed="false">
      <c r="A688" s="15" t="s">
        <v>221</v>
      </c>
      <c r="B688" s="11" t="str">
        <f aca="false">INDEX(PRODUTOS!$E$4:$E$63,MATCH($A688,PRODUTOS!$B$4:$B$63,0))</f>
        <v>Bifinhos New Dots Cães RPM Cordeiro 50 g</v>
      </c>
      <c r="C688" s="11" t="str">
        <f aca="false">INDEX(PRODUTOS!$H$4:$H$63,MATCH($A688,PRODUTOS!$B$4:$B$63,0))</f>
        <v>50 g</v>
      </c>
      <c r="D688" s="11" t="s">
        <v>329</v>
      </c>
      <c r="E688" s="16" t="str">
        <f aca="false">$A688&amp;"."&amp;$D688&amp;".jpg"</f>
        <v>7898968541870.PT04.jpg</v>
      </c>
      <c r="F688" s="11" t="str">
        <f aca="false">IF(INDEX(PRODUTOS!$I$4:$I$63,MATCH($A688,PRODUTOS!$B$4:$B$63,0))="B",INDEX(MODELOS!$F$3:$F$19,MATCH($D688,MODELOS!$A$3:$A$19,0)),INDEX(MODELOS!$B$3:$B$19,MATCH($D688,MODELOS!$A$3:$A$19,0)))</f>
        <v>Galeria · posição 5</v>
      </c>
      <c r="G688" s="11" t="str">
        <f aca="false">IF(INDEX(PRODUTOS!$F$4:$F$63,MATCH($A688,PRODUTOS!$B$4:$B$63,0))="Ração",IF(INDEX(PRODUTOS!$I$4:$I$63,MATCH($A688,PRODUTOS!$B$4:$B$63,0))="B",INDEX(MODELOS!$G$3:$G$19,MATCH($D688,MODELOS!$A$3:$A$19,0)),INDEX(MODELOS!$C$3:$C$19,MATCH($D688,MODELOS!$A$3:$A$19,0))),IF(INDEX(PRODUTOS!$I$4:$I$63,MATCH($A688,PRODUTOS!$B$4:$B$63,0))="B",INDEX(MODELOS!$H$3:$H$19,MATCH($D688,MODELOS!$A$3:$A$19,0)),INDEX(MODELOS!$D$3:$D$19,MATCH($D688,MODELOS!$A$3:$A$19,0))))</f>
        <v>Modo de uso (como oferecer o petisco / como usar o produto)</v>
      </c>
      <c r="H688" s="11" t="str">
        <f aca="false">IF(INDEX(PRODUTOS!$I$4:$I$63,MATCH($A688,PRODUTOS!$B$4:$B$63,0))="B",INDEX(MODELOS!$I$3:$I$19,MATCH($D688,MODELOS!$A$3:$A$19,0)),INDEX(MODELOS!$E$3:$E$19,MATCH($D688,MODELOS!$A$3:$A$19,0)))</f>
        <v>2000 × 2000</v>
      </c>
      <c r="I688" s="11" t="str">
        <f aca="false">INDEX(MODELOS!$J$3:$J$19,MATCH($D688,MODELOS!$A$3:$A$19,0))</f>
        <v>SIM</v>
      </c>
      <c r="J688" s="11" t="str">
        <f aca="false">IF(LEFT($D688,2)&lt;&gt;"AP",IF($I688="SIM","SIM","RECOMENDADA"),IF(INDEX(PRODUTOS!$J$4:$J$63,MATCH($A688,PRODUTOS!$B$4:$B$63,0))&lt;&gt;"","NÃO (usa o A+ do EAN "&amp;INDEX(PRODUTOS!$J$4:$J$63,MATCH($A688,PRODUTOS!$B$4:$B$63,0))&amp;")",IF(AND(INDEX(PRODUTOS!$I$4:$I$63,MATCH($A688,PRODUTOS!$B$4:$B$63,0))="B",$D688="AP07"),"NÃO (modelo B)","SIM")))</f>
        <v>SIM</v>
      </c>
      <c r="K688" s="13" t="s">
        <v>325</v>
      </c>
      <c r="L688" s="13"/>
    </row>
    <row r="689" customFormat="false" ht="15" hidden="false" customHeight="false" outlineLevel="0" collapsed="false">
      <c r="A689" s="15" t="s">
        <v>221</v>
      </c>
      <c r="B689" s="11" t="str">
        <f aca="false">INDEX(PRODUTOS!$E$4:$E$63,MATCH($A689,PRODUTOS!$B$4:$B$63,0))</f>
        <v>Bifinhos New Dots Cães RPM Cordeiro 50 g</v>
      </c>
      <c r="C689" s="11" t="str">
        <f aca="false">INDEX(PRODUTOS!$H$4:$H$63,MATCH($A689,PRODUTOS!$B$4:$B$63,0))</f>
        <v>50 g</v>
      </c>
      <c r="D689" s="11" t="s">
        <v>330</v>
      </c>
      <c r="E689" s="16" t="str">
        <f aca="false">$A689&amp;"."&amp;$D689&amp;".jpg"</f>
        <v>7898968541870.PT05.jpg</v>
      </c>
      <c r="F689" s="11" t="str">
        <f aca="false">IF(INDEX(PRODUTOS!$I$4:$I$63,MATCH($A689,PRODUTOS!$B$4:$B$63,0))="B",INDEX(MODELOS!$F$3:$F$19,MATCH($D689,MODELOS!$A$3:$A$19,0)),INDEX(MODELOS!$B$3:$B$19,MATCH($D689,MODELOS!$A$3:$A$19,0)))</f>
        <v>Galeria · posição 6</v>
      </c>
      <c r="G689" s="11" t="str">
        <f aca="false">IF(INDEX(PRODUTOS!$F$4:$F$63,MATCH($A689,PRODUTOS!$B$4:$B$63,0))="Ração",IF(INDEX(PRODUTOS!$I$4:$I$63,MATCH($A689,PRODUTOS!$B$4:$B$63,0))="B",INDEX(MODELOS!$G$3:$G$19,MATCH($D689,MODELOS!$A$3:$A$19,0)),INDEX(MODELOS!$C$3:$C$19,MATCH($D689,MODELOS!$A$3:$A$19,0))),IF(INDEX(PRODUTOS!$I$4:$I$63,MATCH($A689,PRODUTOS!$B$4:$B$63,0))="B",INDEX(MODELOS!$H$3:$H$19,MATCH($D689,MODELOS!$A$3:$A$19,0)),INDEX(MODELOS!$D$3:$D$19,MATCH($D689,MODELOS!$A$3:$A$19,0))))</f>
        <v>Quantidade por dia ou rendimento do pacote</v>
      </c>
      <c r="H689" s="11" t="str">
        <f aca="false">IF(INDEX(PRODUTOS!$I$4:$I$63,MATCH($A689,PRODUTOS!$B$4:$B$63,0))="B",INDEX(MODELOS!$I$3:$I$19,MATCH($D689,MODELOS!$A$3:$A$19,0)),INDEX(MODELOS!$E$3:$E$19,MATCH($D689,MODELOS!$A$3:$A$19,0)))</f>
        <v>2000 × 2000</v>
      </c>
      <c r="I689" s="11" t="str">
        <f aca="false">INDEX(MODELOS!$J$3:$J$19,MATCH($D689,MODELOS!$A$3:$A$19,0))</f>
        <v>Recomendada</v>
      </c>
      <c r="J689" s="11" t="str">
        <f aca="false">IF(LEFT($D689,2)&lt;&gt;"AP",IF($I689="SIM","SIM","RECOMENDADA"),IF(INDEX(PRODUTOS!$J$4:$J$63,MATCH($A689,PRODUTOS!$B$4:$B$63,0))&lt;&gt;"","NÃO (usa o A+ do EAN "&amp;INDEX(PRODUTOS!$J$4:$J$63,MATCH($A689,PRODUTOS!$B$4:$B$63,0))&amp;")",IF(AND(INDEX(PRODUTOS!$I$4:$I$63,MATCH($A689,PRODUTOS!$B$4:$B$63,0))="B",$D689="AP07"),"NÃO (modelo B)","SIM")))</f>
        <v>RECOMENDADA</v>
      </c>
      <c r="K689" s="13" t="s">
        <v>325</v>
      </c>
      <c r="L689" s="13"/>
    </row>
    <row r="690" customFormat="false" ht="15" hidden="false" customHeight="false" outlineLevel="0" collapsed="false">
      <c r="A690" s="15" t="s">
        <v>221</v>
      </c>
      <c r="B690" s="11" t="str">
        <f aca="false">INDEX(PRODUTOS!$E$4:$E$63,MATCH($A690,PRODUTOS!$B$4:$B$63,0))</f>
        <v>Bifinhos New Dots Cães RPM Cordeiro 50 g</v>
      </c>
      <c r="C690" s="11" t="str">
        <f aca="false">INDEX(PRODUTOS!$H$4:$H$63,MATCH($A690,PRODUTOS!$B$4:$B$63,0))</f>
        <v>50 g</v>
      </c>
      <c r="D690" s="11" t="s">
        <v>331</v>
      </c>
      <c r="E690" s="16" t="str">
        <f aca="false">$A690&amp;"."&amp;$D690&amp;".jpg"</f>
        <v>7898968541870.PT06.jpg</v>
      </c>
      <c r="F690" s="11" t="str">
        <f aca="false">IF(INDEX(PRODUTOS!$I$4:$I$63,MATCH($A690,PRODUTOS!$B$4:$B$63,0))="B",INDEX(MODELOS!$F$3:$F$19,MATCH($D690,MODELOS!$A$3:$A$19,0)),INDEX(MODELOS!$B$3:$B$19,MATCH($D690,MODELOS!$A$3:$A$19,0)))</f>
        <v>Galeria · posição 7</v>
      </c>
      <c r="G690" s="11" t="str">
        <f aca="false">IF(INDEX(PRODUTOS!$F$4:$F$63,MATCH($A690,PRODUTOS!$B$4:$B$63,0))="Ração",IF(INDEX(PRODUTOS!$I$4:$I$63,MATCH($A690,PRODUTOS!$B$4:$B$63,0))="B",INDEX(MODELOS!$G$3:$G$19,MATCH($D690,MODELOS!$A$3:$A$19,0)),INDEX(MODELOS!$C$3:$C$19,MATCH($D690,MODELOS!$A$3:$A$19,0))),IF(INDEX(PRODUTOS!$I$4:$I$63,MATCH($A690,PRODUTOS!$B$4:$B$63,0))="B",INDEX(MODELOS!$H$3:$H$19,MATCH($D690,MODELOS!$A$3:$A$19,0)),INDEX(MODELOS!$D$3:$D$19,MATCH($D690,MODELOS!$A$3:$A$19,0))))</f>
        <v>Composição/níveis de garantia (petiscos) ou especificações (higiene)</v>
      </c>
      <c r="H690" s="11" t="str">
        <f aca="false">IF(INDEX(PRODUTOS!$I$4:$I$63,MATCH($A690,PRODUTOS!$B$4:$B$63,0))="B",INDEX(MODELOS!$I$3:$I$19,MATCH($D690,MODELOS!$A$3:$A$19,0)),INDEX(MODELOS!$E$3:$E$19,MATCH($D690,MODELOS!$A$3:$A$19,0)))</f>
        <v>2000 × 2000</v>
      </c>
      <c r="I690" s="11" t="str">
        <f aca="false">INDEX(MODELOS!$J$3:$J$19,MATCH($D690,MODELOS!$A$3:$A$19,0))</f>
        <v>SIM</v>
      </c>
      <c r="J690" s="11" t="str">
        <f aca="false">IF(LEFT($D690,2)&lt;&gt;"AP",IF($I690="SIM","SIM","RECOMENDADA"),IF(INDEX(PRODUTOS!$J$4:$J$63,MATCH($A690,PRODUTOS!$B$4:$B$63,0))&lt;&gt;"","NÃO (usa o A+ do EAN "&amp;INDEX(PRODUTOS!$J$4:$J$63,MATCH($A690,PRODUTOS!$B$4:$B$63,0))&amp;")",IF(AND(INDEX(PRODUTOS!$I$4:$I$63,MATCH($A690,PRODUTOS!$B$4:$B$63,0))="B",$D690="AP07"),"NÃO (modelo B)","SIM")))</f>
        <v>SIM</v>
      </c>
      <c r="K690" s="13" t="s">
        <v>325</v>
      </c>
      <c r="L690" s="13"/>
    </row>
    <row r="691" customFormat="false" ht="15" hidden="false" customHeight="false" outlineLevel="0" collapsed="false">
      <c r="A691" s="15" t="s">
        <v>221</v>
      </c>
      <c r="B691" s="11" t="str">
        <f aca="false">INDEX(PRODUTOS!$E$4:$E$63,MATCH($A691,PRODUTOS!$B$4:$B$63,0))</f>
        <v>Bifinhos New Dots Cães RPM Cordeiro 50 g</v>
      </c>
      <c r="C691" s="11" t="str">
        <f aca="false">INDEX(PRODUTOS!$H$4:$H$63,MATCH($A691,PRODUTOS!$B$4:$B$63,0))</f>
        <v>50 g</v>
      </c>
      <c r="D691" s="11" t="s">
        <v>332</v>
      </c>
      <c r="E691" s="16" t="str">
        <f aca="false">$A691&amp;"."&amp;$D691&amp;".jpg"</f>
        <v>7898968541870.PT07.jpg</v>
      </c>
      <c r="F691" s="11" t="str">
        <f aca="false">IF(INDEX(PRODUTOS!$I$4:$I$63,MATCH($A691,PRODUTOS!$B$4:$B$63,0))="B",INDEX(MODELOS!$F$3:$F$19,MATCH($D691,MODELOS!$A$3:$A$19,0)),INDEX(MODELOS!$B$3:$B$19,MATCH($D691,MODELOS!$A$3:$A$19,0)))</f>
        <v>Galeria · posição 8</v>
      </c>
      <c r="G691" s="11" t="str">
        <f aca="false">IF(INDEX(PRODUTOS!$F$4:$F$63,MATCH($A691,PRODUTOS!$B$4:$B$63,0))="Ração",IF(INDEX(PRODUTOS!$I$4:$I$63,MATCH($A691,PRODUTOS!$B$4:$B$63,0))="B",INDEX(MODELOS!$G$3:$G$19,MATCH($D691,MODELOS!$A$3:$A$19,0)),INDEX(MODELOS!$C$3:$C$19,MATCH($D691,MODELOS!$A$3:$A$19,0))),IF(INDEX(PRODUTOS!$I$4:$I$63,MATCH($A691,PRODUTOS!$B$4:$B$63,0))="B",INDEX(MODELOS!$H$3:$H$19,MATCH($D691,MODELOS!$A$3:$A$19,0)),INDEX(MODELOS!$D$3:$D$19,MATCH($D691,MODELOS!$A$3:$A$19,0))))</f>
        <v>Emocional / momento de uso</v>
      </c>
      <c r="H691" s="11" t="str">
        <f aca="false">IF(INDEX(PRODUTOS!$I$4:$I$63,MATCH($A691,PRODUTOS!$B$4:$B$63,0))="B",INDEX(MODELOS!$I$3:$I$19,MATCH($D691,MODELOS!$A$3:$A$19,0)),INDEX(MODELOS!$E$3:$E$19,MATCH($D691,MODELOS!$A$3:$A$19,0)))</f>
        <v>2000 × 2000</v>
      </c>
      <c r="I691" s="11" t="str">
        <f aca="false">INDEX(MODELOS!$J$3:$J$19,MATCH($D691,MODELOS!$A$3:$A$19,0))</f>
        <v>Recomendada</v>
      </c>
      <c r="J691" s="11" t="str">
        <f aca="false">IF(LEFT($D691,2)&lt;&gt;"AP",IF($I691="SIM","SIM","RECOMENDADA"),IF(INDEX(PRODUTOS!$J$4:$J$63,MATCH($A691,PRODUTOS!$B$4:$B$63,0))&lt;&gt;"","NÃO (usa o A+ do EAN "&amp;INDEX(PRODUTOS!$J$4:$J$63,MATCH($A691,PRODUTOS!$B$4:$B$63,0))&amp;")",IF(AND(INDEX(PRODUTOS!$I$4:$I$63,MATCH($A691,PRODUTOS!$B$4:$B$63,0))="B",$D691="AP07"),"NÃO (modelo B)","SIM")))</f>
        <v>RECOMENDADA</v>
      </c>
      <c r="K691" s="13" t="s">
        <v>325</v>
      </c>
      <c r="L691" s="13"/>
    </row>
    <row r="692" customFormat="false" ht="15" hidden="false" customHeight="false" outlineLevel="0" collapsed="false">
      <c r="A692" s="15" t="s">
        <v>221</v>
      </c>
      <c r="B692" s="11" t="str">
        <f aca="false">INDEX(PRODUTOS!$E$4:$E$63,MATCH($A692,PRODUTOS!$B$4:$B$63,0))</f>
        <v>Bifinhos New Dots Cães RPM Cordeiro 50 g</v>
      </c>
      <c r="C692" s="11" t="str">
        <f aca="false">INDEX(PRODUTOS!$H$4:$H$63,MATCH($A692,PRODUTOS!$B$4:$B$63,0))</f>
        <v>50 g</v>
      </c>
      <c r="D692" s="11" t="s">
        <v>333</v>
      </c>
      <c r="E692" s="16" t="str">
        <f aca="false">$A692&amp;"."&amp;$D692&amp;".jpg"</f>
        <v>7898968541870.PT08.jpg</v>
      </c>
      <c r="F692" s="11" t="str">
        <f aca="false">IF(INDEX(PRODUTOS!$I$4:$I$63,MATCH($A692,PRODUTOS!$B$4:$B$63,0))="B",INDEX(MODELOS!$F$3:$F$19,MATCH($D692,MODELOS!$A$3:$A$19,0)),INDEX(MODELOS!$B$3:$B$19,MATCH($D692,MODELOS!$A$3:$A$19,0)))</f>
        <v>Galeria · posição 9</v>
      </c>
      <c r="G692" s="11" t="str">
        <f aca="false">IF(INDEX(PRODUTOS!$F$4:$F$63,MATCH($A692,PRODUTOS!$B$4:$B$63,0))="Ração",IF(INDEX(PRODUTOS!$I$4:$I$63,MATCH($A692,PRODUTOS!$B$4:$B$63,0))="B",INDEX(MODELOS!$G$3:$G$19,MATCH($D692,MODELOS!$A$3:$A$19,0)),INDEX(MODELOS!$C$3:$C$19,MATCH($D692,MODELOS!$A$3:$A$19,0))),IF(INDEX(PRODUTOS!$I$4:$I$63,MATCH($A692,PRODUTOS!$B$4:$B$63,0))="B",INDEX(MODELOS!$H$3:$H$19,MATCH($D692,MODELOS!$A$3:$A$19,0)),INDEX(MODELOS!$D$3:$D$19,MATCH($D692,MODELOS!$A$3:$A$19,0))))</f>
        <v>Linha da marca ("conheça também")</v>
      </c>
      <c r="H692" s="11" t="str">
        <f aca="false">IF(INDEX(PRODUTOS!$I$4:$I$63,MATCH($A692,PRODUTOS!$B$4:$B$63,0))="B",INDEX(MODELOS!$I$3:$I$19,MATCH($D692,MODELOS!$A$3:$A$19,0)),INDEX(MODELOS!$E$3:$E$19,MATCH($D692,MODELOS!$A$3:$A$19,0)))</f>
        <v>2000 × 2000</v>
      </c>
      <c r="I692" s="11" t="str">
        <f aca="false">INDEX(MODELOS!$J$3:$J$19,MATCH($D692,MODELOS!$A$3:$A$19,0))</f>
        <v>Recomendada</v>
      </c>
      <c r="J692" s="11" t="str">
        <f aca="false">IF(LEFT($D692,2)&lt;&gt;"AP",IF($I692="SIM","SIM","RECOMENDADA"),IF(INDEX(PRODUTOS!$J$4:$J$63,MATCH($A692,PRODUTOS!$B$4:$B$63,0))&lt;&gt;"","NÃO (usa o A+ do EAN "&amp;INDEX(PRODUTOS!$J$4:$J$63,MATCH($A692,PRODUTOS!$B$4:$B$63,0))&amp;")",IF(AND(INDEX(PRODUTOS!$I$4:$I$63,MATCH($A692,PRODUTOS!$B$4:$B$63,0))="B",$D692="AP07"),"NÃO (modelo B)","SIM")))</f>
        <v>RECOMENDADA</v>
      </c>
      <c r="K692" s="13" t="s">
        <v>325</v>
      </c>
      <c r="L692" s="13"/>
    </row>
    <row r="693" customFormat="false" ht="15" hidden="false" customHeight="false" outlineLevel="0" collapsed="false">
      <c r="A693" s="15" t="s">
        <v>221</v>
      </c>
      <c r="B693" s="11" t="str">
        <f aca="false">INDEX(PRODUTOS!$E$4:$E$63,MATCH($A693,PRODUTOS!$B$4:$B$63,0))</f>
        <v>Bifinhos New Dots Cães RPM Cordeiro 50 g</v>
      </c>
      <c r="C693" s="11" t="str">
        <f aca="false">INDEX(PRODUTOS!$H$4:$H$63,MATCH($A693,PRODUTOS!$B$4:$B$63,0))</f>
        <v>50 g</v>
      </c>
      <c r="D693" s="11" t="s">
        <v>334</v>
      </c>
      <c r="E693" s="16" t="str">
        <f aca="false">$A693&amp;"."&amp;$D693&amp;".jpg"</f>
        <v>7898968541870.AP01.jpg</v>
      </c>
      <c r="F693" s="11" t="str">
        <f aca="false">IF(INDEX(PRODUTOS!$I$4:$I$63,MATCH($A693,PRODUTOS!$B$4:$B$63,0))="B",INDEX(MODELOS!$F$3:$F$19,MATCH($D693,MODELOS!$A$3:$A$19,0)),INDEX(MODELOS!$B$3:$B$19,MATCH($D693,MODELOS!$A$3:$A$19,0)))</f>
        <v>A+ · Módulo 1 · Banner</v>
      </c>
      <c r="G693" s="11" t="str">
        <f aca="false">IF(INDEX(PRODUTOS!$F$4:$F$63,MATCH($A693,PRODUTOS!$B$4:$B$63,0))="Ração",IF(INDEX(PRODUTOS!$I$4:$I$63,MATCH($A693,PRODUTOS!$B$4:$B$63,0))="B",INDEX(MODELOS!$G$3:$G$19,MATCH($D693,MODELOS!$A$3:$A$19,0)),INDEX(MODELOS!$C$3:$C$19,MATCH($D693,MODELOS!$A$3:$A$19,0))),IF(INDEX(PRODUTOS!$I$4:$I$63,MATCH($A693,PRODUTOS!$B$4:$B$63,0))="B",INDEX(MODELOS!$H$3:$H$19,MATCH($D693,MODELOS!$A$3:$A$19,0)),INDEX(MODELOS!$D$3:$D$19,MATCH($D693,MODELOS!$A$3:$A$19,0))))</f>
        <v>Produto + pet, com o nome da linha</v>
      </c>
      <c r="H693" s="11" t="str">
        <f aca="false">IF(INDEX(PRODUTOS!$I$4:$I$63,MATCH($A693,PRODUTOS!$B$4:$B$63,0))="B",INDEX(MODELOS!$I$3:$I$19,MATCH($D693,MODELOS!$A$3:$A$19,0)),INDEX(MODELOS!$E$3:$E$19,MATCH($D693,MODELOS!$A$3:$A$19,0)))</f>
        <v>970 × 600</v>
      </c>
      <c r="I693" s="11" t="str">
        <f aca="false">INDEX(MODELOS!$J$3:$J$19,MATCH($D693,MODELOS!$A$3:$A$19,0))</f>
        <v>Conforme modelo</v>
      </c>
      <c r="J693" s="11" t="str">
        <f aca="false">IF(LEFT($D693,2)&lt;&gt;"AP",IF($I693="SIM","SIM","RECOMENDADA"),IF(INDEX(PRODUTOS!$J$4:$J$63,MATCH($A693,PRODUTOS!$B$4:$B$63,0))&lt;&gt;"","NÃO (usa o A+ do EAN "&amp;INDEX(PRODUTOS!$J$4:$J$63,MATCH($A693,PRODUTOS!$B$4:$B$63,0))&amp;")",IF(AND(INDEX(PRODUTOS!$I$4:$I$63,MATCH($A693,PRODUTOS!$B$4:$B$63,0))="B",$D693="AP07"),"NÃO (modelo B)","SIM")))</f>
        <v>SIM</v>
      </c>
      <c r="K693" s="13" t="s">
        <v>325</v>
      </c>
      <c r="L693" s="13"/>
    </row>
    <row r="694" customFormat="false" ht="15" hidden="false" customHeight="false" outlineLevel="0" collapsed="false">
      <c r="A694" s="15" t="s">
        <v>221</v>
      </c>
      <c r="B694" s="11" t="str">
        <f aca="false">INDEX(PRODUTOS!$E$4:$E$63,MATCH($A694,PRODUTOS!$B$4:$B$63,0))</f>
        <v>Bifinhos New Dots Cães RPM Cordeiro 50 g</v>
      </c>
      <c r="C694" s="11" t="str">
        <f aca="false">INDEX(PRODUTOS!$H$4:$H$63,MATCH($A694,PRODUTOS!$B$4:$B$63,0))</f>
        <v>50 g</v>
      </c>
      <c r="D694" s="11" t="s">
        <v>335</v>
      </c>
      <c r="E694" s="16" t="str">
        <f aca="false">$A694&amp;"."&amp;$D694&amp;".jpg"</f>
        <v>7898968541870.AP02.jpg</v>
      </c>
      <c r="F694" s="11" t="str">
        <f aca="false">IF(INDEX(PRODUTOS!$I$4:$I$63,MATCH($A694,PRODUTOS!$B$4:$B$63,0))="B",INDEX(MODELOS!$F$3:$F$19,MATCH($D694,MODELOS!$A$3:$A$19,0)),INDEX(MODELOS!$B$3:$B$19,MATCH($D694,MODELOS!$A$3:$A$19,0)))</f>
        <v>A+ · Módulo 2 · Texto sobreposto</v>
      </c>
      <c r="G694" s="11" t="str">
        <f aca="false">IF(INDEX(PRODUTOS!$F$4:$F$63,MATCH($A694,PRODUTOS!$B$4:$B$63,0))="Ração",IF(INDEX(PRODUTOS!$I$4:$I$63,MATCH($A694,PRODUTOS!$B$4:$B$63,0))="B",INDEX(MODELOS!$G$3:$G$19,MATCH($D694,MODELOS!$A$3:$A$19,0)),INDEX(MODELOS!$C$3:$C$19,MATCH($D694,MODELOS!$A$3:$A$19,0))),IF(INDEX(PRODUTOS!$I$4:$I$63,MATCH($A694,PRODUTOS!$B$4:$B$63,0))="B",INDEX(MODELOS!$H$3:$H$19,MATCH($D694,MODELOS!$A$3:$A$19,0)),INDEX(MODELOS!$D$3:$D$19,MATCH($D694,MODELOS!$A$3:$A$19,0))))</f>
        <v>Principal diferencial; deixar o lado direito limpo</v>
      </c>
      <c r="H694" s="11" t="str">
        <f aca="false">IF(INDEX(PRODUTOS!$I$4:$I$63,MATCH($A694,PRODUTOS!$B$4:$B$63,0))="B",INDEX(MODELOS!$I$3:$I$19,MATCH($D694,MODELOS!$A$3:$A$19,0)),INDEX(MODELOS!$E$3:$E$19,MATCH($D694,MODELOS!$A$3:$A$19,0)))</f>
        <v>970 × 300</v>
      </c>
      <c r="I694" s="11" t="str">
        <f aca="false">INDEX(MODELOS!$J$3:$J$19,MATCH($D694,MODELOS!$A$3:$A$19,0))</f>
        <v>Conforme modelo</v>
      </c>
      <c r="J694" s="11" t="str">
        <f aca="false">IF(LEFT($D694,2)&lt;&gt;"AP",IF($I694="SIM","SIM","RECOMENDADA"),IF(INDEX(PRODUTOS!$J$4:$J$63,MATCH($A694,PRODUTOS!$B$4:$B$63,0))&lt;&gt;"","NÃO (usa o A+ do EAN "&amp;INDEX(PRODUTOS!$J$4:$J$63,MATCH($A694,PRODUTOS!$B$4:$B$63,0))&amp;")",IF(AND(INDEX(PRODUTOS!$I$4:$I$63,MATCH($A694,PRODUTOS!$B$4:$B$63,0))="B",$D694="AP07"),"NÃO (modelo B)","SIM")))</f>
        <v>SIM</v>
      </c>
      <c r="K694" s="13" t="s">
        <v>325</v>
      </c>
      <c r="L694" s="13"/>
    </row>
    <row r="695" customFormat="false" ht="15" hidden="false" customHeight="false" outlineLevel="0" collapsed="false">
      <c r="A695" s="15" t="s">
        <v>221</v>
      </c>
      <c r="B695" s="11" t="str">
        <f aca="false">INDEX(PRODUTOS!$E$4:$E$63,MATCH($A695,PRODUTOS!$B$4:$B$63,0))</f>
        <v>Bifinhos New Dots Cães RPM Cordeiro 50 g</v>
      </c>
      <c r="C695" s="11" t="str">
        <f aca="false">INDEX(PRODUTOS!$H$4:$H$63,MATCH($A695,PRODUTOS!$B$4:$B$63,0))</f>
        <v>50 g</v>
      </c>
      <c r="D695" s="11" t="s">
        <v>336</v>
      </c>
      <c r="E695" s="16" t="str">
        <f aca="false">$A695&amp;"."&amp;$D695&amp;".jpg"</f>
        <v>7898968541870.AP03.jpg</v>
      </c>
      <c r="F695" s="11" t="str">
        <f aca="false">IF(INDEX(PRODUTOS!$I$4:$I$63,MATCH($A695,PRODUTOS!$B$4:$B$63,0))="B",INDEX(MODELOS!$F$3:$F$19,MATCH($D695,MODELOS!$A$3:$A$19,0)),INDEX(MODELOS!$B$3:$B$19,MATCH($D695,MODELOS!$A$3:$A$19,0)))</f>
        <v>A+ · Módulo 3 · Benefício 1 de 4</v>
      </c>
      <c r="G695" s="11" t="str">
        <f aca="false">IF(INDEX(PRODUTOS!$F$4:$F$63,MATCH($A695,PRODUTOS!$B$4:$B$63,0))="Ração",IF(INDEX(PRODUTOS!$I$4:$I$63,MATCH($A695,PRODUTOS!$B$4:$B$63,0))="B",INDEX(MODELOS!$G$3:$G$19,MATCH($D695,MODELOS!$A$3:$A$19,0)),INDEX(MODELOS!$C$3:$C$19,MATCH($D695,MODELOS!$A$3:$A$19,0))),IF(INDEX(PRODUTOS!$I$4:$I$63,MATCH($A695,PRODUTOS!$B$4:$B$63,0))="B",INDEX(MODELOS!$H$3:$H$19,MATCH($D695,MODELOS!$A$3:$A$19,0)),INDEX(MODELOS!$D$3:$D$19,MATCH($D695,MODELOS!$A$3:$A$19,0))))</f>
        <v>Foto/ilustração do benefício 1</v>
      </c>
      <c r="H695" s="11" t="str">
        <f aca="false">IF(INDEX(PRODUTOS!$I$4:$I$63,MATCH($A695,PRODUTOS!$B$4:$B$63,0))="B",INDEX(MODELOS!$I$3:$I$19,MATCH($D695,MODELOS!$A$3:$A$19,0)),INDEX(MODELOS!$E$3:$E$19,MATCH($D695,MODELOS!$A$3:$A$19,0)))</f>
        <v>220 × 200</v>
      </c>
      <c r="I695" s="11" t="str">
        <f aca="false">INDEX(MODELOS!$J$3:$J$19,MATCH($D695,MODELOS!$A$3:$A$19,0))</f>
        <v>Conforme modelo</v>
      </c>
      <c r="J695" s="11" t="str">
        <f aca="false">IF(LEFT($D695,2)&lt;&gt;"AP",IF($I695="SIM","SIM","RECOMENDADA"),IF(INDEX(PRODUTOS!$J$4:$J$63,MATCH($A695,PRODUTOS!$B$4:$B$63,0))&lt;&gt;"","NÃO (usa o A+ do EAN "&amp;INDEX(PRODUTOS!$J$4:$J$63,MATCH($A695,PRODUTOS!$B$4:$B$63,0))&amp;")",IF(AND(INDEX(PRODUTOS!$I$4:$I$63,MATCH($A695,PRODUTOS!$B$4:$B$63,0))="B",$D695="AP07"),"NÃO (modelo B)","SIM")))</f>
        <v>SIM</v>
      </c>
      <c r="K695" s="13" t="s">
        <v>325</v>
      </c>
      <c r="L695" s="13"/>
    </row>
    <row r="696" customFormat="false" ht="15" hidden="false" customHeight="false" outlineLevel="0" collapsed="false">
      <c r="A696" s="15" t="s">
        <v>221</v>
      </c>
      <c r="B696" s="11" t="str">
        <f aca="false">INDEX(PRODUTOS!$E$4:$E$63,MATCH($A696,PRODUTOS!$B$4:$B$63,0))</f>
        <v>Bifinhos New Dots Cães RPM Cordeiro 50 g</v>
      </c>
      <c r="C696" s="11" t="str">
        <f aca="false">INDEX(PRODUTOS!$H$4:$H$63,MATCH($A696,PRODUTOS!$B$4:$B$63,0))</f>
        <v>50 g</v>
      </c>
      <c r="D696" s="11" t="s">
        <v>337</v>
      </c>
      <c r="E696" s="16" t="str">
        <f aca="false">$A696&amp;"."&amp;$D696&amp;".jpg"</f>
        <v>7898968541870.AP04.jpg</v>
      </c>
      <c r="F696" s="11" t="str">
        <f aca="false">IF(INDEX(PRODUTOS!$I$4:$I$63,MATCH($A696,PRODUTOS!$B$4:$B$63,0))="B",INDEX(MODELOS!$F$3:$F$19,MATCH($D696,MODELOS!$A$3:$A$19,0)),INDEX(MODELOS!$B$3:$B$19,MATCH($D696,MODELOS!$A$3:$A$19,0)))</f>
        <v>A+ · Módulo 3 · Benefício 2 de 4</v>
      </c>
      <c r="G696" s="11" t="str">
        <f aca="false">IF(INDEX(PRODUTOS!$F$4:$F$63,MATCH($A696,PRODUTOS!$B$4:$B$63,0))="Ração",IF(INDEX(PRODUTOS!$I$4:$I$63,MATCH($A696,PRODUTOS!$B$4:$B$63,0))="B",INDEX(MODELOS!$G$3:$G$19,MATCH($D696,MODELOS!$A$3:$A$19,0)),INDEX(MODELOS!$C$3:$C$19,MATCH($D696,MODELOS!$A$3:$A$19,0))),IF(INDEX(PRODUTOS!$I$4:$I$63,MATCH($A696,PRODUTOS!$B$4:$B$63,0))="B",INDEX(MODELOS!$H$3:$H$19,MATCH($D696,MODELOS!$A$3:$A$19,0)),INDEX(MODELOS!$D$3:$D$19,MATCH($D696,MODELOS!$A$3:$A$19,0))))</f>
        <v>Foto/ilustração do benefício 2</v>
      </c>
      <c r="H696" s="11" t="str">
        <f aca="false">IF(INDEX(PRODUTOS!$I$4:$I$63,MATCH($A696,PRODUTOS!$B$4:$B$63,0))="B",INDEX(MODELOS!$I$3:$I$19,MATCH($D696,MODELOS!$A$3:$A$19,0)),INDEX(MODELOS!$E$3:$E$19,MATCH($D696,MODELOS!$A$3:$A$19,0)))</f>
        <v>220 × 200</v>
      </c>
      <c r="I696" s="11" t="str">
        <f aca="false">INDEX(MODELOS!$J$3:$J$19,MATCH($D696,MODELOS!$A$3:$A$19,0))</f>
        <v>Conforme modelo</v>
      </c>
      <c r="J696" s="11" t="str">
        <f aca="false">IF(LEFT($D696,2)&lt;&gt;"AP",IF($I696="SIM","SIM","RECOMENDADA"),IF(INDEX(PRODUTOS!$J$4:$J$63,MATCH($A696,PRODUTOS!$B$4:$B$63,0))&lt;&gt;"","NÃO (usa o A+ do EAN "&amp;INDEX(PRODUTOS!$J$4:$J$63,MATCH($A696,PRODUTOS!$B$4:$B$63,0))&amp;")",IF(AND(INDEX(PRODUTOS!$I$4:$I$63,MATCH($A696,PRODUTOS!$B$4:$B$63,0))="B",$D696="AP07"),"NÃO (modelo B)","SIM")))</f>
        <v>SIM</v>
      </c>
      <c r="K696" s="13" t="s">
        <v>325</v>
      </c>
      <c r="L696" s="13"/>
    </row>
    <row r="697" customFormat="false" ht="15" hidden="false" customHeight="false" outlineLevel="0" collapsed="false">
      <c r="A697" s="15" t="s">
        <v>221</v>
      </c>
      <c r="B697" s="11" t="str">
        <f aca="false">INDEX(PRODUTOS!$E$4:$E$63,MATCH($A697,PRODUTOS!$B$4:$B$63,0))</f>
        <v>Bifinhos New Dots Cães RPM Cordeiro 50 g</v>
      </c>
      <c r="C697" s="11" t="str">
        <f aca="false">INDEX(PRODUTOS!$H$4:$H$63,MATCH($A697,PRODUTOS!$B$4:$B$63,0))</f>
        <v>50 g</v>
      </c>
      <c r="D697" s="11" t="s">
        <v>338</v>
      </c>
      <c r="E697" s="16" t="str">
        <f aca="false">$A697&amp;"."&amp;$D697&amp;".jpg"</f>
        <v>7898968541870.AP05.jpg</v>
      </c>
      <c r="F697" s="11" t="str">
        <f aca="false">IF(INDEX(PRODUTOS!$I$4:$I$63,MATCH($A697,PRODUTOS!$B$4:$B$63,0))="B",INDEX(MODELOS!$F$3:$F$19,MATCH($D697,MODELOS!$A$3:$A$19,0)),INDEX(MODELOS!$B$3:$B$19,MATCH($D697,MODELOS!$A$3:$A$19,0)))</f>
        <v>A+ · Módulo 3 · Benefício 3 de 4</v>
      </c>
      <c r="G697" s="11" t="str">
        <f aca="false">IF(INDEX(PRODUTOS!$F$4:$F$63,MATCH($A697,PRODUTOS!$B$4:$B$63,0))="Ração",IF(INDEX(PRODUTOS!$I$4:$I$63,MATCH($A697,PRODUTOS!$B$4:$B$63,0))="B",INDEX(MODELOS!$G$3:$G$19,MATCH($D697,MODELOS!$A$3:$A$19,0)),INDEX(MODELOS!$C$3:$C$19,MATCH($D697,MODELOS!$A$3:$A$19,0))),IF(INDEX(PRODUTOS!$I$4:$I$63,MATCH($A697,PRODUTOS!$B$4:$B$63,0))="B",INDEX(MODELOS!$H$3:$H$19,MATCH($D697,MODELOS!$A$3:$A$19,0)),INDEX(MODELOS!$D$3:$D$19,MATCH($D697,MODELOS!$A$3:$A$19,0))))</f>
        <v>Foto/ilustração do benefício 3</v>
      </c>
      <c r="H697" s="11" t="str">
        <f aca="false">IF(INDEX(PRODUTOS!$I$4:$I$63,MATCH($A697,PRODUTOS!$B$4:$B$63,0))="B",INDEX(MODELOS!$I$3:$I$19,MATCH($D697,MODELOS!$A$3:$A$19,0)),INDEX(MODELOS!$E$3:$E$19,MATCH($D697,MODELOS!$A$3:$A$19,0)))</f>
        <v>220 × 200</v>
      </c>
      <c r="I697" s="11" t="str">
        <f aca="false">INDEX(MODELOS!$J$3:$J$19,MATCH($D697,MODELOS!$A$3:$A$19,0))</f>
        <v>Conforme modelo</v>
      </c>
      <c r="J697" s="11" t="str">
        <f aca="false">IF(LEFT($D697,2)&lt;&gt;"AP",IF($I697="SIM","SIM","RECOMENDADA"),IF(INDEX(PRODUTOS!$J$4:$J$63,MATCH($A697,PRODUTOS!$B$4:$B$63,0))&lt;&gt;"","NÃO (usa o A+ do EAN "&amp;INDEX(PRODUTOS!$J$4:$J$63,MATCH($A697,PRODUTOS!$B$4:$B$63,0))&amp;")",IF(AND(INDEX(PRODUTOS!$I$4:$I$63,MATCH($A697,PRODUTOS!$B$4:$B$63,0))="B",$D697="AP07"),"NÃO (modelo B)","SIM")))</f>
        <v>SIM</v>
      </c>
      <c r="K697" s="13" t="s">
        <v>325</v>
      </c>
      <c r="L697" s="13"/>
    </row>
    <row r="698" customFormat="false" ht="15" hidden="false" customHeight="false" outlineLevel="0" collapsed="false">
      <c r="A698" s="15" t="s">
        <v>221</v>
      </c>
      <c r="B698" s="11" t="str">
        <f aca="false">INDEX(PRODUTOS!$E$4:$E$63,MATCH($A698,PRODUTOS!$B$4:$B$63,0))</f>
        <v>Bifinhos New Dots Cães RPM Cordeiro 50 g</v>
      </c>
      <c r="C698" s="11" t="str">
        <f aca="false">INDEX(PRODUTOS!$H$4:$H$63,MATCH($A698,PRODUTOS!$B$4:$B$63,0))</f>
        <v>50 g</v>
      </c>
      <c r="D698" s="11" t="s">
        <v>339</v>
      </c>
      <c r="E698" s="16" t="str">
        <f aca="false">$A698&amp;"."&amp;$D698&amp;".jpg"</f>
        <v>7898968541870.AP06.jpg</v>
      </c>
      <c r="F698" s="11" t="str">
        <f aca="false">IF(INDEX(PRODUTOS!$I$4:$I$63,MATCH($A698,PRODUTOS!$B$4:$B$63,0))="B",INDEX(MODELOS!$F$3:$F$19,MATCH($D698,MODELOS!$A$3:$A$19,0)),INDEX(MODELOS!$B$3:$B$19,MATCH($D698,MODELOS!$A$3:$A$19,0)))</f>
        <v>A+ · Módulo 3 · Benefício 4 de 4</v>
      </c>
      <c r="G698" s="11" t="str">
        <f aca="false">IF(INDEX(PRODUTOS!$F$4:$F$63,MATCH($A698,PRODUTOS!$B$4:$B$63,0))="Ração",IF(INDEX(PRODUTOS!$I$4:$I$63,MATCH($A698,PRODUTOS!$B$4:$B$63,0))="B",INDEX(MODELOS!$G$3:$G$19,MATCH($D698,MODELOS!$A$3:$A$19,0)),INDEX(MODELOS!$C$3:$C$19,MATCH($D698,MODELOS!$A$3:$A$19,0))),IF(INDEX(PRODUTOS!$I$4:$I$63,MATCH($A698,PRODUTOS!$B$4:$B$63,0))="B",INDEX(MODELOS!$H$3:$H$19,MATCH($D698,MODELOS!$A$3:$A$19,0)),INDEX(MODELOS!$D$3:$D$19,MATCH($D698,MODELOS!$A$3:$A$19,0))))</f>
        <v>Foto/ilustração do benefício 4</v>
      </c>
      <c r="H698" s="11" t="str">
        <f aca="false">IF(INDEX(PRODUTOS!$I$4:$I$63,MATCH($A698,PRODUTOS!$B$4:$B$63,0))="B",INDEX(MODELOS!$I$3:$I$19,MATCH($D698,MODELOS!$A$3:$A$19,0)),INDEX(MODELOS!$E$3:$E$19,MATCH($D698,MODELOS!$A$3:$A$19,0)))</f>
        <v>220 × 200</v>
      </c>
      <c r="I698" s="11" t="str">
        <f aca="false">INDEX(MODELOS!$J$3:$J$19,MATCH($D698,MODELOS!$A$3:$A$19,0))</f>
        <v>Conforme modelo</v>
      </c>
      <c r="J698" s="11" t="str">
        <f aca="false">IF(LEFT($D698,2)&lt;&gt;"AP",IF($I698="SIM","SIM","RECOMENDADA"),IF(INDEX(PRODUTOS!$J$4:$J$63,MATCH($A698,PRODUTOS!$B$4:$B$63,0))&lt;&gt;"","NÃO (usa o A+ do EAN "&amp;INDEX(PRODUTOS!$J$4:$J$63,MATCH($A698,PRODUTOS!$B$4:$B$63,0))&amp;")",IF(AND(INDEX(PRODUTOS!$I$4:$I$63,MATCH($A698,PRODUTOS!$B$4:$B$63,0))="B",$D698="AP07"),"NÃO (modelo B)","SIM")))</f>
        <v>SIM</v>
      </c>
      <c r="K698" s="13" t="s">
        <v>325</v>
      </c>
      <c r="L698" s="13"/>
    </row>
    <row r="699" customFormat="false" ht="15" hidden="false" customHeight="false" outlineLevel="0" collapsed="false">
      <c r="A699" s="15" t="s">
        <v>221</v>
      </c>
      <c r="B699" s="11" t="str">
        <f aca="false">INDEX(PRODUTOS!$E$4:$E$63,MATCH($A699,PRODUTOS!$B$4:$B$63,0))</f>
        <v>Bifinhos New Dots Cães RPM Cordeiro 50 g</v>
      </c>
      <c r="C699" s="11" t="str">
        <f aca="false">INDEX(PRODUTOS!$H$4:$H$63,MATCH($A699,PRODUTOS!$B$4:$B$63,0))</f>
        <v>50 g</v>
      </c>
      <c r="D699" s="11" t="s">
        <v>340</v>
      </c>
      <c r="E699" s="16" t="str">
        <f aca="false">$A699&amp;"."&amp;$D699&amp;".jpg"</f>
        <v>7898968541870.AP07.jpg</v>
      </c>
      <c r="F699" s="11" t="str">
        <f aca="false">IF(INDEX(PRODUTOS!$I$4:$I$63,MATCH($A699,PRODUTOS!$B$4:$B$63,0))="B",INDEX(MODELOS!$F$3:$F$19,MATCH($D699,MODELOS!$A$3:$A$19,0)),INDEX(MODELOS!$B$3:$B$19,MATCH($D699,MODELOS!$A$3:$A$19,0)))</f>
        <v>A+ · Módulo 4 · Especificações</v>
      </c>
      <c r="G699" s="11" t="str">
        <f aca="false">IF(INDEX(PRODUTOS!$F$4:$F$63,MATCH($A699,PRODUTOS!$B$4:$B$63,0))="Ração",IF(INDEX(PRODUTOS!$I$4:$I$63,MATCH($A699,PRODUTOS!$B$4:$B$63,0))="B",INDEX(MODELOS!$G$3:$G$19,MATCH($D699,MODELOS!$A$3:$A$19,0)),INDEX(MODELOS!$C$3:$C$19,MATCH($D699,MODELOS!$A$3:$A$19,0))),IF(INDEX(PRODUTOS!$I$4:$I$63,MATCH($A699,PRODUTOS!$B$4:$B$63,0))="B",INDEX(MODELOS!$H$3:$H$19,MATCH($D699,MODELOS!$A$3:$A$19,0)),INDEX(MODELOS!$D$3:$D$19,MATCH($D699,MODELOS!$A$3:$A$19,0))))</f>
        <v>Produto em destaque</v>
      </c>
      <c r="H699" s="11" t="str">
        <f aca="false">IF(INDEX(PRODUTOS!$I$4:$I$63,MATCH($A699,PRODUTOS!$B$4:$B$63,0))="B",INDEX(MODELOS!$I$3:$I$19,MATCH($D699,MODELOS!$A$3:$A$19,0)),INDEX(MODELOS!$E$3:$E$19,MATCH($D699,MODELOS!$A$3:$A$19,0)))</f>
        <v>300 × 300</v>
      </c>
      <c r="I699" s="11" t="str">
        <f aca="false">INDEX(MODELOS!$J$3:$J$19,MATCH($D699,MODELOS!$A$3:$A$19,0))</f>
        <v>Conforme modelo</v>
      </c>
      <c r="J699" s="11" t="str">
        <f aca="false">IF(LEFT($D699,2)&lt;&gt;"AP",IF($I699="SIM","SIM","RECOMENDADA"),IF(INDEX(PRODUTOS!$J$4:$J$63,MATCH($A699,PRODUTOS!$B$4:$B$63,0))&lt;&gt;"","NÃO (usa o A+ do EAN "&amp;INDEX(PRODUTOS!$J$4:$J$63,MATCH($A699,PRODUTOS!$B$4:$B$63,0))&amp;")",IF(AND(INDEX(PRODUTOS!$I$4:$I$63,MATCH($A699,PRODUTOS!$B$4:$B$63,0))="B",$D699="AP07"),"NÃO (modelo B)","SIM")))</f>
        <v>SIM</v>
      </c>
      <c r="K699" s="13" t="s">
        <v>325</v>
      </c>
      <c r="L699" s="13"/>
    </row>
    <row r="700" customFormat="false" ht="15" hidden="false" customHeight="false" outlineLevel="0" collapsed="false">
      <c r="A700" s="15" t="s">
        <v>221</v>
      </c>
      <c r="B700" s="11" t="str">
        <f aca="false">INDEX(PRODUTOS!$E$4:$E$63,MATCH($A700,PRODUTOS!$B$4:$B$63,0))</f>
        <v>Bifinhos New Dots Cães RPM Cordeiro 50 g</v>
      </c>
      <c r="C700" s="11" t="str">
        <f aca="false">INDEX(PRODUTOS!$H$4:$H$63,MATCH($A700,PRODUTOS!$B$4:$B$63,0))</f>
        <v>50 g</v>
      </c>
      <c r="D700" s="11" t="s">
        <v>341</v>
      </c>
      <c r="E700" s="16" t="str">
        <f aca="false">$A700&amp;"."&amp;$D700&amp;".jpg"</f>
        <v>7898968541870.COMP.jpg</v>
      </c>
      <c r="F700" s="11" t="str">
        <f aca="false">IF(INDEX(PRODUTOS!$I$4:$I$63,MATCH($A700,PRODUTOS!$B$4:$B$63,0))="B",INDEX(MODELOS!$F$3:$F$19,MATCH($D700,MODELOS!$A$3:$A$19,0)),INDEX(MODELOS!$B$3:$B$19,MATCH($D700,MODELOS!$A$3:$A$19,0)))</f>
        <v>A+ · Tabela comparativa</v>
      </c>
      <c r="G700" s="11" t="str">
        <f aca="false">IF(INDEX(PRODUTOS!$F$4:$F$63,MATCH($A700,PRODUTOS!$B$4:$B$63,0))="Ração",IF(INDEX(PRODUTOS!$I$4:$I$63,MATCH($A700,PRODUTOS!$B$4:$B$63,0))="B",INDEX(MODELOS!$G$3:$G$19,MATCH($D700,MODELOS!$A$3:$A$19,0)),INDEX(MODELOS!$C$3:$C$19,MATCH($D700,MODELOS!$A$3:$A$19,0))),IF(INDEX(PRODUTOS!$I$4:$I$63,MATCH($A700,PRODUTOS!$B$4:$B$63,0))="B",INDEX(MODELOS!$H$3:$H$19,MATCH($D700,MODELOS!$A$3:$A$19,0)),INDEX(MODELOS!$D$3:$D$19,MATCH($D700,MODELOS!$A$3:$A$19,0))))</f>
        <v>Produto na vertical, sem fundo colorido</v>
      </c>
      <c r="H700" s="11" t="str">
        <f aca="false">IF(INDEX(PRODUTOS!$I$4:$I$63,MATCH($A700,PRODUTOS!$B$4:$B$63,0))="B",INDEX(MODELOS!$I$3:$I$19,MATCH($D700,MODELOS!$A$3:$A$19,0)),INDEX(MODELOS!$E$3:$E$19,MATCH($D700,MODELOS!$A$3:$A$19,0)))</f>
        <v>150 × 300</v>
      </c>
      <c r="I700" s="11" t="str">
        <f aca="false">INDEX(MODELOS!$J$3:$J$19,MATCH($D700,MODELOS!$A$3:$A$19,0))</f>
        <v>SIM</v>
      </c>
      <c r="J700" s="11" t="str">
        <f aca="false">IF(LEFT($D700,2)&lt;&gt;"AP",IF($I700="SIM","SIM","RECOMENDADA"),IF(INDEX(PRODUTOS!$J$4:$J$63,MATCH($A700,PRODUTOS!$B$4:$B$63,0))&lt;&gt;"","NÃO (usa o A+ do EAN "&amp;INDEX(PRODUTOS!$J$4:$J$63,MATCH($A700,PRODUTOS!$B$4:$B$63,0))&amp;")",IF(AND(INDEX(PRODUTOS!$I$4:$I$63,MATCH($A700,PRODUTOS!$B$4:$B$63,0))="B",$D700="AP07"),"NÃO (modelo B)","SIM")))</f>
        <v>SIM</v>
      </c>
      <c r="K700" s="13" t="s">
        <v>325</v>
      </c>
      <c r="L700" s="13"/>
    </row>
    <row r="701" customFormat="false" ht="15" hidden="false" customHeight="false" outlineLevel="0" collapsed="false">
      <c r="A701" s="15" t="s">
        <v>225</v>
      </c>
      <c r="B701" s="11" t="str">
        <f aca="false">INDEX(PRODUTOS!$E$4:$E$63,MATCH($A701,PRODUTOS!$B$4:$B$63,0))</f>
        <v>Biscoito Cães Adultos New Dots 400 g</v>
      </c>
      <c r="C701" s="11" t="str">
        <f aca="false">INDEX(PRODUTOS!$H$4:$H$63,MATCH($A701,PRODUTOS!$B$4:$B$63,0))</f>
        <v>400 g</v>
      </c>
      <c r="D701" s="11" t="s">
        <v>324</v>
      </c>
      <c r="E701" s="16" t="str">
        <f aca="false">$A701&amp;"."&amp;$D701&amp;".jpg"</f>
        <v>7908591300000.MAIN.jpg</v>
      </c>
      <c r="F701" s="11" t="str">
        <f aca="false">IF(INDEX(PRODUTOS!$I$4:$I$63,MATCH($A701,PRODUTOS!$B$4:$B$63,0))="B",INDEX(MODELOS!$F$3:$F$19,MATCH($D701,MODELOS!$A$3:$A$19,0)),INDEX(MODELOS!$B$3:$B$19,MATCH($D701,MODELOS!$A$3:$A$19,0)))</f>
        <v>Capa (posição 1)</v>
      </c>
      <c r="G701" s="11" t="str">
        <f aca="false">IF(INDEX(PRODUTOS!$F$4:$F$63,MATCH($A701,PRODUTOS!$B$4:$B$63,0))="Ração",IF(INDEX(PRODUTOS!$I$4:$I$63,MATCH($A701,PRODUTOS!$B$4:$B$63,0))="B",INDEX(MODELOS!$G$3:$G$19,MATCH($D701,MODELOS!$A$3:$A$19,0)),INDEX(MODELOS!$C$3:$C$19,MATCH($D701,MODELOS!$A$3:$A$19,0))),IF(INDEX(PRODUTOS!$I$4:$I$63,MATCH($A701,PRODUTOS!$B$4:$B$63,0))="B",INDEX(MODELOS!$H$3:$H$19,MATCH($D701,MODELOS!$A$3:$A$19,0)),INDEX(MODELOS!$D$3:$D$19,MATCH($D701,MODELOS!$A$3:$A$19,0))))</f>
        <v>Embalagem de frente, fundo branco puro, 85% da área, nada adicionado</v>
      </c>
      <c r="H701" s="11" t="str">
        <f aca="false">IF(INDEX(PRODUTOS!$I$4:$I$63,MATCH($A701,PRODUTOS!$B$4:$B$63,0))="B",INDEX(MODELOS!$I$3:$I$19,MATCH($D701,MODELOS!$A$3:$A$19,0)),INDEX(MODELOS!$E$3:$E$19,MATCH($D701,MODELOS!$A$3:$A$19,0)))</f>
        <v>2000 × 2000</v>
      </c>
      <c r="I701" s="11" t="str">
        <f aca="false">INDEX(MODELOS!$J$3:$J$19,MATCH($D701,MODELOS!$A$3:$A$19,0))</f>
        <v>SIM</v>
      </c>
      <c r="J701" s="11" t="str">
        <f aca="false">IF(LEFT($D701,2)&lt;&gt;"AP",IF($I701="SIM","SIM","RECOMENDADA"),IF(INDEX(PRODUTOS!$J$4:$J$63,MATCH($A701,PRODUTOS!$B$4:$B$63,0))&lt;&gt;"","NÃO (usa o A+ do EAN "&amp;INDEX(PRODUTOS!$J$4:$J$63,MATCH($A701,PRODUTOS!$B$4:$B$63,0))&amp;")",IF(AND(INDEX(PRODUTOS!$I$4:$I$63,MATCH($A701,PRODUTOS!$B$4:$B$63,0))="B",$D701="AP07"),"NÃO (modelo B)","SIM")))</f>
        <v>SIM</v>
      </c>
      <c r="K701" s="13" t="s">
        <v>325</v>
      </c>
      <c r="L701" s="13"/>
    </row>
    <row r="702" customFormat="false" ht="15" hidden="false" customHeight="false" outlineLevel="0" collapsed="false">
      <c r="A702" s="15" t="s">
        <v>225</v>
      </c>
      <c r="B702" s="11" t="str">
        <f aca="false">INDEX(PRODUTOS!$E$4:$E$63,MATCH($A702,PRODUTOS!$B$4:$B$63,0))</f>
        <v>Biscoito Cães Adultos New Dots 400 g</v>
      </c>
      <c r="C702" s="11" t="str">
        <f aca="false">INDEX(PRODUTOS!$H$4:$H$63,MATCH($A702,PRODUTOS!$B$4:$B$63,0))</f>
        <v>400 g</v>
      </c>
      <c r="D702" s="11" t="s">
        <v>326</v>
      </c>
      <c r="E702" s="16" t="str">
        <f aca="false">$A702&amp;"."&amp;$D702&amp;".jpg"</f>
        <v>7908591300000.PT01.jpg</v>
      </c>
      <c r="F702" s="11" t="str">
        <f aca="false">IF(INDEX(PRODUTOS!$I$4:$I$63,MATCH($A702,PRODUTOS!$B$4:$B$63,0))="B",INDEX(MODELOS!$F$3:$F$19,MATCH($D702,MODELOS!$A$3:$A$19,0)),INDEX(MODELOS!$B$3:$B$19,MATCH($D702,MODELOS!$A$3:$A$19,0)))</f>
        <v>Galeria · posição 2</v>
      </c>
      <c r="G702" s="11" t="str">
        <f aca="false">IF(INDEX(PRODUTOS!$F$4:$F$63,MATCH($A702,PRODUTOS!$B$4:$B$63,0))="Ração",IF(INDEX(PRODUTOS!$I$4:$I$63,MATCH($A702,PRODUTOS!$B$4:$B$63,0))="B",INDEX(MODELOS!$G$3:$G$19,MATCH($D702,MODELOS!$A$3:$A$19,0)),INDEX(MODELOS!$C$3:$C$19,MATCH($D702,MODELOS!$A$3:$A$19,0))),IF(INDEX(PRODUTOS!$I$4:$I$63,MATCH($A702,PRODUTOS!$B$4:$B$63,0))="B",INDEX(MODELOS!$H$3:$H$19,MATCH($D702,MODELOS!$A$3:$A$19,0)),INDEX(MODELOS!$D$3:$D$19,MATCH($D702,MODELOS!$A$3:$A$19,0))))</f>
        <v>Grande diferencial (ex.: natural, biodegradável, perfumado)</v>
      </c>
      <c r="H702" s="11" t="str">
        <f aca="false">IF(INDEX(PRODUTOS!$I$4:$I$63,MATCH($A702,PRODUTOS!$B$4:$B$63,0))="B",INDEX(MODELOS!$I$3:$I$19,MATCH($D702,MODELOS!$A$3:$A$19,0)),INDEX(MODELOS!$E$3:$E$19,MATCH($D702,MODELOS!$A$3:$A$19,0)))</f>
        <v>2000 × 2000</v>
      </c>
      <c r="I702" s="11" t="str">
        <f aca="false">INDEX(MODELOS!$J$3:$J$19,MATCH($D702,MODELOS!$A$3:$A$19,0))</f>
        <v>SIM</v>
      </c>
      <c r="J702" s="11" t="str">
        <f aca="false">IF(LEFT($D702,2)&lt;&gt;"AP",IF($I702="SIM","SIM","RECOMENDADA"),IF(INDEX(PRODUTOS!$J$4:$J$63,MATCH($A702,PRODUTOS!$B$4:$B$63,0))&lt;&gt;"","NÃO (usa o A+ do EAN "&amp;INDEX(PRODUTOS!$J$4:$J$63,MATCH($A702,PRODUTOS!$B$4:$B$63,0))&amp;")",IF(AND(INDEX(PRODUTOS!$I$4:$I$63,MATCH($A702,PRODUTOS!$B$4:$B$63,0))="B",$D702="AP07"),"NÃO (modelo B)","SIM")))</f>
        <v>SIM</v>
      </c>
      <c r="K702" s="13" t="s">
        <v>325</v>
      </c>
      <c r="L702" s="13"/>
    </row>
    <row r="703" customFormat="false" ht="15" hidden="false" customHeight="false" outlineLevel="0" collapsed="false">
      <c r="A703" s="15" t="s">
        <v>225</v>
      </c>
      <c r="B703" s="11" t="str">
        <f aca="false">INDEX(PRODUTOS!$E$4:$E$63,MATCH($A703,PRODUTOS!$B$4:$B$63,0))</f>
        <v>Biscoito Cães Adultos New Dots 400 g</v>
      </c>
      <c r="C703" s="11" t="str">
        <f aca="false">INDEX(PRODUTOS!$H$4:$H$63,MATCH($A703,PRODUTOS!$B$4:$B$63,0))</f>
        <v>400 g</v>
      </c>
      <c r="D703" s="11" t="s">
        <v>327</v>
      </c>
      <c r="E703" s="16" t="str">
        <f aca="false">$A703&amp;"."&amp;$D703&amp;".jpg"</f>
        <v>7908591300000.PT02.jpg</v>
      </c>
      <c r="F703" s="11" t="str">
        <f aca="false">IF(INDEX(PRODUTOS!$I$4:$I$63,MATCH($A703,PRODUTOS!$B$4:$B$63,0))="B",INDEX(MODELOS!$F$3:$F$19,MATCH($D703,MODELOS!$A$3:$A$19,0)),INDEX(MODELOS!$B$3:$B$19,MATCH($D703,MODELOS!$A$3:$A$19,0)))</f>
        <v>Galeria · posição 3</v>
      </c>
      <c r="G703" s="11" t="str">
        <f aca="false">IF(INDEX(PRODUTOS!$F$4:$F$63,MATCH($A703,PRODUTOS!$B$4:$B$63,0))="Ração",IF(INDEX(PRODUTOS!$I$4:$I$63,MATCH($A703,PRODUTOS!$B$4:$B$63,0))="B",INDEX(MODELOS!$G$3:$G$19,MATCH($D703,MODELOS!$A$3:$A$19,0)),INDEX(MODELOS!$C$3:$C$19,MATCH($D703,MODELOS!$A$3:$A$19,0))),IF(INDEX(PRODUTOS!$I$4:$I$63,MATCH($A703,PRODUTOS!$B$4:$B$63,0))="B",INDEX(MODELOS!$H$3:$H$19,MATCH($D703,MODELOS!$A$3:$A$19,0)),INDEX(MODELOS!$D$3:$D$19,MATCH($D703,MODELOS!$A$3:$A$19,0))))</f>
        <v>Benefícios com ícones (4 a 6, impressos na embalagem)</v>
      </c>
      <c r="H703" s="11" t="str">
        <f aca="false">IF(INDEX(PRODUTOS!$I$4:$I$63,MATCH($A703,PRODUTOS!$B$4:$B$63,0))="B",INDEX(MODELOS!$I$3:$I$19,MATCH($D703,MODELOS!$A$3:$A$19,0)),INDEX(MODELOS!$E$3:$E$19,MATCH($D703,MODELOS!$A$3:$A$19,0)))</f>
        <v>2000 × 2000</v>
      </c>
      <c r="I703" s="11" t="str">
        <f aca="false">INDEX(MODELOS!$J$3:$J$19,MATCH($D703,MODELOS!$A$3:$A$19,0))</f>
        <v>SIM</v>
      </c>
      <c r="J703" s="11" t="str">
        <f aca="false">IF(LEFT($D703,2)&lt;&gt;"AP",IF($I703="SIM","SIM","RECOMENDADA"),IF(INDEX(PRODUTOS!$J$4:$J$63,MATCH($A703,PRODUTOS!$B$4:$B$63,0))&lt;&gt;"","NÃO (usa o A+ do EAN "&amp;INDEX(PRODUTOS!$J$4:$J$63,MATCH($A703,PRODUTOS!$B$4:$B$63,0))&amp;")",IF(AND(INDEX(PRODUTOS!$I$4:$I$63,MATCH($A703,PRODUTOS!$B$4:$B$63,0))="B",$D703="AP07"),"NÃO (modelo B)","SIM")))</f>
        <v>SIM</v>
      </c>
      <c r="K703" s="13" t="s">
        <v>325</v>
      </c>
      <c r="L703" s="13"/>
    </row>
    <row r="704" customFormat="false" ht="15" hidden="false" customHeight="false" outlineLevel="0" collapsed="false">
      <c r="A704" s="15" t="s">
        <v>225</v>
      </c>
      <c r="B704" s="11" t="str">
        <f aca="false">INDEX(PRODUTOS!$E$4:$E$63,MATCH($A704,PRODUTOS!$B$4:$B$63,0))</f>
        <v>Biscoito Cães Adultos New Dots 400 g</v>
      </c>
      <c r="C704" s="11" t="str">
        <f aca="false">INDEX(PRODUTOS!$H$4:$H$63,MATCH($A704,PRODUTOS!$B$4:$B$63,0))</f>
        <v>400 g</v>
      </c>
      <c r="D704" s="11" t="s">
        <v>328</v>
      </c>
      <c r="E704" s="16" t="str">
        <f aca="false">$A704&amp;"."&amp;$D704&amp;".jpg"</f>
        <v>7908591300000.PT03.jpg</v>
      </c>
      <c r="F704" s="11" t="str">
        <f aca="false">IF(INDEX(PRODUTOS!$I$4:$I$63,MATCH($A704,PRODUTOS!$B$4:$B$63,0))="B",INDEX(MODELOS!$F$3:$F$19,MATCH($D704,MODELOS!$A$3:$A$19,0)),INDEX(MODELOS!$B$3:$B$19,MATCH($D704,MODELOS!$A$3:$A$19,0)))</f>
        <v>Galeria · posição 4</v>
      </c>
      <c r="G704" s="11" t="str">
        <f aca="false">IF(INDEX(PRODUTOS!$F$4:$F$63,MATCH($A704,PRODUTOS!$B$4:$B$63,0))="Ração",IF(INDEX(PRODUTOS!$I$4:$I$63,MATCH($A704,PRODUTOS!$B$4:$B$63,0))="B",INDEX(MODELOS!$G$3:$G$19,MATCH($D704,MODELOS!$A$3:$A$19,0)),INDEX(MODELOS!$C$3:$C$19,MATCH($D704,MODELOS!$A$3:$A$19,0))),IF(INDEX(PRODUTOS!$I$4:$I$63,MATCH($A704,PRODUTOS!$B$4:$B$63,0))="B",INDEX(MODELOS!$H$3:$H$19,MATCH($D704,MODELOS!$A$3:$A$19,0)),INDEX(MODELOS!$D$3:$D$19,MATCH($D704,MODELOS!$A$3:$A$19,0))))</f>
        <v>Detalhe e tamanho real (petisco, grânulo ou tapete aberto), com medidas</v>
      </c>
      <c r="H704" s="11" t="str">
        <f aca="false">IF(INDEX(PRODUTOS!$I$4:$I$63,MATCH($A704,PRODUTOS!$B$4:$B$63,0))="B",INDEX(MODELOS!$I$3:$I$19,MATCH($D704,MODELOS!$A$3:$A$19,0)),INDEX(MODELOS!$E$3:$E$19,MATCH($D704,MODELOS!$A$3:$A$19,0)))</f>
        <v>2000 × 2000</v>
      </c>
      <c r="I704" s="11" t="str">
        <f aca="false">INDEX(MODELOS!$J$3:$J$19,MATCH($D704,MODELOS!$A$3:$A$19,0))</f>
        <v>SIM</v>
      </c>
      <c r="J704" s="11" t="str">
        <f aca="false">IF(LEFT($D704,2)&lt;&gt;"AP",IF($I704="SIM","SIM","RECOMENDADA"),IF(INDEX(PRODUTOS!$J$4:$J$63,MATCH($A704,PRODUTOS!$B$4:$B$63,0))&lt;&gt;"","NÃO (usa o A+ do EAN "&amp;INDEX(PRODUTOS!$J$4:$J$63,MATCH($A704,PRODUTOS!$B$4:$B$63,0))&amp;")",IF(AND(INDEX(PRODUTOS!$I$4:$I$63,MATCH($A704,PRODUTOS!$B$4:$B$63,0))="B",$D704="AP07"),"NÃO (modelo B)","SIM")))</f>
        <v>SIM</v>
      </c>
      <c r="K704" s="13" t="s">
        <v>325</v>
      </c>
      <c r="L704" s="13"/>
    </row>
    <row r="705" customFormat="false" ht="15" hidden="false" customHeight="false" outlineLevel="0" collapsed="false">
      <c r="A705" s="15" t="s">
        <v>225</v>
      </c>
      <c r="B705" s="11" t="str">
        <f aca="false">INDEX(PRODUTOS!$E$4:$E$63,MATCH($A705,PRODUTOS!$B$4:$B$63,0))</f>
        <v>Biscoito Cães Adultos New Dots 400 g</v>
      </c>
      <c r="C705" s="11" t="str">
        <f aca="false">INDEX(PRODUTOS!$H$4:$H$63,MATCH($A705,PRODUTOS!$B$4:$B$63,0))</f>
        <v>400 g</v>
      </c>
      <c r="D705" s="11" t="s">
        <v>329</v>
      </c>
      <c r="E705" s="16" t="str">
        <f aca="false">$A705&amp;"."&amp;$D705&amp;".jpg"</f>
        <v>7908591300000.PT04.jpg</v>
      </c>
      <c r="F705" s="11" t="str">
        <f aca="false">IF(INDEX(PRODUTOS!$I$4:$I$63,MATCH($A705,PRODUTOS!$B$4:$B$63,0))="B",INDEX(MODELOS!$F$3:$F$19,MATCH($D705,MODELOS!$A$3:$A$19,0)),INDEX(MODELOS!$B$3:$B$19,MATCH($D705,MODELOS!$A$3:$A$19,0)))</f>
        <v>Galeria · posição 5</v>
      </c>
      <c r="G705" s="11" t="str">
        <f aca="false">IF(INDEX(PRODUTOS!$F$4:$F$63,MATCH($A705,PRODUTOS!$B$4:$B$63,0))="Ração",IF(INDEX(PRODUTOS!$I$4:$I$63,MATCH($A705,PRODUTOS!$B$4:$B$63,0))="B",INDEX(MODELOS!$G$3:$G$19,MATCH($D705,MODELOS!$A$3:$A$19,0)),INDEX(MODELOS!$C$3:$C$19,MATCH($D705,MODELOS!$A$3:$A$19,0))),IF(INDEX(PRODUTOS!$I$4:$I$63,MATCH($A705,PRODUTOS!$B$4:$B$63,0))="B",INDEX(MODELOS!$H$3:$H$19,MATCH($D705,MODELOS!$A$3:$A$19,0)),INDEX(MODELOS!$D$3:$D$19,MATCH($D705,MODELOS!$A$3:$A$19,0))))</f>
        <v>Modo de uso (como oferecer o petisco / como usar o produto)</v>
      </c>
      <c r="H705" s="11" t="str">
        <f aca="false">IF(INDEX(PRODUTOS!$I$4:$I$63,MATCH($A705,PRODUTOS!$B$4:$B$63,0))="B",INDEX(MODELOS!$I$3:$I$19,MATCH($D705,MODELOS!$A$3:$A$19,0)),INDEX(MODELOS!$E$3:$E$19,MATCH($D705,MODELOS!$A$3:$A$19,0)))</f>
        <v>2000 × 2000</v>
      </c>
      <c r="I705" s="11" t="str">
        <f aca="false">INDEX(MODELOS!$J$3:$J$19,MATCH($D705,MODELOS!$A$3:$A$19,0))</f>
        <v>SIM</v>
      </c>
      <c r="J705" s="11" t="str">
        <f aca="false">IF(LEFT($D705,2)&lt;&gt;"AP",IF($I705="SIM","SIM","RECOMENDADA"),IF(INDEX(PRODUTOS!$J$4:$J$63,MATCH($A705,PRODUTOS!$B$4:$B$63,0))&lt;&gt;"","NÃO (usa o A+ do EAN "&amp;INDEX(PRODUTOS!$J$4:$J$63,MATCH($A705,PRODUTOS!$B$4:$B$63,0))&amp;")",IF(AND(INDEX(PRODUTOS!$I$4:$I$63,MATCH($A705,PRODUTOS!$B$4:$B$63,0))="B",$D705="AP07"),"NÃO (modelo B)","SIM")))</f>
        <v>SIM</v>
      </c>
      <c r="K705" s="13" t="s">
        <v>325</v>
      </c>
      <c r="L705" s="13"/>
    </row>
    <row r="706" customFormat="false" ht="15" hidden="false" customHeight="false" outlineLevel="0" collapsed="false">
      <c r="A706" s="15" t="s">
        <v>225</v>
      </c>
      <c r="B706" s="11" t="str">
        <f aca="false">INDEX(PRODUTOS!$E$4:$E$63,MATCH($A706,PRODUTOS!$B$4:$B$63,0))</f>
        <v>Biscoito Cães Adultos New Dots 400 g</v>
      </c>
      <c r="C706" s="11" t="str">
        <f aca="false">INDEX(PRODUTOS!$H$4:$H$63,MATCH($A706,PRODUTOS!$B$4:$B$63,0))</f>
        <v>400 g</v>
      </c>
      <c r="D706" s="11" t="s">
        <v>330</v>
      </c>
      <c r="E706" s="16" t="str">
        <f aca="false">$A706&amp;"."&amp;$D706&amp;".jpg"</f>
        <v>7908591300000.PT05.jpg</v>
      </c>
      <c r="F706" s="11" t="str">
        <f aca="false">IF(INDEX(PRODUTOS!$I$4:$I$63,MATCH($A706,PRODUTOS!$B$4:$B$63,0))="B",INDEX(MODELOS!$F$3:$F$19,MATCH($D706,MODELOS!$A$3:$A$19,0)),INDEX(MODELOS!$B$3:$B$19,MATCH($D706,MODELOS!$A$3:$A$19,0)))</f>
        <v>Galeria · posição 6</v>
      </c>
      <c r="G706" s="11" t="str">
        <f aca="false">IF(INDEX(PRODUTOS!$F$4:$F$63,MATCH($A706,PRODUTOS!$B$4:$B$63,0))="Ração",IF(INDEX(PRODUTOS!$I$4:$I$63,MATCH($A706,PRODUTOS!$B$4:$B$63,0))="B",INDEX(MODELOS!$G$3:$G$19,MATCH($D706,MODELOS!$A$3:$A$19,0)),INDEX(MODELOS!$C$3:$C$19,MATCH($D706,MODELOS!$A$3:$A$19,0))),IF(INDEX(PRODUTOS!$I$4:$I$63,MATCH($A706,PRODUTOS!$B$4:$B$63,0))="B",INDEX(MODELOS!$H$3:$H$19,MATCH($D706,MODELOS!$A$3:$A$19,0)),INDEX(MODELOS!$D$3:$D$19,MATCH($D706,MODELOS!$A$3:$A$19,0))))</f>
        <v>Quantidade por dia ou rendimento do pacote</v>
      </c>
      <c r="H706" s="11" t="str">
        <f aca="false">IF(INDEX(PRODUTOS!$I$4:$I$63,MATCH($A706,PRODUTOS!$B$4:$B$63,0))="B",INDEX(MODELOS!$I$3:$I$19,MATCH($D706,MODELOS!$A$3:$A$19,0)),INDEX(MODELOS!$E$3:$E$19,MATCH($D706,MODELOS!$A$3:$A$19,0)))</f>
        <v>2000 × 2000</v>
      </c>
      <c r="I706" s="11" t="str">
        <f aca="false">INDEX(MODELOS!$J$3:$J$19,MATCH($D706,MODELOS!$A$3:$A$19,0))</f>
        <v>Recomendada</v>
      </c>
      <c r="J706" s="11" t="str">
        <f aca="false">IF(LEFT($D706,2)&lt;&gt;"AP",IF($I706="SIM","SIM","RECOMENDADA"),IF(INDEX(PRODUTOS!$J$4:$J$63,MATCH($A706,PRODUTOS!$B$4:$B$63,0))&lt;&gt;"","NÃO (usa o A+ do EAN "&amp;INDEX(PRODUTOS!$J$4:$J$63,MATCH($A706,PRODUTOS!$B$4:$B$63,0))&amp;")",IF(AND(INDEX(PRODUTOS!$I$4:$I$63,MATCH($A706,PRODUTOS!$B$4:$B$63,0))="B",$D706="AP07"),"NÃO (modelo B)","SIM")))</f>
        <v>RECOMENDADA</v>
      </c>
      <c r="K706" s="13" t="s">
        <v>325</v>
      </c>
      <c r="L706" s="13"/>
    </row>
    <row r="707" customFormat="false" ht="15" hidden="false" customHeight="false" outlineLevel="0" collapsed="false">
      <c r="A707" s="15" t="s">
        <v>225</v>
      </c>
      <c r="B707" s="11" t="str">
        <f aca="false">INDEX(PRODUTOS!$E$4:$E$63,MATCH($A707,PRODUTOS!$B$4:$B$63,0))</f>
        <v>Biscoito Cães Adultos New Dots 400 g</v>
      </c>
      <c r="C707" s="11" t="str">
        <f aca="false">INDEX(PRODUTOS!$H$4:$H$63,MATCH($A707,PRODUTOS!$B$4:$B$63,0))</f>
        <v>400 g</v>
      </c>
      <c r="D707" s="11" t="s">
        <v>331</v>
      </c>
      <c r="E707" s="16" t="str">
        <f aca="false">$A707&amp;"."&amp;$D707&amp;".jpg"</f>
        <v>7908591300000.PT06.jpg</v>
      </c>
      <c r="F707" s="11" t="str">
        <f aca="false">IF(INDEX(PRODUTOS!$I$4:$I$63,MATCH($A707,PRODUTOS!$B$4:$B$63,0))="B",INDEX(MODELOS!$F$3:$F$19,MATCH($D707,MODELOS!$A$3:$A$19,0)),INDEX(MODELOS!$B$3:$B$19,MATCH($D707,MODELOS!$A$3:$A$19,0)))</f>
        <v>Galeria · posição 7</v>
      </c>
      <c r="G707" s="11" t="str">
        <f aca="false">IF(INDEX(PRODUTOS!$F$4:$F$63,MATCH($A707,PRODUTOS!$B$4:$B$63,0))="Ração",IF(INDEX(PRODUTOS!$I$4:$I$63,MATCH($A707,PRODUTOS!$B$4:$B$63,0))="B",INDEX(MODELOS!$G$3:$G$19,MATCH($D707,MODELOS!$A$3:$A$19,0)),INDEX(MODELOS!$C$3:$C$19,MATCH($D707,MODELOS!$A$3:$A$19,0))),IF(INDEX(PRODUTOS!$I$4:$I$63,MATCH($A707,PRODUTOS!$B$4:$B$63,0))="B",INDEX(MODELOS!$H$3:$H$19,MATCH($D707,MODELOS!$A$3:$A$19,0)),INDEX(MODELOS!$D$3:$D$19,MATCH($D707,MODELOS!$A$3:$A$19,0))))</f>
        <v>Composição/níveis de garantia (petiscos) ou especificações (higiene)</v>
      </c>
      <c r="H707" s="11" t="str">
        <f aca="false">IF(INDEX(PRODUTOS!$I$4:$I$63,MATCH($A707,PRODUTOS!$B$4:$B$63,0))="B",INDEX(MODELOS!$I$3:$I$19,MATCH($D707,MODELOS!$A$3:$A$19,0)),INDEX(MODELOS!$E$3:$E$19,MATCH($D707,MODELOS!$A$3:$A$19,0)))</f>
        <v>2000 × 2000</v>
      </c>
      <c r="I707" s="11" t="str">
        <f aca="false">INDEX(MODELOS!$J$3:$J$19,MATCH($D707,MODELOS!$A$3:$A$19,0))</f>
        <v>SIM</v>
      </c>
      <c r="J707" s="11" t="str">
        <f aca="false">IF(LEFT($D707,2)&lt;&gt;"AP",IF($I707="SIM","SIM","RECOMENDADA"),IF(INDEX(PRODUTOS!$J$4:$J$63,MATCH($A707,PRODUTOS!$B$4:$B$63,0))&lt;&gt;"","NÃO (usa o A+ do EAN "&amp;INDEX(PRODUTOS!$J$4:$J$63,MATCH($A707,PRODUTOS!$B$4:$B$63,0))&amp;")",IF(AND(INDEX(PRODUTOS!$I$4:$I$63,MATCH($A707,PRODUTOS!$B$4:$B$63,0))="B",$D707="AP07"),"NÃO (modelo B)","SIM")))</f>
        <v>SIM</v>
      </c>
      <c r="K707" s="13" t="s">
        <v>325</v>
      </c>
      <c r="L707" s="13"/>
    </row>
    <row r="708" customFormat="false" ht="15" hidden="false" customHeight="false" outlineLevel="0" collapsed="false">
      <c r="A708" s="15" t="s">
        <v>225</v>
      </c>
      <c r="B708" s="11" t="str">
        <f aca="false">INDEX(PRODUTOS!$E$4:$E$63,MATCH($A708,PRODUTOS!$B$4:$B$63,0))</f>
        <v>Biscoito Cães Adultos New Dots 400 g</v>
      </c>
      <c r="C708" s="11" t="str">
        <f aca="false">INDEX(PRODUTOS!$H$4:$H$63,MATCH($A708,PRODUTOS!$B$4:$B$63,0))</f>
        <v>400 g</v>
      </c>
      <c r="D708" s="11" t="s">
        <v>332</v>
      </c>
      <c r="E708" s="16" t="str">
        <f aca="false">$A708&amp;"."&amp;$D708&amp;".jpg"</f>
        <v>7908591300000.PT07.jpg</v>
      </c>
      <c r="F708" s="11" t="str">
        <f aca="false">IF(INDEX(PRODUTOS!$I$4:$I$63,MATCH($A708,PRODUTOS!$B$4:$B$63,0))="B",INDEX(MODELOS!$F$3:$F$19,MATCH($D708,MODELOS!$A$3:$A$19,0)),INDEX(MODELOS!$B$3:$B$19,MATCH($D708,MODELOS!$A$3:$A$19,0)))</f>
        <v>Galeria · posição 8</v>
      </c>
      <c r="G708" s="11" t="str">
        <f aca="false">IF(INDEX(PRODUTOS!$F$4:$F$63,MATCH($A708,PRODUTOS!$B$4:$B$63,0))="Ração",IF(INDEX(PRODUTOS!$I$4:$I$63,MATCH($A708,PRODUTOS!$B$4:$B$63,0))="B",INDEX(MODELOS!$G$3:$G$19,MATCH($D708,MODELOS!$A$3:$A$19,0)),INDEX(MODELOS!$C$3:$C$19,MATCH($D708,MODELOS!$A$3:$A$19,0))),IF(INDEX(PRODUTOS!$I$4:$I$63,MATCH($A708,PRODUTOS!$B$4:$B$63,0))="B",INDEX(MODELOS!$H$3:$H$19,MATCH($D708,MODELOS!$A$3:$A$19,0)),INDEX(MODELOS!$D$3:$D$19,MATCH($D708,MODELOS!$A$3:$A$19,0))))</f>
        <v>Emocional / momento de uso</v>
      </c>
      <c r="H708" s="11" t="str">
        <f aca="false">IF(INDEX(PRODUTOS!$I$4:$I$63,MATCH($A708,PRODUTOS!$B$4:$B$63,0))="B",INDEX(MODELOS!$I$3:$I$19,MATCH($D708,MODELOS!$A$3:$A$19,0)),INDEX(MODELOS!$E$3:$E$19,MATCH($D708,MODELOS!$A$3:$A$19,0)))</f>
        <v>2000 × 2000</v>
      </c>
      <c r="I708" s="11" t="str">
        <f aca="false">INDEX(MODELOS!$J$3:$J$19,MATCH($D708,MODELOS!$A$3:$A$19,0))</f>
        <v>Recomendada</v>
      </c>
      <c r="J708" s="11" t="str">
        <f aca="false">IF(LEFT($D708,2)&lt;&gt;"AP",IF($I708="SIM","SIM","RECOMENDADA"),IF(INDEX(PRODUTOS!$J$4:$J$63,MATCH($A708,PRODUTOS!$B$4:$B$63,0))&lt;&gt;"","NÃO (usa o A+ do EAN "&amp;INDEX(PRODUTOS!$J$4:$J$63,MATCH($A708,PRODUTOS!$B$4:$B$63,0))&amp;")",IF(AND(INDEX(PRODUTOS!$I$4:$I$63,MATCH($A708,PRODUTOS!$B$4:$B$63,0))="B",$D708="AP07"),"NÃO (modelo B)","SIM")))</f>
        <v>RECOMENDADA</v>
      </c>
      <c r="K708" s="13" t="s">
        <v>325</v>
      </c>
      <c r="L708" s="13"/>
    </row>
    <row r="709" customFormat="false" ht="15" hidden="false" customHeight="false" outlineLevel="0" collapsed="false">
      <c r="A709" s="15" t="s">
        <v>225</v>
      </c>
      <c r="B709" s="11" t="str">
        <f aca="false">INDEX(PRODUTOS!$E$4:$E$63,MATCH($A709,PRODUTOS!$B$4:$B$63,0))</f>
        <v>Biscoito Cães Adultos New Dots 400 g</v>
      </c>
      <c r="C709" s="11" t="str">
        <f aca="false">INDEX(PRODUTOS!$H$4:$H$63,MATCH($A709,PRODUTOS!$B$4:$B$63,0))</f>
        <v>400 g</v>
      </c>
      <c r="D709" s="11" t="s">
        <v>333</v>
      </c>
      <c r="E709" s="16" t="str">
        <f aca="false">$A709&amp;"."&amp;$D709&amp;".jpg"</f>
        <v>7908591300000.PT08.jpg</v>
      </c>
      <c r="F709" s="11" t="str">
        <f aca="false">IF(INDEX(PRODUTOS!$I$4:$I$63,MATCH($A709,PRODUTOS!$B$4:$B$63,0))="B",INDEX(MODELOS!$F$3:$F$19,MATCH($D709,MODELOS!$A$3:$A$19,0)),INDEX(MODELOS!$B$3:$B$19,MATCH($D709,MODELOS!$A$3:$A$19,0)))</f>
        <v>Galeria · posição 9</v>
      </c>
      <c r="G709" s="11" t="str">
        <f aca="false">IF(INDEX(PRODUTOS!$F$4:$F$63,MATCH($A709,PRODUTOS!$B$4:$B$63,0))="Ração",IF(INDEX(PRODUTOS!$I$4:$I$63,MATCH($A709,PRODUTOS!$B$4:$B$63,0))="B",INDEX(MODELOS!$G$3:$G$19,MATCH($D709,MODELOS!$A$3:$A$19,0)),INDEX(MODELOS!$C$3:$C$19,MATCH($D709,MODELOS!$A$3:$A$19,0))),IF(INDEX(PRODUTOS!$I$4:$I$63,MATCH($A709,PRODUTOS!$B$4:$B$63,0))="B",INDEX(MODELOS!$H$3:$H$19,MATCH($D709,MODELOS!$A$3:$A$19,0)),INDEX(MODELOS!$D$3:$D$19,MATCH($D709,MODELOS!$A$3:$A$19,0))))</f>
        <v>Linha da marca ("conheça também")</v>
      </c>
      <c r="H709" s="11" t="str">
        <f aca="false">IF(INDEX(PRODUTOS!$I$4:$I$63,MATCH($A709,PRODUTOS!$B$4:$B$63,0))="B",INDEX(MODELOS!$I$3:$I$19,MATCH($D709,MODELOS!$A$3:$A$19,0)),INDEX(MODELOS!$E$3:$E$19,MATCH($D709,MODELOS!$A$3:$A$19,0)))</f>
        <v>2000 × 2000</v>
      </c>
      <c r="I709" s="11" t="str">
        <f aca="false">INDEX(MODELOS!$J$3:$J$19,MATCH($D709,MODELOS!$A$3:$A$19,0))</f>
        <v>Recomendada</v>
      </c>
      <c r="J709" s="11" t="str">
        <f aca="false">IF(LEFT($D709,2)&lt;&gt;"AP",IF($I709="SIM","SIM","RECOMENDADA"),IF(INDEX(PRODUTOS!$J$4:$J$63,MATCH($A709,PRODUTOS!$B$4:$B$63,0))&lt;&gt;"","NÃO (usa o A+ do EAN "&amp;INDEX(PRODUTOS!$J$4:$J$63,MATCH($A709,PRODUTOS!$B$4:$B$63,0))&amp;")",IF(AND(INDEX(PRODUTOS!$I$4:$I$63,MATCH($A709,PRODUTOS!$B$4:$B$63,0))="B",$D709="AP07"),"NÃO (modelo B)","SIM")))</f>
        <v>RECOMENDADA</v>
      </c>
      <c r="K709" s="13" t="s">
        <v>325</v>
      </c>
      <c r="L709" s="13"/>
    </row>
    <row r="710" customFormat="false" ht="15" hidden="false" customHeight="false" outlineLevel="0" collapsed="false">
      <c r="A710" s="15" t="s">
        <v>225</v>
      </c>
      <c r="B710" s="11" t="str">
        <f aca="false">INDEX(PRODUTOS!$E$4:$E$63,MATCH($A710,PRODUTOS!$B$4:$B$63,0))</f>
        <v>Biscoito Cães Adultos New Dots 400 g</v>
      </c>
      <c r="C710" s="11" t="str">
        <f aca="false">INDEX(PRODUTOS!$H$4:$H$63,MATCH($A710,PRODUTOS!$B$4:$B$63,0))</f>
        <v>400 g</v>
      </c>
      <c r="D710" s="11" t="s">
        <v>334</v>
      </c>
      <c r="E710" s="16" t="str">
        <f aca="false">$A710&amp;"."&amp;$D710&amp;".jpg"</f>
        <v>7908591300000.AP01.jpg</v>
      </c>
      <c r="F710" s="11" t="str">
        <f aca="false">IF(INDEX(PRODUTOS!$I$4:$I$63,MATCH($A710,PRODUTOS!$B$4:$B$63,0))="B",INDEX(MODELOS!$F$3:$F$19,MATCH($D710,MODELOS!$A$3:$A$19,0)),INDEX(MODELOS!$B$3:$B$19,MATCH($D710,MODELOS!$A$3:$A$19,0)))</f>
        <v>A+ · Módulo 1 · Banner</v>
      </c>
      <c r="G710" s="11" t="str">
        <f aca="false">IF(INDEX(PRODUTOS!$F$4:$F$63,MATCH($A710,PRODUTOS!$B$4:$B$63,0))="Ração",IF(INDEX(PRODUTOS!$I$4:$I$63,MATCH($A710,PRODUTOS!$B$4:$B$63,0))="B",INDEX(MODELOS!$G$3:$G$19,MATCH($D710,MODELOS!$A$3:$A$19,0)),INDEX(MODELOS!$C$3:$C$19,MATCH($D710,MODELOS!$A$3:$A$19,0))),IF(INDEX(PRODUTOS!$I$4:$I$63,MATCH($A710,PRODUTOS!$B$4:$B$63,0))="B",INDEX(MODELOS!$H$3:$H$19,MATCH($D710,MODELOS!$A$3:$A$19,0)),INDEX(MODELOS!$D$3:$D$19,MATCH($D710,MODELOS!$A$3:$A$19,0))))</f>
        <v>Produto + pet, com o nome da linha</v>
      </c>
      <c r="H710" s="11" t="str">
        <f aca="false">IF(INDEX(PRODUTOS!$I$4:$I$63,MATCH($A710,PRODUTOS!$B$4:$B$63,0))="B",INDEX(MODELOS!$I$3:$I$19,MATCH($D710,MODELOS!$A$3:$A$19,0)),INDEX(MODELOS!$E$3:$E$19,MATCH($D710,MODELOS!$A$3:$A$19,0)))</f>
        <v>970 × 600</v>
      </c>
      <c r="I710" s="11" t="str">
        <f aca="false">INDEX(MODELOS!$J$3:$J$19,MATCH($D710,MODELOS!$A$3:$A$19,0))</f>
        <v>Conforme modelo</v>
      </c>
      <c r="J710" s="11" t="str">
        <f aca="false">IF(LEFT($D710,2)&lt;&gt;"AP",IF($I710="SIM","SIM","RECOMENDADA"),IF(INDEX(PRODUTOS!$J$4:$J$63,MATCH($A710,PRODUTOS!$B$4:$B$63,0))&lt;&gt;"","NÃO (usa o A+ do EAN "&amp;INDEX(PRODUTOS!$J$4:$J$63,MATCH($A710,PRODUTOS!$B$4:$B$63,0))&amp;")",IF(AND(INDEX(PRODUTOS!$I$4:$I$63,MATCH($A710,PRODUTOS!$B$4:$B$63,0))="B",$D710="AP07"),"NÃO (modelo B)","SIM")))</f>
        <v>SIM</v>
      </c>
      <c r="K710" s="13" t="s">
        <v>325</v>
      </c>
      <c r="L710" s="13"/>
    </row>
    <row r="711" customFormat="false" ht="15" hidden="false" customHeight="false" outlineLevel="0" collapsed="false">
      <c r="A711" s="15" t="s">
        <v>225</v>
      </c>
      <c r="B711" s="11" t="str">
        <f aca="false">INDEX(PRODUTOS!$E$4:$E$63,MATCH($A711,PRODUTOS!$B$4:$B$63,0))</f>
        <v>Biscoito Cães Adultos New Dots 400 g</v>
      </c>
      <c r="C711" s="11" t="str">
        <f aca="false">INDEX(PRODUTOS!$H$4:$H$63,MATCH($A711,PRODUTOS!$B$4:$B$63,0))</f>
        <v>400 g</v>
      </c>
      <c r="D711" s="11" t="s">
        <v>335</v>
      </c>
      <c r="E711" s="16" t="str">
        <f aca="false">$A711&amp;"."&amp;$D711&amp;".jpg"</f>
        <v>7908591300000.AP02.jpg</v>
      </c>
      <c r="F711" s="11" t="str">
        <f aca="false">IF(INDEX(PRODUTOS!$I$4:$I$63,MATCH($A711,PRODUTOS!$B$4:$B$63,0))="B",INDEX(MODELOS!$F$3:$F$19,MATCH($D711,MODELOS!$A$3:$A$19,0)),INDEX(MODELOS!$B$3:$B$19,MATCH($D711,MODELOS!$A$3:$A$19,0)))</f>
        <v>A+ · Módulo 2 · Texto sobreposto</v>
      </c>
      <c r="G711" s="11" t="str">
        <f aca="false">IF(INDEX(PRODUTOS!$F$4:$F$63,MATCH($A711,PRODUTOS!$B$4:$B$63,0))="Ração",IF(INDEX(PRODUTOS!$I$4:$I$63,MATCH($A711,PRODUTOS!$B$4:$B$63,0))="B",INDEX(MODELOS!$G$3:$G$19,MATCH($D711,MODELOS!$A$3:$A$19,0)),INDEX(MODELOS!$C$3:$C$19,MATCH($D711,MODELOS!$A$3:$A$19,0))),IF(INDEX(PRODUTOS!$I$4:$I$63,MATCH($A711,PRODUTOS!$B$4:$B$63,0))="B",INDEX(MODELOS!$H$3:$H$19,MATCH($D711,MODELOS!$A$3:$A$19,0)),INDEX(MODELOS!$D$3:$D$19,MATCH($D711,MODELOS!$A$3:$A$19,0))))</f>
        <v>Principal diferencial; deixar o lado direito limpo</v>
      </c>
      <c r="H711" s="11" t="str">
        <f aca="false">IF(INDEX(PRODUTOS!$I$4:$I$63,MATCH($A711,PRODUTOS!$B$4:$B$63,0))="B",INDEX(MODELOS!$I$3:$I$19,MATCH($D711,MODELOS!$A$3:$A$19,0)),INDEX(MODELOS!$E$3:$E$19,MATCH($D711,MODELOS!$A$3:$A$19,0)))</f>
        <v>970 × 300</v>
      </c>
      <c r="I711" s="11" t="str">
        <f aca="false">INDEX(MODELOS!$J$3:$J$19,MATCH($D711,MODELOS!$A$3:$A$19,0))</f>
        <v>Conforme modelo</v>
      </c>
      <c r="J711" s="11" t="str">
        <f aca="false">IF(LEFT($D711,2)&lt;&gt;"AP",IF($I711="SIM","SIM","RECOMENDADA"),IF(INDEX(PRODUTOS!$J$4:$J$63,MATCH($A711,PRODUTOS!$B$4:$B$63,0))&lt;&gt;"","NÃO (usa o A+ do EAN "&amp;INDEX(PRODUTOS!$J$4:$J$63,MATCH($A711,PRODUTOS!$B$4:$B$63,0))&amp;")",IF(AND(INDEX(PRODUTOS!$I$4:$I$63,MATCH($A711,PRODUTOS!$B$4:$B$63,0))="B",$D711="AP07"),"NÃO (modelo B)","SIM")))</f>
        <v>SIM</v>
      </c>
      <c r="K711" s="13" t="s">
        <v>325</v>
      </c>
      <c r="L711" s="13"/>
    </row>
    <row r="712" customFormat="false" ht="15" hidden="false" customHeight="false" outlineLevel="0" collapsed="false">
      <c r="A712" s="15" t="s">
        <v>225</v>
      </c>
      <c r="B712" s="11" t="str">
        <f aca="false">INDEX(PRODUTOS!$E$4:$E$63,MATCH($A712,PRODUTOS!$B$4:$B$63,0))</f>
        <v>Biscoito Cães Adultos New Dots 400 g</v>
      </c>
      <c r="C712" s="11" t="str">
        <f aca="false">INDEX(PRODUTOS!$H$4:$H$63,MATCH($A712,PRODUTOS!$B$4:$B$63,0))</f>
        <v>400 g</v>
      </c>
      <c r="D712" s="11" t="s">
        <v>336</v>
      </c>
      <c r="E712" s="16" t="str">
        <f aca="false">$A712&amp;"."&amp;$D712&amp;".jpg"</f>
        <v>7908591300000.AP03.jpg</v>
      </c>
      <c r="F712" s="11" t="str">
        <f aca="false">IF(INDEX(PRODUTOS!$I$4:$I$63,MATCH($A712,PRODUTOS!$B$4:$B$63,0))="B",INDEX(MODELOS!$F$3:$F$19,MATCH($D712,MODELOS!$A$3:$A$19,0)),INDEX(MODELOS!$B$3:$B$19,MATCH($D712,MODELOS!$A$3:$A$19,0)))</f>
        <v>A+ · Módulo 3 · Benefício 1 de 4</v>
      </c>
      <c r="G712" s="11" t="str">
        <f aca="false">IF(INDEX(PRODUTOS!$F$4:$F$63,MATCH($A712,PRODUTOS!$B$4:$B$63,0))="Ração",IF(INDEX(PRODUTOS!$I$4:$I$63,MATCH($A712,PRODUTOS!$B$4:$B$63,0))="B",INDEX(MODELOS!$G$3:$G$19,MATCH($D712,MODELOS!$A$3:$A$19,0)),INDEX(MODELOS!$C$3:$C$19,MATCH($D712,MODELOS!$A$3:$A$19,0))),IF(INDEX(PRODUTOS!$I$4:$I$63,MATCH($A712,PRODUTOS!$B$4:$B$63,0))="B",INDEX(MODELOS!$H$3:$H$19,MATCH($D712,MODELOS!$A$3:$A$19,0)),INDEX(MODELOS!$D$3:$D$19,MATCH($D712,MODELOS!$A$3:$A$19,0))))</f>
        <v>Foto/ilustração do benefício 1</v>
      </c>
      <c r="H712" s="11" t="str">
        <f aca="false">IF(INDEX(PRODUTOS!$I$4:$I$63,MATCH($A712,PRODUTOS!$B$4:$B$63,0))="B",INDEX(MODELOS!$I$3:$I$19,MATCH($D712,MODELOS!$A$3:$A$19,0)),INDEX(MODELOS!$E$3:$E$19,MATCH($D712,MODELOS!$A$3:$A$19,0)))</f>
        <v>220 × 200</v>
      </c>
      <c r="I712" s="11" t="str">
        <f aca="false">INDEX(MODELOS!$J$3:$J$19,MATCH($D712,MODELOS!$A$3:$A$19,0))</f>
        <v>Conforme modelo</v>
      </c>
      <c r="J712" s="11" t="str">
        <f aca="false">IF(LEFT($D712,2)&lt;&gt;"AP",IF($I712="SIM","SIM","RECOMENDADA"),IF(INDEX(PRODUTOS!$J$4:$J$63,MATCH($A712,PRODUTOS!$B$4:$B$63,0))&lt;&gt;"","NÃO (usa o A+ do EAN "&amp;INDEX(PRODUTOS!$J$4:$J$63,MATCH($A712,PRODUTOS!$B$4:$B$63,0))&amp;")",IF(AND(INDEX(PRODUTOS!$I$4:$I$63,MATCH($A712,PRODUTOS!$B$4:$B$63,0))="B",$D712="AP07"),"NÃO (modelo B)","SIM")))</f>
        <v>SIM</v>
      </c>
      <c r="K712" s="13" t="s">
        <v>325</v>
      </c>
      <c r="L712" s="13"/>
    </row>
    <row r="713" customFormat="false" ht="15" hidden="false" customHeight="false" outlineLevel="0" collapsed="false">
      <c r="A713" s="15" t="s">
        <v>225</v>
      </c>
      <c r="B713" s="11" t="str">
        <f aca="false">INDEX(PRODUTOS!$E$4:$E$63,MATCH($A713,PRODUTOS!$B$4:$B$63,0))</f>
        <v>Biscoito Cães Adultos New Dots 400 g</v>
      </c>
      <c r="C713" s="11" t="str">
        <f aca="false">INDEX(PRODUTOS!$H$4:$H$63,MATCH($A713,PRODUTOS!$B$4:$B$63,0))</f>
        <v>400 g</v>
      </c>
      <c r="D713" s="11" t="s">
        <v>337</v>
      </c>
      <c r="E713" s="16" t="str">
        <f aca="false">$A713&amp;"."&amp;$D713&amp;".jpg"</f>
        <v>7908591300000.AP04.jpg</v>
      </c>
      <c r="F713" s="11" t="str">
        <f aca="false">IF(INDEX(PRODUTOS!$I$4:$I$63,MATCH($A713,PRODUTOS!$B$4:$B$63,0))="B",INDEX(MODELOS!$F$3:$F$19,MATCH($D713,MODELOS!$A$3:$A$19,0)),INDEX(MODELOS!$B$3:$B$19,MATCH($D713,MODELOS!$A$3:$A$19,0)))</f>
        <v>A+ · Módulo 3 · Benefício 2 de 4</v>
      </c>
      <c r="G713" s="11" t="str">
        <f aca="false">IF(INDEX(PRODUTOS!$F$4:$F$63,MATCH($A713,PRODUTOS!$B$4:$B$63,0))="Ração",IF(INDEX(PRODUTOS!$I$4:$I$63,MATCH($A713,PRODUTOS!$B$4:$B$63,0))="B",INDEX(MODELOS!$G$3:$G$19,MATCH($D713,MODELOS!$A$3:$A$19,0)),INDEX(MODELOS!$C$3:$C$19,MATCH($D713,MODELOS!$A$3:$A$19,0))),IF(INDEX(PRODUTOS!$I$4:$I$63,MATCH($A713,PRODUTOS!$B$4:$B$63,0))="B",INDEX(MODELOS!$H$3:$H$19,MATCH($D713,MODELOS!$A$3:$A$19,0)),INDEX(MODELOS!$D$3:$D$19,MATCH($D713,MODELOS!$A$3:$A$19,0))))</f>
        <v>Foto/ilustração do benefício 2</v>
      </c>
      <c r="H713" s="11" t="str">
        <f aca="false">IF(INDEX(PRODUTOS!$I$4:$I$63,MATCH($A713,PRODUTOS!$B$4:$B$63,0))="B",INDEX(MODELOS!$I$3:$I$19,MATCH($D713,MODELOS!$A$3:$A$19,0)),INDEX(MODELOS!$E$3:$E$19,MATCH($D713,MODELOS!$A$3:$A$19,0)))</f>
        <v>220 × 200</v>
      </c>
      <c r="I713" s="11" t="str">
        <f aca="false">INDEX(MODELOS!$J$3:$J$19,MATCH($D713,MODELOS!$A$3:$A$19,0))</f>
        <v>Conforme modelo</v>
      </c>
      <c r="J713" s="11" t="str">
        <f aca="false">IF(LEFT($D713,2)&lt;&gt;"AP",IF($I713="SIM","SIM","RECOMENDADA"),IF(INDEX(PRODUTOS!$J$4:$J$63,MATCH($A713,PRODUTOS!$B$4:$B$63,0))&lt;&gt;"","NÃO (usa o A+ do EAN "&amp;INDEX(PRODUTOS!$J$4:$J$63,MATCH($A713,PRODUTOS!$B$4:$B$63,0))&amp;")",IF(AND(INDEX(PRODUTOS!$I$4:$I$63,MATCH($A713,PRODUTOS!$B$4:$B$63,0))="B",$D713="AP07"),"NÃO (modelo B)","SIM")))</f>
        <v>SIM</v>
      </c>
      <c r="K713" s="13" t="s">
        <v>325</v>
      </c>
      <c r="L713" s="13"/>
    </row>
    <row r="714" customFormat="false" ht="15" hidden="false" customHeight="false" outlineLevel="0" collapsed="false">
      <c r="A714" s="15" t="s">
        <v>225</v>
      </c>
      <c r="B714" s="11" t="str">
        <f aca="false">INDEX(PRODUTOS!$E$4:$E$63,MATCH($A714,PRODUTOS!$B$4:$B$63,0))</f>
        <v>Biscoito Cães Adultos New Dots 400 g</v>
      </c>
      <c r="C714" s="11" t="str">
        <f aca="false">INDEX(PRODUTOS!$H$4:$H$63,MATCH($A714,PRODUTOS!$B$4:$B$63,0))</f>
        <v>400 g</v>
      </c>
      <c r="D714" s="11" t="s">
        <v>338</v>
      </c>
      <c r="E714" s="16" t="str">
        <f aca="false">$A714&amp;"."&amp;$D714&amp;".jpg"</f>
        <v>7908591300000.AP05.jpg</v>
      </c>
      <c r="F714" s="11" t="str">
        <f aca="false">IF(INDEX(PRODUTOS!$I$4:$I$63,MATCH($A714,PRODUTOS!$B$4:$B$63,0))="B",INDEX(MODELOS!$F$3:$F$19,MATCH($D714,MODELOS!$A$3:$A$19,0)),INDEX(MODELOS!$B$3:$B$19,MATCH($D714,MODELOS!$A$3:$A$19,0)))</f>
        <v>A+ · Módulo 3 · Benefício 3 de 4</v>
      </c>
      <c r="G714" s="11" t="str">
        <f aca="false">IF(INDEX(PRODUTOS!$F$4:$F$63,MATCH($A714,PRODUTOS!$B$4:$B$63,0))="Ração",IF(INDEX(PRODUTOS!$I$4:$I$63,MATCH($A714,PRODUTOS!$B$4:$B$63,0))="B",INDEX(MODELOS!$G$3:$G$19,MATCH($D714,MODELOS!$A$3:$A$19,0)),INDEX(MODELOS!$C$3:$C$19,MATCH($D714,MODELOS!$A$3:$A$19,0))),IF(INDEX(PRODUTOS!$I$4:$I$63,MATCH($A714,PRODUTOS!$B$4:$B$63,0))="B",INDEX(MODELOS!$H$3:$H$19,MATCH($D714,MODELOS!$A$3:$A$19,0)),INDEX(MODELOS!$D$3:$D$19,MATCH($D714,MODELOS!$A$3:$A$19,0))))</f>
        <v>Foto/ilustração do benefício 3</v>
      </c>
      <c r="H714" s="11" t="str">
        <f aca="false">IF(INDEX(PRODUTOS!$I$4:$I$63,MATCH($A714,PRODUTOS!$B$4:$B$63,0))="B",INDEX(MODELOS!$I$3:$I$19,MATCH($D714,MODELOS!$A$3:$A$19,0)),INDEX(MODELOS!$E$3:$E$19,MATCH($D714,MODELOS!$A$3:$A$19,0)))</f>
        <v>220 × 200</v>
      </c>
      <c r="I714" s="11" t="str">
        <f aca="false">INDEX(MODELOS!$J$3:$J$19,MATCH($D714,MODELOS!$A$3:$A$19,0))</f>
        <v>Conforme modelo</v>
      </c>
      <c r="J714" s="11" t="str">
        <f aca="false">IF(LEFT($D714,2)&lt;&gt;"AP",IF($I714="SIM","SIM","RECOMENDADA"),IF(INDEX(PRODUTOS!$J$4:$J$63,MATCH($A714,PRODUTOS!$B$4:$B$63,0))&lt;&gt;"","NÃO (usa o A+ do EAN "&amp;INDEX(PRODUTOS!$J$4:$J$63,MATCH($A714,PRODUTOS!$B$4:$B$63,0))&amp;")",IF(AND(INDEX(PRODUTOS!$I$4:$I$63,MATCH($A714,PRODUTOS!$B$4:$B$63,0))="B",$D714="AP07"),"NÃO (modelo B)","SIM")))</f>
        <v>SIM</v>
      </c>
      <c r="K714" s="13" t="s">
        <v>325</v>
      </c>
      <c r="L714" s="13"/>
    </row>
    <row r="715" customFormat="false" ht="15" hidden="false" customHeight="false" outlineLevel="0" collapsed="false">
      <c r="A715" s="15" t="s">
        <v>225</v>
      </c>
      <c r="B715" s="11" t="str">
        <f aca="false">INDEX(PRODUTOS!$E$4:$E$63,MATCH($A715,PRODUTOS!$B$4:$B$63,0))</f>
        <v>Biscoito Cães Adultos New Dots 400 g</v>
      </c>
      <c r="C715" s="11" t="str">
        <f aca="false">INDEX(PRODUTOS!$H$4:$H$63,MATCH($A715,PRODUTOS!$B$4:$B$63,0))</f>
        <v>400 g</v>
      </c>
      <c r="D715" s="11" t="s">
        <v>339</v>
      </c>
      <c r="E715" s="16" t="str">
        <f aca="false">$A715&amp;"."&amp;$D715&amp;".jpg"</f>
        <v>7908591300000.AP06.jpg</v>
      </c>
      <c r="F715" s="11" t="str">
        <f aca="false">IF(INDEX(PRODUTOS!$I$4:$I$63,MATCH($A715,PRODUTOS!$B$4:$B$63,0))="B",INDEX(MODELOS!$F$3:$F$19,MATCH($D715,MODELOS!$A$3:$A$19,0)),INDEX(MODELOS!$B$3:$B$19,MATCH($D715,MODELOS!$A$3:$A$19,0)))</f>
        <v>A+ · Módulo 3 · Benefício 4 de 4</v>
      </c>
      <c r="G715" s="11" t="str">
        <f aca="false">IF(INDEX(PRODUTOS!$F$4:$F$63,MATCH($A715,PRODUTOS!$B$4:$B$63,0))="Ração",IF(INDEX(PRODUTOS!$I$4:$I$63,MATCH($A715,PRODUTOS!$B$4:$B$63,0))="B",INDEX(MODELOS!$G$3:$G$19,MATCH($D715,MODELOS!$A$3:$A$19,0)),INDEX(MODELOS!$C$3:$C$19,MATCH($D715,MODELOS!$A$3:$A$19,0))),IF(INDEX(PRODUTOS!$I$4:$I$63,MATCH($A715,PRODUTOS!$B$4:$B$63,0))="B",INDEX(MODELOS!$H$3:$H$19,MATCH($D715,MODELOS!$A$3:$A$19,0)),INDEX(MODELOS!$D$3:$D$19,MATCH($D715,MODELOS!$A$3:$A$19,0))))</f>
        <v>Foto/ilustração do benefício 4</v>
      </c>
      <c r="H715" s="11" t="str">
        <f aca="false">IF(INDEX(PRODUTOS!$I$4:$I$63,MATCH($A715,PRODUTOS!$B$4:$B$63,0))="B",INDEX(MODELOS!$I$3:$I$19,MATCH($D715,MODELOS!$A$3:$A$19,0)),INDEX(MODELOS!$E$3:$E$19,MATCH($D715,MODELOS!$A$3:$A$19,0)))</f>
        <v>220 × 200</v>
      </c>
      <c r="I715" s="11" t="str">
        <f aca="false">INDEX(MODELOS!$J$3:$J$19,MATCH($D715,MODELOS!$A$3:$A$19,0))</f>
        <v>Conforme modelo</v>
      </c>
      <c r="J715" s="11" t="str">
        <f aca="false">IF(LEFT($D715,2)&lt;&gt;"AP",IF($I715="SIM","SIM","RECOMENDADA"),IF(INDEX(PRODUTOS!$J$4:$J$63,MATCH($A715,PRODUTOS!$B$4:$B$63,0))&lt;&gt;"","NÃO (usa o A+ do EAN "&amp;INDEX(PRODUTOS!$J$4:$J$63,MATCH($A715,PRODUTOS!$B$4:$B$63,0))&amp;")",IF(AND(INDEX(PRODUTOS!$I$4:$I$63,MATCH($A715,PRODUTOS!$B$4:$B$63,0))="B",$D715="AP07"),"NÃO (modelo B)","SIM")))</f>
        <v>SIM</v>
      </c>
      <c r="K715" s="13" t="s">
        <v>325</v>
      </c>
      <c r="L715" s="13"/>
    </row>
    <row r="716" customFormat="false" ht="15" hidden="false" customHeight="false" outlineLevel="0" collapsed="false">
      <c r="A716" s="15" t="s">
        <v>225</v>
      </c>
      <c r="B716" s="11" t="str">
        <f aca="false">INDEX(PRODUTOS!$E$4:$E$63,MATCH($A716,PRODUTOS!$B$4:$B$63,0))</f>
        <v>Biscoito Cães Adultos New Dots 400 g</v>
      </c>
      <c r="C716" s="11" t="str">
        <f aca="false">INDEX(PRODUTOS!$H$4:$H$63,MATCH($A716,PRODUTOS!$B$4:$B$63,0))</f>
        <v>400 g</v>
      </c>
      <c r="D716" s="11" t="s">
        <v>340</v>
      </c>
      <c r="E716" s="16" t="str">
        <f aca="false">$A716&amp;"."&amp;$D716&amp;".jpg"</f>
        <v>7908591300000.AP07.jpg</v>
      </c>
      <c r="F716" s="11" t="str">
        <f aca="false">IF(INDEX(PRODUTOS!$I$4:$I$63,MATCH($A716,PRODUTOS!$B$4:$B$63,0))="B",INDEX(MODELOS!$F$3:$F$19,MATCH($D716,MODELOS!$A$3:$A$19,0)),INDEX(MODELOS!$B$3:$B$19,MATCH($D716,MODELOS!$A$3:$A$19,0)))</f>
        <v>A+ · Módulo 4 · Especificações</v>
      </c>
      <c r="G716" s="11" t="str">
        <f aca="false">IF(INDEX(PRODUTOS!$F$4:$F$63,MATCH($A716,PRODUTOS!$B$4:$B$63,0))="Ração",IF(INDEX(PRODUTOS!$I$4:$I$63,MATCH($A716,PRODUTOS!$B$4:$B$63,0))="B",INDEX(MODELOS!$G$3:$G$19,MATCH($D716,MODELOS!$A$3:$A$19,0)),INDEX(MODELOS!$C$3:$C$19,MATCH($D716,MODELOS!$A$3:$A$19,0))),IF(INDEX(PRODUTOS!$I$4:$I$63,MATCH($A716,PRODUTOS!$B$4:$B$63,0))="B",INDEX(MODELOS!$H$3:$H$19,MATCH($D716,MODELOS!$A$3:$A$19,0)),INDEX(MODELOS!$D$3:$D$19,MATCH($D716,MODELOS!$A$3:$A$19,0))))</f>
        <v>Produto em destaque</v>
      </c>
      <c r="H716" s="11" t="str">
        <f aca="false">IF(INDEX(PRODUTOS!$I$4:$I$63,MATCH($A716,PRODUTOS!$B$4:$B$63,0))="B",INDEX(MODELOS!$I$3:$I$19,MATCH($D716,MODELOS!$A$3:$A$19,0)),INDEX(MODELOS!$E$3:$E$19,MATCH($D716,MODELOS!$A$3:$A$19,0)))</f>
        <v>300 × 300</v>
      </c>
      <c r="I716" s="11" t="str">
        <f aca="false">INDEX(MODELOS!$J$3:$J$19,MATCH($D716,MODELOS!$A$3:$A$19,0))</f>
        <v>Conforme modelo</v>
      </c>
      <c r="J716" s="11" t="str">
        <f aca="false">IF(LEFT($D716,2)&lt;&gt;"AP",IF($I716="SIM","SIM","RECOMENDADA"),IF(INDEX(PRODUTOS!$J$4:$J$63,MATCH($A716,PRODUTOS!$B$4:$B$63,0))&lt;&gt;"","NÃO (usa o A+ do EAN "&amp;INDEX(PRODUTOS!$J$4:$J$63,MATCH($A716,PRODUTOS!$B$4:$B$63,0))&amp;")",IF(AND(INDEX(PRODUTOS!$I$4:$I$63,MATCH($A716,PRODUTOS!$B$4:$B$63,0))="B",$D716="AP07"),"NÃO (modelo B)","SIM")))</f>
        <v>SIM</v>
      </c>
      <c r="K716" s="13" t="s">
        <v>325</v>
      </c>
      <c r="L716" s="13"/>
    </row>
    <row r="717" customFormat="false" ht="15" hidden="false" customHeight="false" outlineLevel="0" collapsed="false">
      <c r="A717" s="15" t="s">
        <v>225</v>
      </c>
      <c r="B717" s="11" t="str">
        <f aca="false">INDEX(PRODUTOS!$E$4:$E$63,MATCH($A717,PRODUTOS!$B$4:$B$63,0))</f>
        <v>Biscoito Cães Adultos New Dots 400 g</v>
      </c>
      <c r="C717" s="11" t="str">
        <f aca="false">INDEX(PRODUTOS!$H$4:$H$63,MATCH($A717,PRODUTOS!$B$4:$B$63,0))</f>
        <v>400 g</v>
      </c>
      <c r="D717" s="11" t="s">
        <v>341</v>
      </c>
      <c r="E717" s="16" t="str">
        <f aca="false">$A717&amp;"."&amp;$D717&amp;".jpg"</f>
        <v>7908591300000.COMP.jpg</v>
      </c>
      <c r="F717" s="11" t="str">
        <f aca="false">IF(INDEX(PRODUTOS!$I$4:$I$63,MATCH($A717,PRODUTOS!$B$4:$B$63,0))="B",INDEX(MODELOS!$F$3:$F$19,MATCH($D717,MODELOS!$A$3:$A$19,0)),INDEX(MODELOS!$B$3:$B$19,MATCH($D717,MODELOS!$A$3:$A$19,0)))</f>
        <v>A+ · Tabela comparativa</v>
      </c>
      <c r="G717" s="11" t="str">
        <f aca="false">IF(INDEX(PRODUTOS!$F$4:$F$63,MATCH($A717,PRODUTOS!$B$4:$B$63,0))="Ração",IF(INDEX(PRODUTOS!$I$4:$I$63,MATCH($A717,PRODUTOS!$B$4:$B$63,0))="B",INDEX(MODELOS!$G$3:$G$19,MATCH($D717,MODELOS!$A$3:$A$19,0)),INDEX(MODELOS!$C$3:$C$19,MATCH($D717,MODELOS!$A$3:$A$19,0))),IF(INDEX(PRODUTOS!$I$4:$I$63,MATCH($A717,PRODUTOS!$B$4:$B$63,0))="B",INDEX(MODELOS!$H$3:$H$19,MATCH($D717,MODELOS!$A$3:$A$19,0)),INDEX(MODELOS!$D$3:$D$19,MATCH($D717,MODELOS!$A$3:$A$19,0))))</f>
        <v>Produto na vertical, sem fundo colorido</v>
      </c>
      <c r="H717" s="11" t="str">
        <f aca="false">IF(INDEX(PRODUTOS!$I$4:$I$63,MATCH($A717,PRODUTOS!$B$4:$B$63,0))="B",INDEX(MODELOS!$I$3:$I$19,MATCH($D717,MODELOS!$A$3:$A$19,0)),INDEX(MODELOS!$E$3:$E$19,MATCH($D717,MODELOS!$A$3:$A$19,0)))</f>
        <v>150 × 300</v>
      </c>
      <c r="I717" s="11" t="str">
        <f aca="false">INDEX(MODELOS!$J$3:$J$19,MATCH($D717,MODELOS!$A$3:$A$19,0))</f>
        <v>SIM</v>
      </c>
      <c r="J717" s="11" t="str">
        <f aca="false">IF(LEFT($D717,2)&lt;&gt;"AP",IF($I717="SIM","SIM","RECOMENDADA"),IF(INDEX(PRODUTOS!$J$4:$J$63,MATCH($A717,PRODUTOS!$B$4:$B$63,0))&lt;&gt;"","NÃO (usa o A+ do EAN "&amp;INDEX(PRODUTOS!$J$4:$J$63,MATCH($A717,PRODUTOS!$B$4:$B$63,0))&amp;")",IF(AND(INDEX(PRODUTOS!$I$4:$I$63,MATCH($A717,PRODUTOS!$B$4:$B$63,0))="B",$D717="AP07"),"NÃO (modelo B)","SIM")))</f>
        <v>SIM</v>
      </c>
      <c r="K717" s="13" t="s">
        <v>325</v>
      </c>
      <c r="L717" s="13"/>
    </row>
    <row r="718" customFormat="false" ht="15" hidden="false" customHeight="false" outlineLevel="0" collapsed="false">
      <c r="A718" s="15" t="s">
        <v>229</v>
      </c>
      <c r="B718" s="11" t="str">
        <f aca="false">INDEX(PRODUTOS!$E$4:$E$63,MATCH($A718,PRODUTOS!$B$4:$B$63,0))</f>
        <v>Biscoito Cães Raças Pequenas e Médias New Dots 400 g</v>
      </c>
      <c r="C718" s="11" t="str">
        <f aca="false">INDEX(PRODUTOS!$H$4:$H$63,MATCH($A718,PRODUTOS!$B$4:$B$63,0))</f>
        <v>400 g</v>
      </c>
      <c r="D718" s="11" t="s">
        <v>324</v>
      </c>
      <c r="E718" s="16" t="str">
        <f aca="false">$A718&amp;"."&amp;$D718&amp;".jpg"</f>
        <v>7908591300017.MAIN.jpg</v>
      </c>
      <c r="F718" s="11" t="str">
        <f aca="false">IF(INDEX(PRODUTOS!$I$4:$I$63,MATCH($A718,PRODUTOS!$B$4:$B$63,0))="B",INDEX(MODELOS!$F$3:$F$19,MATCH($D718,MODELOS!$A$3:$A$19,0)),INDEX(MODELOS!$B$3:$B$19,MATCH($D718,MODELOS!$A$3:$A$19,0)))</f>
        <v>Capa (posição 1)</v>
      </c>
      <c r="G718" s="11" t="str">
        <f aca="false">IF(INDEX(PRODUTOS!$F$4:$F$63,MATCH($A718,PRODUTOS!$B$4:$B$63,0))="Ração",IF(INDEX(PRODUTOS!$I$4:$I$63,MATCH($A718,PRODUTOS!$B$4:$B$63,0))="B",INDEX(MODELOS!$G$3:$G$19,MATCH($D718,MODELOS!$A$3:$A$19,0)),INDEX(MODELOS!$C$3:$C$19,MATCH($D718,MODELOS!$A$3:$A$19,0))),IF(INDEX(PRODUTOS!$I$4:$I$63,MATCH($A718,PRODUTOS!$B$4:$B$63,0))="B",INDEX(MODELOS!$H$3:$H$19,MATCH($D718,MODELOS!$A$3:$A$19,0)),INDEX(MODELOS!$D$3:$D$19,MATCH($D718,MODELOS!$A$3:$A$19,0))))</f>
        <v>Embalagem de frente, fundo branco puro, 85% da área, nada adicionado</v>
      </c>
      <c r="H718" s="11" t="str">
        <f aca="false">IF(INDEX(PRODUTOS!$I$4:$I$63,MATCH($A718,PRODUTOS!$B$4:$B$63,0))="B",INDEX(MODELOS!$I$3:$I$19,MATCH($D718,MODELOS!$A$3:$A$19,0)),INDEX(MODELOS!$E$3:$E$19,MATCH($D718,MODELOS!$A$3:$A$19,0)))</f>
        <v>2000 × 2000</v>
      </c>
      <c r="I718" s="11" t="str">
        <f aca="false">INDEX(MODELOS!$J$3:$J$19,MATCH($D718,MODELOS!$A$3:$A$19,0))</f>
        <v>SIM</v>
      </c>
      <c r="J718" s="11" t="str">
        <f aca="false">IF(LEFT($D718,2)&lt;&gt;"AP",IF($I718="SIM","SIM","RECOMENDADA"),IF(INDEX(PRODUTOS!$J$4:$J$63,MATCH($A718,PRODUTOS!$B$4:$B$63,0))&lt;&gt;"","NÃO (usa o A+ do EAN "&amp;INDEX(PRODUTOS!$J$4:$J$63,MATCH($A718,PRODUTOS!$B$4:$B$63,0))&amp;")",IF(AND(INDEX(PRODUTOS!$I$4:$I$63,MATCH($A718,PRODUTOS!$B$4:$B$63,0))="B",$D718="AP07"),"NÃO (modelo B)","SIM")))</f>
        <v>SIM</v>
      </c>
      <c r="K718" s="13" t="s">
        <v>325</v>
      </c>
      <c r="L718" s="13"/>
    </row>
    <row r="719" customFormat="false" ht="15" hidden="false" customHeight="false" outlineLevel="0" collapsed="false">
      <c r="A719" s="15" t="s">
        <v>229</v>
      </c>
      <c r="B719" s="11" t="str">
        <f aca="false">INDEX(PRODUTOS!$E$4:$E$63,MATCH($A719,PRODUTOS!$B$4:$B$63,0))</f>
        <v>Biscoito Cães Raças Pequenas e Médias New Dots 400 g</v>
      </c>
      <c r="C719" s="11" t="str">
        <f aca="false">INDEX(PRODUTOS!$H$4:$H$63,MATCH($A719,PRODUTOS!$B$4:$B$63,0))</f>
        <v>400 g</v>
      </c>
      <c r="D719" s="11" t="s">
        <v>326</v>
      </c>
      <c r="E719" s="16" t="str">
        <f aca="false">$A719&amp;"."&amp;$D719&amp;".jpg"</f>
        <v>7908591300017.PT01.jpg</v>
      </c>
      <c r="F719" s="11" t="str">
        <f aca="false">IF(INDEX(PRODUTOS!$I$4:$I$63,MATCH($A719,PRODUTOS!$B$4:$B$63,0))="B",INDEX(MODELOS!$F$3:$F$19,MATCH($D719,MODELOS!$A$3:$A$19,0)),INDEX(MODELOS!$B$3:$B$19,MATCH($D719,MODELOS!$A$3:$A$19,0)))</f>
        <v>Galeria · posição 2</v>
      </c>
      <c r="G719" s="11" t="str">
        <f aca="false">IF(INDEX(PRODUTOS!$F$4:$F$63,MATCH($A719,PRODUTOS!$B$4:$B$63,0))="Ração",IF(INDEX(PRODUTOS!$I$4:$I$63,MATCH($A719,PRODUTOS!$B$4:$B$63,0))="B",INDEX(MODELOS!$G$3:$G$19,MATCH($D719,MODELOS!$A$3:$A$19,0)),INDEX(MODELOS!$C$3:$C$19,MATCH($D719,MODELOS!$A$3:$A$19,0))),IF(INDEX(PRODUTOS!$I$4:$I$63,MATCH($A719,PRODUTOS!$B$4:$B$63,0))="B",INDEX(MODELOS!$H$3:$H$19,MATCH($D719,MODELOS!$A$3:$A$19,0)),INDEX(MODELOS!$D$3:$D$19,MATCH($D719,MODELOS!$A$3:$A$19,0))))</f>
        <v>Grande diferencial (ex.: natural, biodegradável, perfumado)</v>
      </c>
      <c r="H719" s="11" t="str">
        <f aca="false">IF(INDEX(PRODUTOS!$I$4:$I$63,MATCH($A719,PRODUTOS!$B$4:$B$63,0))="B",INDEX(MODELOS!$I$3:$I$19,MATCH($D719,MODELOS!$A$3:$A$19,0)),INDEX(MODELOS!$E$3:$E$19,MATCH($D719,MODELOS!$A$3:$A$19,0)))</f>
        <v>2000 × 2000</v>
      </c>
      <c r="I719" s="11" t="str">
        <f aca="false">INDEX(MODELOS!$J$3:$J$19,MATCH($D719,MODELOS!$A$3:$A$19,0))</f>
        <v>SIM</v>
      </c>
      <c r="J719" s="11" t="str">
        <f aca="false">IF(LEFT($D719,2)&lt;&gt;"AP",IF($I719="SIM","SIM","RECOMENDADA"),IF(INDEX(PRODUTOS!$J$4:$J$63,MATCH($A719,PRODUTOS!$B$4:$B$63,0))&lt;&gt;"","NÃO (usa o A+ do EAN "&amp;INDEX(PRODUTOS!$J$4:$J$63,MATCH($A719,PRODUTOS!$B$4:$B$63,0))&amp;")",IF(AND(INDEX(PRODUTOS!$I$4:$I$63,MATCH($A719,PRODUTOS!$B$4:$B$63,0))="B",$D719="AP07"),"NÃO (modelo B)","SIM")))</f>
        <v>SIM</v>
      </c>
      <c r="K719" s="13" t="s">
        <v>325</v>
      </c>
      <c r="L719" s="13"/>
    </row>
    <row r="720" customFormat="false" ht="15" hidden="false" customHeight="false" outlineLevel="0" collapsed="false">
      <c r="A720" s="15" t="s">
        <v>229</v>
      </c>
      <c r="B720" s="11" t="str">
        <f aca="false">INDEX(PRODUTOS!$E$4:$E$63,MATCH($A720,PRODUTOS!$B$4:$B$63,0))</f>
        <v>Biscoito Cães Raças Pequenas e Médias New Dots 400 g</v>
      </c>
      <c r="C720" s="11" t="str">
        <f aca="false">INDEX(PRODUTOS!$H$4:$H$63,MATCH($A720,PRODUTOS!$B$4:$B$63,0))</f>
        <v>400 g</v>
      </c>
      <c r="D720" s="11" t="s">
        <v>327</v>
      </c>
      <c r="E720" s="16" t="str">
        <f aca="false">$A720&amp;"."&amp;$D720&amp;".jpg"</f>
        <v>7908591300017.PT02.jpg</v>
      </c>
      <c r="F720" s="11" t="str">
        <f aca="false">IF(INDEX(PRODUTOS!$I$4:$I$63,MATCH($A720,PRODUTOS!$B$4:$B$63,0))="B",INDEX(MODELOS!$F$3:$F$19,MATCH($D720,MODELOS!$A$3:$A$19,0)),INDEX(MODELOS!$B$3:$B$19,MATCH($D720,MODELOS!$A$3:$A$19,0)))</f>
        <v>Galeria · posição 3</v>
      </c>
      <c r="G720" s="11" t="str">
        <f aca="false">IF(INDEX(PRODUTOS!$F$4:$F$63,MATCH($A720,PRODUTOS!$B$4:$B$63,0))="Ração",IF(INDEX(PRODUTOS!$I$4:$I$63,MATCH($A720,PRODUTOS!$B$4:$B$63,0))="B",INDEX(MODELOS!$G$3:$G$19,MATCH($D720,MODELOS!$A$3:$A$19,0)),INDEX(MODELOS!$C$3:$C$19,MATCH($D720,MODELOS!$A$3:$A$19,0))),IF(INDEX(PRODUTOS!$I$4:$I$63,MATCH($A720,PRODUTOS!$B$4:$B$63,0))="B",INDEX(MODELOS!$H$3:$H$19,MATCH($D720,MODELOS!$A$3:$A$19,0)),INDEX(MODELOS!$D$3:$D$19,MATCH($D720,MODELOS!$A$3:$A$19,0))))</f>
        <v>Benefícios com ícones (4 a 6, impressos na embalagem)</v>
      </c>
      <c r="H720" s="11" t="str">
        <f aca="false">IF(INDEX(PRODUTOS!$I$4:$I$63,MATCH($A720,PRODUTOS!$B$4:$B$63,0))="B",INDEX(MODELOS!$I$3:$I$19,MATCH($D720,MODELOS!$A$3:$A$19,0)),INDEX(MODELOS!$E$3:$E$19,MATCH($D720,MODELOS!$A$3:$A$19,0)))</f>
        <v>2000 × 2000</v>
      </c>
      <c r="I720" s="11" t="str">
        <f aca="false">INDEX(MODELOS!$J$3:$J$19,MATCH($D720,MODELOS!$A$3:$A$19,0))</f>
        <v>SIM</v>
      </c>
      <c r="J720" s="11" t="str">
        <f aca="false">IF(LEFT($D720,2)&lt;&gt;"AP",IF($I720="SIM","SIM","RECOMENDADA"),IF(INDEX(PRODUTOS!$J$4:$J$63,MATCH($A720,PRODUTOS!$B$4:$B$63,0))&lt;&gt;"","NÃO (usa o A+ do EAN "&amp;INDEX(PRODUTOS!$J$4:$J$63,MATCH($A720,PRODUTOS!$B$4:$B$63,0))&amp;")",IF(AND(INDEX(PRODUTOS!$I$4:$I$63,MATCH($A720,PRODUTOS!$B$4:$B$63,0))="B",$D720="AP07"),"NÃO (modelo B)","SIM")))</f>
        <v>SIM</v>
      </c>
      <c r="K720" s="13" t="s">
        <v>325</v>
      </c>
      <c r="L720" s="13"/>
    </row>
    <row r="721" customFormat="false" ht="15" hidden="false" customHeight="false" outlineLevel="0" collapsed="false">
      <c r="A721" s="15" t="s">
        <v>229</v>
      </c>
      <c r="B721" s="11" t="str">
        <f aca="false">INDEX(PRODUTOS!$E$4:$E$63,MATCH($A721,PRODUTOS!$B$4:$B$63,0))</f>
        <v>Biscoito Cães Raças Pequenas e Médias New Dots 400 g</v>
      </c>
      <c r="C721" s="11" t="str">
        <f aca="false">INDEX(PRODUTOS!$H$4:$H$63,MATCH($A721,PRODUTOS!$B$4:$B$63,0))</f>
        <v>400 g</v>
      </c>
      <c r="D721" s="11" t="s">
        <v>328</v>
      </c>
      <c r="E721" s="16" t="str">
        <f aca="false">$A721&amp;"."&amp;$D721&amp;".jpg"</f>
        <v>7908591300017.PT03.jpg</v>
      </c>
      <c r="F721" s="11" t="str">
        <f aca="false">IF(INDEX(PRODUTOS!$I$4:$I$63,MATCH($A721,PRODUTOS!$B$4:$B$63,0))="B",INDEX(MODELOS!$F$3:$F$19,MATCH($D721,MODELOS!$A$3:$A$19,0)),INDEX(MODELOS!$B$3:$B$19,MATCH($D721,MODELOS!$A$3:$A$19,0)))</f>
        <v>Galeria · posição 4</v>
      </c>
      <c r="G721" s="11" t="str">
        <f aca="false">IF(INDEX(PRODUTOS!$F$4:$F$63,MATCH($A721,PRODUTOS!$B$4:$B$63,0))="Ração",IF(INDEX(PRODUTOS!$I$4:$I$63,MATCH($A721,PRODUTOS!$B$4:$B$63,0))="B",INDEX(MODELOS!$G$3:$G$19,MATCH($D721,MODELOS!$A$3:$A$19,0)),INDEX(MODELOS!$C$3:$C$19,MATCH($D721,MODELOS!$A$3:$A$19,0))),IF(INDEX(PRODUTOS!$I$4:$I$63,MATCH($A721,PRODUTOS!$B$4:$B$63,0))="B",INDEX(MODELOS!$H$3:$H$19,MATCH($D721,MODELOS!$A$3:$A$19,0)),INDEX(MODELOS!$D$3:$D$19,MATCH($D721,MODELOS!$A$3:$A$19,0))))</f>
        <v>Detalhe e tamanho real (petisco, grânulo ou tapete aberto), com medidas</v>
      </c>
      <c r="H721" s="11" t="str">
        <f aca="false">IF(INDEX(PRODUTOS!$I$4:$I$63,MATCH($A721,PRODUTOS!$B$4:$B$63,0))="B",INDEX(MODELOS!$I$3:$I$19,MATCH($D721,MODELOS!$A$3:$A$19,0)),INDEX(MODELOS!$E$3:$E$19,MATCH($D721,MODELOS!$A$3:$A$19,0)))</f>
        <v>2000 × 2000</v>
      </c>
      <c r="I721" s="11" t="str">
        <f aca="false">INDEX(MODELOS!$J$3:$J$19,MATCH($D721,MODELOS!$A$3:$A$19,0))</f>
        <v>SIM</v>
      </c>
      <c r="J721" s="11" t="str">
        <f aca="false">IF(LEFT($D721,2)&lt;&gt;"AP",IF($I721="SIM","SIM","RECOMENDADA"),IF(INDEX(PRODUTOS!$J$4:$J$63,MATCH($A721,PRODUTOS!$B$4:$B$63,0))&lt;&gt;"","NÃO (usa o A+ do EAN "&amp;INDEX(PRODUTOS!$J$4:$J$63,MATCH($A721,PRODUTOS!$B$4:$B$63,0))&amp;")",IF(AND(INDEX(PRODUTOS!$I$4:$I$63,MATCH($A721,PRODUTOS!$B$4:$B$63,0))="B",$D721="AP07"),"NÃO (modelo B)","SIM")))</f>
        <v>SIM</v>
      </c>
      <c r="K721" s="13" t="s">
        <v>325</v>
      </c>
      <c r="L721" s="13"/>
    </row>
    <row r="722" customFormat="false" ht="15" hidden="false" customHeight="false" outlineLevel="0" collapsed="false">
      <c r="A722" s="15" t="s">
        <v>229</v>
      </c>
      <c r="B722" s="11" t="str">
        <f aca="false">INDEX(PRODUTOS!$E$4:$E$63,MATCH($A722,PRODUTOS!$B$4:$B$63,0))</f>
        <v>Biscoito Cães Raças Pequenas e Médias New Dots 400 g</v>
      </c>
      <c r="C722" s="11" t="str">
        <f aca="false">INDEX(PRODUTOS!$H$4:$H$63,MATCH($A722,PRODUTOS!$B$4:$B$63,0))</f>
        <v>400 g</v>
      </c>
      <c r="D722" s="11" t="s">
        <v>329</v>
      </c>
      <c r="E722" s="16" t="str">
        <f aca="false">$A722&amp;"."&amp;$D722&amp;".jpg"</f>
        <v>7908591300017.PT04.jpg</v>
      </c>
      <c r="F722" s="11" t="str">
        <f aca="false">IF(INDEX(PRODUTOS!$I$4:$I$63,MATCH($A722,PRODUTOS!$B$4:$B$63,0))="B",INDEX(MODELOS!$F$3:$F$19,MATCH($D722,MODELOS!$A$3:$A$19,0)),INDEX(MODELOS!$B$3:$B$19,MATCH($D722,MODELOS!$A$3:$A$19,0)))</f>
        <v>Galeria · posição 5</v>
      </c>
      <c r="G722" s="11" t="str">
        <f aca="false">IF(INDEX(PRODUTOS!$F$4:$F$63,MATCH($A722,PRODUTOS!$B$4:$B$63,0))="Ração",IF(INDEX(PRODUTOS!$I$4:$I$63,MATCH($A722,PRODUTOS!$B$4:$B$63,0))="B",INDEX(MODELOS!$G$3:$G$19,MATCH($D722,MODELOS!$A$3:$A$19,0)),INDEX(MODELOS!$C$3:$C$19,MATCH($D722,MODELOS!$A$3:$A$19,0))),IF(INDEX(PRODUTOS!$I$4:$I$63,MATCH($A722,PRODUTOS!$B$4:$B$63,0))="B",INDEX(MODELOS!$H$3:$H$19,MATCH($D722,MODELOS!$A$3:$A$19,0)),INDEX(MODELOS!$D$3:$D$19,MATCH($D722,MODELOS!$A$3:$A$19,0))))</f>
        <v>Modo de uso (como oferecer o petisco / como usar o produto)</v>
      </c>
      <c r="H722" s="11" t="str">
        <f aca="false">IF(INDEX(PRODUTOS!$I$4:$I$63,MATCH($A722,PRODUTOS!$B$4:$B$63,0))="B",INDEX(MODELOS!$I$3:$I$19,MATCH($D722,MODELOS!$A$3:$A$19,0)),INDEX(MODELOS!$E$3:$E$19,MATCH($D722,MODELOS!$A$3:$A$19,0)))</f>
        <v>2000 × 2000</v>
      </c>
      <c r="I722" s="11" t="str">
        <f aca="false">INDEX(MODELOS!$J$3:$J$19,MATCH($D722,MODELOS!$A$3:$A$19,0))</f>
        <v>SIM</v>
      </c>
      <c r="J722" s="11" t="str">
        <f aca="false">IF(LEFT($D722,2)&lt;&gt;"AP",IF($I722="SIM","SIM","RECOMENDADA"),IF(INDEX(PRODUTOS!$J$4:$J$63,MATCH($A722,PRODUTOS!$B$4:$B$63,0))&lt;&gt;"","NÃO (usa o A+ do EAN "&amp;INDEX(PRODUTOS!$J$4:$J$63,MATCH($A722,PRODUTOS!$B$4:$B$63,0))&amp;")",IF(AND(INDEX(PRODUTOS!$I$4:$I$63,MATCH($A722,PRODUTOS!$B$4:$B$63,0))="B",$D722="AP07"),"NÃO (modelo B)","SIM")))</f>
        <v>SIM</v>
      </c>
      <c r="K722" s="13" t="s">
        <v>325</v>
      </c>
      <c r="L722" s="13"/>
    </row>
    <row r="723" customFormat="false" ht="15" hidden="false" customHeight="false" outlineLevel="0" collapsed="false">
      <c r="A723" s="15" t="s">
        <v>229</v>
      </c>
      <c r="B723" s="11" t="str">
        <f aca="false">INDEX(PRODUTOS!$E$4:$E$63,MATCH($A723,PRODUTOS!$B$4:$B$63,0))</f>
        <v>Biscoito Cães Raças Pequenas e Médias New Dots 400 g</v>
      </c>
      <c r="C723" s="11" t="str">
        <f aca="false">INDEX(PRODUTOS!$H$4:$H$63,MATCH($A723,PRODUTOS!$B$4:$B$63,0))</f>
        <v>400 g</v>
      </c>
      <c r="D723" s="11" t="s">
        <v>330</v>
      </c>
      <c r="E723" s="16" t="str">
        <f aca="false">$A723&amp;"."&amp;$D723&amp;".jpg"</f>
        <v>7908591300017.PT05.jpg</v>
      </c>
      <c r="F723" s="11" t="str">
        <f aca="false">IF(INDEX(PRODUTOS!$I$4:$I$63,MATCH($A723,PRODUTOS!$B$4:$B$63,0))="B",INDEX(MODELOS!$F$3:$F$19,MATCH($D723,MODELOS!$A$3:$A$19,0)),INDEX(MODELOS!$B$3:$B$19,MATCH($D723,MODELOS!$A$3:$A$19,0)))</f>
        <v>Galeria · posição 6</v>
      </c>
      <c r="G723" s="11" t="str">
        <f aca="false">IF(INDEX(PRODUTOS!$F$4:$F$63,MATCH($A723,PRODUTOS!$B$4:$B$63,0))="Ração",IF(INDEX(PRODUTOS!$I$4:$I$63,MATCH($A723,PRODUTOS!$B$4:$B$63,0))="B",INDEX(MODELOS!$G$3:$G$19,MATCH($D723,MODELOS!$A$3:$A$19,0)),INDEX(MODELOS!$C$3:$C$19,MATCH($D723,MODELOS!$A$3:$A$19,0))),IF(INDEX(PRODUTOS!$I$4:$I$63,MATCH($A723,PRODUTOS!$B$4:$B$63,0))="B",INDEX(MODELOS!$H$3:$H$19,MATCH($D723,MODELOS!$A$3:$A$19,0)),INDEX(MODELOS!$D$3:$D$19,MATCH($D723,MODELOS!$A$3:$A$19,0))))</f>
        <v>Quantidade por dia ou rendimento do pacote</v>
      </c>
      <c r="H723" s="11" t="str">
        <f aca="false">IF(INDEX(PRODUTOS!$I$4:$I$63,MATCH($A723,PRODUTOS!$B$4:$B$63,0))="B",INDEX(MODELOS!$I$3:$I$19,MATCH($D723,MODELOS!$A$3:$A$19,0)),INDEX(MODELOS!$E$3:$E$19,MATCH($D723,MODELOS!$A$3:$A$19,0)))</f>
        <v>2000 × 2000</v>
      </c>
      <c r="I723" s="11" t="str">
        <f aca="false">INDEX(MODELOS!$J$3:$J$19,MATCH($D723,MODELOS!$A$3:$A$19,0))</f>
        <v>Recomendada</v>
      </c>
      <c r="J723" s="11" t="str">
        <f aca="false">IF(LEFT($D723,2)&lt;&gt;"AP",IF($I723="SIM","SIM","RECOMENDADA"),IF(INDEX(PRODUTOS!$J$4:$J$63,MATCH($A723,PRODUTOS!$B$4:$B$63,0))&lt;&gt;"","NÃO (usa o A+ do EAN "&amp;INDEX(PRODUTOS!$J$4:$J$63,MATCH($A723,PRODUTOS!$B$4:$B$63,0))&amp;")",IF(AND(INDEX(PRODUTOS!$I$4:$I$63,MATCH($A723,PRODUTOS!$B$4:$B$63,0))="B",$D723="AP07"),"NÃO (modelo B)","SIM")))</f>
        <v>RECOMENDADA</v>
      </c>
      <c r="K723" s="13" t="s">
        <v>325</v>
      </c>
      <c r="L723" s="13"/>
    </row>
    <row r="724" customFormat="false" ht="15" hidden="false" customHeight="false" outlineLevel="0" collapsed="false">
      <c r="A724" s="15" t="s">
        <v>229</v>
      </c>
      <c r="B724" s="11" t="str">
        <f aca="false">INDEX(PRODUTOS!$E$4:$E$63,MATCH($A724,PRODUTOS!$B$4:$B$63,0))</f>
        <v>Biscoito Cães Raças Pequenas e Médias New Dots 400 g</v>
      </c>
      <c r="C724" s="11" t="str">
        <f aca="false">INDEX(PRODUTOS!$H$4:$H$63,MATCH($A724,PRODUTOS!$B$4:$B$63,0))</f>
        <v>400 g</v>
      </c>
      <c r="D724" s="11" t="s">
        <v>331</v>
      </c>
      <c r="E724" s="16" t="str">
        <f aca="false">$A724&amp;"."&amp;$D724&amp;".jpg"</f>
        <v>7908591300017.PT06.jpg</v>
      </c>
      <c r="F724" s="11" t="str">
        <f aca="false">IF(INDEX(PRODUTOS!$I$4:$I$63,MATCH($A724,PRODUTOS!$B$4:$B$63,0))="B",INDEX(MODELOS!$F$3:$F$19,MATCH($D724,MODELOS!$A$3:$A$19,0)),INDEX(MODELOS!$B$3:$B$19,MATCH($D724,MODELOS!$A$3:$A$19,0)))</f>
        <v>Galeria · posição 7</v>
      </c>
      <c r="G724" s="11" t="str">
        <f aca="false">IF(INDEX(PRODUTOS!$F$4:$F$63,MATCH($A724,PRODUTOS!$B$4:$B$63,0))="Ração",IF(INDEX(PRODUTOS!$I$4:$I$63,MATCH($A724,PRODUTOS!$B$4:$B$63,0))="B",INDEX(MODELOS!$G$3:$G$19,MATCH($D724,MODELOS!$A$3:$A$19,0)),INDEX(MODELOS!$C$3:$C$19,MATCH($D724,MODELOS!$A$3:$A$19,0))),IF(INDEX(PRODUTOS!$I$4:$I$63,MATCH($A724,PRODUTOS!$B$4:$B$63,0))="B",INDEX(MODELOS!$H$3:$H$19,MATCH($D724,MODELOS!$A$3:$A$19,0)),INDEX(MODELOS!$D$3:$D$19,MATCH($D724,MODELOS!$A$3:$A$19,0))))</f>
        <v>Composição/níveis de garantia (petiscos) ou especificações (higiene)</v>
      </c>
      <c r="H724" s="11" t="str">
        <f aca="false">IF(INDEX(PRODUTOS!$I$4:$I$63,MATCH($A724,PRODUTOS!$B$4:$B$63,0))="B",INDEX(MODELOS!$I$3:$I$19,MATCH($D724,MODELOS!$A$3:$A$19,0)),INDEX(MODELOS!$E$3:$E$19,MATCH($D724,MODELOS!$A$3:$A$19,0)))</f>
        <v>2000 × 2000</v>
      </c>
      <c r="I724" s="11" t="str">
        <f aca="false">INDEX(MODELOS!$J$3:$J$19,MATCH($D724,MODELOS!$A$3:$A$19,0))</f>
        <v>SIM</v>
      </c>
      <c r="J724" s="11" t="str">
        <f aca="false">IF(LEFT($D724,2)&lt;&gt;"AP",IF($I724="SIM","SIM","RECOMENDADA"),IF(INDEX(PRODUTOS!$J$4:$J$63,MATCH($A724,PRODUTOS!$B$4:$B$63,0))&lt;&gt;"","NÃO (usa o A+ do EAN "&amp;INDEX(PRODUTOS!$J$4:$J$63,MATCH($A724,PRODUTOS!$B$4:$B$63,0))&amp;")",IF(AND(INDEX(PRODUTOS!$I$4:$I$63,MATCH($A724,PRODUTOS!$B$4:$B$63,0))="B",$D724="AP07"),"NÃO (modelo B)","SIM")))</f>
        <v>SIM</v>
      </c>
      <c r="K724" s="13" t="s">
        <v>325</v>
      </c>
      <c r="L724" s="13"/>
    </row>
    <row r="725" customFormat="false" ht="15" hidden="false" customHeight="false" outlineLevel="0" collapsed="false">
      <c r="A725" s="15" t="s">
        <v>229</v>
      </c>
      <c r="B725" s="11" t="str">
        <f aca="false">INDEX(PRODUTOS!$E$4:$E$63,MATCH($A725,PRODUTOS!$B$4:$B$63,0))</f>
        <v>Biscoito Cães Raças Pequenas e Médias New Dots 400 g</v>
      </c>
      <c r="C725" s="11" t="str">
        <f aca="false">INDEX(PRODUTOS!$H$4:$H$63,MATCH($A725,PRODUTOS!$B$4:$B$63,0))</f>
        <v>400 g</v>
      </c>
      <c r="D725" s="11" t="s">
        <v>332</v>
      </c>
      <c r="E725" s="16" t="str">
        <f aca="false">$A725&amp;"."&amp;$D725&amp;".jpg"</f>
        <v>7908591300017.PT07.jpg</v>
      </c>
      <c r="F725" s="11" t="str">
        <f aca="false">IF(INDEX(PRODUTOS!$I$4:$I$63,MATCH($A725,PRODUTOS!$B$4:$B$63,0))="B",INDEX(MODELOS!$F$3:$F$19,MATCH($D725,MODELOS!$A$3:$A$19,0)),INDEX(MODELOS!$B$3:$B$19,MATCH($D725,MODELOS!$A$3:$A$19,0)))</f>
        <v>Galeria · posição 8</v>
      </c>
      <c r="G725" s="11" t="str">
        <f aca="false">IF(INDEX(PRODUTOS!$F$4:$F$63,MATCH($A725,PRODUTOS!$B$4:$B$63,0))="Ração",IF(INDEX(PRODUTOS!$I$4:$I$63,MATCH($A725,PRODUTOS!$B$4:$B$63,0))="B",INDEX(MODELOS!$G$3:$G$19,MATCH($D725,MODELOS!$A$3:$A$19,0)),INDEX(MODELOS!$C$3:$C$19,MATCH($D725,MODELOS!$A$3:$A$19,0))),IF(INDEX(PRODUTOS!$I$4:$I$63,MATCH($A725,PRODUTOS!$B$4:$B$63,0))="B",INDEX(MODELOS!$H$3:$H$19,MATCH($D725,MODELOS!$A$3:$A$19,0)),INDEX(MODELOS!$D$3:$D$19,MATCH($D725,MODELOS!$A$3:$A$19,0))))</f>
        <v>Emocional / momento de uso</v>
      </c>
      <c r="H725" s="11" t="str">
        <f aca="false">IF(INDEX(PRODUTOS!$I$4:$I$63,MATCH($A725,PRODUTOS!$B$4:$B$63,0))="B",INDEX(MODELOS!$I$3:$I$19,MATCH($D725,MODELOS!$A$3:$A$19,0)),INDEX(MODELOS!$E$3:$E$19,MATCH($D725,MODELOS!$A$3:$A$19,0)))</f>
        <v>2000 × 2000</v>
      </c>
      <c r="I725" s="11" t="str">
        <f aca="false">INDEX(MODELOS!$J$3:$J$19,MATCH($D725,MODELOS!$A$3:$A$19,0))</f>
        <v>Recomendada</v>
      </c>
      <c r="J725" s="11" t="str">
        <f aca="false">IF(LEFT($D725,2)&lt;&gt;"AP",IF($I725="SIM","SIM","RECOMENDADA"),IF(INDEX(PRODUTOS!$J$4:$J$63,MATCH($A725,PRODUTOS!$B$4:$B$63,0))&lt;&gt;"","NÃO (usa o A+ do EAN "&amp;INDEX(PRODUTOS!$J$4:$J$63,MATCH($A725,PRODUTOS!$B$4:$B$63,0))&amp;")",IF(AND(INDEX(PRODUTOS!$I$4:$I$63,MATCH($A725,PRODUTOS!$B$4:$B$63,0))="B",$D725="AP07"),"NÃO (modelo B)","SIM")))</f>
        <v>RECOMENDADA</v>
      </c>
      <c r="K725" s="13" t="s">
        <v>325</v>
      </c>
      <c r="L725" s="13"/>
    </row>
    <row r="726" customFormat="false" ht="15" hidden="false" customHeight="false" outlineLevel="0" collapsed="false">
      <c r="A726" s="15" t="s">
        <v>229</v>
      </c>
      <c r="B726" s="11" t="str">
        <f aca="false">INDEX(PRODUTOS!$E$4:$E$63,MATCH($A726,PRODUTOS!$B$4:$B$63,0))</f>
        <v>Biscoito Cães Raças Pequenas e Médias New Dots 400 g</v>
      </c>
      <c r="C726" s="11" t="str">
        <f aca="false">INDEX(PRODUTOS!$H$4:$H$63,MATCH($A726,PRODUTOS!$B$4:$B$63,0))</f>
        <v>400 g</v>
      </c>
      <c r="D726" s="11" t="s">
        <v>333</v>
      </c>
      <c r="E726" s="16" t="str">
        <f aca="false">$A726&amp;"."&amp;$D726&amp;".jpg"</f>
        <v>7908591300017.PT08.jpg</v>
      </c>
      <c r="F726" s="11" t="str">
        <f aca="false">IF(INDEX(PRODUTOS!$I$4:$I$63,MATCH($A726,PRODUTOS!$B$4:$B$63,0))="B",INDEX(MODELOS!$F$3:$F$19,MATCH($D726,MODELOS!$A$3:$A$19,0)),INDEX(MODELOS!$B$3:$B$19,MATCH($D726,MODELOS!$A$3:$A$19,0)))</f>
        <v>Galeria · posição 9</v>
      </c>
      <c r="G726" s="11" t="str">
        <f aca="false">IF(INDEX(PRODUTOS!$F$4:$F$63,MATCH($A726,PRODUTOS!$B$4:$B$63,0))="Ração",IF(INDEX(PRODUTOS!$I$4:$I$63,MATCH($A726,PRODUTOS!$B$4:$B$63,0))="B",INDEX(MODELOS!$G$3:$G$19,MATCH($D726,MODELOS!$A$3:$A$19,0)),INDEX(MODELOS!$C$3:$C$19,MATCH($D726,MODELOS!$A$3:$A$19,0))),IF(INDEX(PRODUTOS!$I$4:$I$63,MATCH($A726,PRODUTOS!$B$4:$B$63,0))="B",INDEX(MODELOS!$H$3:$H$19,MATCH($D726,MODELOS!$A$3:$A$19,0)),INDEX(MODELOS!$D$3:$D$19,MATCH($D726,MODELOS!$A$3:$A$19,0))))</f>
        <v>Linha da marca ("conheça também")</v>
      </c>
      <c r="H726" s="11" t="str">
        <f aca="false">IF(INDEX(PRODUTOS!$I$4:$I$63,MATCH($A726,PRODUTOS!$B$4:$B$63,0))="B",INDEX(MODELOS!$I$3:$I$19,MATCH($D726,MODELOS!$A$3:$A$19,0)),INDEX(MODELOS!$E$3:$E$19,MATCH($D726,MODELOS!$A$3:$A$19,0)))</f>
        <v>2000 × 2000</v>
      </c>
      <c r="I726" s="11" t="str">
        <f aca="false">INDEX(MODELOS!$J$3:$J$19,MATCH($D726,MODELOS!$A$3:$A$19,0))</f>
        <v>Recomendada</v>
      </c>
      <c r="J726" s="11" t="str">
        <f aca="false">IF(LEFT($D726,2)&lt;&gt;"AP",IF($I726="SIM","SIM","RECOMENDADA"),IF(INDEX(PRODUTOS!$J$4:$J$63,MATCH($A726,PRODUTOS!$B$4:$B$63,0))&lt;&gt;"","NÃO (usa o A+ do EAN "&amp;INDEX(PRODUTOS!$J$4:$J$63,MATCH($A726,PRODUTOS!$B$4:$B$63,0))&amp;")",IF(AND(INDEX(PRODUTOS!$I$4:$I$63,MATCH($A726,PRODUTOS!$B$4:$B$63,0))="B",$D726="AP07"),"NÃO (modelo B)","SIM")))</f>
        <v>RECOMENDADA</v>
      </c>
      <c r="K726" s="13" t="s">
        <v>325</v>
      </c>
      <c r="L726" s="13"/>
    </row>
    <row r="727" customFormat="false" ht="15" hidden="false" customHeight="false" outlineLevel="0" collapsed="false">
      <c r="A727" s="15" t="s">
        <v>229</v>
      </c>
      <c r="B727" s="11" t="str">
        <f aca="false">INDEX(PRODUTOS!$E$4:$E$63,MATCH($A727,PRODUTOS!$B$4:$B$63,0))</f>
        <v>Biscoito Cães Raças Pequenas e Médias New Dots 400 g</v>
      </c>
      <c r="C727" s="11" t="str">
        <f aca="false">INDEX(PRODUTOS!$H$4:$H$63,MATCH($A727,PRODUTOS!$B$4:$B$63,0))</f>
        <v>400 g</v>
      </c>
      <c r="D727" s="11" t="s">
        <v>334</v>
      </c>
      <c r="E727" s="16" t="str">
        <f aca="false">$A727&amp;"."&amp;$D727&amp;".jpg"</f>
        <v>7908591300017.AP01.jpg</v>
      </c>
      <c r="F727" s="11" t="str">
        <f aca="false">IF(INDEX(PRODUTOS!$I$4:$I$63,MATCH($A727,PRODUTOS!$B$4:$B$63,0))="B",INDEX(MODELOS!$F$3:$F$19,MATCH($D727,MODELOS!$A$3:$A$19,0)),INDEX(MODELOS!$B$3:$B$19,MATCH($D727,MODELOS!$A$3:$A$19,0)))</f>
        <v>A+ · Módulo 1 · Banner</v>
      </c>
      <c r="G727" s="11" t="str">
        <f aca="false">IF(INDEX(PRODUTOS!$F$4:$F$63,MATCH($A727,PRODUTOS!$B$4:$B$63,0))="Ração",IF(INDEX(PRODUTOS!$I$4:$I$63,MATCH($A727,PRODUTOS!$B$4:$B$63,0))="B",INDEX(MODELOS!$G$3:$G$19,MATCH($D727,MODELOS!$A$3:$A$19,0)),INDEX(MODELOS!$C$3:$C$19,MATCH($D727,MODELOS!$A$3:$A$19,0))),IF(INDEX(PRODUTOS!$I$4:$I$63,MATCH($A727,PRODUTOS!$B$4:$B$63,0))="B",INDEX(MODELOS!$H$3:$H$19,MATCH($D727,MODELOS!$A$3:$A$19,0)),INDEX(MODELOS!$D$3:$D$19,MATCH($D727,MODELOS!$A$3:$A$19,0))))</f>
        <v>Produto + pet, com o nome da linha</v>
      </c>
      <c r="H727" s="11" t="str">
        <f aca="false">IF(INDEX(PRODUTOS!$I$4:$I$63,MATCH($A727,PRODUTOS!$B$4:$B$63,0))="B",INDEX(MODELOS!$I$3:$I$19,MATCH($D727,MODELOS!$A$3:$A$19,0)),INDEX(MODELOS!$E$3:$E$19,MATCH($D727,MODELOS!$A$3:$A$19,0)))</f>
        <v>970 × 600</v>
      </c>
      <c r="I727" s="11" t="str">
        <f aca="false">INDEX(MODELOS!$J$3:$J$19,MATCH($D727,MODELOS!$A$3:$A$19,0))</f>
        <v>Conforme modelo</v>
      </c>
      <c r="J727" s="11" t="str">
        <f aca="false">IF(LEFT($D727,2)&lt;&gt;"AP",IF($I727="SIM","SIM","RECOMENDADA"),IF(INDEX(PRODUTOS!$J$4:$J$63,MATCH($A727,PRODUTOS!$B$4:$B$63,0))&lt;&gt;"","NÃO (usa o A+ do EAN "&amp;INDEX(PRODUTOS!$J$4:$J$63,MATCH($A727,PRODUTOS!$B$4:$B$63,0))&amp;")",IF(AND(INDEX(PRODUTOS!$I$4:$I$63,MATCH($A727,PRODUTOS!$B$4:$B$63,0))="B",$D727="AP07"),"NÃO (modelo B)","SIM")))</f>
        <v>SIM</v>
      </c>
      <c r="K727" s="13" t="s">
        <v>325</v>
      </c>
      <c r="L727" s="13"/>
    </row>
    <row r="728" customFormat="false" ht="15" hidden="false" customHeight="false" outlineLevel="0" collapsed="false">
      <c r="A728" s="15" t="s">
        <v>229</v>
      </c>
      <c r="B728" s="11" t="str">
        <f aca="false">INDEX(PRODUTOS!$E$4:$E$63,MATCH($A728,PRODUTOS!$B$4:$B$63,0))</f>
        <v>Biscoito Cães Raças Pequenas e Médias New Dots 400 g</v>
      </c>
      <c r="C728" s="11" t="str">
        <f aca="false">INDEX(PRODUTOS!$H$4:$H$63,MATCH($A728,PRODUTOS!$B$4:$B$63,0))</f>
        <v>400 g</v>
      </c>
      <c r="D728" s="11" t="s">
        <v>335</v>
      </c>
      <c r="E728" s="16" t="str">
        <f aca="false">$A728&amp;"."&amp;$D728&amp;".jpg"</f>
        <v>7908591300017.AP02.jpg</v>
      </c>
      <c r="F728" s="11" t="str">
        <f aca="false">IF(INDEX(PRODUTOS!$I$4:$I$63,MATCH($A728,PRODUTOS!$B$4:$B$63,0))="B",INDEX(MODELOS!$F$3:$F$19,MATCH($D728,MODELOS!$A$3:$A$19,0)),INDEX(MODELOS!$B$3:$B$19,MATCH($D728,MODELOS!$A$3:$A$19,0)))</f>
        <v>A+ · Módulo 2 · Texto sobreposto</v>
      </c>
      <c r="G728" s="11" t="str">
        <f aca="false">IF(INDEX(PRODUTOS!$F$4:$F$63,MATCH($A728,PRODUTOS!$B$4:$B$63,0))="Ração",IF(INDEX(PRODUTOS!$I$4:$I$63,MATCH($A728,PRODUTOS!$B$4:$B$63,0))="B",INDEX(MODELOS!$G$3:$G$19,MATCH($D728,MODELOS!$A$3:$A$19,0)),INDEX(MODELOS!$C$3:$C$19,MATCH($D728,MODELOS!$A$3:$A$19,0))),IF(INDEX(PRODUTOS!$I$4:$I$63,MATCH($A728,PRODUTOS!$B$4:$B$63,0))="B",INDEX(MODELOS!$H$3:$H$19,MATCH($D728,MODELOS!$A$3:$A$19,0)),INDEX(MODELOS!$D$3:$D$19,MATCH($D728,MODELOS!$A$3:$A$19,0))))</f>
        <v>Principal diferencial; deixar o lado direito limpo</v>
      </c>
      <c r="H728" s="11" t="str">
        <f aca="false">IF(INDEX(PRODUTOS!$I$4:$I$63,MATCH($A728,PRODUTOS!$B$4:$B$63,0))="B",INDEX(MODELOS!$I$3:$I$19,MATCH($D728,MODELOS!$A$3:$A$19,0)),INDEX(MODELOS!$E$3:$E$19,MATCH($D728,MODELOS!$A$3:$A$19,0)))</f>
        <v>970 × 300</v>
      </c>
      <c r="I728" s="11" t="str">
        <f aca="false">INDEX(MODELOS!$J$3:$J$19,MATCH($D728,MODELOS!$A$3:$A$19,0))</f>
        <v>Conforme modelo</v>
      </c>
      <c r="J728" s="11" t="str">
        <f aca="false">IF(LEFT($D728,2)&lt;&gt;"AP",IF($I728="SIM","SIM","RECOMENDADA"),IF(INDEX(PRODUTOS!$J$4:$J$63,MATCH($A728,PRODUTOS!$B$4:$B$63,0))&lt;&gt;"","NÃO (usa o A+ do EAN "&amp;INDEX(PRODUTOS!$J$4:$J$63,MATCH($A728,PRODUTOS!$B$4:$B$63,0))&amp;")",IF(AND(INDEX(PRODUTOS!$I$4:$I$63,MATCH($A728,PRODUTOS!$B$4:$B$63,0))="B",$D728="AP07"),"NÃO (modelo B)","SIM")))</f>
        <v>SIM</v>
      </c>
      <c r="K728" s="13" t="s">
        <v>325</v>
      </c>
      <c r="L728" s="13"/>
    </row>
    <row r="729" customFormat="false" ht="15" hidden="false" customHeight="false" outlineLevel="0" collapsed="false">
      <c r="A729" s="15" t="s">
        <v>229</v>
      </c>
      <c r="B729" s="11" t="str">
        <f aca="false">INDEX(PRODUTOS!$E$4:$E$63,MATCH($A729,PRODUTOS!$B$4:$B$63,0))</f>
        <v>Biscoito Cães Raças Pequenas e Médias New Dots 400 g</v>
      </c>
      <c r="C729" s="11" t="str">
        <f aca="false">INDEX(PRODUTOS!$H$4:$H$63,MATCH($A729,PRODUTOS!$B$4:$B$63,0))</f>
        <v>400 g</v>
      </c>
      <c r="D729" s="11" t="s">
        <v>336</v>
      </c>
      <c r="E729" s="16" t="str">
        <f aca="false">$A729&amp;"."&amp;$D729&amp;".jpg"</f>
        <v>7908591300017.AP03.jpg</v>
      </c>
      <c r="F729" s="11" t="str">
        <f aca="false">IF(INDEX(PRODUTOS!$I$4:$I$63,MATCH($A729,PRODUTOS!$B$4:$B$63,0))="B",INDEX(MODELOS!$F$3:$F$19,MATCH($D729,MODELOS!$A$3:$A$19,0)),INDEX(MODELOS!$B$3:$B$19,MATCH($D729,MODELOS!$A$3:$A$19,0)))</f>
        <v>A+ · Módulo 3 · Benefício 1 de 4</v>
      </c>
      <c r="G729" s="11" t="str">
        <f aca="false">IF(INDEX(PRODUTOS!$F$4:$F$63,MATCH($A729,PRODUTOS!$B$4:$B$63,0))="Ração",IF(INDEX(PRODUTOS!$I$4:$I$63,MATCH($A729,PRODUTOS!$B$4:$B$63,0))="B",INDEX(MODELOS!$G$3:$G$19,MATCH($D729,MODELOS!$A$3:$A$19,0)),INDEX(MODELOS!$C$3:$C$19,MATCH($D729,MODELOS!$A$3:$A$19,0))),IF(INDEX(PRODUTOS!$I$4:$I$63,MATCH($A729,PRODUTOS!$B$4:$B$63,0))="B",INDEX(MODELOS!$H$3:$H$19,MATCH($D729,MODELOS!$A$3:$A$19,0)),INDEX(MODELOS!$D$3:$D$19,MATCH($D729,MODELOS!$A$3:$A$19,0))))</f>
        <v>Foto/ilustração do benefício 1</v>
      </c>
      <c r="H729" s="11" t="str">
        <f aca="false">IF(INDEX(PRODUTOS!$I$4:$I$63,MATCH($A729,PRODUTOS!$B$4:$B$63,0))="B",INDEX(MODELOS!$I$3:$I$19,MATCH($D729,MODELOS!$A$3:$A$19,0)),INDEX(MODELOS!$E$3:$E$19,MATCH($D729,MODELOS!$A$3:$A$19,0)))</f>
        <v>220 × 200</v>
      </c>
      <c r="I729" s="11" t="str">
        <f aca="false">INDEX(MODELOS!$J$3:$J$19,MATCH($D729,MODELOS!$A$3:$A$19,0))</f>
        <v>Conforme modelo</v>
      </c>
      <c r="J729" s="11" t="str">
        <f aca="false">IF(LEFT($D729,2)&lt;&gt;"AP",IF($I729="SIM","SIM","RECOMENDADA"),IF(INDEX(PRODUTOS!$J$4:$J$63,MATCH($A729,PRODUTOS!$B$4:$B$63,0))&lt;&gt;"","NÃO (usa o A+ do EAN "&amp;INDEX(PRODUTOS!$J$4:$J$63,MATCH($A729,PRODUTOS!$B$4:$B$63,0))&amp;")",IF(AND(INDEX(PRODUTOS!$I$4:$I$63,MATCH($A729,PRODUTOS!$B$4:$B$63,0))="B",$D729="AP07"),"NÃO (modelo B)","SIM")))</f>
        <v>SIM</v>
      </c>
      <c r="K729" s="13" t="s">
        <v>325</v>
      </c>
      <c r="L729" s="13"/>
    </row>
    <row r="730" customFormat="false" ht="15" hidden="false" customHeight="false" outlineLevel="0" collapsed="false">
      <c r="A730" s="15" t="s">
        <v>229</v>
      </c>
      <c r="B730" s="11" t="str">
        <f aca="false">INDEX(PRODUTOS!$E$4:$E$63,MATCH($A730,PRODUTOS!$B$4:$B$63,0))</f>
        <v>Biscoito Cães Raças Pequenas e Médias New Dots 400 g</v>
      </c>
      <c r="C730" s="11" t="str">
        <f aca="false">INDEX(PRODUTOS!$H$4:$H$63,MATCH($A730,PRODUTOS!$B$4:$B$63,0))</f>
        <v>400 g</v>
      </c>
      <c r="D730" s="11" t="s">
        <v>337</v>
      </c>
      <c r="E730" s="16" t="str">
        <f aca="false">$A730&amp;"."&amp;$D730&amp;".jpg"</f>
        <v>7908591300017.AP04.jpg</v>
      </c>
      <c r="F730" s="11" t="str">
        <f aca="false">IF(INDEX(PRODUTOS!$I$4:$I$63,MATCH($A730,PRODUTOS!$B$4:$B$63,0))="B",INDEX(MODELOS!$F$3:$F$19,MATCH($D730,MODELOS!$A$3:$A$19,0)),INDEX(MODELOS!$B$3:$B$19,MATCH($D730,MODELOS!$A$3:$A$19,0)))</f>
        <v>A+ · Módulo 3 · Benefício 2 de 4</v>
      </c>
      <c r="G730" s="11" t="str">
        <f aca="false">IF(INDEX(PRODUTOS!$F$4:$F$63,MATCH($A730,PRODUTOS!$B$4:$B$63,0))="Ração",IF(INDEX(PRODUTOS!$I$4:$I$63,MATCH($A730,PRODUTOS!$B$4:$B$63,0))="B",INDEX(MODELOS!$G$3:$G$19,MATCH($D730,MODELOS!$A$3:$A$19,0)),INDEX(MODELOS!$C$3:$C$19,MATCH($D730,MODELOS!$A$3:$A$19,0))),IF(INDEX(PRODUTOS!$I$4:$I$63,MATCH($A730,PRODUTOS!$B$4:$B$63,0))="B",INDEX(MODELOS!$H$3:$H$19,MATCH($D730,MODELOS!$A$3:$A$19,0)),INDEX(MODELOS!$D$3:$D$19,MATCH($D730,MODELOS!$A$3:$A$19,0))))</f>
        <v>Foto/ilustração do benefício 2</v>
      </c>
      <c r="H730" s="11" t="str">
        <f aca="false">IF(INDEX(PRODUTOS!$I$4:$I$63,MATCH($A730,PRODUTOS!$B$4:$B$63,0))="B",INDEX(MODELOS!$I$3:$I$19,MATCH($D730,MODELOS!$A$3:$A$19,0)),INDEX(MODELOS!$E$3:$E$19,MATCH($D730,MODELOS!$A$3:$A$19,0)))</f>
        <v>220 × 200</v>
      </c>
      <c r="I730" s="11" t="str">
        <f aca="false">INDEX(MODELOS!$J$3:$J$19,MATCH($D730,MODELOS!$A$3:$A$19,0))</f>
        <v>Conforme modelo</v>
      </c>
      <c r="J730" s="11" t="str">
        <f aca="false">IF(LEFT($D730,2)&lt;&gt;"AP",IF($I730="SIM","SIM","RECOMENDADA"),IF(INDEX(PRODUTOS!$J$4:$J$63,MATCH($A730,PRODUTOS!$B$4:$B$63,0))&lt;&gt;"","NÃO (usa o A+ do EAN "&amp;INDEX(PRODUTOS!$J$4:$J$63,MATCH($A730,PRODUTOS!$B$4:$B$63,0))&amp;")",IF(AND(INDEX(PRODUTOS!$I$4:$I$63,MATCH($A730,PRODUTOS!$B$4:$B$63,0))="B",$D730="AP07"),"NÃO (modelo B)","SIM")))</f>
        <v>SIM</v>
      </c>
      <c r="K730" s="13" t="s">
        <v>325</v>
      </c>
      <c r="L730" s="13"/>
    </row>
    <row r="731" customFormat="false" ht="15" hidden="false" customHeight="false" outlineLevel="0" collapsed="false">
      <c r="A731" s="15" t="s">
        <v>229</v>
      </c>
      <c r="B731" s="11" t="str">
        <f aca="false">INDEX(PRODUTOS!$E$4:$E$63,MATCH($A731,PRODUTOS!$B$4:$B$63,0))</f>
        <v>Biscoito Cães Raças Pequenas e Médias New Dots 400 g</v>
      </c>
      <c r="C731" s="11" t="str">
        <f aca="false">INDEX(PRODUTOS!$H$4:$H$63,MATCH($A731,PRODUTOS!$B$4:$B$63,0))</f>
        <v>400 g</v>
      </c>
      <c r="D731" s="11" t="s">
        <v>338</v>
      </c>
      <c r="E731" s="16" t="str">
        <f aca="false">$A731&amp;"."&amp;$D731&amp;".jpg"</f>
        <v>7908591300017.AP05.jpg</v>
      </c>
      <c r="F731" s="11" t="str">
        <f aca="false">IF(INDEX(PRODUTOS!$I$4:$I$63,MATCH($A731,PRODUTOS!$B$4:$B$63,0))="B",INDEX(MODELOS!$F$3:$F$19,MATCH($D731,MODELOS!$A$3:$A$19,0)),INDEX(MODELOS!$B$3:$B$19,MATCH($D731,MODELOS!$A$3:$A$19,0)))</f>
        <v>A+ · Módulo 3 · Benefício 3 de 4</v>
      </c>
      <c r="G731" s="11" t="str">
        <f aca="false">IF(INDEX(PRODUTOS!$F$4:$F$63,MATCH($A731,PRODUTOS!$B$4:$B$63,0))="Ração",IF(INDEX(PRODUTOS!$I$4:$I$63,MATCH($A731,PRODUTOS!$B$4:$B$63,0))="B",INDEX(MODELOS!$G$3:$G$19,MATCH($D731,MODELOS!$A$3:$A$19,0)),INDEX(MODELOS!$C$3:$C$19,MATCH($D731,MODELOS!$A$3:$A$19,0))),IF(INDEX(PRODUTOS!$I$4:$I$63,MATCH($A731,PRODUTOS!$B$4:$B$63,0))="B",INDEX(MODELOS!$H$3:$H$19,MATCH($D731,MODELOS!$A$3:$A$19,0)),INDEX(MODELOS!$D$3:$D$19,MATCH($D731,MODELOS!$A$3:$A$19,0))))</f>
        <v>Foto/ilustração do benefício 3</v>
      </c>
      <c r="H731" s="11" t="str">
        <f aca="false">IF(INDEX(PRODUTOS!$I$4:$I$63,MATCH($A731,PRODUTOS!$B$4:$B$63,0))="B",INDEX(MODELOS!$I$3:$I$19,MATCH($D731,MODELOS!$A$3:$A$19,0)),INDEX(MODELOS!$E$3:$E$19,MATCH($D731,MODELOS!$A$3:$A$19,0)))</f>
        <v>220 × 200</v>
      </c>
      <c r="I731" s="11" t="str">
        <f aca="false">INDEX(MODELOS!$J$3:$J$19,MATCH($D731,MODELOS!$A$3:$A$19,0))</f>
        <v>Conforme modelo</v>
      </c>
      <c r="J731" s="11" t="str">
        <f aca="false">IF(LEFT($D731,2)&lt;&gt;"AP",IF($I731="SIM","SIM","RECOMENDADA"),IF(INDEX(PRODUTOS!$J$4:$J$63,MATCH($A731,PRODUTOS!$B$4:$B$63,0))&lt;&gt;"","NÃO (usa o A+ do EAN "&amp;INDEX(PRODUTOS!$J$4:$J$63,MATCH($A731,PRODUTOS!$B$4:$B$63,0))&amp;")",IF(AND(INDEX(PRODUTOS!$I$4:$I$63,MATCH($A731,PRODUTOS!$B$4:$B$63,0))="B",$D731="AP07"),"NÃO (modelo B)","SIM")))</f>
        <v>SIM</v>
      </c>
      <c r="K731" s="13" t="s">
        <v>325</v>
      </c>
      <c r="L731" s="13"/>
    </row>
    <row r="732" customFormat="false" ht="15" hidden="false" customHeight="false" outlineLevel="0" collapsed="false">
      <c r="A732" s="15" t="s">
        <v>229</v>
      </c>
      <c r="B732" s="11" t="str">
        <f aca="false">INDEX(PRODUTOS!$E$4:$E$63,MATCH($A732,PRODUTOS!$B$4:$B$63,0))</f>
        <v>Biscoito Cães Raças Pequenas e Médias New Dots 400 g</v>
      </c>
      <c r="C732" s="11" t="str">
        <f aca="false">INDEX(PRODUTOS!$H$4:$H$63,MATCH($A732,PRODUTOS!$B$4:$B$63,0))</f>
        <v>400 g</v>
      </c>
      <c r="D732" s="11" t="s">
        <v>339</v>
      </c>
      <c r="E732" s="16" t="str">
        <f aca="false">$A732&amp;"."&amp;$D732&amp;".jpg"</f>
        <v>7908591300017.AP06.jpg</v>
      </c>
      <c r="F732" s="11" t="str">
        <f aca="false">IF(INDEX(PRODUTOS!$I$4:$I$63,MATCH($A732,PRODUTOS!$B$4:$B$63,0))="B",INDEX(MODELOS!$F$3:$F$19,MATCH($D732,MODELOS!$A$3:$A$19,0)),INDEX(MODELOS!$B$3:$B$19,MATCH($D732,MODELOS!$A$3:$A$19,0)))</f>
        <v>A+ · Módulo 3 · Benefício 4 de 4</v>
      </c>
      <c r="G732" s="11" t="str">
        <f aca="false">IF(INDEX(PRODUTOS!$F$4:$F$63,MATCH($A732,PRODUTOS!$B$4:$B$63,0))="Ração",IF(INDEX(PRODUTOS!$I$4:$I$63,MATCH($A732,PRODUTOS!$B$4:$B$63,0))="B",INDEX(MODELOS!$G$3:$G$19,MATCH($D732,MODELOS!$A$3:$A$19,0)),INDEX(MODELOS!$C$3:$C$19,MATCH($D732,MODELOS!$A$3:$A$19,0))),IF(INDEX(PRODUTOS!$I$4:$I$63,MATCH($A732,PRODUTOS!$B$4:$B$63,0))="B",INDEX(MODELOS!$H$3:$H$19,MATCH($D732,MODELOS!$A$3:$A$19,0)),INDEX(MODELOS!$D$3:$D$19,MATCH($D732,MODELOS!$A$3:$A$19,0))))</f>
        <v>Foto/ilustração do benefício 4</v>
      </c>
      <c r="H732" s="11" t="str">
        <f aca="false">IF(INDEX(PRODUTOS!$I$4:$I$63,MATCH($A732,PRODUTOS!$B$4:$B$63,0))="B",INDEX(MODELOS!$I$3:$I$19,MATCH($D732,MODELOS!$A$3:$A$19,0)),INDEX(MODELOS!$E$3:$E$19,MATCH($D732,MODELOS!$A$3:$A$19,0)))</f>
        <v>220 × 200</v>
      </c>
      <c r="I732" s="11" t="str">
        <f aca="false">INDEX(MODELOS!$J$3:$J$19,MATCH($D732,MODELOS!$A$3:$A$19,0))</f>
        <v>Conforme modelo</v>
      </c>
      <c r="J732" s="11" t="str">
        <f aca="false">IF(LEFT($D732,2)&lt;&gt;"AP",IF($I732="SIM","SIM","RECOMENDADA"),IF(INDEX(PRODUTOS!$J$4:$J$63,MATCH($A732,PRODUTOS!$B$4:$B$63,0))&lt;&gt;"","NÃO (usa o A+ do EAN "&amp;INDEX(PRODUTOS!$J$4:$J$63,MATCH($A732,PRODUTOS!$B$4:$B$63,0))&amp;")",IF(AND(INDEX(PRODUTOS!$I$4:$I$63,MATCH($A732,PRODUTOS!$B$4:$B$63,0))="B",$D732="AP07"),"NÃO (modelo B)","SIM")))</f>
        <v>SIM</v>
      </c>
      <c r="K732" s="13" t="s">
        <v>325</v>
      </c>
      <c r="L732" s="13"/>
    </row>
    <row r="733" customFormat="false" ht="15" hidden="false" customHeight="false" outlineLevel="0" collapsed="false">
      <c r="A733" s="15" t="s">
        <v>229</v>
      </c>
      <c r="B733" s="11" t="str">
        <f aca="false">INDEX(PRODUTOS!$E$4:$E$63,MATCH($A733,PRODUTOS!$B$4:$B$63,0))</f>
        <v>Biscoito Cães Raças Pequenas e Médias New Dots 400 g</v>
      </c>
      <c r="C733" s="11" t="str">
        <f aca="false">INDEX(PRODUTOS!$H$4:$H$63,MATCH($A733,PRODUTOS!$B$4:$B$63,0))</f>
        <v>400 g</v>
      </c>
      <c r="D733" s="11" t="s">
        <v>340</v>
      </c>
      <c r="E733" s="16" t="str">
        <f aca="false">$A733&amp;"."&amp;$D733&amp;".jpg"</f>
        <v>7908591300017.AP07.jpg</v>
      </c>
      <c r="F733" s="11" t="str">
        <f aca="false">IF(INDEX(PRODUTOS!$I$4:$I$63,MATCH($A733,PRODUTOS!$B$4:$B$63,0))="B",INDEX(MODELOS!$F$3:$F$19,MATCH($D733,MODELOS!$A$3:$A$19,0)),INDEX(MODELOS!$B$3:$B$19,MATCH($D733,MODELOS!$A$3:$A$19,0)))</f>
        <v>A+ · Módulo 4 · Especificações</v>
      </c>
      <c r="G733" s="11" t="str">
        <f aca="false">IF(INDEX(PRODUTOS!$F$4:$F$63,MATCH($A733,PRODUTOS!$B$4:$B$63,0))="Ração",IF(INDEX(PRODUTOS!$I$4:$I$63,MATCH($A733,PRODUTOS!$B$4:$B$63,0))="B",INDEX(MODELOS!$G$3:$G$19,MATCH($D733,MODELOS!$A$3:$A$19,0)),INDEX(MODELOS!$C$3:$C$19,MATCH($D733,MODELOS!$A$3:$A$19,0))),IF(INDEX(PRODUTOS!$I$4:$I$63,MATCH($A733,PRODUTOS!$B$4:$B$63,0))="B",INDEX(MODELOS!$H$3:$H$19,MATCH($D733,MODELOS!$A$3:$A$19,0)),INDEX(MODELOS!$D$3:$D$19,MATCH($D733,MODELOS!$A$3:$A$19,0))))</f>
        <v>Produto em destaque</v>
      </c>
      <c r="H733" s="11" t="str">
        <f aca="false">IF(INDEX(PRODUTOS!$I$4:$I$63,MATCH($A733,PRODUTOS!$B$4:$B$63,0))="B",INDEX(MODELOS!$I$3:$I$19,MATCH($D733,MODELOS!$A$3:$A$19,0)),INDEX(MODELOS!$E$3:$E$19,MATCH($D733,MODELOS!$A$3:$A$19,0)))</f>
        <v>300 × 300</v>
      </c>
      <c r="I733" s="11" t="str">
        <f aca="false">INDEX(MODELOS!$J$3:$J$19,MATCH($D733,MODELOS!$A$3:$A$19,0))</f>
        <v>Conforme modelo</v>
      </c>
      <c r="J733" s="11" t="str">
        <f aca="false">IF(LEFT($D733,2)&lt;&gt;"AP",IF($I733="SIM","SIM","RECOMENDADA"),IF(INDEX(PRODUTOS!$J$4:$J$63,MATCH($A733,PRODUTOS!$B$4:$B$63,0))&lt;&gt;"","NÃO (usa o A+ do EAN "&amp;INDEX(PRODUTOS!$J$4:$J$63,MATCH($A733,PRODUTOS!$B$4:$B$63,0))&amp;")",IF(AND(INDEX(PRODUTOS!$I$4:$I$63,MATCH($A733,PRODUTOS!$B$4:$B$63,0))="B",$D733="AP07"),"NÃO (modelo B)","SIM")))</f>
        <v>SIM</v>
      </c>
      <c r="K733" s="13" t="s">
        <v>325</v>
      </c>
      <c r="L733" s="13"/>
    </row>
    <row r="734" customFormat="false" ht="15" hidden="false" customHeight="false" outlineLevel="0" collapsed="false">
      <c r="A734" s="15" t="s">
        <v>229</v>
      </c>
      <c r="B734" s="11" t="str">
        <f aca="false">INDEX(PRODUTOS!$E$4:$E$63,MATCH($A734,PRODUTOS!$B$4:$B$63,0))</f>
        <v>Biscoito Cães Raças Pequenas e Médias New Dots 400 g</v>
      </c>
      <c r="C734" s="11" t="str">
        <f aca="false">INDEX(PRODUTOS!$H$4:$H$63,MATCH($A734,PRODUTOS!$B$4:$B$63,0))</f>
        <v>400 g</v>
      </c>
      <c r="D734" s="11" t="s">
        <v>341</v>
      </c>
      <c r="E734" s="16" t="str">
        <f aca="false">$A734&amp;"."&amp;$D734&amp;".jpg"</f>
        <v>7908591300017.COMP.jpg</v>
      </c>
      <c r="F734" s="11" t="str">
        <f aca="false">IF(INDEX(PRODUTOS!$I$4:$I$63,MATCH($A734,PRODUTOS!$B$4:$B$63,0))="B",INDEX(MODELOS!$F$3:$F$19,MATCH($D734,MODELOS!$A$3:$A$19,0)),INDEX(MODELOS!$B$3:$B$19,MATCH($D734,MODELOS!$A$3:$A$19,0)))</f>
        <v>A+ · Tabela comparativa</v>
      </c>
      <c r="G734" s="11" t="str">
        <f aca="false">IF(INDEX(PRODUTOS!$F$4:$F$63,MATCH($A734,PRODUTOS!$B$4:$B$63,0))="Ração",IF(INDEX(PRODUTOS!$I$4:$I$63,MATCH($A734,PRODUTOS!$B$4:$B$63,0))="B",INDEX(MODELOS!$G$3:$G$19,MATCH($D734,MODELOS!$A$3:$A$19,0)),INDEX(MODELOS!$C$3:$C$19,MATCH($D734,MODELOS!$A$3:$A$19,0))),IF(INDEX(PRODUTOS!$I$4:$I$63,MATCH($A734,PRODUTOS!$B$4:$B$63,0))="B",INDEX(MODELOS!$H$3:$H$19,MATCH($D734,MODELOS!$A$3:$A$19,0)),INDEX(MODELOS!$D$3:$D$19,MATCH($D734,MODELOS!$A$3:$A$19,0))))</f>
        <v>Produto na vertical, sem fundo colorido</v>
      </c>
      <c r="H734" s="11" t="str">
        <f aca="false">IF(INDEX(PRODUTOS!$I$4:$I$63,MATCH($A734,PRODUTOS!$B$4:$B$63,0))="B",INDEX(MODELOS!$I$3:$I$19,MATCH($D734,MODELOS!$A$3:$A$19,0)),INDEX(MODELOS!$E$3:$E$19,MATCH($D734,MODELOS!$A$3:$A$19,0)))</f>
        <v>150 × 300</v>
      </c>
      <c r="I734" s="11" t="str">
        <f aca="false">INDEX(MODELOS!$J$3:$J$19,MATCH($D734,MODELOS!$A$3:$A$19,0))</f>
        <v>SIM</v>
      </c>
      <c r="J734" s="11" t="str">
        <f aca="false">IF(LEFT($D734,2)&lt;&gt;"AP",IF($I734="SIM","SIM","RECOMENDADA"),IF(INDEX(PRODUTOS!$J$4:$J$63,MATCH($A734,PRODUTOS!$B$4:$B$63,0))&lt;&gt;"","NÃO (usa o A+ do EAN "&amp;INDEX(PRODUTOS!$J$4:$J$63,MATCH($A734,PRODUTOS!$B$4:$B$63,0))&amp;")",IF(AND(INDEX(PRODUTOS!$I$4:$I$63,MATCH($A734,PRODUTOS!$B$4:$B$63,0))="B",$D734="AP07"),"NÃO (modelo B)","SIM")))</f>
        <v>SIM</v>
      </c>
      <c r="K734" s="13" t="s">
        <v>325</v>
      </c>
      <c r="L734" s="13"/>
    </row>
    <row r="735" customFormat="false" ht="15" hidden="false" customHeight="false" outlineLevel="0" collapsed="false">
      <c r="A735" s="15" t="s">
        <v>233</v>
      </c>
      <c r="B735" s="11" t="str">
        <f aca="false">INDEX(PRODUTOS!$E$4:$E$63,MATCH($A735,PRODUTOS!$B$4:$B$63,0))</f>
        <v>Cookie Natural Dots Petisco para Pets Sabor Maracujá e Camomila 250 g</v>
      </c>
      <c r="C735" s="11" t="str">
        <f aca="false">INDEX(PRODUTOS!$H$4:$H$63,MATCH($A735,PRODUTOS!$B$4:$B$63,0))</f>
        <v>250 g</v>
      </c>
      <c r="D735" s="11" t="s">
        <v>324</v>
      </c>
      <c r="E735" s="16" t="str">
        <f aca="false">$A735&amp;"."&amp;$D735&amp;".jpg"</f>
        <v>7908591300758.MAIN.jpg</v>
      </c>
      <c r="F735" s="11" t="str">
        <f aca="false">IF(INDEX(PRODUTOS!$I$4:$I$63,MATCH($A735,PRODUTOS!$B$4:$B$63,0))="B",INDEX(MODELOS!$F$3:$F$19,MATCH($D735,MODELOS!$A$3:$A$19,0)),INDEX(MODELOS!$B$3:$B$19,MATCH($D735,MODELOS!$A$3:$A$19,0)))</f>
        <v>Capa (posição 1)</v>
      </c>
      <c r="G735" s="11" t="str">
        <f aca="false">IF(INDEX(PRODUTOS!$F$4:$F$63,MATCH($A735,PRODUTOS!$B$4:$B$63,0))="Ração",IF(INDEX(PRODUTOS!$I$4:$I$63,MATCH($A735,PRODUTOS!$B$4:$B$63,0))="B",INDEX(MODELOS!$G$3:$G$19,MATCH($D735,MODELOS!$A$3:$A$19,0)),INDEX(MODELOS!$C$3:$C$19,MATCH($D735,MODELOS!$A$3:$A$19,0))),IF(INDEX(PRODUTOS!$I$4:$I$63,MATCH($A735,PRODUTOS!$B$4:$B$63,0))="B",INDEX(MODELOS!$H$3:$H$19,MATCH($D735,MODELOS!$A$3:$A$19,0)),INDEX(MODELOS!$D$3:$D$19,MATCH($D735,MODELOS!$A$3:$A$19,0))))</f>
        <v>Embalagem de frente, fundo branco puro, 85% da área, nada adicionado</v>
      </c>
      <c r="H735" s="11" t="str">
        <f aca="false">IF(INDEX(PRODUTOS!$I$4:$I$63,MATCH($A735,PRODUTOS!$B$4:$B$63,0))="B",INDEX(MODELOS!$I$3:$I$19,MATCH($D735,MODELOS!$A$3:$A$19,0)),INDEX(MODELOS!$E$3:$E$19,MATCH($D735,MODELOS!$A$3:$A$19,0)))</f>
        <v>2000 × 2000</v>
      </c>
      <c r="I735" s="11" t="str">
        <f aca="false">INDEX(MODELOS!$J$3:$J$19,MATCH($D735,MODELOS!$A$3:$A$19,0))</f>
        <v>SIM</v>
      </c>
      <c r="J735" s="11" t="str">
        <f aca="false">IF(LEFT($D735,2)&lt;&gt;"AP",IF($I735="SIM","SIM","RECOMENDADA"),IF(INDEX(PRODUTOS!$J$4:$J$63,MATCH($A735,PRODUTOS!$B$4:$B$63,0))&lt;&gt;"","NÃO (usa o A+ do EAN "&amp;INDEX(PRODUTOS!$J$4:$J$63,MATCH($A735,PRODUTOS!$B$4:$B$63,0))&amp;")",IF(AND(INDEX(PRODUTOS!$I$4:$I$63,MATCH($A735,PRODUTOS!$B$4:$B$63,0))="B",$D735="AP07"),"NÃO (modelo B)","SIM")))</f>
        <v>SIM</v>
      </c>
      <c r="K735" s="13" t="s">
        <v>325</v>
      </c>
      <c r="L735" s="13"/>
    </row>
    <row r="736" customFormat="false" ht="15" hidden="false" customHeight="false" outlineLevel="0" collapsed="false">
      <c r="A736" s="15" t="s">
        <v>233</v>
      </c>
      <c r="B736" s="11" t="str">
        <f aca="false">INDEX(PRODUTOS!$E$4:$E$63,MATCH($A736,PRODUTOS!$B$4:$B$63,0))</f>
        <v>Cookie Natural Dots Petisco para Pets Sabor Maracujá e Camomila 250 g</v>
      </c>
      <c r="C736" s="11" t="str">
        <f aca="false">INDEX(PRODUTOS!$H$4:$H$63,MATCH($A736,PRODUTOS!$B$4:$B$63,0))</f>
        <v>250 g</v>
      </c>
      <c r="D736" s="11" t="s">
        <v>326</v>
      </c>
      <c r="E736" s="16" t="str">
        <f aca="false">$A736&amp;"."&amp;$D736&amp;".jpg"</f>
        <v>7908591300758.PT01.jpg</v>
      </c>
      <c r="F736" s="11" t="str">
        <f aca="false">IF(INDEX(PRODUTOS!$I$4:$I$63,MATCH($A736,PRODUTOS!$B$4:$B$63,0))="B",INDEX(MODELOS!$F$3:$F$19,MATCH($D736,MODELOS!$A$3:$A$19,0)),INDEX(MODELOS!$B$3:$B$19,MATCH($D736,MODELOS!$A$3:$A$19,0)))</f>
        <v>Galeria · posição 2</v>
      </c>
      <c r="G736" s="11" t="str">
        <f aca="false">IF(INDEX(PRODUTOS!$F$4:$F$63,MATCH($A736,PRODUTOS!$B$4:$B$63,0))="Ração",IF(INDEX(PRODUTOS!$I$4:$I$63,MATCH($A736,PRODUTOS!$B$4:$B$63,0))="B",INDEX(MODELOS!$G$3:$G$19,MATCH($D736,MODELOS!$A$3:$A$19,0)),INDEX(MODELOS!$C$3:$C$19,MATCH($D736,MODELOS!$A$3:$A$19,0))),IF(INDEX(PRODUTOS!$I$4:$I$63,MATCH($A736,PRODUTOS!$B$4:$B$63,0))="B",INDEX(MODELOS!$H$3:$H$19,MATCH($D736,MODELOS!$A$3:$A$19,0)),INDEX(MODELOS!$D$3:$D$19,MATCH($D736,MODELOS!$A$3:$A$19,0))))</f>
        <v>Grande diferencial (ex.: natural, biodegradável, perfumado)</v>
      </c>
      <c r="H736" s="11" t="str">
        <f aca="false">IF(INDEX(PRODUTOS!$I$4:$I$63,MATCH($A736,PRODUTOS!$B$4:$B$63,0))="B",INDEX(MODELOS!$I$3:$I$19,MATCH($D736,MODELOS!$A$3:$A$19,0)),INDEX(MODELOS!$E$3:$E$19,MATCH($D736,MODELOS!$A$3:$A$19,0)))</f>
        <v>2000 × 2000</v>
      </c>
      <c r="I736" s="11" t="str">
        <f aca="false">INDEX(MODELOS!$J$3:$J$19,MATCH($D736,MODELOS!$A$3:$A$19,0))</f>
        <v>SIM</v>
      </c>
      <c r="J736" s="11" t="str">
        <f aca="false">IF(LEFT($D736,2)&lt;&gt;"AP",IF($I736="SIM","SIM","RECOMENDADA"),IF(INDEX(PRODUTOS!$J$4:$J$63,MATCH($A736,PRODUTOS!$B$4:$B$63,0))&lt;&gt;"","NÃO (usa o A+ do EAN "&amp;INDEX(PRODUTOS!$J$4:$J$63,MATCH($A736,PRODUTOS!$B$4:$B$63,0))&amp;")",IF(AND(INDEX(PRODUTOS!$I$4:$I$63,MATCH($A736,PRODUTOS!$B$4:$B$63,0))="B",$D736="AP07"),"NÃO (modelo B)","SIM")))</f>
        <v>SIM</v>
      </c>
      <c r="K736" s="13" t="s">
        <v>325</v>
      </c>
      <c r="L736" s="13"/>
    </row>
    <row r="737" customFormat="false" ht="15" hidden="false" customHeight="false" outlineLevel="0" collapsed="false">
      <c r="A737" s="15" t="s">
        <v>233</v>
      </c>
      <c r="B737" s="11" t="str">
        <f aca="false">INDEX(PRODUTOS!$E$4:$E$63,MATCH($A737,PRODUTOS!$B$4:$B$63,0))</f>
        <v>Cookie Natural Dots Petisco para Pets Sabor Maracujá e Camomila 250 g</v>
      </c>
      <c r="C737" s="11" t="str">
        <f aca="false">INDEX(PRODUTOS!$H$4:$H$63,MATCH($A737,PRODUTOS!$B$4:$B$63,0))</f>
        <v>250 g</v>
      </c>
      <c r="D737" s="11" t="s">
        <v>327</v>
      </c>
      <c r="E737" s="16" t="str">
        <f aca="false">$A737&amp;"."&amp;$D737&amp;".jpg"</f>
        <v>7908591300758.PT02.jpg</v>
      </c>
      <c r="F737" s="11" t="str">
        <f aca="false">IF(INDEX(PRODUTOS!$I$4:$I$63,MATCH($A737,PRODUTOS!$B$4:$B$63,0))="B",INDEX(MODELOS!$F$3:$F$19,MATCH($D737,MODELOS!$A$3:$A$19,0)),INDEX(MODELOS!$B$3:$B$19,MATCH($D737,MODELOS!$A$3:$A$19,0)))</f>
        <v>Galeria · posição 3</v>
      </c>
      <c r="G737" s="11" t="str">
        <f aca="false">IF(INDEX(PRODUTOS!$F$4:$F$63,MATCH($A737,PRODUTOS!$B$4:$B$63,0))="Ração",IF(INDEX(PRODUTOS!$I$4:$I$63,MATCH($A737,PRODUTOS!$B$4:$B$63,0))="B",INDEX(MODELOS!$G$3:$G$19,MATCH($D737,MODELOS!$A$3:$A$19,0)),INDEX(MODELOS!$C$3:$C$19,MATCH($D737,MODELOS!$A$3:$A$19,0))),IF(INDEX(PRODUTOS!$I$4:$I$63,MATCH($A737,PRODUTOS!$B$4:$B$63,0))="B",INDEX(MODELOS!$H$3:$H$19,MATCH($D737,MODELOS!$A$3:$A$19,0)),INDEX(MODELOS!$D$3:$D$19,MATCH($D737,MODELOS!$A$3:$A$19,0))))</f>
        <v>Benefícios com ícones (4 a 6, impressos na embalagem)</v>
      </c>
      <c r="H737" s="11" t="str">
        <f aca="false">IF(INDEX(PRODUTOS!$I$4:$I$63,MATCH($A737,PRODUTOS!$B$4:$B$63,0))="B",INDEX(MODELOS!$I$3:$I$19,MATCH($D737,MODELOS!$A$3:$A$19,0)),INDEX(MODELOS!$E$3:$E$19,MATCH($D737,MODELOS!$A$3:$A$19,0)))</f>
        <v>2000 × 2000</v>
      </c>
      <c r="I737" s="11" t="str">
        <f aca="false">INDEX(MODELOS!$J$3:$J$19,MATCH($D737,MODELOS!$A$3:$A$19,0))</f>
        <v>SIM</v>
      </c>
      <c r="J737" s="11" t="str">
        <f aca="false">IF(LEFT($D737,2)&lt;&gt;"AP",IF($I737="SIM","SIM","RECOMENDADA"),IF(INDEX(PRODUTOS!$J$4:$J$63,MATCH($A737,PRODUTOS!$B$4:$B$63,0))&lt;&gt;"","NÃO (usa o A+ do EAN "&amp;INDEX(PRODUTOS!$J$4:$J$63,MATCH($A737,PRODUTOS!$B$4:$B$63,0))&amp;")",IF(AND(INDEX(PRODUTOS!$I$4:$I$63,MATCH($A737,PRODUTOS!$B$4:$B$63,0))="B",$D737="AP07"),"NÃO (modelo B)","SIM")))</f>
        <v>SIM</v>
      </c>
      <c r="K737" s="13" t="s">
        <v>325</v>
      </c>
      <c r="L737" s="13"/>
    </row>
    <row r="738" customFormat="false" ht="15" hidden="false" customHeight="false" outlineLevel="0" collapsed="false">
      <c r="A738" s="15" t="s">
        <v>233</v>
      </c>
      <c r="B738" s="11" t="str">
        <f aca="false">INDEX(PRODUTOS!$E$4:$E$63,MATCH($A738,PRODUTOS!$B$4:$B$63,0))</f>
        <v>Cookie Natural Dots Petisco para Pets Sabor Maracujá e Camomila 250 g</v>
      </c>
      <c r="C738" s="11" t="str">
        <f aca="false">INDEX(PRODUTOS!$H$4:$H$63,MATCH($A738,PRODUTOS!$B$4:$B$63,0))</f>
        <v>250 g</v>
      </c>
      <c r="D738" s="11" t="s">
        <v>328</v>
      </c>
      <c r="E738" s="16" t="str">
        <f aca="false">$A738&amp;"."&amp;$D738&amp;".jpg"</f>
        <v>7908591300758.PT03.jpg</v>
      </c>
      <c r="F738" s="11" t="str">
        <f aca="false">IF(INDEX(PRODUTOS!$I$4:$I$63,MATCH($A738,PRODUTOS!$B$4:$B$63,0))="B",INDEX(MODELOS!$F$3:$F$19,MATCH($D738,MODELOS!$A$3:$A$19,0)),INDEX(MODELOS!$B$3:$B$19,MATCH($D738,MODELOS!$A$3:$A$19,0)))</f>
        <v>Galeria · posição 4</v>
      </c>
      <c r="G738" s="11" t="str">
        <f aca="false">IF(INDEX(PRODUTOS!$F$4:$F$63,MATCH($A738,PRODUTOS!$B$4:$B$63,0))="Ração",IF(INDEX(PRODUTOS!$I$4:$I$63,MATCH($A738,PRODUTOS!$B$4:$B$63,0))="B",INDEX(MODELOS!$G$3:$G$19,MATCH($D738,MODELOS!$A$3:$A$19,0)),INDEX(MODELOS!$C$3:$C$19,MATCH($D738,MODELOS!$A$3:$A$19,0))),IF(INDEX(PRODUTOS!$I$4:$I$63,MATCH($A738,PRODUTOS!$B$4:$B$63,0))="B",INDEX(MODELOS!$H$3:$H$19,MATCH($D738,MODELOS!$A$3:$A$19,0)),INDEX(MODELOS!$D$3:$D$19,MATCH($D738,MODELOS!$A$3:$A$19,0))))</f>
        <v>Detalhe e tamanho real (petisco, grânulo ou tapete aberto), com medidas</v>
      </c>
      <c r="H738" s="11" t="str">
        <f aca="false">IF(INDEX(PRODUTOS!$I$4:$I$63,MATCH($A738,PRODUTOS!$B$4:$B$63,0))="B",INDEX(MODELOS!$I$3:$I$19,MATCH($D738,MODELOS!$A$3:$A$19,0)),INDEX(MODELOS!$E$3:$E$19,MATCH($D738,MODELOS!$A$3:$A$19,0)))</f>
        <v>2000 × 2000</v>
      </c>
      <c r="I738" s="11" t="str">
        <f aca="false">INDEX(MODELOS!$J$3:$J$19,MATCH($D738,MODELOS!$A$3:$A$19,0))</f>
        <v>SIM</v>
      </c>
      <c r="J738" s="11" t="str">
        <f aca="false">IF(LEFT($D738,2)&lt;&gt;"AP",IF($I738="SIM","SIM","RECOMENDADA"),IF(INDEX(PRODUTOS!$J$4:$J$63,MATCH($A738,PRODUTOS!$B$4:$B$63,0))&lt;&gt;"","NÃO (usa o A+ do EAN "&amp;INDEX(PRODUTOS!$J$4:$J$63,MATCH($A738,PRODUTOS!$B$4:$B$63,0))&amp;")",IF(AND(INDEX(PRODUTOS!$I$4:$I$63,MATCH($A738,PRODUTOS!$B$4:$B$63,0))="B",$D738="AP07"),"NÃO (modelo B)","SIM")))</f>
        <v>SIM</v>
      </c>
      <c r="K738" s="13" t="s">
        <v>325</v>
      </c>
      <c r="L738" s="13"/>
    </row>
    <row r="739" customFormat="false" ht="15" hidden="false" customHeight="false" outlineLevel="0" collapsed="false">
      <c r="A739" s="15" t="s">
        <v>233</v>
      </c>
      <c r="B739" s="11" t="str">
        <f aca="false">INDEX(PRODUTOS!$E$4:$E$63,MATCH($A739,PRODUTOS!$B$4:$B$63,0))</f>
        <v>Cookie Natural Dots Petisco para Pets Sabor Maracujá e Camomila 250 g</v>
      </c>
      <c r="C739" s="11" t="str">
        <f aca="false">INDEX(PRODUTOS!$H$4:$H$63,MATCH($A739,PRODUTOS!$B$4:$B$63,0))</f>
        <v>250 g</v>
      </c>
      <c r="D739" s="11" t="s">
        <v>329</v>
      </c>
      <c r="E739" s="16" t="str">
        <f aca="false">$A739&amp;"."&amp;$D739&amp;".jpg"</f>
        <v>7908591300758.PT04.jpg</v>
      </c>
      <c r="F739" s="11" t="str">
        <f aca="false">IF(INDEX(PRODUTOS!$I$4:$I$63,MATCH($A739,PRODUTOS!$B$4:$B$63,0))="B",INDEX(MODELOS!$F$3:$F$19,MATCH($D739,MODELOS!$A$3:$A$19,0)),INDEX(MODELOS!$B$3:$B$19,MATCH($D739,MODELOS!$A$3:$A$19,0)))</f>
        <v>Galeria · posição 5</v>
      </c>
      <c r="G739" s="11" t="str">
        <f aca="false">IF(INDEX(PRODUTOS!$F$4:$F$63,MATCH($A739,PRODUTOS!$B$4:$B$63,0))="Ração",IF(INDEX(PRODUTOS!$I$4:$I$63,MATCH($A739,PRODUTOS!$B$4:$B$63,0))="B",INDEX(MODELOS!$G$3:$G$19,MATCH($D739,MODELOS!$A$3:$A$19,0)),INDEX(MODELOS!$C$3:$C$19,MATCH($D739,MODELOS!$A$3:$A$19,0))),IF(INDEX(PRODUTOS!$I$4:$I$63,MATCH($A739,PRODUTOS!$B$4:$B$63,0))="B",INDEX(MODELOS!$H$3:$H$19,MATCH($D739,MODELOS!$A$3:$A$19,0)),INDEX(MODELOS!$D$3:$D$19,MATCH($D739,MODELOS!$A$3:$A$19,0))))</f>
        <v>Modo de uso (como oferecer o petisco / como usar o produto)</v>
      </c>
      <c r="H739" s="11" t="str">
        <f aca="false">IF(INDEX(PRODUTOS!$I$4:$I$63,MATCH($A739,PRODUTOS!$B$4:$B$63,0))="B",INDEX(MODELOS!$I$3:$I$19,MATCH($D739,MODELOS!$A$3:$A$19,0)),INDEX(MODELOS!$E$3:$E$19,MATCH($D739,MODELOS!$A$3:$A$19,0)))</f>
        <v>2000 × 2000</v>
      </c>
      <c r="I739" s="11" t="str">
        <f aca="false">INDEX(MODELOS!$J$3:$J$19,MATCH($D739,MODELOS!$A$3:$A$19,0))</f>
        <v>SIM</v>
      </c>
      <c r="J739" s="11" t="str">
        <f aca="false">IF(LEFT($D739,2)&lt;&gt;"AP",IF($I739="SIM","SIM","RECOMENDADA"),IF(INDEX(PRODUTOS!$J$4:$J$63,MATCH($A739,PRODUTOS!$B$4:$B$63,0))&lt;&gt;"","NÃO (usa o A+ do EAN "&amp;INDEX(PRODUTOS!$J$4:$J$63,MATCH($A739,PRODUTOS!$B$4:$B$63,0))&amp;")",IF(AND(INDEX(PRODUTOS!$I$4:$I$63,MATCH($A739,PRODUTOS!$B$4:$B$63,0))="B",$D739="AP07"),"NÃO (modelo B)","SIM")))</f>
        <v>SIM</v>
      </c>
      <c r="K739" s="13" t="s">
        <v>325</v>
      </c>
      <c r="L739" s="13"/>
    </row>
    <row r="740" customFormat="false" ht="15" hidden="false" customHeight="false" outlineLevel="0" collapsed="false">
      <c r="A740" s="15" t="s">
        <v>233</v>
      </c>
      <c r="B740" s="11" t="str">
        <f aca="false">INDEX(PRODUTOS!$E$4:$E$63,MATCH($A740,PRODUTOS!$B$4:$B$63,0))</f>
        <v>Cookie Natural Dots Petisco para Pets Sabor Maracujá e Camomila 250 g</v>
      </c>
      <c r="C740" s="11" t="str">
        <f aca="false">INDEX(PRODUTOS!$H$4:$H$63,MATCH($A740,PRODUTOS!$B$4:$B$63,0))</f>
        <v>250 g</v>
      </c>
      <c r="D740" s="11" t="s">
        <v>330</v>
      </c>
      <c r="E740" s="16" t="str">
        <f aca="false">$A740&amp;"."&amp;$D740&amp;".jpg"</f>
        <v>7908591300758.PT05.jpg</v>
      </c>
      <c r="F740" s="11" t="str">
        <f aca="false">IF(INDEX(PRODUTOS!$I$4:$I$63,MATCH($A740,PRODUTOS!$B$4:$B$63,0))="B",INDEX(MODELOS!$F$3:$F$19,MATCH($D740,MODELOS!$A$3:$A$19,0)),INDEX(MODELOS!$B$3:$B$19,MATCH($D740,MODELOS!$A$3:$A$19,0)))</f>
        <v>Galeria · posição 6</v>
      </c>
      <c r="G740" s="11" t="str">
        <f aca="false">IF(INDEX(PRODUTOS!$F$4:$F$63,MATCH($A740,PRODUTOS!$B$4:$B$63,0))="Ração",IF(INDEX(PRODUTOS!$I$4:$I$63,MATCH($A740,PRODUTOS!$B$4:$B$63,0))="B",INDEX(MODELOS!$G$3:$G$19,MATCH($D740,MODELOS!$A$3:$A$19,0)),INDEX(MODELOS!$C$3:$C$19,MATCH($D740,MODELOS!$A$3:$A$19,0))),IF(INDEX(PRODUTOS!$I$4:$I$63,MATCH($A740,PRODUTOS!$B$4:$B$63,0))="B",INDEX(MODELOS!$H$3:$H$19,MATCH($D740,MODELOS!$A$3:$A$19,0)),INDEX(MODELOS!$D$3:$D$19,MATCH($D740,MODELOS!$A$3:$A$19,0))))</f>
        <v>Quantidade por dia ou rendimento do pacote</v>
      </c>
      <c r="H740" s="11" t="str">
        <f aca="false">IF(INDEX(PRODUTOS!$I$4:$I$63,MATCH($A740,PRODUTOS!$B$4:$B$63,0))="B",INDEX(MODELOS!$I$3:$I$19,MATCH($D740,MODELOS!$A$3:$A$19,0)),INDEX(MODELOS!$E$3:$E$19,MATCH($D740,MODELOS!$A$3:$A$19,0)))</f>
        <v>2000 × 2000</v>
      </c>
      <c r="I740" s="11" t="str">
        <f aca="false">INDEX(MODELOS!$J$3:$J$19,MATCH($D740,MODELOS!$A$3:$A$19,0))</f>
        <v>Recomendada</v>
      </c>
      <c r="J740" s="11" t="str">
        <f aca="false">IF(LEFT($D740,2)&lt;&gt;"AP",IF($I740="SIM","SIM","RECOMENDADA"),IF(INDEX(PRODUTOS!$J$4:$J$63,MATCH($A740,PRODUTOS!$B$4:$B$63,0))&lt;&gt;"","NÃO (usa o A+ do EAN "&amp;INDEX(PRODUTOS!$J$4:$J$63,MATCH($A740,PRODUTOS!$B$4:$B$63,0))&amp;")",IF(AND(INDEX(PRODUTOS!$I$4:$I$63,MATCH($A740,PRODUTOS!$B$4:$B$63,0))="B",$D740="AP07"),"NÃO (modelo B)","SIM")))</f>
        <v>RECOMENDADA</v>
      </c>
      <c r="K740" s="13" t="s">
        <v>325</v>
      </c>
      <c r="L740" s="13"/>
    </row>
    <row r="741" customFormat="false" ht="15" hidden="false" customHeight="false" outlineLevel="0" collapsed="false">
      <c r="A741" s="15" t="s">
        <v>233</v>
      </c>
      <c r="B741" s="11" t="str">
        <f aca="false">INDEX(PRODUTOS!$E$4:$E$63,MATCH($A741,PRODUTOS!$B$4:$B$63,0))</f>
        <v>Cookie Natural Dots Petisco para Pets Sabor Maracujá e Camomila 250 g</v>
      </c>
      <c r="C741" s="11" t="str">
        <f aca="false">INDEX(PRODUTOS!$H$4:$H$63,MATCH($A741,PRODUTOS!$B$4:$B$63,0))</f>
        <v>250 g</v>
      </c>
      <c r="D741" s="11" t="s">
        <v>331</v>
      </c>
      <c r="E741" s="16" t="str">
        <f aca="false">$A741&amp;"."&amp;$D741&amp;".jpg"</f>
        <v>7908591300758.PT06.jpg</v>
      </c>
      <c r="F741" s="11" t="str">
        <f aca="false">IF(INDEX(PRODUTOS!$I$4:$I$63,MATCH($A741,PRODUTOS!$B$4:$B$63,0))="B",INDEX(MODELOS!$F$3:$F$19,MATCH($D741,MODELOS!$A$3:$A$19,0)),INDEX(MODELOS!$B$3:$B$19,MATCH($D741,MODELOS!$A$3:$A$19,0)))</f>
        <v>Galeria · posição 7</v>
      </c>
      <c r="G741" s="11" t="str">
        <f aca="false">IF(INDEX(PRODUTOS!$F$4:$F$63,MATCH($A741,PRODUTOS!$B$4:$B$63,0))="Ração",IF(INDEX(PRODUTOS!$I$4:$I$63,MATCH($A741,PRODUTOS!$B$4:$B$63,0))="B",INDEX(MODELOS!$G$3:$G$19,MATCH($D741,MODELOS!$A$3:$A$19,0)),INDEX(MODELOS!$C$3:$C$19,MATCH($D741,MODELOS!$A$3:$A$19,0))),IF(INDEX(PRODUTOS!$I$4:$I$63,MATCH($A741,PRODUTOS!$B$4:$B$63,0))="B",INDEX(MODELOS!$H$3:$H$19,MATCH($D741,MODELOS!$A$3:$A$19,0)),INDEX(MODELOS!$D$3:$D$19,MATCH($D741,MODELOS!$A$3:$A$19,0))))</f>
        <v>Composição/níveis de garantia (petiscos) ou especificações (higiene)</v>
      </c>
      <c r="H741" s="11" t="str">
        <f aca="false">IF(INDEX(PRODUTOS!$I$4:$I$63,MATCH($A741,PRODUTOS!$B$4:$B$63,0))="B",INDEX(MODELOS!$I$3:$I$19,MATCH($D741,MODELOS!$A$3:$A$19,0)),INDEX(MODELOS!$E$3:$E$19,MATCH($D741,MODELOS!$A$3:$A$19,0)))</f>
        <v>2000 × 2000</v>
      </c>
      <c r="I741" s="11" t="str">
        <f aca="false">INDEX(MODELOS!$J$3:$J$19,MATCH($D741,MODELOS!$A$3:$A$19,0))</f>
        <v>SIM</v>
      </c>
      <c r="J741" s="11" t="str">
        <f aca="false">IF(LEFT($D741,2)&lt;&gt;"AP",IF($I741="SIM","SIM","RECOMENDADA"),IF(INDEX(PRODUTOS!$J$4:$J$63,MATCH($A741,PRODUTOS!$B$4:$B$63,0))&lt;&gt;"","NÃO (usa o A+ do EAN "&amp;INDEX(PRODUTOS!$J$4:$J$63,MATCH($A741,PRODUTOS!$B$4:$B$63,0))&amp;")",IF(AND(INDEX(PRODUTOS!$I$4:$I$63,MATCH($A741,PRODUTOS!$B$4:$B$63,0))="B",$D741="AP07"),"NÃO (modelo B)","SIM")))</f>
        <v>SIM</v>
      </c>
      <c r="K741" s="13" t="s">
        <v>325</v>
      </c>
      <c r="L741" s="13"/>
    </row>
    <row r="742" customFormat="false" ht="15" hidden="false" customHeight="false" outlineLevel="0" collapsed="false">
      <c r="A742" s="15" t="s">
        <v>233</v>
      </c>
      <c r="B742" s="11" t="str">
        <f aca="false">INDEX(PRODUTOS!$E$4:$E$63,MATCH($A742,PRODUTOS!$B$4:$B$63,0))</f>
        <v>Cookie Natural Dots Petisco para Pets Sabor Maracujá e Camomila 250 g</v>
      </c>
      <c r="C742" s="11" t="str">
        <f aca="false">INDEX(PRODUTOS!$H$4:$H$63,MATCH($A742,PRODUTOS!$B$4:$B$63,0))</f>
        <v>250 g</v>
      </c>
      <c r="D742" s="11" t="s">
        <v>332</v>
      </c>
      <c r="E742" s="16" t="str">
        <f aca="false">$A742&amp;"."&amp;$D742&amp;".jpg"</f>
        <v>7908591300758.PT07.jpg</v>
      </c>
      <c r="F742" s="11" t="str">
        <f aca="false">IF(INDEX(PRODUTOS!$I$4:$I$63,MATCH($A742,PRODUTOS!$B$4:$B$63,0))="B",INDEX(MODELOS!$F$3:$F$19,MATCH($D742,MODELOS!$A$3:$A$19,0)),INDEX(MODELOS!$B$3:$B$19,MATCH($D742,MODELOS!$A$3:$A$19,0)))</f>
        <v>Galeria · posição 8</v>
      </c>
      <c r="G742" s="11" t="str">
        <f aca="false">IF(INDEX(PRODUTOS!$F$4:$F$63,MATCH($A742,PRODUTOS!$B$4:$B$63,0))="Ração",IF(INDEX(PRODUTOS!$I$4:$I$63,MATCH($A742,PRODUTOS!$B$4:$B$63,0))="B",INDEX(MODELOS!$G$3:$G$19,MATCH($D742,MODELOS!$A$3:$A$19,0)),INDEX(MODELOS!$C$3:$C$19,MATCH($D742,MODELOS!$A$3:$A$19,0))),IF(INDEX(PRODUTOS!$I$4:$I$63,MATCH($A742,PRODUTOS!$B$4:$B$63,0))="B",INDEX(MODELOS!$H$3:$H$19,MATCH($D742,MODELOS!$A$3:$A$19,0)),INDEX(MODELOS!$D$3:$D$19,MATCH($D742,MODELOS!$A$3:$A$19,0))))</f>
        <v>Emocional / momento de uso</v>
      </c>
      <c r="H742" s="11" t="str">
        <f aca="false">IF(INDEX(PRODUTOS!$I$4:$I$63,MATCH($A742,PRODUTOS!$B$4:$B$63,0))="B",INDEX(MODELOS!$I$3:$I$19,MATCH($D742,MODELOS!$A$3:$A$19,0)),INDEX(MODELOS!$E$3:$E$19,MATCH($D742,MODELOS!$A$3:$A$19,0)))</f>
        <v>2000 × 2000</v>
      </c>
      <c r="I742" s="11" t="str">
        <f aca="false">INDEX(MODELOS!$J$3:$J$19,MATCH($D742,MODELOS!$A$3:$A$19,0))</f>
        <v>Recomendada</v>
      </c>
      <c r="J742" s="11" t="str">
        <f aca="false">IF(LEFT($D742,2)&lt;&gt;"AP",IF($I742="SIM","SIM","RECOMENDADA"),IF(INDEX(PRODUTOS!$J$4:$J$63,MATCH($A742,PRODUTOS!$B$4:$B$63,0))&lt;&gt;"","NÃO (usa o A+ do EAN "&amp;INDEX(PRODUTOS!$J$4:$J$63,MATCH($A742,PRODUTOS!$B$4:$B$63,0))&amp;")",IF(AND(INDEX(PRODUTOS!$I$4:$I$63,MATCH($A742,PRODUTOS!$B$4:$B$63,0))="B",$D742="AP07"),"NÃO (modelo B)","SIM")))</f>
        <v>RECOMENDADA</v>
      </c>
      <c r="K742" s="13" t="s">
        <v>325</v>
      </c>
      <c r="L742" s="13"/>
    </row>
    <row r="743" customFormat="false" ht="15" hidden="false" customHeight="false" outlineLevel="0" collapsed="false">
      <c r="A743" s="15" t="s">
        <v>233</v>
      </c>
      <c r="B743" s="11" t="str">
        <f aca="false">INDEX(PRODUTOS!$E$4:$E$63,MATCH($A743,PRODUTOS!$B$4:$B$63,0))</f>
        <v>Cookie Natural Dots Petisco para Pets Sabor Maracujá e Camomila 250 g</v>
      </c>
      <c r="C743" s="11" t="str">
        <f aca="false">INDEX(PRODUTOS!$H$4:$H$63,MATCH($A743,PRODUTOS!$B$4:$B$63,0))</f>
        <v>250 g</v>
      </c>
      <c r="D743" s="11" t="s">
        <v>333</v>
      </c>
      <c r="E743" s="16" t="str">
        <f aca="false">$A743&amp;"."&amp;$D743&amp;".jpg"</f>
        <v>7908591300758.PT08.jpg</v>
      </c>
      <c r="F743" s="11" t="str">
        <f aca="false">IF(INDEX(PRODUTOS!$I$4:$I$63,MATCH($A743,PRODUTOS!$B$4:$B$63,0))="B",INDEX(MODELOS!$F$3:$F$19,MATCH($D743,MODELOS!$A$3:$A$19,0)),INDEX(MODELOS!$B$3:$B$19,MATCH($D743,MODELOS!$A$3:$A$19,0)))</f>
        <v>Galeria · posição 9</v>
      </c>
      <c r="G743" s="11" t="str">
        <f aca="false">IF(INDEX(PRODUTOS!$F$4:$F$63,MATCH($A743,PRODUTOS!$B$4:$B$63,0))="Ração",IF(INDEX(PRODUTOS!$I$4:$I$63,MATCH($A743,PRODUTOS!$B$4:$B$63,0))="B",INDEX(MODELOS!$G$3:$G$19,MATCH($D743,MODELOS!$A$3:$A$19,0)),INDEX(MODELOS!$C$3:$C$19,MATCH($D743,MODELOS!$A$3:$A$19,0))),IF(INDEX(PRODUTOS!$I$4:$I$63,MATCH($A743,PRODUTOS!$B$4:$B$63,0))="B",INDEX(MODELOS!$H$3:$H$19,MATCH($D743,MODELOS!$A$3:$A$19,0)),INDEX(MODELOS!$D$3:$D$19,MATCH($D743,MODELOS!$A$3:$A$19,0))))</f>
        <v>Linha da marca ("conheça também")</v>
      </c>
      <c r="H743" s="11" t="str">
        <f aca="false">IF(INDEX(PRODUTOS!$I$4:$I$63,MATCH($A743,PRODUTOS!$B$4:$B$63,0))="B",INDEX(MODELOS!$I$3:$I$19,MATCH($D743,MODELOS!$A$3:$A$19,0)),INDEX(MODELOS!$E$3:$E$19,MATCH($D743,MODELOS!$A$3:$A$19,0)))</f>
        <v>2000 × 2000</v>
      </c>
      <c r="I743" s="11" t="str">
        <f aca="false">INDEX(MODELOS!$J$3:$J$19,MATCH($D743,MODELOS!$A$3:$A$19,0))</f>
        <v>Recomendada</v>
      </c>
      <c r="J743" s="11" t="str">
        <f aca="false">IF(LEFT($D743,2)&lt;&gt;"AP",IF($I743="SIM","SIM","RECOMENDADA"),IF(INDEX(PRODUTOS!$J$4:$J$63,MATCH($A743,PRODUTOS!$B$4:$B$63,0))&lt;&gt;"","NÃO (usa o A+ do EAN "&amp;INDEX(PRODUTOS!$J$4:$J$63,MATCH($A743,PRODUTOS!$B$4:$B$63,0))&amp;")",IF(AND(INDEX(PRODUTOS!$I$4:$I$63,MATCH($A743,PRODUTOS!$B$4:$B$63,0))="B",$D743="AP07"),"NÃO (modelo B)","SIM")))</f>
        <v>RECOMENDADA</v>
      </c>
      <c r="K743" s="13" t="s">
        <v>325</v>
      </c>
      <c r="L743" s="13"/>
    </row>
    <row r="744" customFormat="false" ht="15" hidden="false" customHeight="false" outlineLevel="0" collapsed="false">
      <c r="A744" s="15" t="s">
        <v>233</v>
      </c>
      <c r="B744" s="11" t="str">
        <f aca="false">INDEX(PRODUTOS!$E$4:$E$63,MATCH($A744,PRODUTOS!$B$4:$B$63,0))</f>
        <v>Cookie Natural Dots Petisco para Pets Sabor Maracujá e Camomila 250 g</v>
      </c>
      <c r="C744" s="11" t="str">
        <f aca="false">INDEX(PRODUTOS!$H$4:$H$63,MATCH($A744,PRODUTOS!$B$4:$B$63,0))</f>
        <v>250 g</v>
      </c>
      <c r="D744" s="11" t="s">
        <v>334</v>
      </c>
      <c r="E744" s="16" t="str">
        <f aca="false">$A744&amp;"."&amp;$D744&amp;".jpg"</f>
        <v>7908591300758.AP01.jpg</v>
      </c>
      <c r="F744" s="11" t="str">
        <f aca="false">IF(INDEX(PRODUTOS!$I$4:$I$63,MATCH($A744,PRODUTOS!$B$4:$B$63,0))="B",INDEX(MODELOS!$F$3:$F$19,MATCH($D744,MODELOS!$A$3:$A$19,0)),INDEX(MODELOS!$B$3:$B$19,MATCH($D744,MODELOS!$A$3:$A$19,0)))</f>
        <v>A+ · Módulo 1 · Banner</v>
      </c>
      <c r="G744" s="11" t="str">
        <f aca="false">IF(INDEX(PRODUTOS!$F$4:$F$63,MATCH($A744,PRODUTOS!$B$4:$B$63,0))="Ração",IF(INDEX(PRODUTOS!$I$4:$I$63,MATCH($A744,PRODUTOS!$B$4:$B$63,0))="B",INDEX(MODELOS!$G$3:$G$19,MATCH($D744,MODELOS!$A$3:$A$19,0)),INDEX(MODELOS!$C$3:$C$19,MATCH($D744,MODELOS!$A$3:$A$19,0))),IF(INDEX(PRODUTOS!$I$4:$I$63,MATCH($A744,PRODUTOS!$B$4:$B$63,0))="B",INDEX(MODELOS!$H$3:$H$19,MATCH($D744,MODELOS!$A$3:$A$19,0)),INDEX(MODELOS!$D$3:$D$19,MATCH($D744,MODELOS!$A$3:$A$19,0))))</f>
        <v>Produto + pet, com o nome da linha</v>
      </c>
      <c r="H744" s="11" t="str">
        <f aca="false">IF(INDEX(PRODUTOS!$I$4:$I$63,MATCH($A744,PRODUTOS!$B$4:$B$63,0))="B",INDEX(MODELOS!$I$3:$I$19,MATCH($D744,MODELOS!$A$3:$A$19,0)),INDEX(MODELOS!$E$3:$E$19,MATCH($D744,MODELOS!$A$3:$A$19,0)))</f>
        <v>970 × 600</v>
      </c>
      <c r="I744" s="11" t="str">
        <f aca="false">INDEX(MODELOS!$J$3:$J$19,MATCH($D744,MODELOS!$A$3:$A$19,0))</f>
        <v>Conforme modelo</v>
      </c>
      <c r="J744" s="11" t="str">
        <f aca="false">IF(LEFT($D744,2)&lt;&gt;"AP",IF($I744="SIM","SIM","RECOMENDADA"),IF(INDEX(PRODUTOS!$J$4:$J$63,MATCH($A744,PRODUTOS!$B$4:$B$63,0))&lt;&gt;"","NÃO (usa o A+ do EAN "&amp;INDEX(PRODUTOS!$J$4:$J$63,MATCH($A744,PRODUTOS!$B$4:$B$63,0))&amp;")",IF(AND(INDEX(PRODUTOS!$I$4:$I$63,MATCH($A744,PRODUTOS!$B$4:$B$63,0))="B",$D744="AP07"),"NÃO (modelo B)","SIM")))</f>
        <v>SIM</v>
      </c>
      <c r="K744" s="13" t="s">
        <v>325</v>
      </c>
      <c r="L744" s="13"/>
    </row>
    <row r="745" customFormat="false" ht="15" hidden="false" customHeight="false" outlineLevel="0" collapsed="false">
      <c r="A745" s="15" t="s">
        <v>233</v>
      </c>
      <c r="B745" s="11" t="str">
        <f aca="false">INDEX(PRODUTOS!$E$4:$E$63,MATCH($A745,PRODUTOS!$B$4:$B$63,0))</f>
        <v>Cookie Natural Dots Petisco para Pets Sabor Maracujá e Camomila 250 g</v>
      </c>
      <c r="C745" s="11" t="str">
        <f aca="false">INDEX(PRODUTOS!$H$4:$H$63,MATCH($A745,PRODUTOS!$B$4:$B$63,0))</f>
        <v>250 g</v>
      </c>
      <c r="D745" s="11" t="s">
        <v>335</v>
      </c>
      <c r="E745" s="16" t="str">
        <f aca="false">$A745&amp;"."&amp;$D745&amp;".jpg"</f>
        <v>7908591300758.AP02.jpg</v>
      </c>
      <c r="F745" s="11" t="str">
        <f aca="false">IF(INDEX(PRODUTOS!$I$4:$I$63,MATCH($A745,PRODUTOS!$B$4:$B$63,0))="B",INDEX(MODELOS!$F$3:$F$19,MATCH($D745,MODELOS!$A$3:$A$19,0)),INDEX(MODELOS!$B$3:$B$19,MATCH($D745,MODELOS!$A$3:$A$19,0)))</f>
        <v>A+ · Módulo 2 · Texto sobreposto</v>
      </c>
      <c r="G745" s="11" t="str">
        <f aca="false">IF(INDEX(PRODUTOS!$F$4:$F$63,MATCH($A745,PRODUTOS!$B$4:$B$63,0))="Ração",IF(INDEX(PRODUTOS!$I$4:$I$63,MATCH($A745,PRODUTOS!$B$4:$B$63,0))="B",INDEX(MODELOS!$G$3:$G$19,MATCH($D745,MODELOS!$A$3:$A$19,0)),INDEX(MODELOS!$C$3:$C$19,MATCH($D745,MODELOS!$A$3:$A$19,0))),IF(INDEX(PRODUTOS!$I$4:$I$63,MATCH($A745,PRODUTOS!$B$4:$B$63,0))="B",INDEX(MODELOS!$H$3:$H$19,MATCH($D745,MODELOS!$A$3:$A$19,0)),INDEX(MODELOS!$D$3:$D$19,MATCH($D745,MODELOS!$A$3:$A$19,0))))</f>
        <v>Principal diferencial; deixar o lado direito limpo</v>
      </c>
      <c r="H745" s="11" t="str">
        <f aca="false">IF(INDEX(PRODUTOS!$I$4:$I$63,MATCH($A745,PRODUTOS!$B$4:$B$63,0))="B",INDEX(MODELOS!$I$3:$I$19,MATCH($D745,MODELOS!$A$3:$A$19,0)),INDEX(MODELOS!$E$3:$E$19,MATCH($D745,MODELOS!$A$3:$A$19,0)))</f>
        <v>970 × 300</v>
      </c>
      <c r="I745" s="11" t="str">
        <f aca="false">INDEX(MODELOS!$J$3:$J$19,MATCH($D745,MODELOS!$A$3:$A$19,0))</f>
        <v>Conforme modelo</v>
      </c>
      <c r="J745" s="11" t="str">
        <f aca="false">IF(LEFT($D745,2)&lt;&gt;"AP",IF($I745="SIM","SIM","RECOMENDADA"),IF(INDEX(PRODUTOS!$J$4:$J$63,MATCH($A745,PRODUTOS!$B$4:$B$63,0))&lt;&gt;"","NÃO (usa o A+ do EAN "&amp;INDEX(PRODUTOS!$J$4:$J$63,MATCH($A745,PRODUTOS!$B$4:$B$63,0))&amp;")",IF(AND(INDEX(PRODUTOS!$I$4:$I$63,MATCH($A745,PRODUTOS!$B$4:$B$63,0))="B",$D745="AP07"),"NÃO (modelo B)","SIM")))</f>
        <v>SIM</v>
      </c>
      <c r="K745" s="13" t="s">
        <v>325</v>
      </c>
      <c r="L745" s="13"/>
    </row>
    <row r="746" customFormat="false" ht="15" hidden="false" customHeight="false" outlineLevel="0" collapsed="false">
      <c r="A746" s="15" t="s">
        <v>233</v>
      </c>
      <c r="B746" s="11" t="str">
        <f aca="false">INDEX(PRODUTOS!$E$4:$E$63,MATCH($A746,PRODUTOS!$B$4:$B$63,0))</f>
        <v>Cookie Natural Dots Petisco para Pets Sabor Maracujá e Camomila 250 g</v>
      </c>
      <c r="C746" s="11" t="str">
        <f aca="false">INDEX(PRODUTOS!$H$4:$H$63,MATCH($A746,PRODUTOS!$B$4:$B$63,0))</f>
        <v>250 g</v>
      </c>
      <c r="D746" s="11" t="s">
        <v>336</v>
      </c>
      <c r="E746" s="16" t="str">
        <f aca="false">$A746&amp;"."&amp;$D746&amp;".jpg"</f>
        <v>7908591300758.AP03.jpg</v>
      </c>
      <c r="F746" s="11" t="str">
        <f aca="false">IF(INDEX(PRODUTOS!$I$4:$I$63,MATCH($A746,PRODUTOS!$B$4:$B$63,0))="B",INDEX(MODELOS!$F$3:$F$19,MATCH($D746,MODELOS!$A$3:$A$19,0)),INDEX(MODELOS!$B$3:$B$19,MATCH($D746,MODELOS!$A$3:$A$19,0)))</f>
        <v>A+ · Módulo 3 · Benefício 1 de 4</v>
      </c>
      <c r="G746" s="11" t="str">
        <f aca="false">IF(INDEX(PRODUTOS!$F$4:$F$63,MATCH($A746,PRODUTOS!$B$4:$B$63,0))="Ração",IF(INDEX(PRODUTOS!$I$4:$I$63,MATCH($A746,PRODUTOS!$B$4:$B$63,0))="B",INDEX(MODELOS!$G$3:$G$19,MATCH($D746,MODELOS!$A$3:$A$19,0)),INDEX(MODELOS!$C$3:$C$19,MATCH($D746,MODELOS!$A$3:$A$19,0))),IF(INDEX(PRODUTOS!$I$4:$I$63,MATCH($A746,PRODUTOS!$B$4:$B$63,0))="B",INDEX(MODELOS!$H$3:$H$19,MATCH($D746,MODELOS!$A$3:$A$19,0)),INDEX(MODELOS!$D$3:$D$19,MATCH($D746,MODELOS!$A$3:$A$19,0))))</f>
        <v>Foto/ilustração do benefício 1</v>
      </c>
      <c r="H746" s="11" t="str">
        <f aca="false">IF(INDEX(PRODUTOS!$I$4:$I$63,MATCH($A746,PRODUTOS!$B$4:$B$63,0))="B",INDEX(MODELOS!$I$3:$I$19,MATCH($D746,MODELOS!$A$3:$A$19,0)),INDEX(MODELOS!$E$3:$E$19,MATCH($D746,MODELOS!$A$3:$A$19,0)))</f>
        <v>220 × 200</v>
      </c>
      <c r="I746" s="11" t="str">
        <f aca="false">INDEX(MODELOS!$J$3:$J$19,MATCH($D746,MODELOS!$A$3:$A$19,0))</f>
        <v>Conforme modelo</v>
      </c>
      <c r="J746" s="11" t="str">
        <f aca="false">IF(LEFT($D746,2)&lt;&gt;"AP",IF($I746="SIM","SIM","RECOMENDADA"),IF(INDEX(PRODUTOS!$J$4:$J$63,MATCH($A746,PRODUTOS!$B$4:$B$63,0))&lt;&gt;"","NÃO (usa o A+ do EAN "&amp;INDEX(PRODUTOS!$J$4:$J$63,MATCH($A746,PRODUTOS!$B$4:$B$63,0))&amp;")",IF(AND(INDEX(PRODUTOS!$I$4:$I$63,MATCH($A746,PRODUTOS!$B$4:$B$63,0))="B",$D746="AP07"),"NÃO (modelo B)","SIM")))</f>
        <v>SIM</v>
      </c>
      <c r="K746" s="13" t="s">
        <v>325</v>
      </c>
      <c r="L746" s="13"/>
    </row>
    <row r="747" customFormat="false" ht="15" hidden="false" customHeight="false" outlineLevel="0" collapsed="false">
      <c r="A747" s="15" t="s">
        <v>233</v>
      </c>
      <c r="B747" s="11" t="str">
        <f aca="false">INDEX(PRODUTOS!$E$4:$E$63,MATCH($A747,PRODUTOS!$B$4:$B$63,0))</f>
        <v>Cookie Natural Dots Petisco para Pets Sabor Maracujá e Camomila 250 g</v>
      </c>
      <c r="C747" s="11" t="str">
        <f aca="false">INDEX(PRODUTOS!$H$4:$H$63,MATCH($A747,PRODUTOS!$B$4:$B$63,0))</f>
        <v>250 g</v>
      </c>
      <c r="D747" s="11" t="s">
        <v>337</v>
      </c>
      <c r="E747" s="16" t="str">
        <f aca="false">$A747&amp;"."&amp;$D747&amp;".jpg"</f>
        <v>7908591300758.AP04.jpg</v>
      </c>
      <c r="F747" s="11" t="str">
        <f aca="false">IF(INDEX(PRODUTOS!$I$4:$I$63,MATCH($A747,PRODUTOS!$B$4:$B$63,0))="B",INDEX(MODELOS!$F$3:$F$19,MATCH($D747,MODELOS!$A$3:$A$19,0)),INDEX(MODELOS!$B$3:$B$19,MATCH($D747,MODELOS!$A$3:$A$19,0)))</f>
        <v>A+ · Módulo 3 · Benefício 2 de 4</v>
      </c>
      <c r="G747" s="11" t="str">
        <f aca="false">IF(INDEX(PRODUTOS!$F$4:$F$63,MATCH($A747,PRODUTOS!$B$4:$B$63,0))="Ração",IF(INDEX(PRODUTOS!$I$4:$I$63,MATCH($A747,PRODUTOS!$B$4:$B$63,0))="B",INDEX(MODELOS!$G$3:$G$19,MATCH($D747,MODELOS!$A$3:$A$19,0)),INDEX(MODELOS!$C$3:$C$19,MATCH($D747,MODELOS!$A$3:$A$19,0))),IF(INDEX(PRODUTOS!$I$4:$I$63,MATCH($A747,PRODUTOS!$B$4:$B$63,0))="B",INDEX(MODELOS!$H$3:$H$19,MATCH($D747,MODELOS!$A$3:$A$19,0)),INDEX(MODELOS!$D$3:$D$19,MATCH($D747,MODELOS!$A$3:$A$19,0))))</f>
        <v>Foto/ilustração do benefício 2</v>
      </c>
      <c r="H747" s="11" t="str">
        <f aca="false">IF(INDEX(PRODUTOS!$I$4:$I$63,MATCH($A747,PRODUTOS!$B$4:$B$63,0))="B",INDEX(MODELOS!$I$3:$I$19,MATCH($D747,MODELOS!$A$3:$A$19,0)),INDEX(MODELOS!$E$3:$E$19,MATCH($D747,MODELOS!$A$3:$A$19,0)))</f>
        <v>220 × 200</v>
      </c>
      <c r="I747" s="11" t="str">
        <f aca="false">INDEX(MODELOS!$J$3:$J$19,MATCH($D747,MODELOS!$A$3:$A$19,0))</f>
        <v>Conforme modelo</v>
      </c>
      <c r="J747" s="11" t="str">
        <f aca="false">IF(LEFT($D747,2)&lt;&gt;"AP",IF($I747="SIM","SIM","RECOMENDADA"),IF(INDEX(PRODUTOS!$J$4:$J$63,MATCH($A747,PRODUTOS!$B$4:$B$63,0))&lt;&gt;"","NÃO (usa o A+ do EAN "&amp;INDEX(PRODUTOS!$J$4:$J$63,MATCH($A747,PRODUTOS!$B$4:$B$63,0))&amp;")",IF(AND(INDEX(PRODUTOS!$I$4:$I$63,MATCH($A747,PRODUTOS!$B$4:$B$63,0))="B",$D747="AP07"),"NÃO (modelo B)","SIM")))</f>
        <v>SIM</v>
      </c>
      <c r="K747" s="13" t="s">
        <v>325</v>
      </c>
      <c r="L747" s="13"/>
    </row>
    <row r="748" customFormat="false" ht="15" hidden="false" customHeight="false" outlineLevel="0" collapsed="false">
      <c r="A748" s="15" t="s">
        <v>233</v>
      </c>
      <c r="B748" s="11" t="str">
        <f aca="false">INDEX(PRODUTOS!$E$4:$E$63,MATCH($A748,PRODUTOS!$B$4:$B$63,0))</f>
        <v>Cookie Natural Dots Petisco para Pets Sabor Maracujá e Camomila 250 g</v>
      </c>
      <c r="C748" s="11" t="str">
        <f aca="false">INDEX(PRODUTOS!$H$4:$H$63,MATCH($A748,PRODUTOS!$B$4:$B$63,0))</f>
        <v>250 g</v>
      </c>
      <c r="D748" s="11" t="s">
        <v>338</v>
      </c>
      <c r="E748" s="16" t="str">
        <f aca="false">$A748&amp;"."&amp;$D748&amp;".jpg"</f>
        <v>7908591300758.AP05.jpg</v>
      </c>
      <c r="F748" s="11" t="str">
        <f aca="false">IF(INDEX(PRODUTOS!$I$4:$I$63,MATCH($A748,PRODUTOS!$B$4:$B$63,0))="B",INDEX(MODELOS!$F$3:$F$19,MATCH($D748,MODELOS!$A$3:$A$19,0)),INDEX(MODELOS!$B$3:$B$19,MATCH($D748,MODELOS!$A$3:$A$19,0)))</f>
        <v>A+ · Módulo 3 · Benefício 3 de 4</v>
      </c>
      <c r="G748" s="11" t="str">
        <f aca="false">IF(INDEX(PRODUTOS!$F$4:$F$63,MATCH($A748,PRODUTOS!$B$4:$B$63,0))="Ração",IF(INDEX(PRODUTOS!$I$4:$I$63,MATCH($A748,PRODUTOS!$B$4:$B$63,0))="B",INDEX(MODELOS!$G$3:$G$19,MATCH($D748,MODELOS!$A$3:$A$19,0)),INDEX(MODELOS!$C$3:$C$19,MATCH($D748,MODELOS!$A$3:$A$19,0))),IF(INDEX(PRODUTOS!$I$4:$I$63,MATCH($A748,PRODUTOS!$B$4:$B$63,0))="B",INDEX(MODELOS!$H$3:$H$19,MATCH($D748,MODELOS!$A$3:$A$19,0)),INDEX(MODELOS!$D$3:$D$19,MATCH($D748,MODELOS!$A$3:$A$19,0))))</f>
        <v>Foto/ilustração do benefício 3</v>
      </c>
      <c r="H748" s="11" t="str">
        <f aca="false">IF(INDEX(PRODUTOS!$I$4:$I$63,MATCH($A748,PRODUTOS!$B$4:$B$63,0))="B",INDEX(MODELOS!$I$3:$I$19,MATCH($D748,MODELOS!$A$3:$A$19,0)),INDEX(MODELOS!$E$3:$E$19,MATCH($D748,MODELOS!$A$3:$A$19,0)))</f>
        <v>220 × 200</v>
      </c>
      <c r="I748" s="11" t="str">
        <f aca="false">INDEX(MODELOS!$J$3:$J$19,MATCH($D748,MODELOS!$A$3:$A$19,0))</f>
        <v>Conforme modelo</v>
      </c>
      <c r="J748" s="11" t="str">
        <f aca="false">IF(LEFT($D748,2)&lt;&gt;"AP",IF($I748="SIM","SIM","RECOMENDADA"),IF(INDEX(PRODUTOS!$J$4:$J$63,MATCH($A748,PRODUTOS!$B$4:$B$63,0))&lt;&gt;"","NÃO (usa o A+ do EAN "&amp;INDEX(PRODUTOS!$J$4:$J$63,MATCH($A748,PRODUTOS!$B$4:$B$63,0))&amp;")",IF(AND(INDEX(PRODUTOS!$I$4:$I$63,MATCH($A748,PRODUTOS!$B$4:$B$63,0))="B",$D748="AP07"),"NÃO (modelo B)","SIM")))</f>
        <v>SIM</v>
      </c>
      <c r="K748" s="13" t="s">
        <v>325</v>
      </c>
      <c r="L748" s="13"/>
    </row>
    <row r="749" customFormat="false" ht="15" hidden="false" customHeight="false" outlineLevel="0" collapsed="false">
      <c r="A749" s="15" t="s">
        <v>233</v>
      </c>
      <c r="B749" s="11" t="str">
        <f aca="false">INDEX(PRODUTOS!$E$4:$E$63,MATCH($A749,PRODUTOS!$B$4:$B$63,0))</f>
        <v>Cookie Natural Dots Petisco para Pets Sabor Maracujá e Camomila 250 g</v>
      </c>
      <c r="C749" s="11" t="str">
        <f aca="false">INDEX(PRODUTOS!$H$4:$H$63,MATCH($A749,PRODUTOS!$B$4:$B$63,0))</f>
        <v>250 g</v>
      </c>
      <c r="D749" s="11" t="s">
        <v>339</v>
      </c>
      <c r="E749" s="16" t="str">
        <f aca="false">$A749&amp;"."&amp;$D749&amp;".jpg"</f>
        <v>7908591300758.AP06.jpg</v>
      </c>
      <c r="F749" s="11" t="str">
        <f aca="false">IF(INDEX(PRODUTOS!$I$4:$I$63,MATCH($A749,PRODUTOS!$B$4:$B$63,0))="B",INDEX(MODELOS!$F$3:$F$19,MATCH($D749,MODELOS!$A$3:$A$19,0)),INDEX(MODELOS!$B$3:$B$19,MATCH($D749,MODELOS!$A$3:$A$19,0)))</f>
        <v>A+ · Módulo 3 · Benefício 4 de 4</v>
      </c>
      <c r="G749" s="11" t="str">
        <f aca="false">IF(INDEX(PRODUTOS!$F$4:$F$63,MATCH($A749,PRODUTOS!$B$4:$B$63,0))="Ração",IF(INDEX(PRODUTOS!$I$4:$I$63,MATCH($A749,PRODUTOS!$B$4:$B$63,0))="B",INDEX(MODELOS!$G$3:$G$19,MATCH($D749,MODELOS!$A$3:$A$19,0)),INDEX(MODELOS!$C$3:$C$19,MATCH($D749,MODELOS!$A$3:$A$19,0))),IF(INDEX(PRODUTOS!$I$4:$I$63,MATCH($A749,PRODUTOS!$B$4:$B$63,0))="B",INDEX(MODELOS!$H$3:$H$19,MATCH($D749,MODELOS!$A$3:$A$19,0)),INDEX(MODELOS!$D$3:$D$19,MATCH($D749,MODELOS!$A$3:$A$19,0))))</f>
        <v>Foto/ilustração do benefício 4</v>
      </c>
      <c r="H749" s="11" t="str">
        <f aca="false">IF(INDEX(PRODUTOS!$I$4:$I$63,MATCH($A749,PRODUTOS!$B$4:$B$63,0))="B",INDEX(MODELOS!$I$3:$I$19,MATCH($D749,MODELOS!$A$3:$A$19,0)),INDEX(MODELOS!$E$3:$E$19,MATCH($D749,MODELOS!$A$3:$A$19,0)))</f>
        <v>220 × 200</v>
      </c>
      <c r="I749" s="11" t="str">
        <f aca="false">INDEX(MODELOS!$J$3:$J$19,MATCH($D749,MODELOS!$A$3:$A$19,0))</f>
        <v>Conforme modelo</v>
      </c>
      <c r="J749" s="11" t="str">
        <f aca="false">IF(LEFT($D749,2)&lt;&gt;"AP",IF($I749="SIM","SIM","RECOMENDADA"),IF(INDEX(PRODUTOS!$J$4:$J$63,MATCH($A749,PRODUTOS!$B$4:$B$63,0))&lt;&gt;"","NÃO (usa o A+ do EAN "&amp;INDEX(PRODUTOS!$J$4:$J$63,MATCH($A749,PRODUTOS!$B$4:$B$63,0))&amp;")",IF(AND(INDEX(PRODUTOS!$I$4:$I$63,MATCH($A749,PRODUTOS!$B$4:$B$63,0))="B",$D749="AP07"),"NÃO (modelo B)","SIM")))</f>
        <v>SIM</v>
      </c>
      <c r="K749" s="13" t="s">
        <v>325</v>
      </c>
      <c r="L749" s="13"/>
    </row>
    <row r="750" customFormat="false" ht="15" hidden="false" customHeight="false" outlineLevel="0" collapsed="false">
      <c r="A750" s="15" t="s">
        <v>233</v>
      </c>
      <c r="B750" s="11" t="str">
        <f aca="false">INDEX(PRODUTOS!$E$4:$E$63,MATCH($A750,PRODUTOS!$B$4:$B$63,0))</f>
        <v>Cookie Natural Dots Petisco para Pets Sabor Maracujá e Camomila 250 g</v>
      </c>
      <c r="C750" s="11" t="str">
        <f aca="false">INDEX(PRODUTOS!$H$4:$H$63,MATCH($A750,PRODUTOS!$B$4:$B$63,0))</f>
        <v>250 g</v>
      </c>
      <c r="D750" s="11" t="s">
        <v>340</v>
      </c>
      <c r="E750" s="16" t="str">
        <f aca="false">$A750&amp;"."&amp;$D750&amp;".jpg"</f>
        <v>7908591300758.AP07.jpg</v>
      </c>
      <c r="F750" s="11" t="str">
        <f aca="false">IF(INDEX(PRODUTOS!$I$4:$I$63,MATCH($A750,PRODUTOS!$B$4:$B$63,0))="B",INDEX(MODELOS!$F$3:$F$19,MATCH($D750,MODELOS!$A$3:$A$19,0)),INDEX(MODELOS!$B$3:$B$19,MATCH($D750,MODELOS!$A$3:$A$19,0)))</f>
        <v>A+ · Módulo 4 · Especificações</v>
      </c>
      <c r="G750" s="11" t="str">
        <f aca="false">IF(INDEX(PRODUTOS!$F$4:$F$63,MATCH($A750,PRODUTOS!$B$4:$B$63,0))="Ração",IF(INDEX(PRODUTOS!$I$4:$I$63,MATCH($A750,PRODUTOS!$B$4:$B$63,0))="B",INDEX(MODELOS!$G$3:$G$19,MATCH($D750,MODELOS!$A$3:$A$19,0)),INDEX(MODELOS!$C$3:$C$19,MATCH($D750,MODELOS!$A$3:$A$19,0))),IF(INDEX(PRODUTOS!$I$4:$I$63,MATCH($A750,PRODUTOS!$B$4:$B$63,0))="B",INDEX(MODELOS!$H$3:$H$19,MATCH($D750,MODELOS!$A$3:$A$19,0)),INDEX(MODELOS!$D$3:$D$19,MATCH($D750,MODELOS!$A$3:$A$19,0))))</f>
        <v>Produto em destaque</v>
      </c>
      <c r="H750" s="11" t="str">
        <f aca="false">IF(INDEX(PRODUTOS!$I$4:$I$63,MATCH($A750,PRODUTOS!$B$4:$B$63,0))="B",INDEX(MODELOS!$I$3:$I$19,MATCH($D750,MODELOS!$A$3:$A$19,0)),INDEX(MODELOS!$E$3:$E$19,MATCH($D750,MODELOS!$A$3:$A$19,0)))</f>
        <v>300 × 300</v>
      </c>
      <c r="I750" s="11" t="str">
        <f aca="false">INDEX(MODELOS!$J$3:$J$19,MATCH($D750,MODELOS!$A$3:$A$19,0))</f>
        <v>Conforme modelo</v>
      </c>
      <c r="J750" s="11" t="str">
        <f aca="false">IF(LEFT($D750,2)&lt;&gt;"AP",IF($I750="SIM","SIM","RECOMENDADA"),IF(INDEX(PRODUTOS!$J$4:$J$63,MATCH($A750,PRODUTOS!$B$4:$B$63,0))&lt;&gt;"","NÃO (usa o A+ do EAN "&amp;INDEX(PRODUTOS!$J$4:$J$63,MATCH($A750,PRODUTOS!$B$4:$B$63,0))&amp;")",IF(AND(INDEX(PRODUTOS!$I$4:$I$63,MATCH($A750,PRODUTOS!$B$4:$B$63,0))="B",$D750="AP07"),"NÃO (modelo B)","SIM")))</f>
        <v>SIM</v>
      </c>
      <c r="K750" s="13" t="s">
        <v>325</v>
      </c>
      <c r="L750" s="13"/>
    </row>
    <row r="751" customFormat="false" ht="15" hidden="false" customHeight="false" outlineLevel="0" collapsed="false">
      <c r="A751" s="15" t="s">
        <v>233</v>
      </c>
      <c r="B751" s="11" t="str">
        <f aca="false">INDEX(PRODUTOS!$E$4:$E$63,MATCH($A751,PRODUTOS!$B$4:$B$63,0))</f>
        <v>Cookie Natural Dots Petisco para Pets Sabor Maracujá e Camomila 250 g</v>
      </c>
      <c r="C751" s="11" t="str">
        <f aca="false">INDEX(PRODUTOS!$H$4:$H$63,MATCH($A751,PRODUTOS!$B$4:$B$63,0))</f>
        <v>250 g</v>
      </c>
      <c r="D751" s="11" t="s">
        <v>341</v>
      </c>
      <c r="E751" s="16" t="str">
        <f aca="false">$A751&amp;"."&amp;$D751&amp;".jpg"</f>
        <v>7908591300758.COMP.jpg</v>
      </c>
      <c r="F751" s="11" t="str">
        <f aca="false">IF(INDEX(PRODUTOS!$I$4:$I$63,MATCH($A751,PRODUTOS!$B$4:$B$63,0))="B",INDEX(MODELOS!$F$3:$F$19,MATCH($D751,MODELOS!$A$3:$A$19,0)),INDEX(MODELOS!$B$3:$B$19,MATCH($D751,MODELOS!$A$3:$A$19,0)))</f>
        <v>A+ · Tabela comparativa</v>
      </c>
      <c r="G751" s="11" t="str">
        <f aca="false">IF(INDEX(PRODUTOS!$F$4:$F$63,MATCH($A751,PRODUTOS!$B$4:$B$63,0))="Ração",IF(INDEX(PRODUTOS!$I$4:$I$63,MATCH($A751,PRODUTOS!$B$4:$B$63,0))="B",INDEX(MODELOS!$G$3:$G$19,MATCH($D751,MODELOS!$A$3:$A$19,0)),INDEX(MODELOS!$C$3:$C$19,MATCH($D751,MODELOS!$A$3:$A$19,0))),IF(INDEX(PRODUTOS!$I$4:$I$63,MATCH($A751,PRODUTOS!$B$4:$B$63,0))="B",INDEX(MODELOS!$H$3:$H$19,MATCH($D751,MODELOS!$A$3:$A$19,0)),INDEX(MODELOS!$D$3:$D$19,MATCH($D751,MODELOS!$A$3:$A$19,0))))</f>
        <v>Produto na vertical, sem fundo colorido</v>
      </c>
      <c r="H751" s="11" t="str">
        <f aca="false">IF(INDEX(PRODUTOS!$I$4:$I$63,MATCH($A751,PRODUTOS!$B$4:$B$63,0))="B",INDEX(MODELOS!$I$3:$I$19,MATCH($D751,MODELOS!$A$3:$A$19,0)),INDEX(MODELOS!$E$3:$E$19,MATCH($D751,MODELOS!$A$3:$A$19,0)))</f>
        <v>150 × 300</v>
      </c>
      <c r="I751" s="11" t="str">
        <f aca="false">INDEX(MODELOS!$J$3:$J$19,MATCH($D751,MODELOS!$A$3:$A$19,0))</f>
        <v>SIM</v>
      </c>
      <c r="J751" s="11" t="str">
        <f aca="false">IF(LEFT($D751,2)&lt;&gt;"AP",IF($I751="SIM","SIM","RECOMENDADA"),IF(INDEX(PRODUTOS!$J$4:$J$63,MATCH($A751,PRODUTOS!$B$4:$B$63,0))&lt;&gt;"","NÃO (usa o A+ do EAN "&amp;INDEX(PRODUTOS!$J$4:$J$63,MATCH($A751,PRODUTOS!$B$4:$B$63,0))&amp;")",IF(AND(INDEX(PRODUTOS!$I$4:$I$63,MATCH($A751,PRODUTOS!$B$4:$B$63,0))="B",$D751="AP07"),"NÃO (modelo B)","SIM")))</f>
        <v>SIM</v>
      </c>
      <c r="K751" s="13" t="s">
        <v>325</v>
      </c>
      <c r="L751" s="13"/>
    </row>
    <row r="752" customFormat="false" ht="15" hidden="false" customHeight="false" outlineLevel="0" collapsed="false">
      <c r="A752" s="15" t="s">
        <v>238</v>
      </c>
      <c r="B752" s="11" t="str">
        <f aca="false">INDEX(PRODUTOS!$E$4:$E$63,MATCH($A752,PRODUTOS!$B$4:$B$63,0))</f>
        <v>Nuggets Recheados Gatos New Dots Bolas de Pelo 40 g</v>
      </c>
      <c r="C752" s="11" t="str">
        <f aca="false">INDEX(PRODUTOS!$H$4:$H$63,MATCH($A752,PRODUTOS!$B$4:$B$63,0))</f>
        <v>40 g</v>
      </c>
      <c r="D752" s="11" t="s">
        <v>324</v>
      </c>
      <c r="E752" s="16" t="str">
        <f aca="false">$A752&amp;"."&amp;$D752&amp;".jpg"</f>
        <v>7908591300727.MAIN.jpg</v>
      </c>
      <c r="F752" s="11" t="str">
        <f aca="false">IF(INDEX(PRODUTOS!$I$4:$I$63,MATCH($A752,PRODUTOS!$B$4:$B$63,0))="B",INDEX(MODELOS!$F$3:$F$19,MATCH($D752,MODELOS!$A$3:$A$19,0)),INDEX(MODELOS!$B$3:$B$19,MATCH($D752,MODELOS!$A$3:$A$19,0)))</f>
        <v>Capa (posição 1)</v>
      </c>
      <c r="G752" s="11" t="str">
        <f aca="false">IF(INDEX(PRODUTOS!$F$4:$F$63,MATCH($A752,PRODUTOS!$B$4:$B$63,0))="Ração",IF(INDEX(PRODUTOS!$I$4:$I$63,MATCH($A752,PRODUTOS!$B$4:$B$63,0))="B",INDEX(MODELOS!$G$3:$G$19,MATCH($D752,MODELOS!$A$3:$A$19,0)),INDEX(MODELOS!$C$3:$C$19,MATCH($D752,MODELOS!$A$3:$A$19,0))),IF(INDEX(PRODUTOS!$I$4:$I$63,MATCH($A752,PRODUTOS!$B$4:$B$63,0))="B",INDEX(MODELOS!$H$3:$H$19,MATCH($D752,MODELOS!$A$3:$A$19,0)),INDEX(MODELOS!$D$3:$D$19,MATCH($D752,MODELOS!$A$3:$A$19,0))))</f>
        <v>Embalagem de frente, fundo branco puro, 85% da área, nada adicionado</v>
      </c>
      <c r="H752" s="11" t="str">
        <f aca="false">IF(INDEX(PRODUTOS!$I$4:$I$63,MATCH($A752,PRODUTOS!$B$4:$B$63,0))="B",INDEX(MODELOS!$I$3:$I$19,MATCH($D752,MODELOS!$A$3:$A$19,0)),INDEX(MODELOS!$E$3:$E$19,MATCH($D752,MODELOS!$A$3:$A$19,0)))</f>
        <v>2000 × 2000</v>
      </c>
      <c r="I752" s="11" t="str">
        <f aca="false">INDEX(MODELOS!$J$3:$J$19,MATCH($D752,MODELOS!$A$3:$A$19,0))</f>
        <v>SIM</v>
      </c>
      <c r="J752" s="11" t="str">
        <f aca="false">IF(LEFT($D752,2)&lt;&gt;"AP",IF($I752="SIM","SIM","RECOMENDADA"),IF(INDEX(PRODUTOS!$J$4:$J$63,MATCH($A752,PRODUTOS!$B$4:$B$63,0))&lt;&gt;"","NÃO (usa o A+ do EAN "&amp;INDEX(PRODUTOS!$J$4:$J$63,MATCH($A752,PRODUTOS!$B$4:$B$63,0))&amp;")",IF(AND(INDEX(PRODUTOS!$I$4:$I$63,MATCH($A752,PRODUTOS!$B$4:$B$63,0))="B",$D752="AP07"),"NÃO (modelo B)","SIM")))</f>
        <v>SIM</v>
      </c>
      <c r="K752" s="13" t="s">
        <v>325</v>
      </c>
      <c r="L752" s="13"/>
    </row>
    <row r="753" customFormat="false" ht="15" hidden="false" customHeight="false" outlineLevel="0" collapsed="false">
      <c r="A753" s="15" t="s">
        <v>238</v>
      </c>
      <c r="B753" s="11" t="str">
        <f aca="false">INDEX(PRODUTOS!$E$4:$E$63,MATCH($A753,PRODUTOS!$B$4:$B$63,0))</f>
        <v>Nuggets Recheados Gatos New Dots Bolas de Pelo 40 g</v>
      </c>
      <c r="C753" s="11" t="str">
        <f aca="false">INDEX(PRODUTOS!$H$4:$H$63,MATCH($A753,PRODUTOS!$B$4:$B$63,0))</f>
        <v>40 g</v>
      </c>
      <c r="D753" s="11" t="s">
        <v>326</v>
      </c>
      <c r="E753" s="16" t="str">
        <f aca="false">$A753&amp;"."&amp;$D753&amp;".jpg"</f>
        <v>7908591300727.PT01.jpg</v>
      </c>
      <c r="F753" s="11" t="str">
        <f aca="false">IF(INDEX(PRODUTOS!$I$4:$I$63,MATCH($A753,PRODUTOS!$B$4:$B$63,0))="B",INDEX(MODELOS!$F$3:$F$19,MATCH($D753,MODELOS!$A$3:$A$19,0)),INDEX(MODELOS!$B$3:$B$19,MATCH($D753,MODELOS!$A$3:$A$19,0)))</f>
        <v>Galeria · posição 2</v>
      </c>
      <c r="G753" s="11" t="str">
        <f aca="false">IF(INDEX(PRODUTOS!$F$4:$F$63,MATCH($A753,PRODUTOS!$B$4:$B$63,0))="Ração",IF(INDEX(PRODUTOS!$I$4:$I$63,MATCH($A753,PRODUTOS!$B$4:$B$63,0))="B",INDEX(MODELOS!$G$3:$G$19,MATCH($D753,MODELOS!$A$3:$A$19,0)),INDEX(MODELOS!$C$3:$C$19,MATCH($D753,MODELOS!$A$3:$A$19,0))),IF(INDEX(PRODUTOS!$I$4:$I$63,MATCH($A753,PRODUTOS!$B$4:$B$63,0))="B",INDEX(MODELOS!$H$3:$H$19,MATCH($D753,MODELOS!$A$3:$A$19,0)),INDEX(MODELOS!$D$3:$D$19,MATCH($D753,MODELOS!$A$3:$A$19,0))))</f>
        <v>Grande diferencial (ex.: natural, biodegradável, perfumado)</v>
      </c>
      <c r="H753" s="11" t="str">
        <f aca="false">IF(INDEX(PRODUTOS!$I$4:$I$63,MATCH($A753,PRODUTOS!$B$4:$B$63,0))="B",INDEX(MODELOS!$I$3:$I$19,MATCH($D753,MODELOS!$A$3:$A$19,0)),INDEX(MODELOS!$E$3:$E$19,MATCH($D753,MODELOS!$A$3:$A$19,0)))</f>
        <v>2000 × 2000</v>
      </c>
      <c r="I753" s="11" t="str">
        <f aca="false">INDEX(MODELOS!$J$3:$J$19,MATCH($D753,MODELOS!$A$3:$A$19,0))</f>
        <v>SIM</v>
      </c>
      <c r="J753" s="11" t="str">
        <f aca="false">IF(LEFT($D753,2)&lt;&gt;"AP",IF($I753="SIM","SIM","RECOMENDADA"),IF(INDEX(PRODUTOS!$J$4:$J$63,MATCH($A753,PRODUTOS!$B$4:$B$63,0))&lt;&gt;"","NÃO (usa o A+ do EAN "&amp;INDEX(PRODUTOS!$J$4:$J$63,MATCH($A753,PRODUTOS!$B$4:$B$63,0))&amp;")",IF(AND(INDEX(PRODUTOS!$I$4:$I$63,MATCH($A753,PRODUTOS!$B$4:$B$63,0))="B",$D753="AP07"),"NÃO (modelo B)","SIM")))</f>
        <v>SIM</v>
      </c>
      <c r="K753" s="13" t="s">
        <v>325</v>
      </c>
      <c r="L753" s="13"/>
    </row>
    <row r="754" customFormat="false" ht="15" hidden="false" customHeight="false" outlineLevel="0" collapsed="false">
      <c r="A754" s="15" t="s">
        <v>238</v>
      </c>
      <c r="B754" s="11" t="str">
        <f aca="false">INDEX(PRODUTOS!$E$4:$E$63,MATCH($A754,PRODUTOS!$B$4:$B$63,0))</f>
        <v>Nuggets Recheados Gatos New Dots Bolas de Pelo 40 g</v>
      </c>
      <c r="C754" s="11" t="str">
        <f aca="false">INDEX(PRODUTOS!$H$4:$H$63,MATCH($A754,PRODUTOS!$B$4:$B$63,0))</f>
        <v>40 g</v>
      </c>
      <c r="D754" s="11" t="s">
        <v>327</v>
      </c>
      <c r="E754" s="16" t="str">
        <f aca="false">$A754&amp;"."&amp;$D754&amp;".jpg"</f>
        <v>7908591300727.PT02.jpg</v>
      </c>
      <c r="F754" s="11" t="str">
        <f aca="false">IF(INDEX(PRODUTOS!$I$4:$I$63,MATCH($A754,PRODUTOS!$B$4:$B$63,0))="B",INDEX(MODELOS!$F$3:$F$19,MATCH($D754,MODELOS!$A$3:$A$19,0)),INDEX(MODELOS!$B$3:$B$19,MATCH($D754,MODELOS!$A$3:$A$19,0)))</f>
        <v>Galeria · posição 3</v>
      </c>
      <c r="G754" s="11" t="str">
        <f aca="false">IF(INDEX(PRODUTOS!$F$4:$F$63,MATCH($A754,PRODUTOS!$B$4:$B$63,0))="Ração",IF(INDEX(PRODUTOS!$I$4:$I$63,MATCH($A754,PRODUTOS!$B$4:$B$63,0))="B",INDEX(MODELOS!$G$3:$G$19,MATCH($D754,MODELOS!$A$3:$A$19,0)),INDEX(MODELOS!$C$3:$C$19,MATCH($D754,MODELOS!$A$3:$A$19,0))),IF(INDEX(PRODUTOS!$I$4:$I$63,MATCH($A754,PRODUTOS!$B$4:$B$63,0))="B",INDEX(MODELOS!$H$3:$H$19,MATCH($D754,MODELOS!$A$3:$A$19,0)),INDEX(MODELOS!$D$3:$D$19,MATCH($D754,MODELOS!$A$3:$A$19,0))))</f>
        <v>Benefícios com ícones (4 a 6, impressos na embalagem)</v>
      </c>
      <c r="H754" s="11" t="str">
        <f aca="false">IF(INDEX(PRODUTOS!$I$4:$I$63,MATCH($A754,PRODUTOS!$B$4:$B$63,0))="B",INDEX(MODELOS!$I$3:$I$19,MATCH($D754,MODELOS!$A$3:$A$19,0)),INDEX(MODELOS!$E$3:$E$19,MATCH($D754,MODELOS!$A$3:$A$19,0)))</f>
        <v>2000 × 2000</v>
      </c>
      <c r="I754" s="11" t="str">
        <f aca="false">INDEX(MODELOS!$J$3:$J$19,MATCH($D754,MODELOS!$A$3:$A$19,0))</f>
        <v>SIM</v>
      </c>
      <c r="J754" s="11" t="str">
        <f aca="false">IF(LEFT($D754,2)&lt;&gt;"AP",IF($I754="SIM","SIM","RECOMENDADA"),IF(INDEX(PRODUTOS!$J$4:$J$63,MATCH($A754,PRODUTOS!$B$4:$B$63,0))&lt;&gt;"","NÃO (usa o A+ do EAN "&amp;INDEX(PRODUTOS!$J$4:$J$63,MATCH($A754,PRODUTOS!$B$4:$B$63,0))&amp;")",IF(AND(INDEX(PRODUTOS!$I$4:$I$63,MATCH($A754,PRODUTOS!$B$4:$B$63,0))="B",$D754="AP07"),"NÃO (modelo B)","SIM")))</f>
        <v>SIM</v>
      </c>
      <c r="K754" s="13" t="s">
        <v>325</v>
      </c>
      <c r="L754" s="13"/>
    </row>
    <row r="755" customFormat="false" ht="15" hidden="false" customHeight="false" outlineLevel="0" collapsed="false">
      <c r="A755" s="15" t="s">
        <v>238</v>
      </c>
      <c r="B755" s="11" t="str">
        <f aca="false">INDEX(PRODUTOS!$E$4:$E$63,MATCH($A755,PRODUTOS!$B$4:$B$63,0))</f>
        <v>Nuggets Recheados Gatos New Dots Bolas de Pelo 40 g</v>
      </c>
      <c r="C755" s="11" t="str">
        <f aca="false">INDEX(PRODUTOS!$H$4:$H$63,MATCH($A755,PRODUTOS!$B$4:$B$63,0))</f>
        <v>40 g</v>
      </c>
      <c r="D755" s="11" t="s">
        <v>328</v>
      </c>
      <c r="E755" s="16" t="str">
        <f aca="false">$A755&amp;"."&amp;$D755&amp;".jpg"</f>
        <v>7908591300727.PT03.jpg</v>
      </c>
      <c r="F755" s="11" t="str">
        <f aca="false">IF(INDEX(PRODUTOS!$I$4:$I$63,MATCH($A755,PRODUTOS!$B$4:$B$63,0))="B",INDEX(MODELOS!$F$3:$F$19,MATCH($D755,MODELOS!$A$3:$A$19,0)),INDEX(MODELOS!$B$3:$B$19,MATCH($D755,MODELOS!$A$3:$A$19,0)))</f>
        <v>Galeria · posição 4</v>
      </c>
      <c r="G755" s="11" t="str">
        <f aca="false">IF(INDEX(PRODUTOS!$F$4:$F$63,MATCH($A755,PRODUTOS!$B$4:$B$63,0))="Ração",IF(INDEX(PRODUTOS!$I$4:$I$63,MATCH($A755,PRODUTOS!$B$4:$B$63,0))="B",INDEX(MODELOS!$G$3:$G$19,MATCH($D755,MODELOS!$A$3:$A$19,0)),INDEX(MODELOS!$C$3:$C$19,MATCH($D755,MODELOS!$A$3:$A$19,0))),IF(INDEX(PRODUTOS!$I$4:$I$63,MATCH($A755,PRODUTOS!$B$4:$B$63,0))="B",INDEX(MODELOS!$H$3:$H$19,MATCH($D755,MODELOS!$A$3:$A$19,0)),INDEX(MODELOS!$D$3:$D$19,MATCH($D755,MODELOS!$A$3:$A$19,0))))</f>
        <v>Detalhe e tamanho real (petisco, grânulo ou tapete aberto), com medidas</v>
      </c>
      <c r="H755" s="11" t="str">
        <f aca="false">IF(INDEX(PRODUTOS!$I$4:$I$63,MATCH($A755,PRODUTOS!$B$4:$B$63,0))="B",INDEX(MODELOS!$I$3:$I$19,MATCH($D755,MODELOS!$A$3:$A$19,0)),INDEX(MODELOS!$E$3:$E$19,MATCH($D755,MODELOS!$A$3:$A$19,0)))</f>
        <v>2000 × 2000</v>
      </c>
      <c r="I755" s="11" t="str">
        <f aca="false">INDEX(MODELOS!$J$3:$J$19,MATCH($D755,MODELOS!$A$3:$A$19,0))</f>
        <v>SIM</v>
      </c>
      <c r="J755" s="11" t="str">
        <f aca="false">IF(LEFT($D755,2)&lt;&gt;"AP",IF($I755="SIM","SIM","RECOMENDADA"),IF(INDEX(PRODUTOS!$J$4:$J$63,MATCH($A755,PRODUTOS!$B$4:$B$63,0))&lt;&gt;"","NÃO (usa o A+ do EAN "&amp;INDEX(PRODUTOS!$J$4:$J$63,MATCH($A755,PRODUTOS!$B$4:$B$63,0))&amp;")",IF(AND(INDEX(PRODUTOS!$I$4:$I$63,MATCH($A755,PRODUTOS!$B$4:$B$63,0))="B",$D755="AP07"),"NÃO (modelo B)","SIM")))</f>
        <v>SIM</v>
      </c>
      <c r="K755" s="13" t="s">
        <v>325</v>
      </c>
      <c r="L755" s="13"/>
    </row>
    <row r="756" customFormat="false" ht="15" hidden="false" customHeight="false" outlineLevel="0" collapsed="false">
      <c r="A756" s="15" t="s">
        <v>238</v>
      </c>
      <c r="B756" s="11" t="str">
        <f aca="false">INDEX(PRODUTOS!$E$4:$E$63,MATCH($A756,PRODUTOS!$B$4:$B$63,0))</f>
        <v>Nuggets Recheados Gatos New Dots Bolas de Pelo 40 g</v>
      </c>
      <c r="C756" s="11" t="str">
        <f aca="false">INDEX(PRODUTOS!$H$4:$H$63,MATCH($A756,PRODUTOS!$B$4:$B$63,0))</f>
        <v>40 g</v>
      </c>
      <c r="D756" s="11" t="s">
        <v>329</v>
      </c>
      <c r="E756" s="16" t="str">
        <f aca="false">$A756&amp;"."&amp;$D756&amp;".jpg"</f>
        <v>7908591300727.PT04.jpg</v>
      </c>
      <c r="F756" s="11" t="str">
        <f aca="false">IF(INDEX(PRODUTOS!$I$4:$I$63,MATCH($A756,PRODUTOS!$B$4:$B$63,0))="B",INDEX(MODELOS!$F$3:$F$19,MATCH($D756,MODELOS!$A$3:$A$19,0)),INDEX(MODELOS!$B$3:$B$19,MATCH($D756,MODELOS!$A$3:$A$19,0)))</f>
        <v>Galeria · posição 5</v>
      </c>
      <c r="G756" s="11" t="str">
        <f aca="false">IF(INDEX(PRODUTOS!$F$4:$F$63,MATCH($A756,PRODUTOS!$B$4:$B$63,0))="Ração",IF(INDEX(PRODUTOS!$I$4:$I$63,MATCH($A756,PRODUTOS!$B$4:$B$63,0))="B",INDEX(MODELOS!$G$3:$G$19,MATCH($D756,MODELOS!$A$3:$A$19,0)),INDEX(MODELOS!$C$3:$C$19,MATCH($D756,MODELOS!$A$3:$A$19,0))),IF(INDEX(PRODUTOS!$I$4:$I$63,MATCH($A756,PRODUTOS!$B$4:$B$63,0))="B",INDEX(MODELOS!$H$3:$H$19,MATCH($D756,MODELOS!$A$3:$A$19,0)),INDEX(MODELOS!$D$3:$D$19,MATCH($D756,MODELOS!$A$3:$A$19,0))))</f>
        <v>Modo de uso (como oferecer o petisco / como usar o produto)</v>
      </c>
      <c r="H756" s="11" t="str">
        <f aca="false">IF(INDEX(PRODUTOS!$I$4:$I$63,MATCH($A756,PRODUTOS!$B$4:$B$63,0))="B",INDEX(MODELOS!$I$3:$I$19,MATCH($D756,MODELOS!$A$3:$A$19,0)),INDEX(MODELOS!$E$3:$E$19,MATCH($D756,MODELOS!$A$3:$A$19,0)))</f>
        <v>2000 × 2000</v>
      </c>
      <c r="I756" s="11" t="str">
        <f aca="false">INDEX(MODELOS!$J$3:$J$19,MATCH($D756,MODELOS!$A$3:$A$19,0))</f>
        <v>SIM</v>
      </c>
      <c r="J756" s="11" t="str">
        <f aca="false">IF(LEFT($D756,2)&lt;&gt;"AP",IF($I756="SIM","SIM","RECOMENDADA"),IF(INDEX(PRODUTOS!$J$4:$J$63,MATCH($A756,PRODUTOS!$B$4:$B$63,0))&lt;&gt;"","NÃO (usa o A+ do EAN "&amp;INDEX(PRODUTOS!$J$4:$J$63,MATCH($A756,PRODUTOS!$B$4:$B$63,0))&amp;")",IF(AND(INDEX(PRODUTOS!$I$4:$I$63,MATCH($A756,PRODUTOS!$B$4:$B$63,0))="B",$D756="AP07"),"NÃO (modelo B)","SIM")))</f>
        <v>SIM</v>
      </c>
      <c r="K756" s="13" t="s">
        <v>325</v>
      </c>
      <c r="L756" s="13"/>
    </row>
    <row r="757" customFormat="false" ht="15" hidden="false" customHeight="false" outlineLevel="0" collapsed="false">
      <c r="A757" s="15" t="s">
        <v>238</v>
      </c>
      <c r="B757" s="11" t="str">
        <f aca="false">INDEX(PRODUTOS!$E$4:$E$63,MATCH($A757,PRODUTOS!$B$4:$B$63,0))</f>
        <v>Nuggets Recheados Gatos New Dots Bolas de Pelo 40 g</v>
      </c>
      <c r="C757" s="11" t="str">
        <f aca="false">INDEX(PRODUTOS!$H$4:$H$63,MATCH($A757,PRODUTOS!$B$4:$B$63,0))</f>
        <v>40 g</v>
      </c>
      <c r="D757" s="11" t="s">
        <v>330</v>
      </c>
      <c r="E757" s="16" t="str">
        <f aca="false">$A757&amp;"."&amp;$D757&amp;".jpg"</f>
        <v>7908591300727.PT05.jpg</v>
      </c>
      <c r="F757" s="11" t="str">
        <f aca="false">IF(INDEX(PRODUTOS!$I$4:$I$63,MATCH($A757,PRODUTOS!$B$4:$B$63,0))="B",INDEX(MODELOS!$F$3:$F$19,MATCH($D757,MODELOS!$A$3:$A$19,0)),INDEX(MODELOS!$B$3:$B$19,MATCH($D757,MODELOS!$A$3:$A$19,0)))</f>
        <v>Galeria · posição 6</v>
      </c>
      <c r="G757" s="11" t="str">
        <f aca="false">IF(INDEX(PRODUTOS!$F$4:$F$63,MATCH($A757,PRODUTOS!$B$4:$B$63,0))="Ração",IF(INDEX(PRODUTOS!$I$4:$I$63,MATCH($A757,PRODUTOS!$B$4:$B$63,0))="B",INDEX(MODELOS!$G$3:$G$19,MATCH($D757,MODELOS!$A$3:$A$19,0)),INDEX(MODELOS!$C$3:$C$19,MATCH($D757,MODELOS!$A$3:$A$19,0))),IF(INDEX(PRODUTOS!$I$4:$I$63,MATCH($A757,PRODUTOS!$B$4:$B$63,0))="B",INDEX(MODELOS!$H$3:$H$19,MATCH($D757,MODELOS!$A$3:$A$19,0)),INDEX(MODELOS!$D$3:$D$19,MATCH($D757,MODELOS!$A$3:$A$19,0))))</f>
        <v>Quantidade por dia ou rendimento do pacote</v>
      </c>
      <c r="H757" s="11" t="str">
        <f aca="false">IF(INDEX(PRODUTOS!$I$4:$I$63,MATCH($A757,PRODUTOS!$B$4:$B$63,0))="B",INDEX(MODELOS!$I$3:$I$19,MATCH($D757,MODELOS!$A$3:$A$19,0)),INDEX(MODELOS!$E$3:$E$19,MATCH($D757,MODELOS!$A$3:$A$19,0)))</f>
        <v>2000 × 2000</v>
      </c>
      <c r="I757" s="11" t="str">
        <f aca="false">INDEX(MODELOS!$J$3:$J$19,MATCH($D757,MODELOS!$A$3:$A$19,0))</f>
        <v>Recomendada</v>
      </c>
      <c r="J757" s="11" t="str">
        <f aca="false">IF(LEFT($D757,2)&lt;&gt;"AP",IF($I757="SIM","SIM","RECOMENDADA"),IF(INDEX(PRODUTOS!$J$4:$J$63,MATCH($A757,PRODUTOS!$B$4:$B$63,0))&lt;&gt;"","NÃO (usa o A+ do EAN "&amp;INDEX(PRODUTOS!$J$4:$J$63,MATCH($A757,PRODUTOS!$B$4:$B$63,0))&amp;")",IF(AND(INDEX(PRODUTOS!$I$4:$I$63,MATCH($A757,PRODUTOS!$B$4:$B$63,0))="B",$D757="AP07"),"NÃO (modelo B)","SIM")))</f>
        <v>RECOMENDADA</v>
      </c>
      <c r="K757" s="13" t="s">
        <v>325</v>
      </c>
      <c r="L757" s="13"/>
    </row>
    <row r="758" customFormat="false" ht="15" hidden="false" customHeight="false" outlineLevel="0" collapsed="false">
      <c r="A758" s="15" t="s">
        <v>238</v>
      </c>
      <c r="B758" s="11" t="str">
        <f aca="false">INDEX(PRODUTOS!$E$4:$E$63,MATCH($A758,PRODUTOS!$B$4:$B$63,0))</f>
        <v>Nuggets Recheados Gatos New Dots Bolas de Pelo 40 g</v>
      </c>
      <c r="C758" s="11" t="str">
        <f aca="false">INDEX(PRODUTOS!$H$4:$H$63,MATCH($A758,PRODUTOS!$B$4:$B$63,0))</f>
        <v>40 g</v>
      </c>
      <c r="D758" s="11" t="s">
        <v>331</v>
      </c>
      <c r="E758" s="16" t="str">
        <f aca="false">$A758&amp;"."&amp;$D758&amp;".jpg"</f>
        <v>7908591300727.PT06.jpg</v>
      </c>
      <c r="F758" s="11" t="str">
        <f aca="false">IF(INDEX(PRODUTOS!$I$4:$I$63,MATCH($A758,PRODUTOS!$B$4:$B$63,0))="B",INDEX(MODELOS!$F$3:$F$19,MATCH($D758,MODELOS!$A$3:$A$19,0)),INDEX(MODELOS!$B$3:$B$19,MATCH($D758,MODELOS!$A$3:$A$19,0)))</f>
        <v>Galeria · posição 7</v>
      </c>
      <c r="G758" s="11" t="str">
        <f aca="false">IF(INDEX(PRODUTOS!$F$4:$F$63,MATCH($A758,PRODUTOS!$B$4:$B$63,0))="Ração",IF(INDEX(PRODUTOS!$I$4:$I$63,MATCH($A758,PRODUTOS!$B$4:$B$63,0))="B",INDEX(MODELOS!$G$3:$G$19,MATCH($D758,MODELOS!$A$3:$A$19,0)),INDEX(MODELOS!$C$3:$C$19,MATCH($D758,MODELOS!$A$3:$A$19,0))),IF(INDEX(PRODUTOS!$I$4:$I$63,MATCH($A758,PRODUTOS!$B$4:$B$63,0))="B",INDEX(MODELOS!$H$3:$H$19,MATCH($D758,MODELOS!$A$3:$A$19,0)),INDEX(MODELOS!$D$3:$D$19,MATCH($D758,MODELOS!$A$3:$A$19,0))))</f>
        <v>Composição/níveis de garantia (petiscos) ou especificações (higiene)</v>
      </c>
      <c r="H758" s="11" t="str">
        <f aca="false">IF(INDEX(PRODUTOS!$I$4:$I$63,MATCH($A758,PRODUTOS!$B$4:$B$63,0))="B",INDEX(MODELOS!$I$3:$I$19,MATCH($D758,MODELOS!$A$3:$A$19,0)),INDEX(MODELOS!$E$3:$E$19,MATCH($D758,MODELOS!$A$3:$A$19,0)))</f>
        <v>2000 × 2000</v>
      </c>
      <c r="I758" s="11" t="str">
        <f aca="false">INDEX(MODELOS!$J$3:$J$19,MATCH($D758,MODELOS!$A$3:$A$19,0))</f>
        <v>SIM</v>
      </c>
      <c r="J758" s="11" t="str">
        <f aca="false">IF(LEFT($D758,2)&lt;&gt;"AP",IF($I758="SIM","SIM","RECOMENDADA"),IF(INDEX(PRODUTOS!$J$4:$J$63,MATCH($A758,PRODUTOS!$B$4:$B$63,0))&lt;&gt;"","NÃO (usa o A+ do EAN "&amp;INDEX(PRODUTOS!$J$4:$J$63,MATCH($A758,PRODUTOS!$B$4:$B$63,0))&amp;")",IF(AND(INDEX(PRODUTOS!$I$4:$I$63,MATCH($A758,PRODUTOS!$B$4:$B$63,0))="B",$D758="AP07"),"NÃO (modelo B)","SIM")))</f>
        <v>SIM</v>
      </c>
      <c r="K758" s="13" t="s">
        <v>325</v>
      </c>
      <c r="L758" s="13"/>
    </row>
    <row r="759" customFormat="false" ht="15" hidden="false" customHeight="false" outlineLevel="0" collapsed="false">
      <c r="A759" s="15" t="s">
        <v>238</v>
      </c>
      <c r="B759" s="11" t="str">
        <f aca="false">INDEX(PRODUTOS!$E$4:$E$63,MATCH($A759,PRODUTOS!$B$4:$B$63,0))</f>
        <v>Nuggets Recheados Gatos New Dots Bolas de Pelo 40 g</v>
      </c>
      <c r="C759" s="11" t="str">
        <f aca="false">INDEX(PRODUTOS!$H$4:$H$63,MATCH($A759,PRODUTOS!$B$4:$B$63,0))</f>
        <v>40 g</v>
      </c>
      <c r="D759" s="11" t="s">
        <v>332</v>
      </c>
      <c r="E759" s="16" t="str">
        <f aca="false">$A759&amp;"."&amp;$D759&amp;".jpg"</f>
        <v>7908591300727.PT07.jpg</v>
      </c>
      <c r="F759" s="11" t="str">
        <f aca="false">IF(INDEX(PRODUTOS!$I$4:$I$63,MATCH($A759,PRODUTOS!$B$4:$B$63,0))="B",INDEX(MODELOS!$F$3:$F$19,MATCH($D759,MODELOS!$A$3:$A$19,0)),INDEX(MODELOS!$B$3:$B$19,MATCH($D759,MODELOS!$A$3:$A$19,0)))</f>
        <v>Galeria · posição 8</v>
      </c>
      <c r="G759" s="11" t="str">
        <f aca="false">IF(INDEX(PRODUTOS!$F$4:$F$63,MATCH($A759,PRODUTOS!$B$4:$B$63,0))="Ração",IF(INDEX(PRODUTOS!$I$4:$I$63,MATCH($A759,PRODUTOS!$B$4:$B$63,0))="B",INDEX(MODELOS!$G$3:$G$19,MATCH($D759,MODELOS!$A$3:$A$19,0)),INDEX(MODELOS!$C$3:$C$19,MATCH($D759,MODELOS!$A$3:$A$19,0))),IF(INDEX(PRODUTOS!$I$4:$I$63,MATCH($A759,PRODUTOS!$B$4:$B$63,0))="B",INDEX(MODELOS!$H$3:$H$19,MATCH($D759,MODELOS!$A$3:$A$19,0)),INDEX(MODELOS!$D$3:$D$19,MATCH($D759,MODELOS!$A$3:$A$19,0))))</f>
        <v>Emocional / momento de uso</v>
      </c>
      <c r="H759" s="11" t="str">
        <f aca="false">IF(INDEX(PRODUTOS!$I$4:$I$63,MATCH($A759,PRODUTOS!$B$4:$B$63,0))="B",INDEX(MODELOS!$I$3:$I$19,MATCH($D759,MODELOS!$A$3:$A$19,0)),INDEX(MODELOS!$E$3:$E$19,MATCH($D759,MODELOS!$A$3:$A$19,0)))</f>
        <v>2000 × 2000</v>
      </c>
      <c r="I759" s="11" t="str">
        <f aca="false">INDEX(MODELOS!$J$3:$J$19,MATCH($D759,MODELOS!$A$3:$A$19,0))</f>
        <v>Recomendada</v>
      </c>
      <c r="J759" s="11" t="str">
        <f aca="false">IF(LEFT($D759,2)&lt;&gt;"AP",IF($I759="SIM","SIM","RECOMENDADA"),IF(INDEX(PRODUTOS!$J$4:$J$63,MATCH($A759,PRODUTOS!$B$4:$B$63,0))&lt;&gt;"","NÃO (usa o A+ do EAN "&amp;INDEX(PRODUTOS!$J$4:$J$63,MATCH($A759,PRODUTOS!$B$4:$B$63,0))&amp;")",IF(AND(INDEX(PRODUTOS!$I$4:$I$63,MATCH($A759,PRODUTOS!$B$4:$B$63,0))="B",$D759="AP07"),"NÃO (modelo B)","SIM")))</f>
        <v>RECOMENDADA</v>
      </c>
      <c r="K759" s="13" t="s">
        <v>325</v>
      </c>
      <c r="L759" s="13"/>
    </row>
    <row r="760" customFormat="false" ht="15" hidden="false" customHeight="false" outlineLevel="0" collapsed="false">
      <c r="A760" s="15" t="s">
        <v>238</v>
      </c>
      <c r="B760" s="11" t="str">
        <f aca="false">INDEX(PRODUTOS!$E$4:$E$63,MATCH($A760,PRODUTOS!$B$4:$B$63,0))</f>
        <v>Nuggets Recheados Gatos New Dots Bolas de Pelo 40 g</v>
      </c>
      <c r="C760" s="11" t="str">
        <f aca="false">INDEX(PRODUTOS!$H$4:$H$63,MATCH($A760,PRODUTOS!$B$4:$B$63,0))</f>
        <v>40 g</v>
      </c>
      <c r="D760" s="11" t="s">
        <v>333</v>
      </c>
      <c r="E760" s="16" t="str">
        <f aca="false">$A760&amp;"."&amp;$D760&amp;".jpg"</f>
        <v>7908591300727.PT08.jpg</v>
      </c>
      <c r="F760" s="11" t="str">
        <f aca="false">IF(INDEX(PRODUTOS!$I$4:$I$63,MATCH($A760,PRODUTOS!$B$4:$B$63,0))="B",INDEX(MODELOS!$F$3:$F$19,MATCH($D760,MODELOS!$A$3:$A$19,0)),INDEX(MODELOS!$B$3:$B$19,MATCH($D760,MODELOS!$A$3:$A$19,0)))</f>
        <v>Galeria · posição 9</v>
      </c>
      <c r="G760" s="11" t="str">
        <f aca="false">IF(INDEX(PRODUTOS!$F$4:$F$63,MATCH($A760,PRODUTOS!$B$4:$B$63,0))="Ração",IF(INDEX(PRODUTOS!$I$4:$I$63,MATCH($A760,PRODUTOS!$B$4:$B$63,0))="B",INDEX(MODELOS!$G$3:$G$19,MATCH($D760,MODELOS!$A$3:$A$19,0)),INDEX(MODELOS!$C$3:$C$19,MATCH($D760,MODELOS!$A$3:$A$19,0))),IF(INDEX(PRODUTOS!$I$4:$I$63,MATCH($A760,PRODUTOS!$B$4:$B$63,0))="B",INDEX(MODELOS!$H$3:$H$19,MATCH($D760,MODELOS!$A$3:$A$19,0)),INDEX(MODELOS!$D$3:$D$19,MATCH($D760,MODELOS!$A$3:$A$19,0))))</f>
        <v>Linha da marca ("conheça também")</v>
      </c>
      <c r="H760" s="11" t="str">
        <f aca="false">IF(INDEX(PRODUTOS!$I$4:$I$63,MATCH($A760,PRODUTOS!$B$4:$B$63,0))="B",INDEX(MODELOS!$I$3:$I$19,MATCH($D760,MODELOS!$A$3:$A$19,0)),INDEX(MODELOS!$E$3:$E$19,MATCH($D760,MODELOS!$A$3:$A$19,0)))</f>
        <v>2000 × 2000</v>
      </c>
      <c r="I760" s="11" t="str">
        <f aca="false">INDEX(MODELOS!$J$3:$J$19,MATCH($D760,MODELOS!$A$3:$A$19,0))</f>
        <v>Recomendada</v>
      </c>
      <c r="J760" s="11" t="str">
        <f aca="false">IF(LEFT($D760,2)&lt;&gt;"AP",IF($I760="SIM","SIM","RECOMENDADA"),IF(INDEX(PRODUTOS!$J$4:$J$63,MATCH($A760,PRODUTOS!$B$4:$B$63,0))&lt;&gt;"","NÃO (usa o A+ do EAN "&amp;INDEX(PRODUTOS!$J$4:$J$63,MATCH($A760,PRODUTOS!$B$4:$B$63,0))&amp;")",IF(AND(INDEX(PRODUTOS!$I$4:$I$63,MATCH($A760,PRODUTOS!$B$4:$B$63,0))="B",$D760="AP07"),"NÃO (modelo B)","SIM")))</f>
        <v>RECOMENDADA</v>
      </c>
      <c r="K760" s="13" t="s">
        <v>325</v>
      </c>
      <c r="L760" s="13"/>
    </row>
    <row r="761" customFormat="false" ht="15" hidden="false" customHeight="false" outlineLevel="0" collapsed="false">
      <c r="A761" s="15" t="s">
        <v>238</v>
      </c>
      <c r="B761" s="11" t="str">
        <f aca="false">INDEX(PRODUTOS!$E$4:$E$63,MATCH($A761,PRODUTOS!$B$4:$B$63,0))</f>
        <v>Nuggets Recheados Gatos New Dots Bolas de Pelo 40 g</v>
      </c>
      <c r="C761" s="11" t="str">
        <f aca="false">INDEX(PRODUTOS!$H$4:$H$63,MATCH($A761,PRODUTOS!$B$4:$B$63,0))</f>
        <v>40 g</v>
      </c>
      <c r="D761" s="11" t="s">
        <v>334</v>
      </c>
      <c r="E761" s="16" t="str">
        <f aca="false">$A761&amp;"."&amp;$D761&amp;".jpg"</f>
        <v>7908591300727.AP01.jpg</v>
      </c>
      <c r="F761" s="11" t="str">
        <f aca="false">IF(INDEX(PRODUTOS!$I$4:$I$63,MATCH($A761,PRODUTOS!$B$4:$B$63,0))="B",INDEX(MODELOS!$F$3:$F$19,MATCH($D761,MODELOS!$A$3:$A$19,0)),INDEX(MODELOS!$B$3:$B$19,MATCH($D761,MODELOS!$A$3:$A$19,0)))</f>
        <v>A+ · Módulo 1 · Banner</v>
      </c>
      <c r="G761" s="11" t="str">
        <f aca="false">IF(INDEX(PRODUTOS!$F$4:$F$63,MATCH($A761,PRODUTOS!$B$4:$B$63,0))="Ração",IF(INDEX(PRODUTOS!$I$4:$I$63,MATCH($A761,PRODUTOS!$B$4:$B$63,0))="B",INDEX(MODELOS!$G$3:$G$19,MATCH($D761,MODELOS!$A$3:$A$19,0)),INDEX(MODELOS!$C$3:$C$19,MATCH($D761,MODELOS!$A$3:$A$19,0))),IF(INDEX(PRODUTOS!$I$4:$I$63,MATCH($A761,PRODUTOS!$B$4:$B$63,0))="B",INDEX(MODELOS!$H$3:$H$19,MATCH($D761,MODELOS!$A$3:$A$19,0)),INDEX(MODELOS!$D$3:$D$19,MATCH($D761,MODELOS!$A$3:$A$19,0))))</f>
        <v>Produto + pet, com o nome da linha</v>
      </c>
      <c r="H761" s="11" t="str">
        <f aca="false">IF(INDEX(PRODUTOS!$I$4:$I$63,MATCH($A761,PRODUTOS!$B$4:$B$63,0))="B",INDEX(MODELOS!$I$3:$I$19,MATCH($D761,MODELOS!$A$3:$A$19,0)),INDEX(MODELOS!$E$3:$E$19,MATCH($D761,MODELOS!$A$3:$A$19,0)))</f>
        <v>970 × 600</v>
      </c>
      <c r="I761" s="11" t="str">
        <f aca="false">INDEX(MODELOS!$J$3:$J$19,MATCH($D761,MODELOS!$A$3:$A$19,0))</f>
        <v>Conforme modelo</v>
      </c>
      <c r="J761" s="11" t="str">
        <f aca="false">IF(LEFT($D761,2)&lt;&gt;"AP",IF($I761="SIM","SIM","RECOMENDADA"),IF(INDEX(PRODUTOS!$J$4:$J$63,MATCH($A761,PRODUTOS!$B$4:$B$63,0))&lt;&gt;"","NÃO (usa o A+ do EAN "&amp;INDEX(PRODUTOS!$J$4:$J$63,MATCH($A761,PRODUTOS!$B$4:$B$63,0))&amp;")",IF(AND(INDEX(PRODUTOS!$I$4:$I$63,MATCH($A761,PRODUTOS!$B$4:$B$63,0))="B",$D761="AP07"),"NÃO (modelo B)","SIM")))</f>
        <v>SIM</v>
      </c>
      <c r="K761" s="13" t="s">
        <v>325</v>
      </c>
      <c r="L761" s="13"/>
    </row>
    <row r="762" customFormat="false" ht="15" hidden="false" customHeight="false" outlineLevel="0" collapsed="false">
      <c r="A762" s="15" t="s">
        <v>238</v>
      </c>
      <c r="B762" s="11" t="str">
        <f aca="false">INDEX(PRODUTOS!$E$4:$E$63,MATCH($A762,PRODUTOS!$B$4:$B$63,0))</f>
        <v>Nuggets Recheados Gatos New Dots Bolas de Pelo 40 g</v>
      </c>
      <c r="C762" s="11" t="str">
        <f aca="false">INDEX(PRODUTOS!$H$4:$H$63,MATCH($A762,PRODUTOS!$B$4:$B$63,0))</f>
        <v>40 g</v>
      </c>
      <c r="D762" s="11" t="s">
        <v>335</v>
      </c>
      <c r="E762" s="16" t="str">
        <f aca="false">$A762&amp;"."&amp;$D762&amp;".jpg"</f>
        <v>7908591300727.AP02.jpg</v>
      </c>
      <c r="F762" s="11" t="str">
        <f aca="false">IF(INDEX(PRODUTOS!$I$4:$I$63,MATCH($A762,PRODUTOS!$B$4:$B$63,0))="B",INDEX(MODELOS!$F$3:$F$19,MATCH($D762,MODELOS!$A$3:$A$19,0)),INDEX(MODELOS!$B$3:$B$19,MATCH($D762,MODELOS!$A$3:$A$19,0)))</f>
        <v>A+ · Módulo 2 · Texto sobreposto</v>
      </c>
      <c r="G762" s="11" t="str">
        <f aca="false">IF(INDEX(PRODUTOS!$F$4:$F$63,MATCH($A762,PRODUTOS!$B$4:$B$63,0))="Ração",IF(INDEX(PRODUTOS!$I$4:$I$63,MATCH($A762,PRODUTOS!$B$4:$B$63,0))="B",INDEX(MODELOS!$G$3:$G$19,MATCH($D762,MODELOS!$A$3:$A$19,0)),INDEX(MODELOS!$C$3:$C$19,MATCH($D762,MODELOS!$A$3:$A$19,0))),IF(INDEX(PRODUTOS!$I$4:$I$63,MATCH($A762,PRODUTOS!$B$4:$B$63,0))="B",INDEX(MODELOS!$H$3:$H$19,MATCH($D762,MODELOS!$A$3:$A$19,0)),INDEX(MODELOS!$D$3:$D$19,MATCH($D762,MODELOS!$A$3:$A$19,0))))</f>
        <v>Principal diferencial; deixar o lado direito limpo</v>
      </c>
      <c r="H762" s="11" t="str">
        <f aca="false">IF(INDEX(PRODUTOS!$I$4:$I$63,MATCH($A762,PRODUTOS!$B$4:$B$63,0))="B",INDEX(MODELOS!$I$3:$I$19,MATCH($D762,MODELOS!$A$3:$A$19,0)),INDEX(MODELOS!$E$3:$E$19,MATCH($D762,MODELOS!$A$3:$A$19,0)))</f>
        <v>970 × 300</v>
      </c>
      <c r="I762" s="11" t="str">
        <f aca="false">INDEX(MODELOS!$J$3:$J$19,MATCH($D762,MODELOS!$A$3:$A$19,0))</f>
        <v>Conforme modelo</v>
      </c>
      <c r="J762" s="11" t="str">
        <f aca="false">IF(LEFT($D762,2)&lt;&gt;"AP",IF($I762="SIM","SIM","RECOMENDADA"),IF(INDEX(PRODUTOS!$J$4:$J$63,MATCH($A762,PRODUTOS!$B$4:$B$63,0))&lt;&gt;"","NÃO (usa o A+ do EAN "&amp;INDEX(PRODUTOS!$J$4:$J$63,MATCH($A762,PRODUTOS!$B$4:$B$63,0))&amp;")",IF(AND(INDEX(PRODUTOS!$I$4:$I$63,MATCH($A762,PRODUTOS!$B$4:$B$63,0))="B",$D762="AP07"),"NÃO (modelo B)","SIM")))</f>
        <v>SIM</v>
      </c>
      <c r="K762" s="13" t="s">
        <v>325</v>
      </c>
      <c r="L762" s="13"/>
    </row>
    <row r="763" customFormat="false" ht="15" hidden="false" customHeight="false" outlineLevel="0" collapsed="false">
      <c r="A763" s="15" t="s">
        <v>238</v>
      </c>
      <c r="B763" s="11" t="str">
        <f aca="false">INDEX(PRODUTOS!$E$4:$E$63,MATCH($A763,PRODUTOS!$B$4:$B$63,0))</f>
        <v>Nuggets Recheados Gatos New Dots Bolas de Pelo 40 g</v>
      </c>
      <c r="C763" s="11" t="str">
        <f aca="false">INDEX(PRODUTOS!$H$4:$H$63,MATCH($A763,PRODUTOS!$B$4:$B$63,0))</f>
        <v>40 g</v>
      </c>
      <c r="D763" s="11" t="s">
        <v>336</v>
      </c>
      <c r="E763" s="16" t="str">
        <f aca="false">$A763&amp;"."&amp;$D763&amp;".jpg"</f>
        <v>7908591300727.AP03.jpg</v>
      </c>
      <c r="F763" s="11" t="str">
        <f aca="false">IF(INDEX(PRODUTOS!$I$4:$I$63,MATCH($A763,PRODUTOS!$B$4:$B$63,0))="B",INDEX(MODELOS!$F$3:$F$19,MATCH($D763,MODELOS!$A$3:$A$19,0)),INDEX(MODELOS!$B$3:$B$19,MATCH($D763,MODELOS!$A$3:$A$19,0)))</f>
        <v>A+ · Módulo 3 · Benefício 1 de 4</v>
      </c>
      <c r="G763" s="11" t="str">
        <f aca="false">IF(INDEX(PRODUTOS!$F$4:$F$63,MATCH($A763,PRODUTOS!$B$4:$B$63,0))="Ração",IF(INDEX(PRODUTOS!$I$4:$I$63,MATCH($A763,PRODUTOS!$B$4:$B$63,0))="B",INDEX(MODELOS!$G$3:$G$19,MATCH($D763,MODELOS!$A$3:$A$19,0)),INDEX(MODELOS!$C$3:$C$19,MATCH($D763,MODELOS!$A$3:$A$19,0))),IF(INDEX(PRODUTOS!$I$4:$I$63,MATCH($A763,PRODUTOS!$B$4:$B$63,0))="B",INDEX(MODELOS!$H$3:$H$19,MATCH($D763,MODELOS!$A$3:$A$19,0)),INDEX(MODELOS!$D$3:$D$19,MATCH($D763,MODELOS!$A$3:$A$19,0))))</f>
        <v>Foto/ilustração do benefício 1</v>
      </c>
      <c r="H763" s="11" t="str">
        <f aca="false">IF(INDEX(PRODUTOS!$I$4:$I$63,MATCH($A763,PRODUTOS!$B$4:$B$63,0))="B",INDEX(MODELOS!$I$3:$I$19,MATCH($D763,MODELOS!$A$3:$A$19,0)),INDEX(MODELOS!$E$3:$E$19,MATCH($D763,MODELOS!$A$3:$A$19,0)))</f>
        <v>220 × 200</v>
      </c>
      <c r="I763" s="11" t="str">
        <f aca="false">INDEX(MODELOS!$J$3:$J$19,MATCH($D763,MODELOS!$A$3:$A$19,0))</f>
        <v>Conforme modelo</v>
      </c>
      <c r="J763" s="11" t="str">
        <f aca="false">IF(LEFT($D763,2)&lt;&gt;"AP",IF($I763="SIM","SIM","RECOMENDADA"),IF(INDEX(PRODUTOS!$J$4:$J$63,MATCH($A763,PRODUTOS!$B$4:$B$63,0))&lt;&gt;"","NÃO (usa o A+ do EAN "&amp;INDEX(PRODUTOS!$J$4:$J$63,MATCH($A763,PRODUTOS!$B$4:$B$63,0))&amp;")",IF(AND(INDEX(PRODUTOS!$I$4:$I$63,MATCH($A763,PRODUTOS!$B$4:$B$63,0))="B",$D763="AP07"),"NÃO (modelo B)","SIM")))</f>
        <v>SIM</v>
      </c>
      <c r="K763" s="13" t="s">
        <v>325</v>
      </c>
      <c r="L763" s="13"/>
    </row>
    <row r="764" customFormat="false" ht="15" hidden="false" customHeight="false" outlineLevel="0" collapsed="false">
      <c r="A764" s="15" t="s">
        <v>238</v>
      </c>
      <c r="B764" s="11" t="str">
        <f aca="false">INDEX(PRODUTOS!$E$4:$E$63,MATCH($A764,PRODUTOS!$B$4:$B$63,0))</f>
        <v>Nuggets Recheados Gatos New Dots Bolas de Pelo 40 g</v>
      </c>
      <c r="C764" s="11" t="str">
        <f aca="false">INDEX(PRODUTOS!$H$4:$H$63,MATCH($A764,PRODUTOS!$B$4:$B$63,0))</f>
        <v>40 g</v>
      </c>
      <c r="D764" s="11" t="s">
        <v>337</v>
      </c>
      <c r="E764" s="16" t="str">
        <f aca="false">$A764&amp;"."&amp;$D764&amp;".jpg"</f>
        <v>7908591300727.AP04.jpg</v>
      </c>
      <c r="F764" s="11" t="str">
        <f aca="false">IF(INDEX(PRODUTOS!$I$4:$I$63,MATCH($A764,PRODUTOS!$B$4:$B$63,0))="B",INDEX(MODELOS!$F$3:$F$19,MATCH($D764,MODELOS!$A$3:$A$19,0)),INDEX(MODELOS!$B$3:$B$19,MATCH($D764,MODELOS!$A$3:$A$19,0)))</f>
        <v>A+ · Módulo 3 · Benefício 2 de 4</v>
      </c>
      <c r="G764" s="11" t="str">
        <f aca="false">IF(INDEX(PRODUTOS!$F$4:$F$63,MATCH($A764,PRODUTOS!$B$4:$B$63,0))="Ração",IF(INDEX(PRODUTOS!$I$4:$I$63,MATCH($A764,PRODUTOS!$B$4:$B$63,0))="B",INDEX(MODELOS!$G$3:$G$19,MATCH($D764,MODELOS!$A$3:$A$19,0)),INDEX(MODELOS!$C$3:$C$19,MATCH($D764,MODELOS!$A$3:$A$19,0))),IF(INDEX(PRODUTOS!$I$4:$I$63,MATCH($A764,PRODUTOS!$B$4:$B$63,0))="B",INDEX(MODELOS!$H$3:$H$19,MATCH($D764,MODELOS!$A$3:$A$19,0)),INDEX(MODELOS!$D$3:$D$19,MATCH($D764,MODELOS!$A$3:$A$19,0))))</f>
        <v>Foto/ilustração do benefício 2</v>
      </c>
      <c r="H764" s="11" t="str">
        <f aca="false">IF(INDEX(PRODUTOS!$I$4:$I$63,MATCH($A764,PRODUTOS!$B$4:$B$63,0))="B",INDEX(MODELOS!$I$3:$I$19,MATCH($D764,MODELOS!$A$3:$A$19,0)),INDEX(MODELOS!$E$3:$E$19,MATCH($D764,MODELOS!$A$3:$A$19,0)))</f>
        <v>220 × 200</v>
      </c>
      <c r="I764" s="11" t="str">
        <f aca="false">INDEX(MODELOS!$J$3:$J$19,MATCH($D764,MODELOS!$A$3:$A$19,0))</f>
        <v>Conforme modelo</v>
      </c>
      <c r="J764" s="11" t="str">
        <f aca="false">IF(LEFT($D764,2)&lt;&gt;"AP",IF($I764="SIM","SIM","RECOMENDADA"),IF(INDEX(PRODUTOS!$J$4:$J$63,MATCH($A764,PRODUTOS!$B$4:$B$63,0))&lt;&gt;"","NÃO (usa o A+ do EAN "&amp;INDEX(PRODUTOS!$J$4:$J$63,MATCH($A764,PRODUTOS!$B$4:$B$63,0))&amp;")",IF(AND(INDEX(PRODUTOS!$I$4:$I$63,MATCH($A764,PRODUTOS!$B$4:$B$63,0))="B",$D764="AP07"),"NÃO (modelo B)","SIM")))</f>
        <v>SIM</v>
      </c>
      <c r="K764" s="13" t="s">
        <v>325</v>
      </c>
      <c r="L764" s="13"/>
    </row>
    <row r="765" customFormat="false" ht="15" hidden="false" customHeight="false" outlineLevel="0" collapsed="false">
      <c r="A765" s="15" t="s">
        <v>238</v>
      </c>
      <c r="B765" s="11" t="str">
        <f aca="false">INDEX(PRODUTOS!$E$4:$E$63,MATCH($A765,PRODUTOS!$B$4:$B$63,0))</f>
        <v>Nuggets Recheados Gatos New Dots Bolas de Pelo 40 g</v>
      </c>
      <c r="C765" s="11" t="str">
        <f aca="false">INDEX(PRODUTOS!$H$4:$H$63,MATCH($A765,PRODUTOS!$B$4:$B$63,0))</f>
        <v>40 g</v>
      </c>
      <c r="D765" s="11" t="s">
        <v>338</v>
      </c>
      <c r="E765" s="16" t="str">
        <f aca="false">$A765&amp;"."&amp;$D765&amp;".jpg"</f>
        <v>7908591300727.AP05.jpg</v>
      </c>
      <c r="F765" s="11" t="str">
        <f aca="false">IF(INDEX(PRODUTOS!$I$4:$I$63,MATCH($A765,PRODUTOS!$B$4:$B$63,0))="B",INDEX(MODELOS!$F$3:$F$19,MATCH($D765,MODELOS!$A$3:$A$19,0)),INDEX(MODELOS!$B$3:$B$19,MATCH($D765,MODELOS!$A$3:$A$19,0)))</f>
        <v>A+ · Módulo 3 · Benefício 3 de 4</v>
      </c>
      <c r="G765" s="11" t="str">
        <f aca="false">IF(INDEX(PRODUTOS!$F$4:$F$63,MATCH($A765,PRODUTOS!$B$4:$B$63,0))="Ração",IF(INDEX(PRODUTOS!$I$4:$I$63,MATCH($A765,PRODUTOS!$B$4:$B$63,0))="B",INDEX(MODELOS!$G$3:$G$19,MATCH($D765,MODELOS!$A$3:$A$19,0)),INDEX(MODELOS!$C$3:$C$19,MATCH($D765,MODELOS!$A$3:$A$19,0))),IF(INDEX(PRODUTOS!$I$4:$I$63,MATCH($A765,PRODUTOS!$B$4:$B$63,0))="B",INDEX(MODELOS!$H$3:$H$19,MATCH($D765,MODELOS!$A$3:$A$19,0)),INDEX(MODELOS!$D$3:$D$19,MATCH($D765,MODELOS!$A$3:$A$19,0))))</f>
        <v>Foto/ilustração do benefício 3</v>
      </c>
      <c r="H765" s="11" t="str">
        <f aca="false">IF(INDEX(PRODUTOS!$I$4:$I$63,MATCH($A765,PRODUTOS!$B$4:$B$63,0))="B",INDEX(MODELOS!$I$3:$I$19,MATCH($D765,MODELOS!$A$3:$A$19,0)),INDEX(MODELOS!$E$3:$E$19,MATCH($D765,MODELOS!$A$3:$A$19,0)))</f>
        <v>220 × 200</v>
      </c>
      <c r="I765" s="11" t="str">
        <f aca="false">INDEX(MODELOS!$J$3:$J$19,MATCH($D765,MODELOS!$A$3:$A$19,0))</f>
        <v>Conforme modelo</v>
      </c>
      <c r="J765" s="11" t="str">
        <f aca="false">IF(LEFT($D765,2)&lt;&gt;"AP",IF($I765="SIM","SIM","RECOMENDADA"),IF(INDEX(PRODUTOS!$J$4:$J$63,MATCH($A765,PRODUTOS!$B$4:$B$63,0))&lt;&gt;"","NÃO (usa o A+ do EAN "&amp;INDEX(PRODUTOS!$J$4:$J$63,MATCH($A765,PRODUTOS!$B$4:$B$63,0))&amp;")",IF(AND(INDEX(PRODUTOS!$I$4:$I$63,MATCH($A765,PRODUTOS!$B$4:$B$63,0))="B",$D765="AP07"),"NÃO (modelo B)","SIM")))</f>
        <v>SIM</v>
      </c>
      <c r="K765" s="13" t="s">
        <v>325</v>
      </c>
      <c r="L765" s="13"/>
    </row>
    <row r="766" customFormat="false" ht="15" hidden="false" customHeight="false" outlineLevel="0" collapsed="false">
      <c r="A766" s="15" t="s">
        <v>238</v>
      </c>
      <c r="B766" s="11" t="str">
        <f aca="false">INDEX(PRODUTOS!$E$4:$E$63,MATCH($A766,PRODUTOS!$B$4:$B$63,0))</f>
        <v>Nuggets Recheados Gatos New Dots Bolas de Pelo 40 g</v>
      </c>
      <c r="C766" s="11" t="str">
        <f aca="false">INDEX(PRODUTOS!$H$4:$H$63,MATCH($A766,PRODUTOS!$B$4:$B$63,0))</f>
        <v>40 g</v>
      </c>
      <c r="D766" s="11" t="s">
        <v>339</v>
      </c>
      <c r="E766" s="16" t="str">
        <f aca="false">$A766&amp;"."&amp;$D766&amp;".jpg"</f>
        <v>7908591300727.AP06.jpg</v>
      </c>
      <c r="F766" s="11" t="str">
        <f aca="false">IF(INDEX(PRODUTOS!$I$4:$I$63,MATCH($A766,PRODUTOS!$B$4:$B$63,0))="B",INDEX(MODELOS!$F$3:$F$19,MATCH($D766,MODELOS!$A$3:$A$19,0)),INDEX(MODELOS!$B$3:$B$19,MATCH($D766,MODELOS!$A$3:$A$19,0)))</f>
        <v>A+ · Módulo 3 · Benefício 4 de 4</v>
      </c>
      <c r="G766" s="11" t="str">
        <f aca="false">IF(INDEX(PRODUTOS!$F$4:$F$63,MATCH($A766,PRODUTOS!$B$4:$B$63,0))="Ração",IF(INDEX(PRODUTOS!$I$4:$I$63,MATCH($A766,PRODUTOS!$B$4:$B$63,0))="B",INDEX(MODELOS!$G$3:$G$19,MATCH($D766,MODELOS!$A$3:$A$19,0)),INDEX(MODELOS!$C$3:$C$19,MATCH($D766,MODELOS!$A$3:$A$19,0))),IF(INDEX(PRODUTOS!$I$4:$I$63,MATCH($A766,PRODUTOS!$B$4:$B$63,0))="B",INDEX(MODELOS!$H$3:$H$19,MATCH($D766,MODELOS!$A$3:$A$19,0)),INDEX(MODELOS!$D$3:$D$19,MATCH($D766,MODELOS!$A$3:$A$19,0))))</f>
        <v>Foto/ilustração do benefício 4</v>
      </c>
      <c r="H766" s="11" t="str">
        <f aca="false">IF(INDEX(PRODUTOS!$I$4:$I$63,MATCH($A766,PRODUTOS!$B$4:$B$63,0))="B",INDEX(MODELOS!$I$3:$I$19,MATCH($D766,MODELOS!$A$3:$A$19,0)),INDEX(MODELOS!$E$3:$E$19,MATCH($D766,MODELOS!$A$3:$A$19,0)))</f>
        <v>220 × 200</v>
      </c>
      <c r="I766" s="11" t="str">
        <f aca="false">INDEX(MODELOS!$J$3:$J$19,MATCH($D766,MODELOS!$A$3:$A$19,0))</f>
        <v>Conforme modelo</v>
      </c>
      <c r="J766" s="11" t="str">
        <f aca="false">IF(LEFT($D766,2)&lt;&gt;"AP",IF($I766="SIM","SIM","RECOMENDADA"),IF(INDEX(PRODUTOS!$J$4:$J$63,MATCH($A766,PRODUTOS!$B$4:$B$63,0))&lt;&gt;"","NÃO (usa o A+ do EAN "&amp;INDEX(PRODUTOS!$J$4:$J$63,MATCH($A766,PRODUTOS!$B$4:$B$63,0))&amp;")",IF(AND(INDEX(PRODUTOS!$I$4:$I$63,MATCH($A766,PRODUTOS!$B$4:$B$63,0))="B",$D766="AP07"),"NÃO (modelo B)","SIM")))</f>
        <v>SIM</v>
      </c>
      <c r="K766" s="13" t="s">
        <v>325</v>
      </c>
      <c r="L766" s="13"/>
    </row>
    <row r="767" customFormat="false" ht="15" hidden="false" customHeight="false" outlineLevel="0" collapsed="false">
      <c r="A767" s="15" t="s">
        <v>238</v>
      </c>
      <c r="B767" s="11" t="str">
        <f aca="false">INDEX(PRODUTOS!$E$4:$E$63,MATCH($A767,PRODUTOS!$B$4:$B$63,0))</f>
        <v>Nuggets Recheados Gatos New Dots Bolas de Pelo 40 g</v>
      </c>
      <c r="C767" s="11" t="str">
        <f aca="false">INDEX(PRODUTOS!$H$4:$H$63,MATCH($A767,PRODUTOS!$B$4:$B$63,0))</f>
        <v>40 g</v>
      </c>
      <c r="D767" s="11" t="s">
        <v>340</v>
      </c>
      <c r="E767" s="16" t="str">
        <f aca="false">$A767&amp;"."&amp;$D767&amp;".jpg"</f>
        <v>7908591300727.AP07.jpg</v>
      </c>
      <c r="F767" s="11" t="str">
        <f aca="false">IF(INDEX(PRODUTOS!$I$4:$I$63,MATCH($A767,PRODUTOS!$B$4:$B$63,0))="B",INDEX(MODELOS!$F$3:$F$19,MATCH($D767,MODELOS!$A$3:$A$19,0)),INDEX(MODELOS!$B$3:$B$19,MATCH($D767,MODELOS!$A$3:$A$19,0)))</f>
        <v>A+ · Módulo 4 · Especificações</v>
      </c>
      <c r="G767" s="11" t="str">
        <f aca="false">IF(INDEX(PRODUTOS!$F$4:$F$63,MATCH($A767,PRODUTOS!$B$4:$B$63,0))="Ração",IF(INDEX(PRODUTOS!$I$4:$I$63,MATCH($A767,PRODUTOS!$B$4:$B$63,0))="B",INDEX(MODELOS!$G$3:$G$19,MATCH($D767,MODELOS!$A$3:$A$19,0)),INDEX(MODELOS!$C$3:$C$19,MATCH($D767,MODELOS!$A$3:$A$19,0))),IF(INDEX(PRODUTOS!$I$4:$I$63,MATCH($A767,PRODUTOS!$B$4:$B$63,0))="B",INDEX(MODELOS!$H$3:$H$19,MATCH($D767,MODELOS!$A$3:$A$19,0)),INDEX(MODELOS!$D$3:$D$19,MATCH($D767,MODELOS!$A$3:$A$19,0))))</f>
        <v>Produto em destaque</v>
      </c>
      <c r="H767" s="11" t="str">
        <f aca="false">IF(INDEX(PRODUTOS!$I$4:$I$63,MATCH($A767,PRODUTOS!$B$4:$B$63,0))="B",INDEX(MODELOS!$I$3:$I$19,MATCH($D767,MODELOS!$A$3:$A$19,0)),INDEX(MODELOS!$E$3:$E$19,MATCH($D767,MODELOS!$A$3:$A$19,0)))</f>
        <v>300 × 300</v>
      </c>
      <c r="I767" s="11" t="str">
        <f aca="false">INDEX(MODELOS!$J$3:$J$19,MATCH($D767,MODELOS!$A$3:$A$19,0))</f>
        <v>Conforme modelo</v>
      </c>
      <c r="J767" s="11" t="str">
        <f aca="false">IF(LEFT($D767,2)&lt;&gt;"AP",IF($I767="SIM","SIM","RECOMENDADA"),IF(INDEX(PRODUTOS!$J$4:$J$63,MATCH($A767,PRODUTOS!$B$4:$B$63,0))&lt;&gt;"","NÃO (usa o A+ do EAN "&amp;INDEX(PRODUTOS!$J$4:$J$63,MATCH($A767,PRODUTOS!$B$4:$B$63,0))&amp;")",IF(AND(INDEX(PRODUTOS!$I$4:$I$63,MATCH($A767,PRODUTOS!$B$4:$B$63,0))="B",$D767="AP07"),"NÃO (modelo B)","SIM")))</f>
        <v>SIM</v>
      </c>
      <c r="K767" s="13" t="s">
        <v>325</v>
      </c>
      <c r="L767" s="13"/>
    </row>
    <row r="768" customFormat="false" ht="15" hidden="false" customHeight="false" outlineLevel="0" collapsed="false">
      <c r="A768" s="15" t="s">
        <v>238</v>
      </c>
      <c r="B768" s="11" t="str">
        <f aca="false">INDEX(PRODUTOS!$E$4:$E$63,MATCH($A768,PRODUTOS!$B$4:$B$63,0))</f>
        <v>Nuggets Recheados Gatos New Dots Bolas de Pelo 40 g</v>
      </c>
      <c r="C768" s="11" t="str">
        <f aca="false">INDEX(PRODUTOS!$H$4:$H$63,MATCH($A768,PRODUTOS!$B$4:$B$63,0))</f>
        <v>40 g</v>
      </c>
      <c r="D768" s="11" t="s">
        <v>341</v>
      </c>
      <c r="E768" s="16" t="str">
        <f aca="false">$A768&amp;"."&amp;$D768&amp;".jpg"</f>
        <v>7908591300727.COMP.jpg</v>
      </c>
      <c r="F768" s="11" t="str">
        <f aca="false">IF(INDEX(PRODUTOS!$I$4:$I$63,MATCH($A768,PRODUTOS!$B$4:$B$63,0))="B",INDEX(MODELOS!$F$3:$F$19,MATCH($D768,MODELOS!$A$3:$A$19,0)),INDEX(MODELOS!$B$3:$B$19,MATCH($D768,MODELOS!$A$3:$A$19,0)))</f>
        <v>A+ · Tabela comparativa</v>
      </c>
      <c r="G768" s="11" t="str">
        <f aca="false">IF(INDEX(PRODUTOS!$F$4:$F$63,MATCH($A768,PRODUTOS!$B$4:$B$63,0))="Ração",IF(INDEX(PRODUTOS!$I$4:$I$63,MATCH($A768,PRODUTOS!$B$4:$B$63,0))="B",INDEX(MODELOS!$G$3:$G$19,MATCH($D768,MODELOS!$A$3:$A$19,0)),INDEX(MODELOS!$C$3:$C$19,MATCH($D768,MODELOS!$A$3:$A$19,0))),IF(INDEX(PRODUTOS!$I$4:$I$63,MATCH($A768,PRODUTOS!$B$4:$B$63,0))="B",INDEX(MODELOS!$H$3:$H$19,MATCH($D768,MODELOS!$A$3:$A$19,0)),INDEX(MODELOS!$D$3:$D$19,MATCH($D768,MODELOS!$A$3:$A$19,0))))</f>
        <v>Produto na vertical, sem fundo colorido</v>
      </c>
      <c r="H768" s="11" t="str">
        <f aca="false">IF(INDEX(PRODUTOS!$I$4:$I$63,MATCH($A768,PRODUTOS!$B$4:$B$63,0))="B",INDEX(MODELOS!$I$3:$I$19,MATCH($D768,MODELOS!$A$3:$A$19,0)),INDEX(MODELOS!$E$3:$E$19,MATCH($D768,MODELOS!$A$3:$A$19,0)))</f>
        <v>150 × 300</v>
      </c>
      <c r="I768" s="11" t="str">
        <f aca="false">INDEX(MODELOS!$J$3:$J$19,MATCH($D768,MODELOS!$A$3:$A$19,0))</f>
        <v>SIM</v>
      </c>
      <c r="J768" s="11" t="str">
        <f aca="false">IF(LEFT($D768,2)&lt;&gt;"AP",IF($I768="SIM","SIM","RECOMENDADA"),IF(INDEX(PRODUTOS!$J$4:$J$63,MATCH($A768,PRODUTOS!$B$4:$B$63,0))&lt;&gt;"","NÃO (usa o A+ do EAN "&amp;INDEX(PRODUTOS!$J$4:$J$63,MATCH($A768,PRODUTOS!$B$4:$B$63,0))&amp;")",IF(AND(INDEX(PRODUTOS!$I$4:$I$63,MATCH($A768,PRODUTOS!$B$4:$B$63,0))="B",$D768="AP07"),"NÃO (modelo B)","SIM")))</f>
        <v>SIM</v>
      </c>
      <c r="K768" s="13" t="s">
        <v>325</v>
      </c>
      <c r="L768" s="13"/>
    </row>
    <row r="769" customFormat="false" ht="15" hidden="false" customHeight="false" outlineLevel="0" collapsed="false">
      <c r="A769" s="15" t="s">
        <v>243</v>
      </c>
      <c r="B769" s="11" t="str">
        <f aca="false">INDEX(PRODUTOS!$E$4:$E$63,MATCH($A769,PRODUTOS!$B$4:$B$63,0))</f>
        <v>Nuggets Recheados Gatos New Dots Controle PH Urinário 40 g</v>
      </c>
      <c r="C769" s="11" t="str">
        <f aca="false">INDEX(PRODUTOS!$H$4:$H$63,MATCH($A769,PRODUTOS!$B$4:$B$63,0))</f>
        <v>40 g</v>
      </c>
      <c r="D769" s="11" t="s">
        <v>324</v>
      </c>
      <c r="E769" s="16" t="str">
        <f aca="false">$A769&amp;"."&amp;$D769&amp;".jpg"</f>
        <v>7908591300741.MAIN.jpg</v>
      </c>
      <c r="F769" s="11" t="str">
        <f aca="false">IF(INDEX(PRODUTOS!$I$4:$I$63,MATCH($A769,PRODUTOS!$B$4:$B$63,0))="B",INDEX(MODELOS!$F$3:$F$19,MATCH($D769,MODELOS!$A$3:$A$19,0)),INDEX(MODELOS!$B$3:$B$19,MATCH($D769,MODELOS!$A$3:$A$19,0)))</f>
        <v>Capa (posição 1)</v>
      </c>
      <c r="G769" s="11" t="str">
        <f aca="false">IF(INDEX(PRODUTOS!$F$4:$F$63,MATCH($A769,PRODUTOS!$B$4:$B$63,0))="Ração",IF(INDEX(PRODUTOS!$I$4:$I$63,MATCH($A769,PRODUTOS!$B$4:$B$63,0))="B",INDEX(MODELOS!$G$3:$G$19,MATCH($D769,MODELOS!$A$3:$A$19,0)),INDEX(MODELOS!$C$3:$C$19,MATCH($D769,MODELOS!$A$3:$A$19,0))),IF(INDEX(PRODUTOS!$I$4:$I$63,MATCH($A769,PRODUTOS!$B$4:$B$63,0))="B",INDEX(MODELOS!$H$3:$H$19,MATCH($D769,MODELOS!$A$3:$A$19,0)),INDEX(MODELOS!$D$3:$D$19,MATCH($D769,MODELOS!$A$3:$A$19,0))))</f>
        <v>Embalagem de frente, fundo branco puro, 85% da área, nada adicionado</v>
      </c>
      <c r="H769" s="11" t="str">
        <f aca="false">IF(INDEX(PRODUTOS!$I$4:$I$63,MATCH($A769,PRODUTOS!$B$4:$B$63,0))="B",INDEX(MODELOS!$I$3:$I$19,MATCH($D769,MODELOS!$A$3:$A$19,0)),INDEX(MODELOS!$E$3:$E$19,MATCH($D769,MODELOS!$A$3:$A$19,0)))</f>
        <v>2000 × 2000</v>
      </c>
      <c r="I769" s="11" t="str">
        <f aca="false">INDEX(MODELOS!$J$3:$J$19,MATCH($D769,MODELOS!$A$3:$A$19,0))</f>
        <v>SIM</v>
      </c>
      <c r="J769" s="11" t="str">
        <f aca="false">IF(LEFT($D769,2)&lt;&gt;"AP",IF($I769="SIM","SIM","RECOMENDADA"),IF(INDEX(PRODUTOS!$J$4:$J$63,MATCH($A769,PRODUTOS!$B$4:$B$63,0))&lt;&gt;"","NÃO (usa o A+ do EAN "&amp;INDEX(PRODUTOS!$J$4:$J$63,MATCH($A769,PRODUTOS!$B$4:$B$63,0))&amp;")",IF(AND(INDEX(PRODUTOS!$I$4:$I$63,MATCH($A769,PRODUTOS!$B$4:$B$63,0))="B",$D769="AP07"),"NÃO (modelo B)","SIM")))</f>
        <v>SIM</v>
      </c>
      <c r="K769" s="13" t="s">
        <v>325</v>
      </c>
      <c r="L769" s="13"/>
    </row>
    <row r="770" customFormat="false" ht="15" hidden="false" customHeight="false" outlineLevel="0" collapsed="false">
      <c r="A770" s="15" t="s">
        <v>243</v>
      </c>
      <c r="B770" s="11" t="str">
        <f aca="false">INDEX(PRODUTOS!$E$4:$E$63,MATCH($A770,PRODUTOS!$B$4:$B$63,0))</f>
        <v>Nuggets Recheados Gatos New Dots Controle PH Urinário 40 g</v>
      </c>
      <c r="C770" s="11" t="str">
        <f aca="false">INDEX(PRODUTOS!$H$4:$H$63,MATCH($A770,PRODUTOS!$B$4:$B$63,0))</f>
        <v>40 g</v>
      </c>
      <c r="D770" s="11" t="s">
        <v>326</v>
      </c>
      <c r="E770" s="16" t="str">
        <f aca="false">$A770&amp;"."&amp;$D770&amp;".jpg"</f>
        <v>7908591300741.PT01.jpg</v>
      </c>
      <c r="F770" s="11" t="str">
        <f aca="false">IF(INDEX(PRODUTOS!$I$4:$I$63,MATCH($A770,PRODUTOS!$B$4:$B$63,0))="B",INDEX(MODELOS!$F$3:$F$19,MATCH($D770,MODELOS!$A$3:$A$19,0)),INDEX(MODELOS!$B$3:$B$19,MATCH($D770,MODELOS!$A$3:$A$19,0)))</f>
        <v>Galeria · posição 2</v>
      </c>
      <c r="G770" s="11" t="str">
        <f aca="false">IF(INDEX(PRODUTOS!$F$4:$F$63,MATCH($A770,PRODUTOS!$B$4:$B$63,0))="Ração",IF(INDEX(PRODUTOS!$I$4:$I$63,MATCH($A770,PRODUTOS!$B$4:$B$63,0))="B",INDEX(MODELOS!$G$3:$G$19,MATCH($D770,MODELOS!$A$3:$A$19,0)),INDEX(MODELOS!$C$3:$C$19,MATCH($D770,MODELOS!$A$3:$A$19,0))),IF(INDEX(PRODUTOS!$I$4:$I$63,MATCH($A770,PRODUTOS!$B$4:$B$63,0))="B",INDEX(MODELOS!$H$3:$H$19,MATCH($D770,MODELOS!$A$3:$A$19,0)),INDEX(MODELOS!$D$3:$D$19,MATCH($D770,MODELOS!$A$3:$A$19,0))))</f>
        <v>Grande diferencial (ex.: natural, biodegradável, perfumado)</v>
      </c>
      <c r="H770" s="11" t="str">
        <f aca="false">IF(INDEX(PRODUTOS!$I$4:$I$63,MATCH($A770,PRODUTOS!$B$4:$B$63,0))="B",INDEX(MODELOS!$I$3:$I$19,MATCH($D770,MODELOS!$A$3:$A$19,0)),INDEX(MODELOS!$E$3:$E$19,MATCH($D770,MODELOS!$A$3:$A$19,0)))</f>
        <v>2000 × 2000</v>
      </c>
      <c r="I770" s="11" t="str">
        <f aca="false">INDEX(MODELOS!$J$3:$J$19,MATCH($D770,MODELOS!$A$3:$A$19,0))</f>
        <v>SIM</v>
      </c>
      <c r="J770" s="11" t="str">
        <f aca="false">IF(LEFT($D770,2)&lt;&gt;"AP",IF($I770="SIM","SIM","RECOMENDADA"),IF(INDEX(PRODUTOS!$J$4:$J$63,MATCH($A770,PRODUTOS!$B$4:$B$63,0))&lt;&gt;"","NÃO (usa o A+ do EAN "&amp;INDEX(PRODUTOS!$J$4:$J$63,MATCH($A770,PRODUTOS!$B$4:$B$63,0))&amp;")",IF(AND(INDEX(PRODUTOS!$I$4:$I$63,MATCH($A770,PRODUTOS!$B$4:$B$63,0))="B",$D770="AP07"),"NÃO (modelo B)","SIM")))</f>
        <v>SIM</v>
      </c>
      <c r="K770" s="13" t="s">
        <v>325</v>
      </c>
      <c r="L770" s="13"/>
    </row>
    <row r="771" customFormat="false" ht="15" hidden="false" customHeight="false" outlineLevel="0" collapsed="false">
      <c r="A771" s="15" t="s">
        <v>243</v>
      </c>
      <c r="B771" s="11" t="str">
        <f aca="false">INDEX(PRODUTOS!$E$4:$E$63,MATCH($A771,PRODUTOS!$B$4:$B$63,0))</f>
        <v>Nuggets Recheados Gatos New Dots Controle PH Urinário 40 g</v>
      </c>
      <c r="C771" s="11" t="str">
        <f aca="false">INDEX(PRODUTOS!$H$4:$H$63,MATCH($A771,PRODUTOS!$B$4:$B$63,0))</f>
        <v>40 g</v>
      </c>
      <c r="D771" s="11" t="s">
        <v>327</v>
      </c>
      <c r="E771" s="16" t="str">
        <f aca="false">$A771&amp;"."&amp;$D771&amp;".jpg"</f>
        <v>7908591300741.PT02.jpg</v>
      </c>
      <c r="F771" s="11" t="str">
        <f aca="false">IF(INDEX(PRODUTOS!$I$4:$I$63,MATCH($A771,PRODUTOS!$B$4:$B$63,0))="B",INDEX(MODELOS!$F$3:$F$19,MATCH($D771,MODELOS!$A$3:$A$19,0)),INDEX(MODELOS!$B$3:$B$19,MATCH($D771,MODELOS!$A$3:$A$19,0)))</f>
        <v>Galeria · posição 3</v>
      </c>
      <c r="G771" s="11" t="str">
        <f aca="false">IF(INDEX(PRODUTOS!$F$4:$F$63,MATCH($A771,PRODUTOS!$B$4:$B$63,0))="Ração",IF(INDEX(PRODUTOS!$I$4:$I$63,MATCH($A771,PRODUTOS!$B$4:$B$63,0))="B",INDEX(MODELOS!$G$3:$G$19,MATCH($D771,MODELOS!$A$3:$A$19,0)),INDEX(MODELOS!$C$3:$C$19,MATCH($D771,MODELOS!$A$3:$A$19,0))),IF(INDEX(PRODUTOS!$I$4:$I$63,MATCH($A771,PRODUTOS!$B$4:$B$63,0))="B",INDEX(MODELOS!$H$3:$H$19,MATCH($D771,MODELOS!$A$3:$A$19,0)),INDEX(MODELOS!$D$3:$D$19,MATCH($D771,MODELOS!$A$3:$A$19,0))))</f>
        <v>Benefícios com ícones (4 a 6, impressos na embalagem)</v>
      </c>
      <c r="H771" s="11" t="str">
        <f aca="false">IF(INDEX(PRODUTOS!$I$4:$I$63,MATCH($A771,PRODUTOS!$B$4:$B$63,0))="B",INDEX(MODELOS!$I$3:$I$19,MATCH($D771,MODELOS!$A$3:$A$19,0)),INDEX(MODELOS!$E$3:$E$19,MATCH($D771,MODELOS!$A$3:$A$19,0)))</f>
        <v>2000 × 2000</v>
      </c>
      <c r="I771" s="11" t="str">
        <f aca="false">INDEX(MODELOS!$J$3:$J$19,MATCH($D771,MODELOS!$A$3:$A$19,0))</f>
        <v>SIM</v>
      </c>
      <c r="J771" s="11" t="str">
        <f aca="false">IF(LEFT($D771,2)&lt;&gt;"AP",IF($I771="SIM","SIM","RECOMENDADA"),IF(INDEX(PRODUTOS!$J$4:$J$63,MATCH($A771,PRODUTOS!$B$4:$B$63,0))&lt;&gt;"","NÃO (usa o A+ do EAN "&amp;INDEX(PRODUTOS!$J$4:$J$63,MATCH($A771,PRODUTOS!$B$4:$B$63,0))&amp;")",IF(AND(INDEX(PRODUTOS!$I$4:$I$63,MATCH($A771,PRODUTOS!$B$4:$B$63,0))="B",$D771="AP07"),"NÃO (modelo B)","SIM")))</f>
        <v>SIM</v>
      </c>
      <c r="K771" s="13" t="s">
        <v>325</v>
      </c>
      <c r="L771" s="13"/>
    </row>
    <row r="772" customFormat="false" ht="15" hidden="false" customHeight="false" outlineLevel="0" collapsed="false">
      <c r="A772" s="15" t="s">
        <v>243</v>
      </c>
      <c r="B772" s="11" t="str">
        <f aca="false">INDEX(PRODUTOS!$E$4:$E$63,MATCH($A772,PRODUTOS!$B$4:$B$63,0))</f>
        <v>Nuggets Recheados Gatos New Dots Controle PH Urinário 40 g</v>
      </c>
      <c r="C772" s="11" t="str">
        <f aca="false">INDEX(PRODUTOS!$H$4:$H$63,MATCH($A772,PRODUTOS!$B$4:$B$63,0))</f>
        <v>40 g</v>
      </c>
      <c r="D772" s="11" t="s">
        <v>328</v>
      </c>
      <c r="E772" s="16" t="str">
        <f aca="false">$A772&amp;"."&amp;$D772&amp;".jpg"</f>
        <v>7908591300741.PT03.jpg</v>
      </c>
      <c r="F772" s="11" t="str">
        <f aca="false">IF(INDEX(PRODUTOS!$I$4:$I$63,MATCH($A772,PRODUTOS!$B$4:$B$63,0))="B",INDEX(MODELOS!$F$3:$F$19,MATCH($D772,MODELOS!$A$3:$A$19,0)),INDEX(MODELOS!$B$3:$B$19,MATCH($D772,MODELOS!$A$3:$A$19,0)))</f>
        <v>Galeria · posição 4</v>
      </c>
      <c r="G772" s="11" t="str">
        <f aca="false">IF(INDEX(PRODUTOS!$F$4:$F$63,MATCH($A772,PRODUTOS!$B$4:$B$63,0))="Ração",IF(INDEX(PRODUTOS!$I$4:$I$63,MATCH($A772,PRODUTOS!$B$4:$B$63,0))="B",INDEX(MODELOS!$G$3:$G$19,MATCH($D772,MODELOS!$A$3:$A$19,0)),INDEX(MODELOS!$C$3:$C$19,MATCH($D772,MODELOS!$A$3:$A$19,0))),IF(INDEX(PRODUTOS!$I$4:$I$63,MATCH($A772,PRODUTOS!$B$4:$B$63,0))="B",INDEX(MODELOS!$H$3:$H$19,MATCH($D772,MODELOS!$A$3:$A$19,0)),INDEX(MODELOS!$D$3:$D$19,MATCH($D772,MODELOS!$A$3:$A$19,0))))</f>
        <v>Detalhe e tamanho real (petisco, grânulo ou tapete aberto), com medidas</v>
      </c>
      <c r="H772" s="11" t="str">
        <f aca="false">IF(INDEX(PRODUTOS!$I$4:$I$63,MATCH($A772,PRODUTOS!$B$4:$B$63,0))="B",INDEX(MODELOS!$I$3:$I$19,MATCH($D772,MODELOS!$A$3:$A$19,0)),INDEX(MODELOS!$E$3:$E$19,MATCH($D772,MODELOS!$A$3:$A$19,0)))</f>
        <v>2000 × 2000</v>
      </c>
      <c r="I772" s="11" t="str">
        <f aca="false">INDEX(MODELOS!$J$3:$J$19,MATCH($D772,MODELOS!$A$3:$A$19,0))</f>
        <v>SIM</v>
      </c>
      <c r="J772" s="11" t="str">
        <f aca="false">IF(LEFT($D772,2)&lt;&gt;"AP",IF($I772="SIM","SIM","RECOMENDADA"),IF(INDEX(PRODUTOS!$J$4:$J$63,MATCH($A772,PRODUTOS!$B$4:$B$63,0))&lt;&gt;"","NÃO (usa o A+ do EAN "&amp;INDEX(PRODUTOS!$J$4:$J$63,MATCH($A772,PRODUTOS!$B$4:$B$63,0))&amp;")",IF(AND(INDEX(PRODUTOS!$I$4:$I$63,MATCH($A772,PRODUTOS!$B$4:$B$63,0))="B",$D772="AP07"),"NÃO (modelo B)","SIM")))</f>
        <v>SIM</v>
      </c>
      <c r="K772" s="13" t="s">
        <v>325</v>
      </c>
      <c r="L772" s="13"/>
    </row>
    <row r="773" customFormat="false" ht="15" hidden="false" customHeight="false" outlineLevel="0" collapsed="false">
      <c r="A773" s="15" t="s">
        <v>243</v>
      </c>
      <c r="B773" s="11" t="str">
        <f aca="false">INDEX(PRODUTOS!$E$4:$E$63,MATCH($A773,PRODUTOS!$B$4:$B$63,0))</f>
        <v>Nuggets Recheados Gatos New Dots Controle PH Urinário 40 g</v>
      </c>
      <c r="C773" s="11" t="str">
        <f aca="false">INDEX(PRODUTOS!$H$4:$H$63,MATCH($A773,PRODUTOS!$B$4:$B$63,0))</f>
        <v>40 g</v>
      </c>
      <c r="D773" s="11" t="s">
        <v>329</v>
      </c>
      <c r="E773" s="16" t="str">
        <f aca="false">$A773&amp;"."&amp;$D773&amp;".jpg"</f>
        <v>7908591300741.PT04.jpg</v>
      </c>
      <c r="F773" s="11" t="str">
        <f aca="false">IF(INDEX(PRODUTOS!$I$4:$I$63,MATCH($A773,PRODUTOS!$B$4:$B$63,0))="B",INDEX(MODELOS!$F$3:$F$19,MATCH($D773,MODELOS!$A$3:$A$19,0)),INDEX(MODELOS!$B$3:$B$19,MATCH($D773,MODELOS!$A$3:$A$19,0)))</f>
        <v>Galeria · posição 5</v>
      </c>
      <c r="G773" s="11" t="str">
        <f aca="false">IF(INDEX(PRODUTOS!$F$4:$F$63,MATCH($A773,PRODUTOS!$B$4:$B$63,0))="Ração",IF(INDEX(PRODUTOS!$I$4:$I$63,MATCH($A773,PRODUTOS!$B$4:$B$63,0))="B",INDEX(MODELOS!$G$3:$G$19,MATCH($D773,MODELOS!$A$3:$A$19,0)),INDEX(MODELOS!$C$3:$C$19,MATCH($D773,MODELOS!$A$3:$A$19,0))),IF(INDEX(PRODUTOS!$I$4:$I$63,MATCH($A773,PRODUTOS!$B$4:$B$63,0))="B",INDEX(MODELOS!$H$3:$H$19,MATCH($D773,MODELOS!$A$3:$A$19,0)),INDEX(MODELOS!$D$3:$D$19,MATCH($D773,MODELOS!$A$3:$A$19,0))))</f>
        <v>Modo de uso (como oferecer o petisco / como usar o produto)</v>
      </c>
      <c r="H773" s="11" t="str">
        <f aca="false">IF(INDEX(PRODUTOS!$I$4:$I$63,MATCH($A773,PRODUTOS!$B$4:$B$63,0))="B",INDEX(MODELOS!$I$3:$I$19,MATCH($D773,MODELOS!$A$3:$A$19,0)),INDEX(MODELOS!$E$3:$E$19,MATCH($D773,MODELOS!$A$3:$A$19,0)))</f>
        <v>2000 × 2000</v>
      </c>
      <c r="I773" s="11" t="str">
        <f aca="false">INDEX(MODELOS!$J$3:$J$19,MATCH($D773,MODELOS!$A$3:$A$19,0))</f>
        <v>SIM</v>
      </c>
      <c r="J773" s="11" t="str">
        <f aca="false">IF(LEFT($D773,2)&lt;&gt;"AP",IF($I773="SIM","SIM","RECOMENDADA"),IF(INDEX(PRODUTOS!$J$4:$J$63,MATCH($A773,PRODUTOS!$B$4:$B$63,0))&lt;&gt;"","NÃO (usa o A+ do EAN "&amp;INDEX(PRODUTOS!$J$4:$J$63,MATCH($A773,PRODUTOS!$B$4:$B$63,0))&amp;")",IF(AND(INDEX(PRODUTOS!$I$4:$I$63,MATCH($A773,PRODUTOS!$B$4:$B$63,0))="B",$D773="AP07"),"NÃO (modelo B)","SIM")))</f>
        <v>SIM</v>
      </c>
      <c r="K773" s="13" t="s">
        <v>325</v>
      </c>
      <c r="L773" s="13"/>
    </row>
    <row r="774" customFormat="false" ht="15" hidden="false" customHeight="false" outlineLevel="0" collapsed="false">
      <c r="A774" s="15" t="s">
        <v>243</v>
      </c>
      <c r="B774" s="11" t="str">
        <f aca="false">INDEX(PRODUTOS!$E$4:$E$63,MATCH($A774,PRODUTOS!$B$4:$B$63,0))</f>
        <v>Nuggets Recheados Gatos New Dots Controle PH Urinário 40 g</v>
      </c>
      <c r="C774" s="11" t="str">
        <f aca="false">INDEX(PRODUTOS!$H$4:$H$63,MATCH($A774,PRODUTOS!$B$4:$B$63,0))</f>
        <v>40 g</v>
      </c>
      <c r="D774" s="11" t="s">
        <v>330</v>
      </c>
      <c r="E774" s="16" t="str">
        <f aca="false">$A774&amp;"."&amp;$D774&amp;".jpg"</f>
        <v>7908591300741.PT05.jpg</v>
      </c>
      <c r="F774" s="11" t="str">
        <f aca="false">IF(INDEX(PRODUTOS!$I$4:$I$63,MATCH($A774,PRODUTOS!$B$4:$B$63,0))="B",INDEX(MODELOS!$F$3:$F$19,MATCH($D774,MODELOS!$A$3:$A$19,0)),INDEX(MODELOS!$B$3:$B$19,MATCH($D774,MODELOS!$A$3:$A$19,0)))</f>
        <v>Galeria · posição 6</v>
      </c>
      <c r="G774" s="11" t="str">
        <f aca="false">IF(INDEX(PRODUTOS!$F$4:$F$63,MATCH($A774,PRODUTOS!$B$4:$B$63,0))="Ração",IF(INDEX(PRODUTOS!$I$4:$I$63,MATCH($A774,PRODUTOS!$B$4:$B$63,0))="B",INDEX(MODELOS!$G$3:$G$19,MATCH($D774,MODELOS!$A$3:$A$19,0)),INDEX(MODELOS!$C$3:$C$19,MATCH($D774,MODELOS!$A$3:$A$19,0))),IF(INDEX(PRODUTOS!$I$4:$I$63,MATCH($A774,PRODUTOS!$B$4:$B$63,0))="B",INDEX(MODELOS!$H$3:$H$19,MATCH($D774,MODELOS!$A$3:$A$19,0)),INDEX(MODELOS!$D$3:$D$19,MATCH($D774,MODELOS!$A$3:$A$19,0))))</f>
        <v>Quantidade por dia ou rendimento do pacote</v>
      </c>
      <c r="H774" s="11" t="str">
        <f aca="false">IF(INDEX(PRODUTOS!$I$4:$I$63,MATCH($A774,PRODUTOS!$B$4:$B$63,0))="B",INDEX(MODELOS!$I$3:$I$19,MATCH($D774,MODELOS!$A$3:$A$19,0)),INDEX(MODELOS!$E$3:$E$19,MATCH($D774,MODELOS!$A$3:$A$19,0)))</f>
        <v>2000 × 2000</v>
      </c>
      <c r="I774" s="11" t="str">
        <f aca="false">INDEX(MODELOS!$J$3:$J$19,MATCH($D774,MODELOS!$A$3:$A$19,0))</f>
        <v>Recomendada</v>
      </c>
      <c r="J774" s="11" t="str">
        <f aca="false">IF(LEFT($D774,2)&lt;&gt;"AP",IF($I774="SIM","SIM","RECOMENDADA"),IF(INDEX(PRODUTOS!$J$4:$J$63,MATCH($A774,PRODUTOS!$B$4:$B$63,0))&lt;&gt;"","NÃO (usa o A+ do EAN "&amp;INDEX(PRODUTOS!$J$4:$J$63,MATCH($A774,PRODUTOS!$B$4:$B$63,0))&amp;")",IF(AND(INDEX(PRODUTOS!$I$4:$I$63,MATCH($A774,PRODUTOS!$B$4:$B$63,0))="B",$D774="AP07"),"NÃO (modelo B)","SIM")))</f>
        <v>RECOMENDADA</v>
      </c>
      <c r="K774" s="13" t="s">
        <v>325</v>
      </c>
      <c r="L774" s="13"/>
    </row>
    <row r="775" customFormat="false" ht="15" hidden="false" customHeight="false" outlineLevel="0" collapsed="false">
      <c r="A775" s="15" t="s">
        <v>243</v>
      </c>
      <c r="B775" s="11" t="str">
        <f aca="false">INDEX(PRODUTOS!$E$4:$E$63,MATCH($A775,PRODUTOS!$B$4:$B$63,0))</f>
        <v>Nuggets Recheados Gatos New Dots Controle PH Urinário 40 g</v>
      </c>
      <c r="C775" s="11" t="str">
        <f aca="false">INDEX(PRODUTOS!$H$4:$H$63,MATCH($A775,PRODUTOS!$B$4:$B$63,0))</f>
        <v>40 g</v>
      </c>
      <c r="D775" s="11" t="s">
        <v>331</v>
      </c>
      <c r="E775" s="16" t="str">
        <f aca="false">$A775&amp;"."&amp;$D775&amp;".jpg"</f>
        <v>7908591300741.PT06.jpg</v>
      </c>
      <c r="F775" s="11" t="str">
        <f aca="false">IF(INDEX(PRODUTOS!$I$4:$I$63,MATCH($A775,PRODUTOS!$B$4:$B$63,0))="B",INDEX(MODELOS!$F$3:$F$19,MATCH($D775,MODELOS!$A$3:$A$19,0)),INDEX(MODELOS!$B$3:$B$19,MATCH($D775,MODELOS!$A$3:$A$19,0)))</f>
        <v>Galeria · posição 7</v>
      </c>
      <c r="G775" s="11" t="str">
        <f aca="false">IF(INDEX(PRODUTOS!$F$4:$F$63,MATCH($A775,PRODUTOS!$B$4:$B$63,0))="Ração",IF(INDEX(PRODUTOS!$I$4:$I$63,MATCH($A775,PRODUTOS!$B$4:$B$63,0))="B",INDEX(MODELOS!$G$3:$G$19,MATCH($D775,MODELOS!$A$3:$A$19,0)),INDEX(MODELOS!$C$3:$C$19,MATCH($D775,MODELOS!$A$3:$A$19,0))),IF(INDEX(PRODUTOS!$I$4:$I$63,MATCH($A775,PRODUTOS!$B$4:$B$63,0))="B",INDEX(MODELOS!$H$3:$H$19,MATCH($D775,MODELOS!$A$3:$A$19,0)),INDEX(MODELOS!$D$3:$D$19,MATCH($D775,MODELOS!$A$3:$A$19,0))))</f>
        <v>Composição/níveis de garantia (petiscos) ou especificações (higiene)</v>
      </c>
      <c r="H775" s="11" t="str">
        <f aca="false">IF(INDEX(PRODUTOS!$I$4:$I$63,MATCH($A775,PRODUTOS!$B$4:$B$63,0))="B",INDEX(MODELOS!$I$3:$I$19,MATCH($D775,MODELOS!$A$3:$A$19,0)),INDEX(MODELOS!$E$3:$E$19,MATCH($D775,MODELOS!$A$3:$A$19,0)))</f>
        <v>2000 × 2000</v>
      </c>
      <c r="I775" s="11" t="str">
        <f aca="false">INDEX(MODELOS!$J$3:$J$19,MATCH($D775,MODELOS!$A$3:$A$19,0))</f>
        <v>SIM</v>
      </c>
      <c r="J775" s="11" t="str">
        <f aca="false">IF(LEFT($D775,2)&lt;&gt;"AP",IF($I775="SIM","SIM","RECOMENDADA"),IF(INDEX(PRODUTOS!$J$4:$J$63,MATCH($A775,PRODUTOS!$B$4:$B$63,0))&lt;&gt;"","NÃO (usa o A+ do EAN "&amp;INDEX(PRODUTOS!$J$4:$J$63,MATCH($A775,PRODUTOS!$B$4:$B$63,0))&amp;")",IF(AND(INDEX(PRODUTOS!$I$4:$I$63,MATCH($A775,PRODUTOS!$B$4:$B$63,0))="B",$D775="AP07"),"NÃO (modelo B)","SIM")))</f>
        <v>SIM</v>
      </c>
      <c r="K775" s="13" t="s">
        <v>325</v>
      </c>
      <c r="L775" s="13"/>
    </row>
    <row r="776" customFormat="false" ht="15" hidden="false" customHeight="false" outlineLevel="0" collapsed="false">
      <c r="A776" s="15" t="s">
        <v>243</v>
      </c>
      <c r="B776" s="11" t="str">
        <f aca="false">INDEX(PRODUTOS!$E$4:$E$63,MATCH($A776,PRODUTOS!$B$4:$B$63,0))</f>
        <v>Nuggets Recheados Gatos New Dots Controle PH Urinário 40 g</v>
      </c>
      <c r="C776" s="11" t="str">
        <f aca="false">INDEX(PRODUTOS!$H$4:$H$63,MATCH($A776,PRODUTOS!$B$4:$B$63,0))</f>
        <v>40 g</v>
      </c>
      <c r="D776" s="11" t="s">
        <v>332</v>
      </c>
      <c r="E776" s="16" t="str">
        <f aca="false">$A776&amp;"."&amp;$D776&amp;".jpg"</f>
        <v>7908591300741.PT07.jpg</v>
      </c>
      <c r="F776" s="11" t="str">
        <f aca="false">IF(INDEX(PRODUTOS!$I$4:$I$63,MATCH($A776,PRODUTOS!$B$4:$B$63,0))="B",INDEX(MODELOS!$F$3:$F$19,MATCH($D776,MODELOS!$A$3:$A$19,0)),INDEX(MODELOS!$B$3:$B$19,MATCH($D776,MODELOS!$A$3:$A$19,0)))</f>
        <v>Galeria · posição 8</v>
      </c>
      <c r="G776" s="11" t="str">
        <f aca="false">IF(INDEX(PRODUTOS!$F$4:$F$63,MATCH($A776,PRODUTOS!$B$4:$B$63,0))="Ração",IF(INDEX(PRODUTOS!$I$4:$I$63,MATCH($A776,PRODUTOS!$B$4:$B$63,0))="B",INDEX(MODELOS!$G$3:$G$19,MATCH($D776,MODELOS!$A$3:$A$19,0)),INDEX(MODELOS!$C$3:$C$19,MATCH($D776,MODELOS!$A$3:$A$19,0))),IF(INDEX(PRODUTOS!$I$4:$I$63,MATCH($A776,PRODUTOS!$B$4:$B$63,0))="B",INDEX(MODELOS!$H$3:$H$19,MATCH($D776,MODELOS!$A$3:$A$19,0)),INDEX(MODELOS!$D$3:$D$19,MATCH($D776,MODELOS!$A$3:$A$19,0))))</f>
        <v>Emocional / momento de uso</v>
      </c>
      <c r="H776" s="11" t="str">
        <f aca="false">IF(INDEX(PRODUTOS!$I$4:$I$63,MATCH($A776,PRODUTOS!$B$4:$B$63,0))="B",INDEX(MODELOS!$I$3:$I$19,MATCH($D776,MODELOS!$A$3:$A$19,0)),INDEX(MODELOS!$E$3:$E$19,MATCH($D776,MODELOS!$A$3:$A$19,0)))</f>
        <v>2000 × 2000</v>
      </c>
      <c r="I776" s="11" t="str">
        <f aca="false">INDEX(MODELOS!$J$3:$J$19,MATCH($D776,MODELOS!$A$3:$A$19,0))</f>
        <v>Recomendada</v>
      </c>
      <c r="J776" s="11" t="str">
        <f aca="false">IF(LEFT($D776,2)&lt;&gt;"AP",IF($I776="SIM","SIM","RECOMENDADA"),IF(INDEX(PRODUTOS!$J$4:$J$63,MATCH($A776,PRODUTOS!$B$4:$B$63,0))&lt;&gt;"","NÃO (usa o A+ do EAN "&amp;INDEX(PRODUTOS!$J$4:$J$63,MATCH($A776,PRODUTOS!$B$4:$B$63,0))&amp;")",IF(AND(INDEX(PRODUTOS!$I$4:$I$63,MATCH($A776,PRODUTOS!$B$4:$B$63,0))="B",$D776="AP07"),"NÃO (modelo B)","SIM")))</f>
        <v>RECOMENDADA</v>
      </c>
      <c r="K776" s="13" t="s">
        <v>325</v>
      </c>
      <c r="L776" s="13"/>
    </row>
    <row r="777" customFormat="false" ht="15" hidden="false" customHeight="false" outlineLevel="0" collapsed="false">
      <c r="A777" s="15" t="s">
        <v>243</v>
      </c>
      <c r="B777" s="11" t="str">
        <f aca="false">INDEX(PRODUTOS!$E$4:$E$63,MATCH($A777,PRODUTOS!$B$4:$B$63,0))</f>
        <v>Nuggets Recheados Gatos New Dots Controle PH Urinário 40 g</v>
      </c>
      <c r="C777" s="11" t="str">
        <f aca="false">INDEX(PRODUTOS!$H$4:$H$63,MATCH($A777,PRODUTOS!$B$4:$B$63,0))</f>
        <v>40 g</v>
      </c>
      <c r="D777" s="11" t="s">
        <v>333</v>
      </c>
      <c r="E777" s="16" t="str">
        <f aca="false">$A777&amp;"."&amp;$D777&amp;".jpg"</f>
        <v>7908591300741.PT08.jpg</v>
      </c>
      <c r="F777" s="11" t="str">
        <f aca="false">IF(INDEX(PRODUTOS!$I$4:$I$63,MATCH($A777,PRODUTOS!$B$4:$B$63,0))="B",INDEX(MODELOS!$F$3:$F$19,MATCH($D777,MODELOS!$A$3:$A$19,0)),INDEX(MODELOS!$B$3:$B$19,MATCH($D777,MODELOS!$A$3:$A$19,0)))</f>
        <v>Galeria · posição 9</v>
      </c>
      <c r="G777" s="11" t="str">
        <f aca="false">IF(INDEX(PRODUTOS!$F$4:$F$63,MATCH($A777,PRODUTOS!$B$4:$B$63,0))="Ração",IF(INDEX(PRODUTOS!$I$4:$I$63,MATCH($A777,PRODUTOS!$B$4:$B$63,0))="B",INDEX(MODELOS!$G$3:$G$19,MATCH($D777,MODELOS!$A$3:$A$19,0)),INDEX(MODELOS!$C$3:$C$19,MATCH($D777,MODELOS!$A$3:$A$19,0))),IF(INDEX(PRODUTOS!$I$4:$I$63,MATCH($A777,PRODUTOS!$B$4:$B$63,0))="B",INDEX(MODELOS!$H$3:$H$19,MATCH($D777,MODELOS!$A$3:$A$19,0)),INDEX(MODELOS!$D$3:$D$19,MATCH($D777,MODELOS!$A$3:$A$19,0))))</f>
        <v>Linha da marca ("conheça também")</v>
      </c>
      <c r="H777" s="11" t="str">
        <f aca="false">IF(INDEX(PRODUTOS!$I$4:$I$63,MATCH($A777,PRODUTOS!$B$4:$B$63,0))="B",INDEX(MODELOS!$I$3:$I$19,MATCH($D777,MODELOS!$A$3:$A$19,0)),INDEX(MODELOS!$E$3:$E$19,MATCH($D777,MODELOS!$A$3:$A$19,0)))</f>
        <v>2000 × 2000</v>
      </c>
      <c r="I777" s="11" t="str">
        <f aca="false">INDEX(MODELOS!$J$3:$J$19,MATCH($D777,MODELOS!$A$3:$A$19,0))</f>
        <v>Recomendada</v>
      </c>
      <c r="J777" s="11" t="str">
        <f aca="false">IF(LEFT($D777,2)&lt;&gt;"AP",IF($I777="SIM","SIM","RECOMENDADA"),IF(INDEX(PRODUTOS!$J$4:$J$63,MATCH($A777,PRODUTOS!$B$4:$B$63,0))&lt;&gt;"","NÃO (usa o A+ do EAN "&amp;INDEX(PRODUTOS!$J$4:$J$63,MATCH($A777,PRODUTOS!$B$4:$B$63,0))&amp;")",IF(AND(INDEX(PRODUTOS!$I$4:$I$63,MATCH($A777,PRODUTOS!$B$4:$B$63,0))="B",$D777="AP07"),"NÃO (modelo B)","SIM")))</f>
        <v>RECOMENDADA</v>
      </c>
      <c r="K777" s="13" t="s">
        <v>325</v>
      </c>
      <c r="L777" s="13"/>
    </row>
    <row r="778" customFormat="false" ht="15" hidden="false" customHeight="false" outlineLevel="0" collapsed="false">
      <c r="A778" s="15" t="s">
        <v>243</v>
      </c>
      <c r="B778" s="11" t="str">
        <f aca="false">INDEX(PRODUTOS!$E$4:$E$63,MATCH($A778,PRODUTOS!$B$4:$B$63,0))</f>
        <v>Nuggets Recheados Gatos New Dots Controle PH Urinário 40 g</v>
      </c>
      <c r="C778" s="11" t="str">
        <f aca="false">INDEX(PRODUTOS!$H$4:$H$63,MATCH($A778,PRODUTOS!$B$4:$B$63,0))</f>
        <v>40 g</v>
      </c>
      <c r="D778" s="11" t="s">
        <v>334</v>
      </c>
      <c r="E778" s="16" t="str">
        <f aca="false">$A778&amp;"."&amp;$D778&amp;".jpg"</f>
        <v>7908591300741.AP01.jpg</v>
      </c>
      <c r="F778" s="11" t="str">
        <f aca="false">IF(INDEX(PRODUTOS!$I$4:$I$63,MATCH($A778,PRODUTOS!$B$4:$B$63,0))="B",INDEX(MODELOS!$F$3:$F$19,MATCH($D778,MODELOS!$A$3:$A$19,0)),INDEX(MODELOS!$B$3:$B$19,MATCH($D778,MODELOS!$A$3:$A$19,0)))</f>
        <v>A+ · Módulo 1 · Banner</v>
      </c>
      <c r="G778" s="11" t="str">
        <f aca="false">IF(INDEX(PRODUTOS!$F$4:$F$63,MATCH($A778,PRODUTOS!$B$4:$B$63,0))="Ração",IF(INDEX(PRODUTOS!$I$4:$I$63,MATCH($A778,PRODUTOS!$B$4:$B$63,0))="B",INDEX(MODELOS!$G$3:$G$19,MATCH($D778,MODELOS!$A$3:$A$19,0)),INDEX(MODELOS!$C$3:$C$19,MATCH($D778,MODELOS!$A$3:$A$19,0))),IF(INDEX(PRODUTOS!$I$4:$I$63,MATCH($A778,PRODUTOS!$B$4:$B$63,0))="B",INDEX(MODELOS!$H$3:$H$19,MATCH($D778,MODELOS!$A$3:$A$19,0)),INDEX(MODELOS!$D$3:$D$19,MATCH($D778,MODELOS!$A$3:$A$19,0))))</f>
        <v>Produto + pet, com o nome da linha</v>
      </c>
      <c r="H778" s="11" t="str">
        <f aca="false">IF(INDEX(PRODUTOS!$I$4:$I$63,MATCH($A778,PRODUTOS!$B$4:$B$63,0))="B",INDEX(MODELOS!$I$3:$I$19,MATCH($D778,MODELOS!$A$3:$A$19,0)),INDEX(MODELOS!$E$3:$E$19,MATCH($D778,MODELOS!$A$3:$A$19,0)))</f>
        <v>970 × 600</v>
      </c>
      <c r="I778" s="11" t="str">
        <f aca="false">INDEX(MODELOS!$J$3:$J$19,MATCH($D778,MODELOS!$A$3:$A$19,0))</f>
        <v>Conforme modelo</v>
      </c>
      <c r="J778" s="11" t="str">
        <f aca="false">IF(LEFT($D778,2)&lt;&gt;"AP",IF($I778="SIM","SIM","RECOMENDADA"),IF(INDEX(PRODUTOS!$J$4:$J$63,MATCH($A778,PRODUTOS!$B$4:$B$63,0))&lt;&gt;"","NÃO (usa o A+ do EAN "&amp;INDEX(PRODUTOS!$J$4:$J$63,MATCH($A778,PRODUTOS!$B$4:$B$63,0))&amp;")",IF(AND(INDEX(PRODUTOS!$I$4:$I$63,MATCH($A778,PRODUTOS!$B$4:$B$63,0))="B",$D778="AP07"),"NÃO (modelo B)","SIM")))</f>
        <v>SIM</v>
      </c>
      <c r="K778" s="13" t="s">
        <v>325</v>
      </c>
      <c r="L778" s="13"/>
    </row>
    <row r="779" customFormat="false" ht="15" hidden="false" customHeight="false" outlineLevel="0" collapsed="false">
      <c r="A779" s="15" t="s">
        <v>243</v>
      </c>
      <c r="B779" s="11" t="str">
        <f aca="false">INDEX(PRODUTOS!$E$4:$E$63,MATCH($A779,PRODUTOS!$B$4:$B$63,0))</f>
        <v>Nuggets Recheados Gatos New Dots Controle PH Urinário 40 g</v>
      </c>
      <c r="C779" s="11" t="str">
        <f aca="false">INDEX(PRODUTOS!$H$4:$H$63,MATCH($A779,PRODUTOS!$B$4:$B$63,0))</f>
        <v>40 g</v>
      </c>
      <c r="D779" s="11" t="s">
        <v>335</v>
      </c>
      <c r="E779" s="16" t="str">
        <f aca="false">$A779&amp;"."&amp;$D779&amp;".jpg"</f>
        <v>7908591300741.AP02.jpg</v>
      </c>
      <c r="F779" s="11" t="str">
        <f aca="false">IF(INDEX(PRODUTOS!$I$4:$I$63,MATCH($A779,PRODUTOS!$B$4:$B$63,0))="B",INDEX(MODELOS!$F$3:$F$19,MATCH($D779,MODELOS!$A$3:$A$19,0)),INDEX(MODELOS!$B$3:$B$19,MATCH($D779,MODELOS!$A$3:$A$19,0)))</f>
        <v>A+ · Módulo 2 · Texto sobreposto</v>
      </c>
      <c r="G779" s="11" t="str">
        <f aca="false">IF(INDEX(PRODUTOS!$F$4:$F$63,MATCH($A779,PRODUTOS!$B$4:$B$63,0))="Ração",IF(INDEX(PRODUTOS!$I$4:$I$63,MATCH($A779,PRODUTOS!$B$4:$B$63,0))="B",INDEX(MODELOS!$G$3:$G$19,MATCH($D779,MODELOS!$A$3:$A$19,0)),INDEX(MODELOS!$C$3:$C$19,MATCH($D779,MODELOS!$A$3:$A$19,0))),IF(INDEX(PRODUTOS!$I$4:$I$63,MATCH($A779,PRODUTOS!$B$4:$B$63,0))="B",INDEX(MODELOS!$H$3:$H$19,MATCH($D779,MODELOS!$A$3:$A$19,0)),INDEX(MODELOS!$D$3:$D$19,MATCH($D779,MODELOS!$A$3:$A$19,0))))</f>
        <v>Principal diferencial; deixar o lado direito limpo</v>
      </c>
      <c r="H779" s="11" t="str">
        <f aca="false">IF(INDEX(PRODUTOS!$I$4:$I$63,MATCH($A779,PRODUTOS!$B$4:$B$63,0))="B",INDEX(MODELOS!$I$3:$I$19,MATCH($D779,MODELOS!$A$3:$A$19,0)),INDEX(MODELOS!$E$3:$E$19,MATCH($D779,MODELOS!$A$3:$A$19,0)))</f>
        <v>970 × 300</v>
      </c>
      <c r="I779" s="11" t="str">
        <f aca="false">INDEX(MODELOS!$J$3:$J$19,MATCH($D779,MODELOS!$A$3:$A$19,0))</f>
        <v>Conforme modelo</v>
      </c>
      <c r="J779" s="11" t="str">
        <f aca="false">IF(LEFT($D779,2)&lt;&gt;"AP",IF($I779="SIM","SIM","RECOMENDADA"),IF(INDEX(PRODUTOS!$J$4:$J$63,MATCH($A779,PRODUTOS!$B$4:$B$63,0))&lt;&gt;"","NÃO (usa o A+ do EAN "&amp;INDEX(PRODUTOS!$J$4:$J$63,MATCH($A779,PRODUTOS!$B$4:$B$63,0))&amp;")",IF(AND(INDEX(PRODUTOS!$I$4:$I$63,MATCH($A779,PRODUTOS!$B$4:$B$63,0))="B",$D779="AP07"),"NÃO (modelo B)","SIM")))</f>
        <v>SIM</v>
      </c>
      <c r="K779" s="13" t="s">
        <v>325</v>
      </c>
      <c r="L779" s="13"/>
    </row>
    <row r="780" customFormat="false" ht="15" hidden="false" customHeight="false" outlineLevel="0" collapsed="false">
      <c r="A780" s="15" t="s">
        <v>243</v>
      </c>
      <c r="B780" s="11" t="str">
        <f aca="false">INDEX(PRODUTOS!$E$4:$E$63,MATCH($A780,PRODUTOS!$B$4:$B$63,0))</f>
        <v>Nuggets Recheados Gatos New Dots Controle PH Urinário 40 g</v>
      </c>
      <c r="C780" s="11" t="str">
        <f aca="false">INDEX(PRODUTOS!$H$4:$H$63,MATCH($A780,PRODUTOS!$B$4:$B$63,0))</f>
        <v>40 g</v>
      </c>
      <c r="D780" s="11" t="s">
        <v>336</v>
      </c>
      <c r="E780" s="16" t="str">
        <f aca="false">$A780&amp;"."&amp;$D780&amp;".jpg"</f>
        <v>7908591300741.AP03.jpg</v>
      </c>
      <c r="F780" s="11" t="str">
        <f aca="false">IF(INDEX(PRODUTOS!$I$4:$I$63,MATCH($A780,PRODUTOS!$B$4:$B$63,0))="B",INDEX(MODELOS!$F$3:$F$19,MATCH($D780,MODELOS!$A$3:$A$19,0)),INDEX(MODELOS!$B$3:$B$19,MATCH($D780,MODELOS!$A$3:$A$19,0)))</f>
        <v>A+ · Módulo 3 · Benefício 1 de 4</v>
      </c>
      <c r="G780" s="11" t="str">
        <f aca="false">IF(INDEX(PRODUTOS!$F$4:$F$63,MATCH($A780,PRODUTOS!$B$4:$B$63,0))="Ração",IF(INDEX(PRODUTOS!$I$4:$I$63,MATCH($A780,PRODUTOS!$B$4:$B$63,0))="B",INDEX(MODELOS!$G$3:$G$19,MATCH($D780,MODELOS!$A$3:$A$19,0)),INDEX(MODELOS!$C$3:$C$19,MATCH($D780,MODELOS!$A$3:$A$19,0))),IF(INDEX(PRODUTOS!$I$4:$I$63,MATCH($A780,PRODUTOS!$B$4:$B$63,0))="B",INDEX(MODELOS!$H$3:$H$19,MATCH($D780,MODELOS!$A$3:$A$19,0)),INDEX(MODELOS!$D$3:$D$19,MATCH($D780,MODELOS!$A$3:$A$19,0))))</f>
        <v>Foto/ilustração do benefício 1</v>
      </c>
      <c r="H780" s="11" t="str">
        <f aca="false">IF(INDEX(PRODUTOS!$I$4:$I$63,MATCH($A780,PRODUTOS!$B$4:$B$63,0))="B",INDEX(MODELOS!$I$3:$I$19,MATCH($D780,MODELOS!$A$3:$A$19,0)),INDEX(MODELOS!$E$3:$E$19,MATCH($D780,MODELOS!$A$3:$A$19,0)))</f>
        <v>220 × 200</v>
      </c>
      <c r="I780" s="11" t="str">
        <f aca="false">INDEX(MODELOS!$J$3:$J$19,MATCH($D780,MODELOS!$A$3:$A$19,0))</f>
        <v>Conforme modelo</v>
      </c>
      <c r="J780" s="11" t="str">
        <f aca="false">IF(LEFT($D780,2)&lt;&gt;"AP",IF($I780="SIM","SIM","RECOMENDADA"),IF(INDEX(PRODUTOS!$J$4:$J$63,MATCH($A780,PRODUTOS!$B$4:$B$63,0))&lt;&gt;"","NÃO (usa o A+ do EAN "&amp;INDEX(PRODUTOS!$J$4:$J$63,MATCH($A780,PRODUTOS!$B$4:$B$63,0))&amp;")",IF(AND(INDEX(PRODUTOS!$I$4:$I$63,MATCH($A780,PRODUTOS!$B$4:$B$63,0))="B",$D780="AP07"),"NÃO (modelo B)","SIM")))</f>
        <v>SIM</v>
      </c>
      <c r="K780" s="13" t="s">
        <v>325</v>
      </c>
      <c r="L780" s="13"/>
    </row>
    <row r="781" customFormat="false" ht="15" hidden="false" customHeight="false" outlineLevel="0" collapsed="false">
      <c r="A781" s="15" t="s">
        <v>243</v>
      </c>
      <c r="B781" s="11" t="str">
        <f aca="false">INDEX(PRODUTOS!$E$4:$E$63,MATCH($A781,PRODUTOS!$B$4:$B$63,0))</f>
        <v>Nuggets Recheados Gatos New Dots Controle PH Urinário 40 g</v>
      </c>
      <c r="C781" s="11" t="str">
        <f aca="false">INDEX(PRODUTOS!$H$4:$H$63,MATCH($A781,PRODUTOS!$B$4:$B$63,0))</f>
        <v>40 g</v>
      </c>
      <c r="D781" s="11" t="s">
        <v>337</v>
      </c>
      <c r="E781" s="16" t="str">
        <f aca="false">$A781&amp;"."&amp;$D781&amp;".jpg"</f>
        <v>7908591300741.AP04.jpg</v>
      </c>
      <c r="F781" s="11" t="str">
        <f aca="false">IF(INDEX(PRODUTOS!$I$4:$I$63,MATCH($A781,PRODUTOS!$B$4:$B$63,0))="B",INDEX(MODELOS!$F$3:$F$19,MATCH($D781,MODELOS!$A$3:$A$19,0)),INDEX(MODELOS!$B$3:$B$19,MATCH($D781,MODELOS!$A$3:$A$19,0)))</f>
        <v>A+ · Módulo 3 · Benefício 2 de 4</v>
      </c>
      <c r="G781" s="11" t="str">
        <f aca="false">IF(INDEX(PRODUTOS!$F$4:$F$63,MATCH($A781,PRODUTOS!$B$4:$B$63,0))="Ração",IF(INDEX(PRODUTOS!$I$4:$I$63,MATCH($A781,PRODUTOS!$B$4:$B$63,0))="B",INDEX(MODELOS!$G$3:$G$19,MATCH($D781,MODELOS!$A$3:$A$19,0)),INDEX(MODELOS!$C$3:$C$19,MATCH($D781,MODELOS!$A$3:$A$19,0))),IF(INDEX(PRODUTOS!$I$4:$I$63,MATCH($A781,PRODUTOS!$B$4:$B$63,0))="B",INDEX(MODELOS!$H$3:$H$19,MATCH($D781,MODELOS!$A$3:$A$19,0)),INDEX(MODELOS!$D$3:$D$19,MATCH($D781,MODELOS!$A$3:$A$19,0))))</f>
        <v>Foto/ilustração do benefício 2</v>
      </c>
      <c r="H781" s="11" t="str">
        <f aca="false">IF(INDEX(PRODUTOS!$I$4:$I$63,MATCH($A781,PRODUTOS!$B$4:$B$63,0))="B",INDEX(MODELOS!$I$3:$I$19,MATCH($D781,MODELOS!$A$3:$A$19,0)),INDEX(MODELOS!$E$3:$E$19,MATCH($D781,MODELOS!$A$3:$A$19,0)))</f>
        <v>220 × 200</v>
      </c>
      <c r="I781" s="11" t="str">
        <f aca="false">INDEX(MODELOS!$J$3:$J$19,MATCH($D781,MODELOS!$A$3:$A$19,0))</f>
        <v>Conforme modelo</v>
      </c>
      <c r="J781" s="11" t="str">
        <f aca="false">IF(LEFT($D781,2)&lt;&gt;"AP",IF($I781="SIM","SIM","RECOMENDADA"),IF(INDEX(PRODUTOS!$J$4:$J$63,MATCH($A781,PRODUTOS!$B$4:$B$63,0))&lt;&gt;"","NÃO (usa o A+ do EAN "&amp;INDEX(PRODUTOS!$J$4:$J$63,MATCH($A781,PRODUTOS!$B$4:$B$63,0))&amp;")",IF(AND(INDEX(PRODUTOS!$I$4:$I$63,MATCH($A781,PRODUTOS!$B$4:$B$63,0))="B",$D781="AP07"),"NÃO (modelo B)","SIM")))</f>
        <v>SIM</v>
      </c>
      <c r="K781" s="13" t="s">
        <v>325</v>
      </c>
      <c r="L781" s="13"/>
    </row>
    <row r="782" customFormat="false" ht="15" hidden="false" customHeight="false" outlineLevel="0" collapsed="false">
      <c r="A782" s="15" t="s">
        <v>243</v>
      </c>
      <c r="B782" s="11" t="str">
        <f aca="false">INDEX(PRODUTOS!$E$4:$E$63,MATCH($A782,PRODUTOS!$B$4:$B$63,0))</f>
        <v>Nuggets Recheados Gatos New Dots Controle PH Urinário 40 g</v>
      </c>
      <c r="C782" s="11" t="str">
        <f aca="false">INDEX(PRODUTOS!$H$4:$H$63,MATCH($A782,PRODUTOS!$B$4:$B$63,0))</f>
        <v>40 g</v>
      </c>
      <c r="D782" s="11" t="s">
        <v>338</v>
      </c>
      <c r="E782" s="16" t="str">
        <f aca="false">$A782&amp;"."&amp;$D782&amp;".jpg"</f>
        <v>7908591300741.AP05.jpg</v>
      </c>
      <c r="F782" s="11" t="str">
        <f aca="false">IF(INDEX(PRODUTOS!$I$4:$I$63,MATCH($A782,PRODUTOS!$B$4:$B$63,0))="B",INDEX(MODELOS!$F$3:$F$19,MATCH($D782,MODELOS!$A$3:$A$19,0)),INDEX(MODELOS!$B$3:$B$19,MATCH($D782,MODELOS!$A$3:$A$19,0)))</f>
        <v>A+ · Módulo 3 · Benefício 3 de 4</v>
      </c>
      <c r="G782" s="11" t="str">
        <f aca="false">IF(INDEX(PRODUTOS!$F$4:$F$63,MATCH($A782,PRODUTOS!$B$4:$B$63,0))="Ração",IF(INDEX(PRODUTOS!$I$4:$I$63,MATCH($A782,PRODUTOS!$B$4:$B$63,0))="B",INDEX(MODELOS!$G$3:$G$19,MATCH($D782,MODELOS!$A$3:$A$19,0)),INDEX(MODELOS!$C$3:$C$19,MATCH($D782,MODELOS!$A$3:$A$19,0))),IF(INDEX(PRODUTOS!$I$4:$I$63,MATCH($A782,PRODUTOS!$B$4:$B$63,0))="B",INDEX(MODELOS!$H$3:$H$19,MATCH($D782,MODELOS!$A$3:$A$19,0)),INDEX(MODELOS!$D$3:$D$19,MATCH($D782,MODELOS!$A$3:$A$19,0))))</f>
        <v>Foto/ilustração do benefício 3</v>
      </c>
      <c r="H782" s="11" t="str">
        <f aca="false">IF(INDEX(PRODUTOS!$I$4:$I$63,MATCH($A782,PRODUTOS!$B$4:$B$63,0))="B",INDEX(MODELOS!$I$3:$I$19,MATCH($D782,MODELOS!$A$3:$A$19,0)),INDEX(MODELOS!$E$3:$E$19,MATCH($D782,MODELOS!$A$3:$A$19,0)))</f>
        <v>220 × 200</v>
      </c>
      <c r="I782" s="11" t="str">
        <f aca="false">INDEX(MODELOS!$J$3:$J$19,MATCH($D782,MODELOS!$A$3:$A$19,0))</f>
        <v>Conforme modelo</v>
      </c>
      <c r="J782" s="11" t="str">
        <f aca="false">IF(LEFT($D782,2)&lt;&gt;"AP",IF($I782="SIM","SIM","RECOMENDADA"),IF(INDEX(PRODUTOS!$J$4:$J$63,MATCH($A782,PRODUTOS!$B$4:$B$63,0))&lt;&gt;"","NÃO (usa o A+ do EAN "&amp;INDEX(PRODUTOS!$J$4:$J$63,MATCH($A782,PRODUTOS!$B$4:$B$63,0))&amp;")",IF(AND(INDEX(PRODUTOS!$I$4:$I$63,MATCH($A782,PRODUTOS!$B$4:$B$63,0))="B",$D782="AP07"),"NÃO (modelo B)","SIM")))</f>
        <v>SIM</v>
      </c>
      <c r="K782" s="13" t="s">
        <v>325</v>
      </c>
      <c r="L782" s="13"/>
    </row>
    <row r="783" customFormat="false" ht="15" hidden="false" customHeight="false" outlineLevel="0" collapsed="false">
      <c r="A783" s="15" t="s">
        <v>243</v>
      </c>
      <c r="B783" s="11" t="str">
        <f aca="false">INDEX(PRODUTOS!$E$4:$E$63,MATCH($A783,PRODUTOS!$B$4:$B$63,0))</f>
        <v>Nuggets Recheados Gatos New Dots Controle PH Urinário 40 g</v>
      </c>
      <c r="C783" s="11" t="str">
        <f aca="false">INDEX(PRODUTOS!$H$4:$H$63,MATCH($A783,PRODUTOS!$B$4:$B$63,0))</f>
        <v>40 g</v>
      </c>
      <c r="D783" s="11" t="s">
        <v>339</v>
      </c>
      <c r="E783" s="16" t="str">
        <f aca="false">$A783&amp;"."&amp;$D783&amp;".jpg"</f>
        <v>7908591300741.AP06.jpg</v>
      </c>
      <c r="F783" s="11" t="str">
        <f aca="false">IF(INDEX(PRODUTOS!$I$4:$I$63,MATCH($A783,PRODUTOS!$B$4:$B$63,0))="B",INDEX(MODELOS!$F$3:$F$19,MATCH($D783,MODELOS!$A$3:$A$19,0)),INDEX(MODELOS!$B$3:$B$19,MATCH($D783,MODELOS!$A$3:$A$19,0)))</f>
        <v>A+ · Módulo 3 · Benefício 4 de 4</v>
      </c>
      <c r="G783" s="11" t="str">
        <f aca="false">IF(INDEX(PRODUTOS!$F$4:$F$63,MATCH($A783,PRODUTOS!$B$4:$B$63,0))="Ração",IF(INDEX(PRODUTOS!$I$4:$I$63,MATCH($A783,PRODUTOS!$B$4:$B$63,0))="B",INDEX(MODELOS!$G$3:$G$19,MATCH($D783,MODELOS!$A$3:$A$19,0)),INDEX(MODELOS!$C$3:$C$19,MATCH($D783,MODELOS!$A$3:$A$19,0))),IF(INDEX(PRODUTOS!$I$4:$I$63,MATCH($A783,PRODUTOS!$B$4:$B$63,0))="B",INDEX(MODELOS!$H$3:$H$19,MATCH($D783,MODELOS!$A$3:$A$19,0)),INDEX(MODELOS!$D$3:$D$19,MATCH($D783,MODELOS!$A$3:$A$19,0))))</f>
        <v>Foto/ilustração do benefício 4</v>
      </c>
      <c r="H783" s="11" t="str">
        <f aca="false">IF(INDEX(PRODUTOS!$I$4:$I$63,MATCH($A783,PRODUTOS!$B$4:$B$63,0))="B",INDEX(MODELOS!$I$3:$I$19,MATCH($D783,MODELOS!$A$3:$A$19,0)),INDEX(MODELOS!$E$3:$E$19,MATCH($D783,MODELOS!$A$3:$A$19,0)))</f>
        <v>220 × 200</v>
      </c>
      <c r="I783" s="11" t="str">
        <f aca="false">INDEX(MODELOS!$J$3:$J$19,MATCH($D783,MODELOS!$A$3:$A$19,0))</f>
        <v>Conforme modelo</v>
      </c>
      <c r="J783" s="11" t="str">
        <f aca="false">IF(LEFT($D783,2)&lt;&gt;"AP",IF($I783="SIM","SIM","RECOMENDADA"),IF(INDEX(PRODUTOS!$J$4:$J$63,MATCH($A783,PRODUTOS!$B$4:$B$63,0))&lt;&gt;"","NÃO (usa o A+ do EAN "&amp;INDEX(PRODUTOS!$J$4:$J$63,MATCH($A783,PRODUTOS!$B$4:$B$63,0))&amp;")",IF(AND(INDEX(PRODUTOS!$I$4:$I$63,MATCH($A783,PRODUTOS!$B$4:$B$63,0))="B",$D783="AP07"),"NÃO (modelo B)","SIM")))</f>
        <v>SIM</v>
      </c>
      <c r="K783" s="13" t="s">
        <v>325</v>
      </c>
      <c r="L783" s="13"/>
    </row>
    <row r="784" customFormat="false" ht="15" hidden="false" customHeight="false" outlineLevel="0" collapsed="false">
      <c r="A784" s="15" t="s">
        <v>243</v>
      </c>
      <c r="B784" s="11" t="str">
        <f aca="false">INDEX(PRODUTOS!$E$4:$E$63,MATCH($A784,PRODUTOS!$B$4:$B$63,0))</f>
        <v>Nuggets Recheados Gatos New Dots Controle PH Urinário 40 g</v>
      </c>
      <c r="C784" s="11" t="str">
        <f aca="false">INDEX(PRODUTOS!$H$4:$H$63,MATCH($A784,PRODUTOS!$B$4:$B$63,0))</f>
        <v>40 g</v>
      </c>
      <c r="D784" s="11" t="s">
        <v>340</v>
      </c>
      <c r="E784" s="16" t="str">
        <f aca="false">$A784&amp;"."&amp;$D784&amp;".jpg"</f>
        <v>7908591300741.AP07.jpg</v>
      </c>
      <c r="F784" s="11" t="str">
        <f aca="false">IF(INDEX(PRODUTOS!$I$4:$I$63,MATCH($A784,PRODUTOS!$B$4:$B$63,0))="B",INDEX(MODELOS!$F$3:$F$19,MATCH($D784,MODELOS!$A$3:$A$19,0)),INDEX(MODELOS!$B$3:$B$19,MATCH($D784,MODELOS!$A$3:$A$19,0)))</f>
        <v>A+ · Módulo 4 · Especificações</v>
      </c>
      <c r="G784" s="11" t="str">
        <f aca="false">IF(INDEX(PRODUTOS!$F$4:$F$63,MATCH($A784,PRODUTOS!$B$4:$B$63,0))="Ração",IF(INDEX(PRODUTOS!$I$4:$I$63,MATCH($A784,PRODUTOS!$B$4:$B$63,0))="B",INDEX(MODELOS!$G$3:$G$19,MATCH($D784,MODELOS!$A$3:$A$19,0)),INDEX(MODELOS!$C$3:$C$19,MATCH($D784,MODELOS!$A$3:$A$19,0))),IF(INDEX(PRODUTOS!$I$4:$I$63,MATCH($A784,PRODUTOS!$B$4:$B$63,0))="B",INDEX(MODELOS!$H$3:$H$19,MATCH($D784,MODELOS!$A$3:$A$19,0)),INDEX(MODELOS!$D$3:$D$19,MATCH($D784,MODELOS!$A$3:$A$19,0))))</f>
        <v>Produto em destaque</v>
      </c>
      <c r="H784" s="11" t="str">
        <f aca="false">IF(INDEX(PRODUTOS!$I$4:$I$63,MATCH($A784,PRODUTOS!$B$4:$B$63,0))="B",INDEX(MODELOS!$I$3:$I$19,MATCH($D784,MODELOS!$A$3:$A$19,0)),INDEX(MODELOS!$E$3:$E$19,MATCH($D784,MODELOS!$A$3:$A$19,0)))</f>
        <v>300 × 300</v>
      </c>
      <c r="I784" s="11" t="str">
        <f aca="false">INDEX(MODELOS!$J$3:$J$19,MATCH($D784,MODELOS!$A$3:$A$19,0))</f>
        <v>Conforme modelo</v>
      </c>
      <c r="J784" s="11" t="str">
        <f aca="false">IF(LEFT($D784,2)&lt;&gt;"AP",IF($I784="SIM","SIM","RECOMENDADA"),IF(INDEX(PRODUTOS!$J$4:$J$63,MATCH($A784,PRODUTOS!$B$4:$B$63,0))&lt;&gt;"","NÃO (usa o A+ do EAN "&amp;INDEX(PRODUTOS!$J$4:$J$63,MATCH($A784,PRODUTOS!$B$4:$B$63,0))&amp;")",IF(AND(INDEX(PRODUTOS!$I$4:$I$63,MATCH($A784,PRODUTOS!$B$4:$B$63,0))="B",$D784="AP07"),"NÃO (modelo B)","SIM")))</f>
        <v>SIM</v>
      </c>
      <c r="K784" s="13" t="s">
        <v>325</v>
      </c>
      <c r="L784" s="13"/>
    </row>
    <row r="785" customFormat="false" ht="15" hidden="false" customHeight="false" outlineLevel="0" collapsed="false">
      <c r="A785" s="15" t="s">
        <v>243</v>
      </c>
      <c r="B785" s="11" t="str">
        <f aca="false">INDEX(PRODUTOS!$E$4:$E$63,MATCH($A785,PRODUTOS!$B$4:$B$63,0))</f>
        <v>Nuggets Recheados Gatos New Dots Controle PH Urinário 40 g</v>
      </c>
      <c r="C785" s="11" t="str">
        <f aca="false">INDEX(PRODUTOS!$H$4:$H$63,MATCH($A785,PRODUTOS!$B$4:$B$63,0))</f>
        <v>40 g</v>
      </c>
      <c r="D785" s="11" t="s">
        <v>341</v>
      </c>
      <c r="E785" s="16" t="str">
        <f aca="false">$A785&amp;"."&amp;$D785&amp;".jpg"</f>
        <v>7908591300741.COMP.jpg</v>
      </c>
      <c r="F785" s="11" t="str">
        <f aca="false">IF(INDEX(PRODUTOS!$I$4:$I$63,MATCH($A785,PRODUTOS!$B$4:$B$63,0))="B",INDEX(MODELOS!$F$3:$F$19,MATCH($D785,MODELOS!$A$3:$A$19,0)),INDEX(MODELOS!$B$3:$B$19,MATCH($D785,MODELOS!$A$3:$A$19,0)))</f>
        <v>A+ · Tabela comparativa</v>
      </c>
      <c r="G785" s="11" t="str">
        <f aca="false">IF(INDEX(PRODUTOS!$F$4:$F$63,MATCH($A785,PRODUTOS!$B$4:$B$63,0))="Ração",IF(INDEX(PRODUTOS!$I$4:$I$63,MATCH($A785,PRODUTOS!$B$4:$B$63,0))="B",INDEX(MODELOS!$G$3:$G$19,MATCH($D785,MODELOS!$A$3:$A$19,0)),INDEX(MODELOS!$C$3:$C$19,MATCH($D785,MODELOS!$A$3:$A$19,0))),IF(INDEX(PRODUTOS!$I$4:$I$63,MATCH($A785,PRODUTOS!$B$4:$B$63,0))="B",INDEX(MODELOS!$H$3:$H$19,MATCH($D785,MODELOS!$A$3:$A$19,0)),INDEX(MODELOS!$D$3:$D$19,MATCH($D785,MODELOS!$A$3:$A$19,0))))</f>
        <v>Produto na vertical, sem fundo colorido</v>
      </c>
      <c r="H785" s="11" t="str">
        <f aca="false">IF(INDEX(PRODUTOS!$I$4:$I$63,MATCH($A785,PRODUTOS!$B$4:$B$63,0))="B",INDEX(MODELOS!$I$3:$I$19,MATCH($D785,MODELOS!$A$3:$A$19,0)),INDEX(MODELOS!$E$3:$E$19,MATCH($D785,MODELOS!$A$3:$A$19,0)))</f>
        <v>150 × 300</v>
      </c>
      <c r="I785" s="11" t="str">
        <f aca="false">INDEX(MODELOS!$J$3:$J$19,MATCH($D785,MODELOS!$A$3:$A$19,0))</f>
        <v>SIM</v>
      </c>
      <c r="J785" s="11" t="str">
        <f aca="false">IF(LEFT($D785,2)&lt;&gt;"AP",IF($I785="SIM","SIM","RECOMENDADA"),IF(INDEX(PRODUTOS!$J$4:$J$63,MATCH($A785,PRODUTOS!$B$4:$B$63,0))&lt;&gt;"","NÃO (usa o A+ do EAN "&amp;INDEX(PRODUTOS!$J$4:$J$63,MATCH($A785,PRODUTOS!$B$4:$B$63,0))&amp;")",IF(AND(INDEX(PRODUTOS!$I$4:$I$63,MATCH($A785,PRODUTOS!$B$4:$B$63,0))="B",$D785="AP07"),"NÃO (modelo B)","SIM")))</f>
        <v>SIM</v>
      </c>
      <c r="K785" s="13" t="s">
        <v>325</v>
      </c>
      <c r="L785" s="13"/>
    </row>
    <row r="786" customFormat="false" ht="15" hidden="false" customHeight="false" outlineLevel="0" collapsed="false">
      <c r="A786" s="15" t="s">
        <v>247</v>
      </c>
      <c r="B786" s="11" t="str">
        <f aca="false">INDEX(PRODUTOS!$E$4:$E$63,MATCH($A786,PRODUTOS!$B$4:$B$63,0))</f>
        <v>Nuggets Recheados Gatos New Dots Dental 40 g</v>
      </c>
      <c r="C786" s="11" t="str">
        <f aca="false">INDEX(PRODUTOS!$H$4:$H$63,MATCH($A786,PRODUTOS!$B$4:$B$63,0))</f>
        <v>40 g</v>
      </c>
      <c r="D786" s="11" t="s">
        <v>324</v>
      </c>
      <c r="E786" s="16" t="str">
        <f aca="false">$A786&amp;"."&amp;$D786&amp;".jpg"</f>
        <v>7908591300734.MAIN.jpg</v>
      </c>
      <c r="F786" s="11" t="str">
        <f aca="false">IF(INDEX(PRODUTOS!$I$4:$I$63,MATCH($A786,PRODUTOS!$B$4:$B$63,0))="B",INDEX(MODELOS!$F$3:$F$19,MATCH($D786,MODELOS!$A$3:$A$19,0)),INDEX(MODELOS!$B$3:$B$19,MATCH($D786,MODELOS!$A$3:$A$19,0)))</f>
        <v>Capa (posição 1)</v>
      </c>
      <c r="G786" s="11" t="str">
        <f aca="false">IF(INDEX(PRODUTOS!$F$4:$F$63,MATCH($A786,PRODUTOS!$B$4:$B$63,0))="Ração",IF(INDEX(PRODUTOS!$I$4:$I$63,MATCH($A786,PRODUTOS!$B$4:$B$63,0))="B",INDEX(MODELOS!$G$3:$G$19,MATCH($D786,MODELOS!$A$3:$A$19,0)),INDEX(MODELOS!$C$3:$C$19,MATCH($D786,MODELOS!$A$3:$A$19,0))),IF(INDEX(PRODUTOS!$I$4:$I$63,MATCH($A786,PRODUTOS!$B$4:$B$63,0))="B",INDEX(MODELOS!$H$3:$H$19,MATCH($D786,MODELOS!$A$3:$A$19,0)),INDEX(MODELOS!$D$3:$D$19,MATCH($D786,MODELOS!$A$3:$A$19,0))))</f>
        <v>Embalagem de frente, fundo branco puro, 85% da área, nada adicionado</v>
      </c>
      <c r="H786" s="11" t="str">
        <f aca="false">IF(INDEX(PRODUTOS!$I$4:$I$63,MATCH($A786,PRODUTOS!$B$4:$B$63,0))="B",INDEX(MODELOS!$I$3:$I$19,MATCH($D786,MODELOS!$A$3:$A$19,0)),INDEX(MODELOS!$E$3:$E$19,MATCH($D786,MODELOS!$A$3:$A$19,0)))</f>
        <v>2000 × 2000</v>
      </c>
      <c r="I786" s="11" t="str">
        <f aca="false">INDEX(MODELOS!$J$3:$J$19,MATCH($D786,MODELOS!$A$3:$A$19,0))</f>
        <v>SIM</v>
      </c>
      <c r="J786" s="11" t="str">
        <f aca="false">IF(LEFT($D786,2)&lt;&gt;"AP",IF($I786="SIM","SIM","RECOMENDADA"),IF(INDEX(PRODUTOS!$J$4:$J$63,MATCH($A786,PRODUTOS!$B$4:$B$63,0))&lt;&gt;"","NÃO (usa o A+ do EAN "&amp;INDEX(PRODUTOS!$J$4:$J$63,MATCH($A786,PRODUTOS!$B$4:$B$63,0))&amp;")",IF(AND(INDEX(PRODUTOS!$I$4:$I$63,MATCH($A786,PRODUTOS!$B$4:$B$63,0))="B",$D786="AP07"),"NÃO (modelo B)","SIM")))</f>
        <v>SIM</v>
      </c>
      <c r="K786" s="13" t="s">
        <v>325</v>
      </c>
      <c r="L786" s="13"/>
    </row>
    <row r="787" customFormat="false" ht="15" hidden="false" customHeight="false" outlineLevel="0" collapsed="false">
      <c r="A787" s="15" t="s">
        <v>247</v>
      </c>
      <c r="B787" s="11" t="str">
        <f aca="false">INDEX(PRODUTOS!$E$4:$E$63,MATCH($A787,PRODUTOS!$B$4:$B$63,0))</f>
        <v>Nuggets Recheados Gatos New Dots Dental 40 g</v>
      </c>
      <c r="C787" s="11" t="str">
        <f aca="false">INDEX(PRODUTOS!$H$4:$H$63,MATCH($A787,PRODUTOS!$B$4:$B$63,0))</f>
        <v>40 g</v>
      </c>
      <c r="D787" s="11" t="s">
        <v>326</v>
      </c>
      <c r="E787" s="16" t="str">
        <f aca="false">$A787&amp;"."&amp;$D787&amp;".jpg"</f>
        <v>7908591300734.PT01.jpg</v>
      </c>
      <c r="F787" s="11" t="str">
        <f aca="false">IF(INDEX(PRODUTOS!$I$4:$I$63,MATCH($A787,PRODUTOS!$B$4:$B$63,0))="B",INDEX(MODELOS!$F$3:$F$19,MATCH($D787,MODELOS!$A$3:$A$19,0)),INDEX(MODELOS!$B$3:$B$19,MATCH($D787,MODELOS!$A$3:$A$19,0)))</f>
        <v>Galeria · posição 2</v>
      </c>
      <c r="G787" s="11" t="str">
        <f aca="false">IF(INDEX(PRODUTOS!$F$4:$F$63,MATCH($A787,PRODUTOS!$B$4:$B$63,0))="Ração",IF(INDEX(PRODUTOS!$I$4:$I$63,MATCH($A787,PRODUTOS!$B$4:$B$63,0))="B",INDEX(MODELOS!$G$3:$G$19,MATCH($D787,MODELOS!$A$3:$A$19,0)),INDEX(MODELOS!$C$3:$C$19,MATCH($D787,MODELOS!$A$3:$A$19,0))),IF(INDEX(PRODUTOS!$I$4:$I$63,MATCH($A787,PRODUTOS!$B$4:$B$63,0))="B",INDEX(MODELOS!$H$3:$H$19,MATCH($D787,MODELOS!$A$3:$A$19,0)),INDEX(MODELOS!$D$3:$D$19,MATCH($D787,MODELOS!$A$3:$A$19,0))))</f>
        <v>Grande diferencial (ex.: natural, biodegradável, perfumado)</v>
      </c>
      <c r="H787" s="11" t="str">
        <f aca="false">IF(INDEX(PRODUTOS!$I$4:$I$63,MATCH($A787,PRODUTOS!$B$4:$B$63,0))="B",INDEX(MODELOS!$I$3:$I$19,MATCH($D787,MODELOS!$A$3:$A$19,0)),INDEX(MODELOS!$E$3:$E$19,MATCH($D787,MODELOS!$A$3:$A$19,0)))</f>
        <v>2000 × 2000</v>
      </c>
      <c r="I787" s="11" t="str">
        <f aca="false">INDEX(MODELOS!$J$3:$J$19,MATCH($D787,MODELOS!$A$3:$A$19,0))</f>
        <v>SIM</v>
      </c>
      <c r="J787" s="11" t="str">
        <f aca="false">IF(LEFT($D787,2)&lt;&gt;"AP",IF($I787="SIM","SIM","RECOMENDADA"),IF(INDEX(PRODUTOS!$J$4:$J$63,MATCH($A787,PRODUTOS!$B$4:$B$63,0))&lt;&gt;"","NÃO (usa o A+ do EAN "&amp;INDEX(PRODUTOS!$J$4:$J$63,MATCH($A787,PRODUTOS!$B$4:$B$63,0))&amp;")",IF(AND(INDEX(PRODUTOS!$I$4:$I$63,MATCH($A787,PRODUTOS!$B$4:$B$63,0))="B",$D787="AP07"),"NÃO (modelo B)","SIM")))</f>
        <v>SIM</v>
      </c>
      <c r="K787" s="13" t="s">
        <v>325</v>
      </c>
      <c r="L787" s="13"/>
    </row>
    <row r="788" customFormat="false" ht="15" hidden="false" customHeight="false" outlineLevel="0" collapsed="false">
      <c r="A788" s="15" t="s">
        <v>247</v>
      </c>
      <c r="B788" s="11" t="str">
        <f aca="false">INDEX(PRODUTOS!$E$4:$E$63,MATCH($A788,PRODUTOS!$B$4:$B$63,0))</f>
        <v>Nuggets Recheados Gatos New Dots Dental 40 g</v>
      </c>
      <c r="C788" s="11" t="str">
        <f aca="false">INDEX(PRODUTOS!$H$4:$H$63,MATCH($A788,PRODUTOS!$B$4:$B$63,0))</f>
        <v>40 g</v>
      </c>
      <c r="D788" s="11" t="s">
        <v>327</v>
      </c>
      <c r="E788" s="16" t="str">
        <f aca="false">$A788&amp;"."&amp;$D788&amp;".jpg"</f>
        <v>7908591300734.PT02.jpg</v>
      </c>
      <c r="F788" s="11" t="str">
        <f aca="false">IF(INDEX(PRODUTOS!$I$4:$I$63,MATCH($A788,PRODUTOS!$B$4:$B$63,0))="B",INDEX(MODELOS!$F$3:$F$19,MATCH($D788,MODELOS!$A$3:$A$19,0)),INDEX(MODELOS!$B$3:$B$19,MATCH($D788,MODELOS!$A$3:$A$19,0)))</f>
        <v>Galeria · posição 3</v>
      </c>
      <c r="G788" s="11" t="str">
        <f aca="false">IF(INDEX(PRODUTOS!$F$4:$F$63,MATCH($A788,PRODUTOS!$B$4:$B$63,0))="Ração",IF(INDEX(PRODUTOS!$I$4:$I$63,MATCH($A788,PRODUTOS!$B$4:$B$63,0))="B",INDEX(MODELOS!$G$3:$G$19,MATCH($D788,MODELOS!$A$3:$A$19,0)),INDEX(MODELOS!$C$3:$C$19,MATCH($D788,MODELOS!$A$3:$A$19,0))),IF(INDEX(PRODUTOS!$I$4:$I$63,MATCH($A788,PRODUTOS!$B$4:$B$63,0))="B",INDEX(MODELOS!$H$3:$H$19,MATCH($D788,MODELOS!$A$3:$A$19,0)),INDEX(MODELOS!$D$3:$D$19,MATCH($D788,MODELOS!$A$3:$A$19,0))))</f>
        <v>Benefícios com ícones (4 a 6, impressos na embalagem)</v>
      </c>
      <c r="H788" s="11" t="str">
        <f aca="false">IF(INDEX(PRODUTOS!$I$4:$I$63,MATCH($A788,PRODUTOS!$B$4:$B$63,0))="B",INDEX(MODELOS!$I$3:$I$19,MATCH($D788,MODELOS!$A$3:$A$19,0)),INDEX(MODELOS!$E$3:$E$19,MATCH($D788,MODELOS!$A$3:$A$19,0)))</f>
        <v>2000 × 2000</v>
      </c>
      <c r="I788" s="11" t="str">
        <f aca="false">INDEX(MODELOS!$J$3:$J$19,MATCH($D788,MODELOS!$A$3:$A$19,0))</f>
        <v>SIM</v>
      </c>
      <c r="J788" s="11" t="str">
        <f aca="false">IF(LEFT($D788,2)&lt;&gt;"AP",IF($I788="SIM","SIM","RECOMENDADA"),IF(INDEX(PRODUTOS!$J$4:$J$63,MATCH($A788,PRODUTOS!$B$4:$B$63,0))&lt;&gt;"","NÃO (usa o A+ do EAN "&amp;INDEX(PRODUTOS!$J$4:$J$63,MATCH($A788,PRODUTOS!$B$4:$B$63,0))&amp;")",IF(AND(INDEX(PRODUTOS!$I$4:$I$63,MATCH($A788,PRODUTOS!$B$4:$B$63,0))="B",$D788="AP07"),"NÃO (modelo B)","SIM")))</f>
        <v>SIM</v>
      </c>
      <c r="K788" s="13" t="s">
        <v>325</v>
      </c>
      <c r="L788" s="13"/>
    </row>
    <row r="789" customFormat="false" ht="15" hidden="false" customHeight="false" outlineLevel="0" collapsed="false">
      <c r="A789" s="15" t="s">
        <v>247</v>
      </c>
      <c r="B789" s="11" t="str">
        <f aca="false">INDEX(PRODUTOS!$E$4:$E$63,MATCH($A789,PRODUTOS!$B$4:$B$63,0))</f>
        <v>Nuggets Recheados Gatos New Dots Dental 40 g</v>
      </c>
      <c r="C789" s="11" t="str">
        <f aca="false">INDEX(PRODUTOS!$H$4:$H$63,MATCH($A789,PRODUTOS!$B$4:$B$63,0))</f>
        <v>40 g</v>
      </c>
      <c r="D789" s="11" t="s">
        <v>328</v>
      </c>
      <c r="E789" s="16" t="str">
        <f aca="false">$A789&amp;"."&amp;$D789&amp;".jpg"</f>
        <v>7908591300734.PT03.jpg</v>
      </c>
      <c r="F789" s="11" t="str">
        <f aca="false">IF(INDEX(PRODUTOS!$I$4:$I$63,MATCH($A789,PRODUTOS!$B$4:$B$63,0))="B",INDEX(MODELOS!$F$3:$F$19,MATCH($D789,MODELOS!$A$3:$A$19,0)),INDEX(MODELOS!$B$3:$B$19,MATCH($D789,MODELOS!$A$3:$A$19,0)))</f>
        <v>Galeria · posição 4</v>
      </c>
      <c r="G789" s="11" t="str">
        <f aca="false">IF(INDEX(PRODUTOS!$F$4:$F$63,MATCH($A789,PRODUTOS!$B$4:$B$63,0))="Ração",IF(INDEX(PRODUTOS!$I$4:$I$63,MATCH($A789,PRODUTOS!$B$4:$B$63,0))="B",INDEX(MODELOS!$G$3:$G$19,MATCH($D789,MODELOS!$A$3:$A$19,0)),INDEX(MODELOS!$C$3:$C$19,MATCH($D789,MODELOS!$A$3:$A$19,0))),IF(INDEX(PRODUTOS!$I$4:$I$63,MATCH($A789,PRODUTOS!$B$4:$B$63,0))="B",INDEX(MODELOS!$H$3:$H$19,MATCH($D789,MODELOS!$A$3:$A$19,0)),INDEX(MODELOS!$D$3:$D$19,MATCH($D789,MODELOS!$A$3:$A$19,0))))</f>
        <v>Detalhe e tamanho real (petisco, grânulo ou tapete aberto), com medidas</v>
      </c>
      <c r="H789" s="11" t="str">
        <f aca="false">IF(INDEX(PRODUTOS!$I$4:$I$63,MATCH($A789,PRODUTOS!$B$4:$B$63,0))="B",INDEX(MODELOS!$I$3:$I$19,MATCH($D789,MODELOS!$A$3:$A$19,0)),INDEX(MODELOS!$E$3:$E$19,MATCH($D789,MODELOS!$A$3:$A$19,0)))</f>
        <v>2000 × 2000</v>
      </c>
      <c r="I789" s="11" t="str">
        <f aca="false">INDEX(MODELOS!$J$3:$J$19,MATCH($D789,MODELOS!$A$3:$A$19,0))</f>
        <v>SIM</v>
      </c>
      <c r="J789" s="11" t="str">
        <f aca="false">IF(LEFT($D789,2)&lt;&gt;"AP",IF($I789="SIM","SIM","RECOMENDADA"),IF(INDEX(PRODUTOS!$J$4:$J$63,MATCH($A789,PRODUTOS!$B$4:$B$63,0))&lt;&gt;"","NÃO (usa o A+ do EAN "&amp;INDEX(PRODUTOS!$J$4:$J$63,MATCH($A789,PRODUTOS!$B$4:$B$63,0))&amp;")",IF(AND(INDEX(PRODUTOS!$I$4:$I$63,MATCH($A789,PRODUTOS!$B$4:$B$63,0))="B",$D789="AP07"),"NÃO (modelo B)","SIM")))</f>
        <v>SIM</v>
      </c>
      <c r="K789" s="13" t="s">
        <v>325</v>
      </c>
      <c r="L789" s="13"/>
    </row>
    <row r="790" customFormat="false" ht="15" hidden="false" customHeight="false" outlineLevel="0" collapsed="false">
      <c r="A790" s="15" t="s">
        <v>247</v>
      </c>
      <c r="B790" s="11" t="str">
        <f aca="false">INDEX(PRODUTOS!$E$4:$E$63,MATCH($A790,PRODUTOS!$B$4:$B$63,0))</f>
        <v>Nuggets Recheados Gatos New Dots Dental 40 g</v>
      </c>
      <c r="C790" s="11" t="str">
        <f aca="false">INDEX(PRODUTOS!$H$4:$H$63,MATCH($A790,PRODUTOS!$B$4:$B$63,0))</f>
        <v>40 g</v>
      </c>
      <c r="D790" s="11" t="s">
        <v>329</v>
      </c>
      <c r="E790" s="16" t="str">
        <f aca="false">$A790&amp;"."&amp;$D790&amp;".jpg"</f>
        <v>7908591300734.PT04.jpg</v>
      </c>
      <c r="F790" s="11" t="str">
        <f aca="false">IF(INDEX(PRODUTOS!$I$4:$I$63,MATCH($A790,PRODUTOS!$B$4:$B$63,0))="B",INDEX(MODELOS!$F$3:$F$19,MATCH($D790,MODELOS!$A$3:$A$19,0)),INDEX(MODELOS!$B$3:$B$19,MATCH($D790,MODELOS!$A$3:$A$19,0)))</f>
        <v>Galeria · posição 5</v>
      </c>
      <c r="G790" s="11" t="str">
        <f aca="false">IF(INDEX(PRODUTOS!$F$4:$F$63,MATCH($A790,PRODUTOS!$B$4:$B$63,0))="Ração",IF(INDEX(PRODUTOS!$I$4:$I$63,MATCH($A790,PRODUTOS!$B$4:$B$63,0))="B",INDEX(MODELOS!$G$3:$G$19,MATCH($D790,MODELOS!$A$3:$A$19,0)),INDEX(MODELOS!$C$3:$C$19,MATCH($D790,MODELOS!$A$3:$A$19,0))),IF(INDEX(PRODUTOS!$I$4:$I$63,MATCH($A790,PRODUTOS!$B$4:$B$63,0))="B",INDEX(MODELOS!$H$3:$H$19,MATCH($D790,MODELOS!$A$3:$A$19,0)),INDEX(MODELOS!$D$3:$D$19,MATCH($D790,MODELOS!$A$3:$A$19,0))))</f>
        <v>Modo de uso (como oferecer o petisco / como usar o produto)</v>
      </c>
      <c r="H790" s="11" t="str">
        <f aca="false">IF(INDEX(PRODUTOS!$I$4:$I$63,MATCH($A790,PRODUTOS!$B$4:$B$63,0))="B",INDEX(MODELOS!$I$3:$I$19,MATCH($D790,MODELOS!$A$3:$A$19,0)),INDEX(MODELOS!$E$3:$E$19,MATCH($D790,MODELOS!$A$3:$A$19,0)))</f>
        <v>2000 × 2000</v>
      </c>
      <c r="I790" s="11" t="str">
        <f aca="false">INDEX(MODELOS!$J$3:$J$19,MATCH($D790,MODELOS!$A$3:$A$19,0))</f>
        <v>SIM</v>
      </c>
      <c r="J790" s="11" t="str">
        <f aca="false">IF(LEFT($D790,2)&lt;&gt;"AP",IF($I790="SIM","SIM","RECOMENDADA"),IF(INDEX(PRODUTOS!$J$4:$J$63,MATCH($A790,PRODUTOS!$B$4:$B$63,0))&lt;&gt;"","NÃO (usa o A+ do EAN "&amp;INDEX(PRODUTOS!$J$4:$J$63,MATCH($A790,PRODUTOS!$B$4:$B$63,0))&amp;")",IF(AND(INDEX(PRODUTOS!$I$4:$I$63,MATCH($A790,PRODUTOS!$B$4:$B$63,0))="B",$D790="AP07"),"NÃO (modelo B)","SIM")))</f>
        <v>SIM</v>
      </c>
      <c r="K790" s="13" t="s">
        <v>325</v>
      </c>
      <c r="L790" s="13"/>
    </row>
    <row r="791" customFormat="false" ht="15" hidden="false" customHeight="false" outlineLevel="0" collapsed="false">
      <c r="A791" s="15" t="s">
        <v>247</v>
      </c>
      <c r="B791" s="11" t="str">
        <f aca="false">INDEX(PRODUTOS!$E$4:$E$63,MATCH($A791,PRODUTOS!$B$4:$B$63,0))</f>
        <v>Nuggets Recheados Gatos New Dots Dental 40 g</v>
      </c>
      <c r="C791" s="11" t="str">
        <f aca="false">INDEX(PRODUTOS!$H$4:$H$63,MATCH($A791,PRODUTOS!$B$4:$B$63,0))</f>
        <v>40 g</v>
      </c>
      <c r="D791" s="11" t="s">
        <v>330</v>
      </c>
      <c r="E791" s="16" t="str">
        <f aca="false">$A791&amp;"."&amp;$D791&amp;".jpg"</f>
        <v>7908591300734.PT05.jpg</v>
      </c>
      <c r="F791" s="11" t="str">
        <f aca="false">IF(INDEX(PRODUTOS!$I$4:$I$63,MATCH($A791,PRODUTOS!$B$4:$B$63,0))="B",INDEX(MODELOS!$F$3:$F$19,MATCH($D791,MODELOS!$A$3:$A$19,0)),INDEX(MODELOS!$B$3:$B$19,MATCH($D791,MODELOS!$A$3:$A$19,0)))</f>
        <v>Galeria · posição 6</v>
      </c>
      <c r="G791" s="11" t="str">
        <f aca="false">IF(INDEX(PRODUTOS!$F$4:$F$63,MATCH($A791,PRODUTOS!$B$4:$B$63,0))="Ração",IF(INDEX(PRODUTOS!$I$4:$I$63,MATCH($A791,PRODUTOS!$B$4:$B$63,0))="B",INDEX(MODELOS!$G$3:$G$19,MATCH($D791,MODELOS!$A$3:$A$19,0)),INDEX(MODELOS!$C$3:$C$19,MATCH($D791,MODELOS!$A$3:$A$19,0))),IF(INDEX(PRODUTOS!$I$4:$I$63,MATCH($A791,PRODUTOS!$B$4:$B$63,0))="B",INDEX(MODELOS!$H$3:$H$19,MATCH($D791,MODELOS!$A$3:$A$19,0)),INDEX(MODELOS!$D$3:$D$19,MATCH($D791,MODELOS!$A$3:$A$19,0))))</f>
        <v>Quantidade por dia ou rendimento do pacote</v>
      </c>
      <c r="H791" s="11" t="str">
        <f aca="false">IF(INDEX(PRODUTOS!$I$4:$I$63,MATCH($A791,PRODUTOS!$B$4:$B$63,0))="B",INDEX(MODELOS!$I$3:$I$19,MATCH($D791,MODELOS!$A$3:$A$19,0)),INDEX(MODELOS!$E$3:$E$19,MATCH($D791,MODELOS!$A$3:$A$19,0)))</f>
        <v>2000 × 2000</v>
      </c>
      <c r="I791" s="11" t="str">
        <f aca="false">INDEX(MODELOS!$J$3:$J$19,MATCH($D791,MODELOS!$A$3:$A$19,0))</f>
        <v>Recomendada</v>
      </c>
      <c r="J791" s="11" t="str">
        <f aca="false">IF(LEFT($D791,2)&lt;&gt;"AP",IF($I791="SIM","SIM","RECOMENDADA"),IF(INDEX(PRODUTOS!$J$4:$J$63,MATCH($A791,PRODUTOS!$B$4:$B$63,0))&lt;&gt;"","NÃO (usa o A+ do EAN "&amp;INDEX(PRODUTOS!$J$4:$J$63,MATCH($A791,PRODUTOS!$B$4:$B$63,0))&amp;")",IF(AND(INDEX(PRODUTOS!$I$4:$I$63,MATCH($A791,PRODUTOS!$B$4:$B$63,0))="B",$D791="AP07"),"NÃO (modelo B)","SIM")))</f>
        <v>RECOMENDADA</v>
      </c>
      <c r="K791" s="13" t="s">
        <v>325</v>
      </c>
      <c r="L791" s="13"/>
    </row>
    <row r="792" customFormat="false" ht="15" hidden="false" customHeight="false" outlineLevel="0" collapsed="false">
      <c r="A792" s="15" t="s">
        <v>247</v>
      </c>
      <c r="B792" s="11" t="str">
        <f aca="false">INDEX(PRODUTOS!$E$4:$E$63,MATCH($A792,PRODUTOS!$B$4:$B$63,0))</f>
        <v>Nuggets Recheados Gatos New Dots Dental 40 g</v>
      </c>
      <c r="C792" s="11" t="str">
        <f aca="false">INDEX(PRODUTOS!$H$4:$H$63,MATCH($A792,PRODUTOS!$B$4:$B$63,0))</f>
        <v>40 g</v>
      </c>
      <c r="D792" s="11" t="s">
        <v>331</v>
      </c>
      <c r="E792" s="16" t="str">
        <f aca="false">$A792&amp;"."&amp;$D792&amp;".jpg"</f>
        <v>7908591300734.PT06.jpg</v>
      </c>
      <c r="F792" s="11" t="str">
        <f aca="false">IF(INDEX(PRODUTOS!$I$4:$I$63,MATCH($A792,PRODUTOS!$B$4:$B$63,0))="B",INDEX(MODELOS!$F$3:$F$19,MATCH($D792,MODELOS!$A$3:$A$19,0)),INDEX(MODELOS!$B$3:$B$19,MATCH($D792,MODELOS!$A$3:$A$19,0)))</f>
        <v>Galeria · posição 7</v>
      </c>
      <c r="G792" s="11" t="str">
        <f aca="false">IF(INDEX(PRODUTOS!$F$4:$F$63,MATCH($A792,PRODUTOS!$B$4:$B$63,0))="Ração",IF(INDEX(PRODUTOS!$I$4:$I$63,MATCH($A792,PRODUTOS!$B$4:$B$63,0))="B",INDEX(MODELOS!$G$3:$G$19,MATCH($D792,MODELOS!$A$3:$A$19,0)),INDEX(MODELOS!$C$3:$C$19,MATCH($D792,MODELOS!$A$3:$A$19,0))),IF(INDEX(PRODUTOS!$I$4:$I$63,MATCH($A792,PRODUTOS!$B$4:$B$63,0))="B",INDEX(MODELOS!$H$3:$H$19,MATCH($D792,MODELOS!$A$3:$A$19,0)),INDEX(MODELOS!$D$3:$D$19,MATCH($D792,MODELOS!$A$3:$A$19,0))))</f>
        <v>Composição/níveis de garantia (petiscos) ou especificações (higiene)</v>
      </c>
      <c r="H792" s="11" t="str">
        <f aca="false">IF(INDEX(PRODUTOS!$I$4:$I$63,MATCH($A792,PRODUTOS!$B$4:$B$63,0))="B",INDEX(MODELOS!$I$3:$I$19,MATCH($D792,MODELOS!$A$3:$A$19,0)),INDEX(MODELOS!$E$3:$E$19,MATCH($D792,MODELOS!$A$3:$A$19,0)))</f>
        <v>2000 × 2000</v>
      </c>
      <c r="I792" s="11" t="str">
        <f aca="false">INDEX(MODELOS!$J$3:$J$19,MATCH($D792,MODELOS!$A$3:$A$19,0))</f>
        <v>SIM</v>
      </c>
      <c r="J792" s="11" t="str">
        <f aca="false">IF(LEFT($D792,2)&lt;&gt;"AP",IF($I792="SIM","SIM","RECOMENDADA"),IF(INDEX(PRODUTOS!$J$4:$J$63,MATCH($A792,PRODUTOS!$B$4:$B$63,0))&lt;&gt;"","NÃO (usa o A+ do EAN "&amp;INDEX(PRODUTOS!$J$4:$J$63,MATCH($A792,PRODUTOS!$B$4:$B$63,0))&amp;")",IF(AND(INDEX(PRODUTOS!$I$4:$I$63,MATCH($A792,PRODUTOS!$B$4:$B$63,0))="B",$D792="AP07"),"NÃO (modelo B)","SIM")))</f>
        <v>SIM</v>
      </c>
      <c r="K792" s="13" t="s">
        <v>325</v>
      </c>
      <c r="L792" s="13"/>
    </row>
    <row r="793" customFormat="false" ht="15" hidden="false" customHeight="false" outlineLevel="0" collapsed="false">
      <c r="A793" s="15" t="s">
        <v>247</v>
      </c>
      <c r="B793" s="11" t="str">
        <f aca="false">INDEX(PRODUTOS!$E$4:$E$63,MATCH($A793,PRODUTOS!$B$4:$B$63,0))</f>
        <v>Nuggets Recheados Gatos New Dots Dental 40 g</v>
      </c>
      <c r="C793" s="11" t="str">
        <f aca="false">INDEX(PRODUTOS!$H$4:$H$63,MATCH($A793,PRODUTOS!$B$4:$B$63,0))</f>
        <v>40 g</v>
      </c>
      <c r="D793" s="11" t="s">
        <v>332</v>
      </c>
      <c r="E793" s="16" t="str">
        <f aca="false">$A793&amp;"."&amp;$D793&amp;".jpg"</f>
        <v>7908591300734.PT07.jpg</v>
      </c>
      <c r="F793" s="11" t="str">
        <f aca="false">IF(INDEX(PRODUTOS!$I$4:$I$63,MATCH($A793,PRODUTOS!$B$4:$B$63,0))="B",INDEX(MODELOS!$F$3:$F$19,MATCH($D793,MODELOS!$A$3:$A$19,0)),INDEX(MODELOS!$B$3:$B$19,MATCH($D793,MODELOS!$A$3:$A$19,0)))</f>
        <v>Galeria · posição 8</v>
      </c>
      <c r="G793" s="11" t="str">
        <f aca="false">IF(INDEX(PRODUTOS!$F$4:$F$63,MATCH($A793,PRODUTOS!$B$4:$B$63,0))="Ração",IF(INDEX(PRODUTOS!$I$4:$I$63,MATCH($A793,PRODUTOS!$B$4:$B$63,0))="B",INDEX(MODELOS!$G$3:$G$19,MATCH($D793,MODELOS!$A$3:$A$19,0)),INDEX(MODELOS!$C$3:$C$19,MATCH($D793,MODELOS!$A$3:$A$19,0))),IF(INDEX(PRODUTOS!$I$4:$I$63,MATCH($A793,PRODUTOS!$B$4:$B$63,0))="B",INDEX(MODELOS!$H$3:$H$19,MATCH($D793,MODELOS!$A$3:$A$19,0)),INDEX(MODELOS!$D$3:$D$19,MATCH($D793,MODELOS!$A$3:$A$19,0))))</f>
        <v>Emocional / momento de uso</v>
      </c>
      <c r="H793" s="11" t="str">
        <f aca="false">IF(INDEX(PRODUTOS!$I$4:$I$63,MATCH($A793,PRODUTOS!$B$4:$B$63,0))="B",INDEX(MODELOS!$I$3:$I$19,MATCH($D793,MODELOS!$A$3:$A$19,0)),INDEX(MODELOS!$E$3:$E$19,MATCH($D793,MODELOS!$A$3:$A$19,0)))</f>
        <v>2000 × 2000</v>
      </c>
      <c r="I793" s="11" t="str">
        <f aca="false">INDEX(MODELOS!$J$3:$J$19,MATCH($D793,MODELOS!$A$3:$A$19,0))</f>
        <v>Recomendada</v>
      </c>
      <c r="J793" s="11" t="str">
        <f aca="false">IF(LEFT($D793,2)&lt;&gt;"AP",IF($I793="SIM","SIM","RECOMENDADA"),IF(INDEX(PRODUTOS!$J$4:$J$63,MATCH($A793,PRODUTOS!$B$4:$B$63,0))&lt;&gt;"","NÃO (usa o A+ do EAN "&amp;INDEX(PRODUTOS!$J$4:$J$63,MATCH($A793,PRODUTOS!$B$4:$B$63,0))&amp;")",IF(AND(INDEX(PRODUTOS!$I$4:$I$63,MATCH($A793,PRODUTOS!$B$4:$B$63,0))="B",$D793="AP07"),"NÃO (modelo B)","SIM")))</f>
        <v>RECOMENDADA</v>
      </c>
      <c r="K793" s="13" t="s">
        <v>325</v>
      </c>
      <c r="L793" s="13"/>
    </row>
    <row r="794" customFormat="false" ht="15" hidden="false" customHeight="false" outlineLevel="0" collapsed="false">
      <c r="A794" s="15" t="s">
        <v>247</v>
      </c>
      <c r="B794" s="11" t="str">
        <f aca="false">INDEX(PRODUTOS!$E$4:$E$63,MATCH($A794,PRODUTOS!$B$4:$B$63,0))</f>
        <v>Nuggets Recheados Gatos New Dots Dental 40 g</v>
      </c>
      <c r="C794" s="11" t="str">
        <f aca="false">INDEX(PRODUTOS!$H$4:$H$63,MATCH($A794,PRODUTOS!$B$4:$B$63,0))</f>
        <v>40 g</v>
      </c>
      <c r="D794" s="11" t="s">
        <v>333</v>
      </c>
      <c r="E794" s="16" t="str">
        <f aca="false">$A794&amp;"."&amp;$D794&amp;".jpg"</f>
        <v>7908591300734.PT08.jpg</v>
      </c>
      <c r="F794" s="11" t="str">
        <f aca="false">IF(INDEX(PRODUTOS!$I$4:$I$63,MATCH($A794,PRODUTOS!$B$4:$B$63,0))="B",INDEX(MODELOS!$F$3:$F$19,MATCH($D794,MODELOS!$A$3:$A$19,0)),INDEX(MODELOS!$B$3:$B$19,MATCH($D794,MODELOS!$A$3:$A$19,0)))</f>
        <v>Galeria · posição 9</v>
      </c>
      <c r="G794" s="11" t="str">
        <f aca="false">IF(INDEX(PRODUTOS!$F$4:$F$63,MATCH($A794,PRODUTOS!$B$4:$B$63,0))="Ração",IF(INDEX(PRODUTOS!$I$4:$I$63,MATCH($A794,PRODUTOS!$B$4:$B$63,0))="B",INDEX(MODELOS!$G$3:$G$19,MATCH($D794,MODELOS!$A$3:$A$19,0)),INDEX(MODELOS!$C$3:$C$19,MATCH($D794,MODELOS!$A$3:$A$19,0))),IF(INDEX(PRODUTOS!$I$4:$I$63,MATCH($A794,PRODUTOS!$B$4:$B$63,0))="B",INDEX(MODELOS!$H$3:$H$19,MATCH($D794,MODELOS!$A$3:$A$19,0)),INDEX(MODELOS!$D$3:$D$19,MATCH($D794,MODELOS!$A$3:$A$19,0))))</f>
        <v>Linha da marca ("conheça também")</v>
      </c>
      <c r="H794" s="11" t="str">
        <f aca="false">IF(INDEX(PRODUTOS!$I$4:$I$63,MATCH($A794,PRODUTOS!$B$4:$B$63,0))="B",INDEX(MODELOS!$I$3:$I$19,MATCH($D794,MODELOS!$A$3:$A$19,0)),INDEX(MODELOS!$E$3:$E$19,MATCH($D794,MODELOS!$A$3:$A$19,0)))</f>
        <v>2000 × 2000</v>
      </c>
      <c r="I794" s="11" t="str">
        <f aca="false">INDEX(MODELOS!$J$3:$J$19,MATCH($D794,MODELOS!$A$3:$A$19,0))</f>
        <v>Recomendada</v>
      </c>
      <c r="J794" s="11" t="str">
        <f aca="false">IF(LEFT($D794,2)&lt;&gt;"AP",IF($I794="SIM","SIM","RECOMENDADA"),IF(INDEX(PRODUTOS!$J$4:$J$63,MATCH($A794,PRODUTOS!$B$4:$B$63,0))&lt;&gt;"","NÃO (usa o A+ do EAN "&amp;INDEX(PRODUTOS!$J$4:$J$63,MATCH($A794,PRODUTOS!$B$4:$B$63,0))&amp;")",IF(AND(INDEX(PRODUTOS!$I$4:$I$63,MATCH($A794,PRODUTOS!$B$4:$B$63,0))="B",$D794="AP07"),"NÃO (modelo B)","SIM")))</f>
        <v>RECOMENDADA</v>
      </c>
      <c r="K794" s="13" t="s">
        <v>325</v>
      </c>
      <c r="L794" s="13"/>
    </row>
    <row r="795" customFormat="false" ht="15" hidden="false" customHeight="false" outlineLevel="0" collapsed="false">
      <c r="A795" s="15" t="s">
        <v>247</v>
      </c>
      <c r="B795" s="11" t="str">
        <f aca="false">INDEX(PRODUTOS!$E$4:$E$63,MATCH($A795,PRODUTOS!$B$4:$B$63,0))</f>
        <v>Nuggets Recheados Gatos New Dots Dental 40 g</v>
      </c>
      <c r="C795" s="11" t="str">
        <f aca="false">INDEX(PRODUTOS!$H$4:$H$63,MATCH($A795,PRODUTOS!$B$4:$B$63,0))</f>
        <v>40 g</v>
      </c>
      <c r="D795" s="11" t="s">
        <v>334</v>
      </c>
      <c r="E795" s="16" t="str">
        <f aca="false">$A795&amp;"."&amp;$D795&amp;".jpg"</f>
        <v>7908591300734.AP01.jpg</v>
      </c>
      <c r="F795" s="11" t="str">
        <f aca="false">IF(INDEX(PRODUTOS!$I$4:$I$63,MATCH($A795,PRODUTOS!$B$4:$B$63,0))="B",INDEX(MODELOS!$F$3:$F$19,MATCH($D795,MODELOS!$A$3:$A$19,0)),INDEX(MODELOS!$B$3:$B$19,MATCH($D795,MODELOS!$A$3:$A$19,0)))</f>
        <v>A+ · Módulo 1 · Banner</v>
      </c>
      <c r="G795" s="11" t="str">
        <f aca="false">IF(INDEX(PRODUTOS!$F$4:$F$63,MATCH($A795,PRODUTOS!$B$4:$B$63,0))="Ração",IF(INDEX(PRODUTOS!$I$4:$I$63,MATCH($A795,PRODUTOS!$B$4:$B$63,0))="B",INDEX(MODELOS!$G$3:$G$19,MATCH($D795,MODELOS!$A$3:$A$19,0)),INDEX(MODELOS!$C$3:$C$19,MATCH($D795,MODELOS!$A$3:$A$19,0))),IF(INDEX(PRODUTOS!$I$4:$I$63,MATCH($A795,PRODUTOS!$B$4:$B$63,0))="B",INDEX(MODELOS!$H$3:$H$19,MATCH($D795,MODELOS!$A$3:$A$19,0)),INDEX(MODELOS!$D$3:$D$19,MATCH($D795,MODELOS!$A$3:$A$19,0))))</f>
        <v>Produto + pet, com o nome da linha</v>
      </c>
      <c r="H795" s="11" t="str">
        <f aca="false">IF(INDEX(PRODUTOS!$I$4:$I$63,MATCH($A795,PRODUTOS!$B$4:$B$63,0))="B",INDEX(MODELOS!$I$3:$I$19,MATCH($D795,MODELOS!$A$3:$A$19,0)),INDEX(MODELOS!$E$3:$E$19,MATCH($D795,MODELOS!$A$3:$A$19,0)))</f>
        <v>970 × 600</v>
      </c>
      <c r="I795" s="11" t="str">
        <f aca="false">INDEX(MODELOS!$J$3:$J$19,MATCH($D795,MODELOS!$A$3:$A$19,0))</f>
        <v>Conforme modelo</v>
      </c>
      <c r="J795" s="11" t="str">
        <f aca="false">IF(LEFT($D795,2)&lt;&gt;"AP",IF($I795="SIM","SIM","RECOMENDADA"),IF(INDEX(PRODUTOS!$J$4:$J$63,MATCH($A795,PRODUTOS!$B$4:$B$63,0))&lt;&gt;"","NÃO (usa o A+ do EAN "&amp;INDEX(PRODUTOS!$J$4:$J$63,MATCH($A795,PRODUTOS!$B$4:$B$63,0))&amp;")",IF(AND(INDEX(PRODUTOS!$I$4:$I$63,MATCH($A795,PRODUTOS!$B$4:$B$63,0))="B",$D795="AP07"),"NÃO (modelo B)","SIM")))</f>
        <v>SIM</v>
      </c>
      <c r="K795" s="13" t="s">
        <v>325</v>
      </c>
      <c r="L795" s="13"/>
    </row>
    <row r="796" customFormat="false" ht="15" hidden="false" customHeight="false" outlineLevel="0" collapsed="false">
      <c r="A796" s="15" t="s">
        <v>247</v>
      </c>
      <c r="B796" s="11" t="str">
        <f aca="false">INDEX(PRODUTOS!$E$4:$E$63,MATCH($A796,PRODUTOS!$B$4:$B$63,0))</f>
        <v>Nuggets Recheados Gatos New Dots Dental 40 g</v>
      </c>
      <c r="C796" s="11" t="str">
        <f aca="false">INDEX(PRODUTOS!$H$4:$H$63,MATCH($A796,PRODUTOS!$B$4:$B$63,0))</f>
        <v>40 g</v>
      </c>
      <c r="D796" s="11" t="s">
        <v>335</v>
      </c>
      <c r="E796" s="16" t="str">
        <f aca="false">$A796&amp;"."&amp;$D796&amp;".jpg"</f>
        <v>7908591300734.AP02.jpg</v>
      </c>
      <c r="F796" s="11" t="str">
        <f aca="false">IF(INDEX(PRODUTOS!$I$4:$I$63,MATCH($A796,PRODUTOS!$B$4:$B$63,0))="B",INDEX(MODELOS!$F$3:$F$19,MATCH($D796,MODELOS!$A$3:$A$19,0)),INDEX(MODELOS!$B$3:$B$19,MATCH($D796,MODELOS!$A$3:$A$19,0)))</f>
        <v>A+ · Módulo 2 · Texto sobreposto</v>
      </c>
      <c r="G796" s="11" t="str">
        <f aca="false">IF(INDEX(PRODUTOS!$F$4:$F$63,MATCH($A796,PRODUTOS!$B$4:$B$63,0))="Ração",IF(INDEX(PRODUTOS!$I$4:$I$63,MATCH($A796,PRODUTOS!$B$4:$B$63,0))="B",INDEX(MODELOS!$G$3:$G$19,MATCH($D796,MODELOS!$A$3:$A$19,0)),INDEX(MODELOS!$C$3:$C$19,MATCH($D796,MODELOS!$A$3:$A$19,0))),IF(INDEX(PRODUTOS!$I$4:$I$63,MATCH($A796,PRODUTOS!$B$4:$B$63,0))="B",INDEX(MODELOS!$H$3:$H$19,MATCH($D796,MODELOS!$A$3:$A$19,0)),INDEX(MODELOS!$D$3:$D$19,MATCH($D796,MODELOS!$A$3:$A$19,0))))</f>
        <v>Principal diferencial; deixar o lado direito limpo</v>
      </c>
      <c r="H796" s="11" t="str">
        <f aca="false">IF(INDEX(PRODUTOS!$I$4:$I$63,MATCH($A796,PRODUTOS!$B$4:$B$63,0))="B",INDEX(MODELOS!$I$3:$I$19,MATCH($D796,MODELOS!$A$3:$A$19,0)),INDEX(MODELOS!$E$3:$E$19,MATCH($D796,MODELOS!$A$3:$A$19,0)))</f>
        <v>970 × 300</v>
      </c>
      <c r="I796" s="11" t="str">
        <f aca="false">INDEX(MODELOS!$J$3:$J$19,MATCH($D796,MODELOS!$A$3:$A$19,0))</f>
        <v>Conforme modelo</v>
      </c>
      <c r="J796" s="11" t="str">
        <f aca="false">IF(LEFT($D796,2)&lt;&gt;"AP",IF($I796="SIM","SIM","RECOMENDADA"),IF(INDEX(PRODUTOS!$J$4:$J$63,MATCH($A796,PRODUTOS!$B$4:$B$63,0))&lt;&gt;"","NÃO (usa o A+ do EAN "&amp;INDEX(PRODUTOS!$J$4:$J$63,MATCH($A796,PRODUTOS!$B$4:$B$63,0))&amp;")",IF(AND(INDEX(PRODUTOS!$I$4:$I$63,MATCH($A796,PRODUTOS!$B$4:$B$63,0))="B",$D796="AP07"),"NÃO (modelo B)","SIM")))</f>
        <v>SIM</v>
      </c>
      <c r="K796" s="13" t="s">
        <v>325</v>
      </c>
      <c r="L796" s="13"/>
    </row>
    <row r="797" customFormat="false" ht="15" hidden="false" customHeight="false" outlineLevel="0" collapsed="false">
      <c r="A797" s="15" t="s">
        <v>247</v>
      </c>
      <c r="B797" s="11" t="str">
        <f aca="false">INDEX(PRODUTOS!$E$4:$E$63,MATCH($A797,PRODUTOS!$B$4:$B$63,0))</f>
        <v>Nuggets Recheados Gatos New Dots Dental 40 g</v>
      </c>
      <c r="C797" s="11" t="str">
        <f aca="false">INDEX(PRODUTOS!$H$4:$H$63,MATCH($A797,PRODUTOS!$B$4:$B$63,0))</f>
        <v>40 g</v>
      </c>
      <c r="D797" s="11" t="s">
        <v>336</v>
      </c>
      <c r="E797" s="16" t="str">
        <f aca="false">$A797&amp;"."&amp;$D797&amp;".jpg"</f>
        <v>7908591300734.AP03.jpg</v>
      </c>
      <c r="F797" s="11" t="str">
        <f aca="false">IF(INDEX(PRODUTOS!$I$4:$I$63,MATCH($A797,PRODUTOS!$B$4:$B$63,0))="B",INDEX(MODELOS!$F$3:$F$19,MATCH($D797,MODELOS!$A$3:$A$19,0)),INDEX(MODELOS!$B$3:$B$19,MATCH($D797,MODELOS!$A$3:$A$19,0)))</f>
        <v>A+ · Módulo 3 · Benefício 1 de 4</v>
      </c>
      <c r="G797" s="11" t="str">
        <f aca="false">IF(INDEX(PRODUTOS!$F$4:$F$63,MATCH($A797,PRODUTOS!$B$4:$B$63,0))="Ração",IF(INDEX(PRODUTOS!$I$4:$I$63,MATCH($A797,PRODUTOS!$B$4:$B$63,0))="B",INDEX(MODELOS!$G$3:$G$19,MATCH($D797,MODELOS!$A$3:$A$19,0)),INDEX(MODELOS!$C$3:$C$19,MATCH($D797,MODELOS!$A$3:$A$19,0))),IF(INDEX(PRODUTOS!$I$4:$I$63,MATCH($A797,PRODUTOS!$B$4:$B$63,0))="B",INDEX(MODELOS!$H$3:$H$19,MATCH($D797,MODELOS!$A$3:$A$19,0)),INDEX(MODELOS!$D$3:$D$19,MATCH($D797,MODELOS!$A$3:$A$19,0))))</f>
        <v>Foto/ilustração do benefício 1</v>
      </c>
      <c r="H797" s="11" t="str">
        <f aca="false">IF(INDEX(PRODUTOS!$I$4:$I$63,MATCH($A797,PRODUTOS!$B$4:$B$63,0))="B",INDEX(MODELOS!$I$3:$I$19,MATCH($D797,MODELOS!$A$3:$A$19,0)),INDEX(MODELOS!$E$3:$E$19,MATCH($D797,MODELOS!$A$3:$A$19,0)))</f>
        <v>220 × 200</v>
      </c>
      <c r="I797" s="11" t="str">
        <f aca="false">INDEX(MODELOS!$J$3:$J$19,MATCH($D797,MODELOS!$A$3:$A$19,0))</f>
        <v>Conforme modelo</v>
      </c>
      <c r="J797" s="11" t="str">
        <f aca="false">IF(LEFT($D797,2)&lt;&gt;"AP",IF($I797="SIM","SIM","RECOMENDADA"),IF(INDEX(PRODUTOS!$J$4:$J$63,MATCH($A797,PRODUTOS!$B$4:$B$63,0))&lt;&gt;"","NÃO (usa o A+ do EAN "&amp;INDEX(PRODUTOS!$J$4:$J$63,MATCH($A797,PRODUTOS!$B$4:$B$63,0))&amp;")",IF(AND(INDEX(PRODUTOS!$I$4:$I$63,MATCH($A797,PRODUTOS!$B$4:$B$63,0))="B",$D797="AP07"),"NÃO (modelo B)","SIM")))</f>
        <v>SIM</v>
      </c>
      <c r="K797" s="13" t="s">
        <v>325</v>
      </c>
      <c r="L797" s="13"/>
    </row>
    <row r="798" customFormat="false" ht="15" hidden="false" customHeight="false" outlineLevel="0" collapsed="false">
      <c r="A798" s="15" t="s">
        <v>247</v>
      </c>
      <c r="B798" s="11" t="str">
        <f aca="false">INDEX(PRODUTOS!$E$4:$E$63,MATCH($A798,PRODUTOS!$B$4:$B$63,0))</f>
        <v>Nuggets Recheados Gatos New Dots Dental 40 g</v>
      </c>
      <c r="C798" s="11" t="str">
        <f aca="false">INDEX(PRODUTOS!$H$4:$H$63,MATCH($A798,PRODUTOS!$B$4:$B$63,0))</f>
        <v>40 g</v>
      </c>
      <c r="D798" s="11" t="s">
        <v>337</v>
      </c>
      <c r="E798" s="16" t="str">
        <f aca="false">$A798&amp;"."&amp;$D798&amp;".jpg"</f>
        <v>7908591300734.AP04.jpg</v>
      </c>
      <c r="F798" s="11" t="str">
        <f aca="false">IF(INDEX(PRODUTOS!$I$4:$I$63,MATCH($A798,PRODUTOS!$B$4:$B$63,0))="B",INDEX(MODELOS!$F$3:$F$19,MATCH($D798,MODELOS!$A$3:$A$19,0)),INDEX(MODELOS!$B$3:$B$19,MATCH($D798,MODELOS!$A$3:$A$19,0)))</f>
        <v>A+ · Módulo 3 · Benefício 2 de 4</v>
      </c>
      <c r="G798" s="11" t="str">
        <f aca="false">IF(INDEX(PRODUTOS!$F$4:$F$63,MATCH($A798,PRODUTOS!$B$4:$B$63,0))="Ração",IF(INDEX(PRODUTOS!$I$4:$I$63,MATCH($A798,PRODUTOS!$B$4:$B$63,0))="B",INDEX(MODELOS!$G$3:$G$19,MATCH($D798,MODELOS!$A$3:$A$19,0)),INDEX(MODELOS!$C$3:$C$19,MATCH($D798,MODELOS!$A$3:$A$19,0))),IF(INDEX(PRODUTOS!$I$4:$I$63,MATCH($A798,PRODUTOS!$B$4:$B$63,0))="B",INDEX(MODELOS!$H$3:$H$19,MATCH($D798,MODELOS!$A$3:$A$19,0)),INDEX(MODELOS!$D$3:$D$19,MATCH($D798,MODELOS!$A$3:$A$19,0))))</f>
        <v>Foto/ilustração do benefício 2</v>
      </c>
      <c r="H798" s="11" t="str">
        <f aca="false">IF(INDEX(PRODUTOS!$I$4:$I$63,MATCH($A798,PRODUTOS!$B$4:$B$63,0))="B",INDEX(MODELOS!$I$3:$I$19,MATCH($D798,MODELOS!$A$3:$A$19,0)),INDEX(MODELOS!$E$3:$E$19,MATCH($D798,MODELOS!$A$3:$A$19,0)))</f>
        <v>220 × 200</v>
      </c>
      <c r="I798" s="11" t="str">
        <f aca="false">INDEX(MODELOS!$J$3:$J$19,MATCH($D798,MODELOS!$A$3:$A$19,0))</f>
        <v>Conforme modelo</v>
      </c>
      <c r="J798" s="11" t="str">
        <f aca="false">IF(LEFT($D798,2)&lt;&gt;"AP",IF($I798="SIM","SIM","RECOMENDADA"),IF(INDEX(PRODUTOS!$J$4:$J$63,MATCH($A798,PRODUTOS!$B$4:$B$63,0))&lt;&gt;"","NÃO (usa o A+ do EAN "&amp;INDEX(PRODUTOS!$J$4:$J$63,MATCH($A798,PRODUTOS!$B$4:$B$63,0))&amp;")",IF(AND(INDEX(PRODUTOS!$I$4:$I$63,MATCH($A798,PRODUTOS!$B$4:$B$63,0))="B",$D798="AP07"),"NÃO (modelo B)","SIM")))</f>
        <v>SIM</v>
      </c>
      <c r="K798" s="13" t="s">
        <v>325</v>
      </c>
      <c r="L798" s="13"/>
    </row>
    <row r="799" customFormat="false" ht="15" hidden="false" customHeight="false" outlineLevel="0" collapsed="false">
      <c r="A799" s="15" t="s">
        <v>247</v>
      </c>
      <c r="B799" s="11" t="str">
        <f aca="false">INDEX(PRODUTOS!$E$4:$E$63,MATCH($A799,PRODUTOS!$B$4:$B$63,0))</f>
        <v>Nuggets Recheados Gatos New Dots Dental 40 g</v>
      </c>
      <c r="C799" s="11" t="str">
        <f aca="false">INDEX(PRODUTOS!$H$4:$H$63,MATCH($A799,PRODUTOS!$B$4:$B$63,0))</f>
        <v>40 g</v>
      </c>
      <c r="D799" s="11" t="s">
        <v>338</v>
      </c>
      <c r="E799" s="16" t="str">
        <f aca="false">$A799&amp;"."&amp;$D799&amp;".jpg"</f>
        <v>7908591300734.AP05.jpg</v>
      </c>
      <c r="F799" s="11" t="str">
        <f aca="false">IF(INDEX(PRODUTOS!$I$4:$I$63,MATCH($A799,PRODUTOS!$B$4:$B$63,0))="B",INDEX(MODELOS!$F$3:$F$19,MATCH($D799,MODELOS!$A$3:$A$19,0)),INDEX(MODELOS!$B$3:$B$19,MATCH($D799,MODELOS!$A$3:$A$19,0)))</f>
        <v>A+ · Módulo 3 · Benefício 3 de 4</v>
      </c>
      <c r="G799" s="11" t="str">
        <f aca="false">IF(INDEX(PRODUTOS!$F$4:$F$63,MATCH($A799,PRODUTOS!$B$4:$B$63,0))="Ração",IF(INDEX(PRODUTOS!$I$4:$I$63,MATCH($A799,PRODUTOS!$B$4:$B$63,0))="B",INDEX(MODELOS!$G$3:$G$19,MATCH($D799,MODELOS!$A$3:$A$19,0)),INDEX(MODELOS!$C$3:$C$19,MATCH($D799,MODELOS!$A$3:$A$19,0))),IF(INDEX(PRODUTOS!$I$4:$I$63,MATCH($A799,PRODUTOS!$B$4:$B$63,0))="B",INDEX(MODELOS!$H$3:$H$19,MATCH($D799,MODELOS!$A$3:$A$19,0)),INDEX(MODELOS!$D$3:$D$19,MATCH($D799,MODELOS!$A$3:$A$19,0))))</f>
        <v>Foto/ilustração do benefício 3</v>
      </c>
      <c r="H799" s="11" t="str">
        <f aca="false">IF(INDEX(PRODUTOS!$I$4:$I$63,MATCH($A799,PRODUTOS!$B$4:$B$63,0))="B",INDEX(MODELOS!$I$3:$I$19,MATCH($D799,MODELOS!$A$3:$A$19,0)),INDEX(MODELOS!$E$3:$E$19,MATCH($D799,MODELOS!$A$3:$A$19,0)))</f>
        <v>220 × 200</v>
      </c>
      <c r="I799" s="11" t="str">
        <f aca="false">INDEX(MODELOS!$J$3:$J$19,MATCH($D799,MODELOS!$A$3:$A$19,0))</f>
        <v>Conforme modelo</v>
      </c>
      <c r="J799" s="11" t="str">
        <f aca="false">IF(LEFT($D799,2)&lt;&gt;"AP",IF($I799="SIM","SIM","RECOMENDADA"),IF(INDEX(PRODUTOS!$J$4:$J$63,MATCH($A799,PRODUTOS!$B$4:$B$63,0))&lt;&gt;"","NÃO (usa o A+ do EAN "&amp;INDEX(PRODUTOS!$J$4:$J$63,MATCH($A799,PRODUTOS!$B$4:$B$63,0))&amp;")",IF(AND(INDEX(PRODUTOS!$I$4:$I$63,MATCH($A799,PRODUTOS!$B$4:$B$63,0))="B",$D799="AP07"),"NÃO (modelo B)","SIM")))</f>
        <v>SIM</v>
      </c>
      <c r="K799" s="13" t="s">
        <v>325</v>
      </c>
      <c r="L799" s="13"/>
    </row>
    <row r="800" customFormat="false" ht="15" hidden="false" customHeight="false" outlineLevel="0" collapsed="false">
      <c r="A800" s="15" t="s">
        <v>247</v>
      </c>
      <c r="B800" s="11" t="str">
        <f aca="false">INDEX(PRODUTOS!$E$4:$E$63,MATCH($A800,PRODUTOS!$B$4:$B$63,0))</f>
        <v>Nuggets Recheados Gatos New Dots Dental 40 g</v>
      </c>
      <c r="C800" s="11" t="str">
        <f aca="false">INDEX(PRODUTOS!$H$4:$H$63,MATCH($A800,PRODUTOS!$B$4:$B$63,0))</f>
        <v>40 g</v>
      </c>
      <c r="D800" s="11" t="s">
        <v>339</v>
      </c>
      <c r="E800" s="16" t="str">
        <f aca="false">$A800&amp;"."&amp;$D800&amp;".jpg"</f>
        <v>7908591300734.AP06.jpg</v>
      </c>
      <c r="F800" s="11" t="str">
        <f aca="false">IF(INDEX(PRODUTOS!$I$4:$I$63,MATCH($A800,PRODUTOS!$B$4:$B$63,0))="B",INDEX(MODELOS!$F$3:$F$19,MATCH($D800,MODELOS!$A$3:$A$19,0)),INDEX(MODELOS!$B$3:$B$19,MATCH($D800,MODELOS!$A$3:$A$19,0)))</f>
        <v>A+ · Módulo 3 · Benefício 4 de 4</v>
      </c>
      <c r="G800" s="11" t="str">
        <f aca="false">IF(INDEX(PRODUTOS!$F$4:$F$63,MATCH($A800,PRODUTOS!$B$4:$B$63,0))="Ração",IF(INDEX(PRODUTOS!$I$4:$I$63,MATCH($A800,PRODUTOS!$B$4:$B$63,0))="B",INDEX(MODELOS!$G$3:$G$19,MATCH($D800,MODELOS!$A$3:$A$19,0)),INDEX(MODELOS!$C$3:$C$19,MATCH($D800,MODELOS!$A$3:$A$19,0))),IF(INDEX(PRODUTOS!$I$4:$I$63,MATCH($A800,PRODUTOS!$B$4:$B$63,0))="B",INDEX(MODELOS!$H$3:$H$19,MATCH($D800,MODELOS!$A$3:$A$19,0)),INDEX(MODELOS!$D$3:$D$19,MATCH($D800,MODELOS!$A$3:$A$19,0))))</f>
        <v>Foto/ilustração do benefício 4</v>
      </c>
      <c r="H800" s="11" t="str">
        <f aca="false">IF(INDEX(PRODUTOS!$I$4:$I$63,MATCH($A800,PRODUTOS!$B$4:$B$63,0))="B",INDEX(MODELOS!$I$3:$I$19,MATCH($D800,MODELOS!$A$3:$A$19,0)),INDEX(MODELOS!$E$3:$E$19,MATCH($D800,MODELOS!$A$3:$A$19,0)))</f>
        <v>220 × 200</v>
      </c>
      <c r="I800" s="11" t="str">
        <f aca="false">INDEX(MODELOS!$J$3:$J$19,MATCH($D800,MODELOS!$A$3:$A$19,0))</f>
        <v>Conforme modelo</v>
      </c>
      <c r="J800" s="11" t="str">
        <f aca="false">IF(LEFT($D800,2)&lt;&gt;"AP",IF($I800="SIM","SIM","RECOMENDADA"),IF(INDEX(PRODUTOS!$J$4:$J$63,MATCH($A800,PRODUTOS!$B$4:$B$63,0))&lt;&gt;"","NÃO (usa o A+ do EAN "&amp;INDEX(PRODUTOS!$J$4:$J$63,MATCH($A800,PRODUTOS!$B$4:$B$63,0))&amp;")",IF(AND(INDEX(PRODUTOS!$I$4:$I$63,MATCH($A800,PRODUTOS!$B$4:$B$63,0))="B",$D800="AP07"),"NÃO (modelo B)","SIM")))</f>
        <v>SIM</v>
      </c>
      <c r="K800" s="13" t="s">
        <v>325</v>
      </c>
      <c r="L800" s="13"/>
    </row>
    <row r="801" customFormat="false" ht="15" hidden="false" customHeight="false" outlineLevel="0" collapsed="false">
      <c r="A801" s="15" t="s">
        <v>247</v>
      </c>
      <c r="B801" s="11" t="str">
        <f aca="false">INDEX(PRODUTOS!$E$4:$E$63,MATCH($A801,PRODUTOS!$B$4:$B$63,0))</f>
        <v>Nuggets Recheados Gatos New Dots Dental 40 g</v>
      </c>
      <c r="C801" s="11" t="str">
        <f aca="false">INDEX(PRODUTOS!$H$4:$H$63,MATCH($A801,PRODUTOS!$B$4:$B$63,0))</f>
        <v>40 g</v>
      </c>
      <c r="D801" s="11" t="s">
        <v>340</v>
      </c>
      <c r="E801" s="16" t="str">
        <f aca="false">$A801&amp;"."&amp;$D801&amp;".jpg"</f>
        <v>7908591300734.AP07.jpg</v>
      </c>
      <c r="F801" s="11" t="str">
        <f aca="false">IF(INDEX(PRODUTOS!$I$4:$I$63,MATCH($A801,PRODUTOS!$B$4:$B$63,0))="B",INDEX(MODELOS!$F$3:$F$19,MATCH($D801,MODELOS!$A$3:$A$19,0)),INDEX(MODELOS!$B$3:$B$19,MATCH($D801,MODELOS!$A$3:$A$19,0)))</f>
        <v>A+ · Módulo 4 · Especificações</v>
      </c>
      <c r="G801" s="11" t="str">
        <f aca="false">IF(INDEX(PRODUTOS!$F$4:$F$63,MATCH($A801,PRODUTOS!$B$4:$B$63,0))="Ração",IF(INDEX(PRODUTOS!$I$4:$I$63,MATCH($A801,PRODUTOS!$B$4:$B$63,0))="B",INDEX(MODELOS!$G$3:$G$19,MATCH($D801,MODELOS!$A$3:$A$19,0)),INDEX(MODELOS!$C$3:$C$19,MATCH($D801,MODELOS!$A$3:$A$19,0))),IF(INDEX(PRODUTOS!$I$4:$I$63,MATCH($A801,PRODUTOS!$B$4:$B$63,0))="B",INDEX(MODELOS!$H$3:$H$19,MATCH($D801,MODELOS!$A$3:$A$19,0)),INDEX(MODELOS!$D$3:$D$19,MATCH($D801,MODELOS!$A$3:$A$19,0))))</f>
        <v>Produto em destaque</v>
      </c>
      <c r="H801" s="11" t="str">
        <f aca="false">IF(INDEX(PRODUTOS!$I$4:$I$63,MATCH($A801,PRODUTOS!$B$4:$B$63,0))="B",INDEX(MODELOS!$I$3:$I$19,MATCH($D801,MODELOS!$A$3:$A$19,0)),INDEX(MODELOS!$E$3:$E$19,MATCH($D801,MODELOS!$A$3:$A$19,0)))</f>
        <v>300 × 300</v>
      </c>
      <c r="I801" s="11" t="str">
        <f aca="false">INDEX(MODELOS!$J$3:$J$19,MATCH($D801,MODELOS!$A$3:$A$19,0))</f>
        <v>Conforme modelo</v>
      </c>
      <c r="J801" s="11" t="str">
        <f aca="false">IF(LEFT($D801,2)&lt;&gt;"AP",IF($I801="SIM","SIM","RECOMENDADA"),IF(INDEX(PRODUTOS!$J$4:$J$63,MATCH($A801,PRODUTOS!$B$4:$B$63,0))&lt;&gt;"","NÃO (usa o A+ do EAN "&amp;INDEX(PRODUTOS!$J$4:$J$63,MATCH($A801,PRODUTOS!$B$4:$B$63,0))&amp;")",IF(AND(INDEX(PRODUTOS!$I$4:$I$63,MATCH($A801,PRODUTOS!$B$4:$B$63,0))="B",$D801="AP07"),"NÃO (modelo B)","SIM")))</f>
        <v>SIM</v>
      </c>
      <c r="K801" s="13" t="s">
        <v>325</v>
      </c>
      <c r="L801" s="13"/>
    </row>
    <row r="802" customFormat="false" ht="15" hidden="false" customHeight="false" outlineLevel="0" collapsed="false">
      <c r="A802" s="15" t="s">
        <v>247</v>
      </c>
      <c r="B802" s="11" t="str">
        <f aca="false">INDEX(PRODUTOS!$E$4:$E$63,MATCH($A802,PRODUTOS!$B$4:$B$63,0))</f>
        <v>Nuggets Recheados Gatos New Dots Dental 40 g</v>
      </c>
      <c r="C802" s="11" t="str">
        <f aca="false">INDEX(PRODUTOS!$H$4:$H$63,MATCH($A802,PRODUTOS!$B$4:$B$63,0))</f>
        <v>40 g</v>
      </c>
      <c r="D802" s="11" t="s">
        <v>341</v>
      </c>
      <c r="E802" s="16" t="str">
        <f aca="false">$A802&amp;"."&amp;$D802&amp;".jpg"</f>
        <v>7908591300734.COMP.jpg</v>
      </c>
      <c r="F802" s="11" t="str">
        <f aca="false">IF(INDEX(PRODUTOS!$I$4:$I$63,MATCH($A802,PRODUTOS!$B$4:$B$63,0))="B",INDEX(MODELOS!$F$3:$F$19,MATCH($D802,MODELOS!$A$3:$A$19,0)),INDEX(MODELOS!$B$3:$B$19,MATCH($D802,MODELOS!$A$3:$A$19,0)))</f>
        <v>A+ · Tabela comparativa</v>
      </c>
      <c r="G802" s="11" t="str">
        <f aca="false">IF(INDEX(PRODUTOS!$F$4:$F$63,MATCH($A802,PRODUTOS!$B$4:$B$63,0))="Ração",IF(INDEX(PRODUTOS!$I$4:$I$63,MATCH($A802,PRODUTOS!$B$4:$B$63,0))="B",INDEX(MODELOS!$G$3:$G$19,MATCH($D802,MODELOS!$A$3:$A$19,0)),INDEX(MODELOS!$C$3:$C$19,MATCH($D802,MODELOS!$A$3:$A$19,0))),IF(INDEX(PRODUTOS!$I$4:$I$63,MATCH($A802,PRODUTOS!$B$4:$B$63,0))="B",INDEX(MODELOS!$H$3:$H$19,MATCH($D802,MODELOS!$A$3:$A$19,0)),INDEX(MODELOS!$D$3:$D$19,MATCH($D802,MODELOS!$A$3:$A$19,0))))</f>
        <v>Produto na vertical, sem fundo colorido</v>
      </c>
      <c r="H802" s="11" t="str">
        <f aca="false">IF(INDEX(PRODUTOS!$I$4:$I$63,MATCH($A802,PRODUTOS!$B$4:$B$63,0))="B",INDEX(MODELOS!$I$3:$I$19,MATCH($D802,MODELOS!$A$3:$A$19,0)),INDEX(MODELOS!$E$3:$E$19,MATCH($D802,MODELOS!$A$3:$A$19,0)))</f>
        <v>150 × 300</v>
      </c>
      <c r="I802" s="11" t="str">
        <f aca="false">INDEX(MODELOS!$J$3:$J$19,MATCH($D802,MODELOS!$A$3:$A$19,0))</f>
        <v>SIM</v>
      </c>
      <c r="J802" s="11" t="str">
        <f aca="false">IF(LEFT($D802,2)&lt;&gt;"AP",IF($I802="SIM","SIM","RECOMENDADA"),IF(INDEX(PRODUTOS!$J$4:$J$63,MATCH($A802,PRODUTOS!$B$4:$B$63,0))&lt;&gt;"","NÃO (usa o A+ do EAN "&amp;INDEX(PRODUTOS!$J$4:$J$63,MATCH($A802,PRODUTOS!$B$4:$B$63,0))&amp;")",IF(AND(INDEX(PRODUTOS!$I$4:$I$63,MATCH($A802,PRODUTOS!$B$4:$B$63,0))="B",$D802="AP07"),"NÃO (modelo B)","SIM")))</f>
        <v>SIM</v>
      </c>
      <c r="K802" s="13" t="s">
        <v>325</v>
      </c>
      <c r="L802" s="13"/>
    </row>
    <row r="803" customFormat="false" ht="15" hidden="false" customHeight="false" outlineLevel="0" collapsed="false">
      <c r="A803" s="15" t="s">
        <v>251</v>
      </c>
      <c r="B803" s="11" t="str">
        <f aca="false">INDEX(PRODUTOS!$E$4:$E$63,MATCH($A803,PRODUTOS!$B$4:$B$63,0))</f>
        <v>Palito 8 “ Rígido Natural Dots Encartelado 10 un</v>
      </c>
      <c r="C803" s="11" t="str">
        <f aca="false">INDEX(PRODUTOS!$H$4:$H$63,MATCH($A803,PRODUTOS!$B$4:$B$63,0))</f>
        <v>10 un.</v>
      </c>
      <c r="D803" s="11" t="s">
        <v>324</v>
      </c>
      <c r="E803" s="16" t="str">
        <f aca="false">$A803&amp;"."&amp;$D803&amp;".jpg"</f>
        <v>17908591301158.MAIN.jpg</v>
      </c>
      <c r="F803" s="11" t="str">
        <f aca="false">IF(INDEX(PRODUTOS!$I$4:$I$63,MATCH($A803,PRODUTOS!$B$4:$B$63,0))="B",INDEX(MODELOS!$F$3:$F$19,MATCH($D803,MODELOS!$A$3:$A$19,0)),INDEX(MODELOS!$B$3:$B$19,MATCH($D803,MODELOS!$A$3:$A$19,0)))</f>
        <v>Capa (posição 1)</v>
      </c>
      <c r="G803" s="11" t="str">
        <f aca="false">IF(INDEX(PRODUTOS!$F$4:$F$63,MATCH($A803,PRODUTOS!$B$4:$B$63,0))="Ração",IF(INDEX(PRODUTOS!$I$4:$I$63,MATCH($A803,PRODUTOS!$B$4:$B$63,0))="B",INDEX(MODELOS!$G$3:$G$19,MATCH($D803,MODELOS!$A$3:$A$19,0)),INDEX(MODELOS!$C$3:$C$19,MATCH($D803,MODELOS!$A$3:$A$19,0))),IF(INDEX(PRODUTOS!$I$4:$I$63,MATCH($A803,PRODUTOS!$B$4:$B$63,0))="B",INDEX(MODELOS!$H$3:$H$19,MATCH($D803,MODELOS!$A$3:$A$19,0)),INDEX(MODELOS!$D$3:$D$19,MATCH($D803,MODELOS!$A$3:$A$19,0))))</f>
        <v>Embalagem de frente, fundo branco puro, 85% da área, nada adicionado</v>
      </c>
      <c r="H803" s="11" t="str">
        <f aca="false">IF(INDEX(PRODUTOS!$I$4:$I$63,MATCH($A803,PRODUTOS!$B$4:$B$63,0))="B",INDEX(MODELOS!$I$3:$I$19,MATCH($D803,MODELOS!$A$3:$A$19,0)),INDEX(MODELOS!$E$3:$E$19,MATCH($D803,MODELOS!$A$3:$A$19,0)))</f>
        <v>2000 × 2000</v>
      </c>
      <c r="I803" s="11" t="str">
        <f aca="false">INDEX(MODELOS!$J$3:$J$19,MATCH($D803,MODELOS!$A$3:$A$19,0))</f>
        <v>SIM</v>
      </c>
      <c r="J803" s="11" t="str">
        <f aca="false">IF(LEFT($D803,2)&lt;&gt;"AP",IF($I803="SIM","SIM","RECOMENDADA"),IF(INDEX(PRODUTOS!$J$4:$J$63,MATCH($A803,PRODUTOS!$B$4:$B$63,0))&lt;&gt;"","NÃO (usa o A+ do EAN "&amp;INDEX(PRODUTOS!$J$4:$J$63,MATCH($A803,PRODUTOS!$B$4:$B$63,0))&amp;")",IF(AND(INDEX(PRODUTOS!$I$4:$I$63,MATCH($A803,PRODUTOS!$B$4:$B$63,0))="B",$D803="AP07"),"NÃO (modelo B)","SIM")))</f>
        <v>SIM</v>
      </c>
      <c r="K803" s="13" t="s">
        <v>325</v>
      </c>
      <c r="L803" s="13"/>
    </row>
    <row r="804" customFormat="false" ht="15" hidden="false" customHeight="false" outlineLevel="0" collapsed="false">
      <c r="A804" s="15" t="s">
        <v>251</v>
      </c>
      <c r="B804" s="11" t="str">
        <f aca="false">INDEX(PRODUTOS!$E$4:$E$63,MATCH($A804,PRODUTOS!$B$4:$B$63,0))</f>
        <v>Palito 8 “ Rígido Natural Dots Encartelado 10 un</v>
      </c>
      <c r="C804" s="11" t="str">
        <f aca="false">INDEX(PRODUTOS!$H$4:$H$63,MATCH($A804,PRODUTOS!$B$4:$B$63,0))</f>
        <v>10 un.</v>
      </c>
      <c r="D804" s="11" t="s">
        <v>326</v>
      </c>
      <c r="E804" s="16" t="str">
        <f aca="false">$A804&amp;"."&amp;$D804&amp;".jpg"</f>
        <v>17908591301158.PT01.jpg</v>
      </c>
      <c r="F804" s="11" t="str">
        <f aca="false">IF(INDEX(PRODUTOS!$I$4:$I$63,MATCH($A804,PRODUTOS!$B$4:$B$63,0))="B",INDEX(MODELOS!$F$3:$F$19,MATCH($D804,MODELOS!$A$3:$A$19,0)),INDEX(MODELOS!$B$3:$B$19,MATCH($D804,MODELOS!$A$3:$A$19,0)))</f>
        <v>Galeria · posição 2</v>
      </c>
      <c r="G804" s="11" t="str">
        <f aca="false">IF(INDEX(PRODUTOS!$F$4:$F$63,MATCH($A804,PRODUTOS!$B$4:$B$63,0))="Ração",IF(INDEX(PRODUTOS!$I$4:$I$63,MATCH($A804,PRODUTOS!$B$4:$B$63,0))="B",INDEX(MODELOS!$G$3:$G$19,MATCH($D804,MODELOS!$A$3:$A$19,0)),INDEX(MODELOS!$C$3:$C$19,MATCH($D804,MODELOS!$A$3:$A$19,0))),IF(INDEX(PRODUTOS!$I$4:$I$63,MATCH($A804,PRODUTOS!$B$4:$B$63,0))="B",INDEX(MODELOS!$H$3:$H$19,MATCH($D804,MODELOS!$A$3:$A$19,0)),INDEX(MODELOS!$D$3:$D$19,MATCH($D804,MODELOS!$A$3:$A$19,0))))</f>
        <v>Grande diferencial (ex.: natural, biodegradável, perfumado)</v>
      </c>
      <c r="H804" s="11" t="str">
        <f aca="false">IF(INDEX(PRODUTOS!$I$4:$I$63,MATCH($A804,PRODUTOS!$B$4:$B$63,0))="B",INDEX(MODELOS!$I$3:$I$19,MATCH($D804,MODELOS!$A$3:$A$19,0)),INDEX(MODELOS!$E$3:$E$19,MATCH($D804,MODELOS!$A$3:$A$19,0)))</f>
        <v>2000 × 2000</v>
      </c>
      <c r="I804" s="11" t="str">
        <f aca="false">INDEX(MODELOS!$J$3:$J$19,MATCH($D804,MODELOS!$A$3:$A$19,0))</f>
        <v>SIM</v>
      </c>
      <c r="J804" s="11" t="str">
        <f aca="false">IF(LEFT($D804,2)&lt;&gt;"AP",IF($I804="SIM","SIM","RECOMENDADA"),IF(INDEX(PRODUTOS!$J$4:$J$63,MATCH($A804,PRODUTOS!$B$4:$B$63,0))&lt;&gt;"","NÃO (usa o A+ do EAN "&amp;INDEX(PRODUTOS!$J$4:$J$63,MATCH($A804,PRODUTOS!$B$4:$B$63,0))&amp;")",IF(AND(INDEX(PRODUTOS!$I$4:$I$63,MATCH($A804,PRODUTOS!$B$4:$B$63,0))="B",$D804="AP07"),"NÃO (modelo B)","SIM")))</f>
        <v>SIM</v>
      </c>
      <c r="K804" s="13" t="s">
        <v>325</v>
      </c>
      <c r="L804" s="13"/>
    </row>
    <row r="805" customFormat="false" ht="15" hidden="false" customHeight="false" outlineLevel="0" collapsed="false">
      <c r="A805" s="15" t="s">
        <v>251</v>
      </c>
      <c r="B805" s="11" t="str">
        <f aca="false">INDEX(PRODUTOS!$E$4:$E$63,MATCH($A805,PRODUTOS!$B$4:$B$63,0))</f>
        <v>Palito 8 “ Rígido Natural Dots Encartelado 10 un</v>
      </c>
      <c r="C805" s="11" t="str">
        <f aca="false">INDEX(PRODUTOS!$H$4:$H$63,MATCH($A805,PRODUTOS!$B$4:$B$63,0))</f>
        <v>10 un.</v>
      </c>
      <c r="D805" s="11" t="s">
        <v>327</v>
      </c>
      <c r="E805" s="16" t="str">
        <f aca="false">$A805&amp;"."&amp;$D805&amp;".jpg"</f>
        <v>17908591301158.PT02.jpg</v>
      </c>
      <c r="F805" s="11" t="str">
        <f aca="false">IF(INDEX(PRODUTOS!$I$4:$I$63,MATCH($A805,PRODUTOS!$B$4:$B$63,0))="B",INDEX(MODELOS!$F$3:$F$19,MATCH($D805,MODELOS!$A$3:$A$19,0)),INDEX(MODELOS!$B$3:$B$19,MATCH($D805,MODELOS!$A$3:$A$19,0)))</f>
        <v>Galeria · posição 3</v>
      </c>
      <c r="G805" s="11" t="str">
        <f aca="false">IF(INDEX(PRODUTOS!$F$4:$F$63,MATCH($A805,PRODUTOS!$B$4:$B$63,0))="Ração",IF(INDEX(PRODUTOS!$I$4:$I$63,MATCH($A805,PRODUTOS!$B$4:$B$63,0))="B",INDEX(MODELOS!$G$3:$G$19,MATCH($D805,MODELOS!$A$3:$A$19,0)),INDEX(MODELOS!$C$3:$C$19,MATCH($D805,MODELOS!$A$3:$A$19,0))),IF(INDEX(PRODUTOS!$I$4:$I$63,MATCH($A805,PRODUTOS!$B$4:$B$63,0))="B",INDEX(MODELOS!$H$3:$H$19,MATCH($D805,MODELOS!$A$3:$A$19,0)),INDEX(MODELOS!$D$3:$D$19,MATCH($D805,MODELOS!$A$3:$A$19,0))))</f>
        <v>Benefícios com ícones (4 a 6, impressos na embalagem)</v>
      </c>
      <c r="H805" s="11" t="str">
        <f aca="false">IF(INDEX(PRODUTOS!$I$4:$I$63,MATCH($A805,PRODUTOS!$B$4:$B$63,0))="B",INDEX(MODELOS!$I$3:$I$19,MATCH($D805,MODELOS!$A$3:$A$19,0)),INDEX(MODELOS!$E$3:$E$19,MATCH($D805,MODELOS!$A$3:$A$19,0)))</f>
        <v>2000 × 2000</v>
      </c>
      <c r="I805" s="11" t="str">
        <f aca="false">INDEX(MODELOS!$J$3:$J$19,MATCH($D805,MODELOS!$A$3:$A$19,0))</f>
        <v>SIM</v>
      </c>
      <c r="J805" s="11" t="str">
        <f aca="false">IF(LEFT($D805,2)&lt;&gt;"AP",IF($I805="SIM","SIM","RECOMENDADA"),IF(INDEX(PRODUTOS!$J$4:$J$63,MATCH($A805,PRODUTOS!$B$4:$B$63,0))&lt;&gt;"","NÃO (usa o A+ do EAN "&amp;INDEX(PRODUTOS!$J$4:$J$63,MATCH($A805,PRODUTOS!$B$4:$B$63,0))&amp;")",IF(AND(INDEX(PRODUTOS!$I$4:$I$63,MATCH($A805,PRODUTOS!$B$4:$B$63,0))="B",$D805="AP07"),"NÃO (modelo B)","SIM")))</f>
        <v>SIM</v>
      </c>
      <c r="K805" s="13" t="s">
        <v>325</v>
      </c>
      <c r="L805" s="13"/>
    </row>
    <row r="806" customFormat="false" ht="15" hidden="false" customHeight="false" outlineLevel="0" collapsed="false">
      <c r="A806" s="15" t="s">
        <v>251</v>
      </c>
      <c r="B806" s="11" t="str">
        <f aca="false">INDEX(PRODUTOS!$E$4:$E$63,MATCH($A806,PRODUTOS!$B$4:$B$63,0))</f>
        <v>Palito 8 “ Rígido Natural Dots Encartelado 10 un</v>
      </c>
      <c r="C806" s="11" t="str">
        <f aca="false">INDEX(PRODUTOS!$H$4:$H$63,MATCH($A806,PRODUTOS!$B$4:$B$63,0))</f>
        <v>10 un.</v>
      </c>
      <c r="D806" s="11" t="s">
        <v>328</v>
      </c>
      <c r="E806" s="16" t="str">
        <f aca="false">$A806&amp;"."&amp;$D806&amp;".jpg"</f>
        <v>17908591301158.PT03.jpg</v>
      </c>
      <c r="F806" s="11" t="str">
        <f aca="false">IF(INDEX(PRODUTOS!$I$4:$I$63,MATCH($A806,PRODUTOS!$B$4:$B$63,0))="B",INDEX(MODELOS!$F$3:$F$19,MATCH($D806,MODELOS!$A$3:$A$19,0)),INDEX(MODELOS!$B$3:$B$19,MATCH($D806,MODELOS!$A$3:$A$19,0)))</f>
        <v>Galeria · posição 4</v>
      </c>
      <c r="G806" s="11" t="str">
        <f aca="false">IF(INDEX(PRODUTOS!$F$4:$F$63,MATCH($A806,PRODUTOS!$B$4:$B$63,0))="Ração",IF(INDEX(PRODUTOS!$I$4:$I$63,MATCH($A806,PRODUTOS!$B$4:$B$63,0))="B",INDEX(MODELOS!$G$3:$G$19,MATCH($D806,MODELOS!$A$3:$A$19,0)),INDEX(MODELOS!$C$3:$C$19,MATCH($D806,MODELOS!$A$3:$A$19,0))),IF(INDEX(PRODUTOS!$I$4:$I$63,MATCH($A806,PRODUTOS!$B$4:$B$63,0))="B",INDEX(MODELOS!$H$3:$H$19,MATCH($D806,MODELOS!$A$3:$A$19,0)),INDEX(MODELOS!$D$3:$D$19,MATCH($D806,MODELOS!$A$3:$A$19,0))))</f>
        <v>Detalhe e tamanho real (petisco, grânulo ou tapete aberto), com medidas</v>
      </c>
      <c r="H806" s="11" t="str">
        <f aca="false">IF(INDEX(PRODUTOS!$I$4:$I$63,MATCH($A806,PRODUTOS!$B$4:$B$63,0))="B",INDEX(MODELOS!$I$3:$I$19,MATCH($D806,MODELOS!$A$3:$A$19,0)),INDEX(MODELOS!$E$3:$E$19,MATCH($D806,MODELOS!$A$3:$A$19,0)))</f>
        <v>2000 × 2000</v>
      </c>
      <c r="I806" s="11" t="str">
        <f aca="false">INDEX(MODELOS!$J$3:$J$19,MATCH($D806,MODELOS!$A$3:$A$19,0))</f>
        <v>SIM</v>
      </c>
      <c r="J806" s="11" t="str">
        <f aca="false">IF(LEFT($D806,2)&lt;&gt;"AP",IF($I806="SIM","SIM","RECOMENDADA"),IF(INDEX(PRODUTOS!$J$4:$J$63,MATCH($A806,PRODUTOS!$B$4:$B$63,0))&lt;&gt;"","NÃO (usa o A+ do EAN "&amp;INDEX(PRODUTOS!$J$4:$J$63,MATCH($A806,PRODUTOS!$B$4:$B$63,0))&amp;")",IF(AND(INDEX(PRODUTOS!$I$4:$I$63,MATCH($A806,PRODUTOS!$B$4:$B$63,0))="B",$D806="AP07"),"NÃO (modelo B)","SIM")))</f>
        <v>SIM</v>
      </c>
      <c r="K806" s="13" t="s">
        <v>325</v>
      </c>
      <c r="L806" s="13"/>
    </row>
    <row r="807" customFormat="false" ht="15" hidden="false" customHeight="false" outlineLevel="0" collapsed="false">
      <c r="A807" s="15" t="s">
        <v>251</v>
      </c>
      <c r="B807" s="11" t="str">
        <f aca="false">INDEX(PRODUTOS!$E$4:$E$63,MATCH($A807,PRODUTOS!$B$4:$B$63,0))</f>
        <v>Palito 8 “ Rígido Natural Dots Encartelado 10 un</v>
      </c>
      <c r="C807" s="11" t="str">
        <f aca="false">INDEX(PRODUTOS!$H$4:$H$63,MATCH($A807,PRODUTOS!$B$4:$B$63,0))</f>
        <v>10 un.</v>
      </c>
      <c r="D807" s="11" t="s">
        <v>329</v>
      </c>
      <c r="E807" s="16" t="str">
        <f aca="false">$A807&amp;"."&amp;$D807&amp;".jpg"</f>
        <v>17908591301158.PT04.jpg</v>
      </c>
      <c r="F807" s="11" t="str">
        <f aca="false">IF(INDEX(PRODUTOS!$I$4:$I$63,MATCH($A807,PRODUTOS!$B$4:$B$63,0))="B",INDEX(MODELOS!$F$3:$F$19,MATCH($D807,MODELOS!$A$3:$A$19,0)),INDEX(MODELOS!$B$3:$B$19,MATCH($D807,MODELOS!$A$3:$A$19,0)))</f>
        <v>Galeria · posição 5</v>
      </c>
      <c r="G807" s="11" t="str">
        <f aca="false">IF(INDEX(PRODUTOS!$F$4:$F$63,MATCH($A807,PRODUTOS!$B$4:$B$63,0))="Ração",IF(INDEX(PRODUTOS!$I$4:$I$63,MATCH($A807,PRODUTOS!$B$4:$B$63,0))="B",INDEX(MODELOS!$G$3:$G$19,MATCH($D807,MODELOS!$A$3:$A$19,0)),INDEX(MODELOS!$C$3:$C$19,MATCH($D807,MODELOS!$A$3:$A$19,0))),IF(INDEX(PRODUTOS!$I$4:$I$63,MATCH($A807,PRODUTOS!$B$4:$B$63,0))="B",INDEX(MODELOS!$H$3:$H$19,MATCH($D807,MODELOS!$A$3:$A$19,0)),INDEX(MODELOS!$D$3:$D$19,MATCH($D807,MODELOS!$A$3:$A$19,0))))</f>
        <v>Modo de uso (como oferecer o petisco / como usar o produto)</v>
      </c>
      <c r="H807" s="11" t="str">
        <f aca="false">IF(INDEX(PRODUTOS!$I$4:$I$63,MATCH($A807,PRODUTOS!$B$4:$B$63,0))="B",INDEX(MODELOS!$I$3:$I$19,MATCH($D807,MODELOS!$A$3:$A$19,0)),INDEX(MODELOS!$E$3:$E$19,MATCH($D807,MODELOS!$A$3:$A$19,0)))</f>
        <v>2000 × 2000</v>
      </c>
      <c r="I807" s="11" t="str">
        <f aca="false">INDEX(MODELOS!$J$3:$J$19,MATCH($D807,MODELOS!$A$3:$A$19,0))</f>
        <v>SIM</v>
      </c>
      <c r="J807" s="11" t="str">
        <f aca="false">IF(LEFT($D807,2)&lt;&gt;"AP",IF($I807="SIM","SIM","RECOMENDADA"),IF(INDEX(PRODUTOS!$J$4:$J$63,MATCH($A807,PRODUTOS!$B$4:$B$63,0))&lt;&gt;"","NÃO (usa o A+ do EAN "&amp;INDEX(PRODUTOS!$J$4:$J$63,MATCH($A807,PRODUTOS!$B$4:$B$63,0))&amp;")",IF(AND(INDEX(PRODUTOS!$I$4:$I$63,MATCH($A807,PRODUTOS!$B$4:$B$63,0))="B",$D807="AP07"),"NÃO (modelo B)","SIM")))</f>
        <v>SIM</v>
      </c>
      <c r="K807" s="13" t="s">
        <v>325</v>
      </c>
      <c r="L807" s="13"/>
    </row>
    <row r="808" customFormat="false" ht="15" hidden="false" customHeight="false" outlineLevel="0" collapsed="false">
      <c r="A808" s="15" t="s">
        <v>251</v>
      </c>
      <c r="B808" s="11" t="str">
        <f aca="false">INDEX(PRODUTOS!$E$4:$E$63,MATCH($A808,PRODUTOS!$B$4:$B$63,0))</f>
        <v>Palito 8 “ Rígido Natural Dots Encartelado 10 un</v>
      </c>
      <c r="C808" s="11" t="str">
        <f aca="false">INDEX(PRODUTOS!$H$4:$H$63,MATCH($A808,PRODUTOS!$B$4:$B$63,0))</f>
        <v>10 un.</v>
      </c>
      <c r="D808" s="11" t="s">
        <v>330</v>
      </c>
      <c r="E808" s="16" t="str">
        <f aca="false">$A808&amp;"."&amp;$D808&amp;".jpg"</f>
        <v>17908591301158.PT05.jpg</v>
      </c>
      <c r="F808" s="11" t="str">
        <f aca="false">IF(INDEX(PRODUTOS!$I$4:$I$63,MATCH($A808,PRODUTOS!$B$4:$B$63,0))="B",INDEX(MODELOS!$F$3:$F$19,MATCH($D808,MODELOS!$A$3:$A$19,0)),INDEX(MODELOS!$B$3:$B$19,MATCH($D808,MODELOS!$A$3:$A$19,0)))</f>
        <v>Galeria · posição 6</v>
      </c>
      <c r="G808" s="11" t="str">
        <f aca="false">IF(INDEX(PRODUTOS!$F$4:$F$63,MATCH($A808,PRODUTOS!$B$4:$B$63,0))="Ração",IF(INDEX(PRODUTOS!$I$4:$I$63,MATCH($A808,PRODUTOS!$B$4:$B$63,0))="B",INDEX(MODELOS!$G$3:$G$19,MATCH($D808,MODELOS!$A$3:$A$19,0)),INDEX(MODELOS!$C$3:$C$19,MATCH($D808,MODELOS!$A$3:$A$19,0))),IF(INDEX(PRODUTOS!$I$4:$I$63,MATCH($A808,PRODUTOS!$B$4:$B$63,0))="B",INDEX(MODELOS!$H$3:$H$19,MATCH($D808,MODELOS!$A$3:$A$19,0)),INDEX(MODELOS!$D$3:$D$19,MATCH($D808,MODELOS!$A$3:$A$19,0))))</f>
        <v>Quantidade por dia ou rendimento do pacote</v>
      </c>
      <c r="H808" s="11" t="str">
        <f aca="false">IF(INDEX(PRODUTOS!$I$4:$I$63,MATCH($A808,PRODUTOS!$B$4:$B$63,0))="B",INDEX(MODELOS!$I$3:$I$19,MATCH($D808,MODELOS!$A$3:$A$19,0)),INDEX(MODELOS!$E$3:$E$19,MATCH($D808,MODELOS!$A$3:$A$19,0)))</f>
        <v>2000 × 2000</v>
      </c>
      <c r="I808" s="11" t="str">
        <f aca="false">INDEX(MODELOS!$J$3:$J$19,MATCH($D808,MODELOS!$A$3:$A$19,0))</f>
        <v>Recomendada</v>
      </c>
      <c r="J808" s="11" t="str">
        <f aca="false">IF(LEFT($D808,2)&lt;&gt;"AP",IF($I808="SIM","SIM","RECOMENDADA"),IF(INDEX(PRODUTOS!$J$4:$J$63,MATCH($A808,PRODUTOS!$B$4:$B$63,0))&lt;&gt;"","NÃO (usa o A+ do EAN "&amp;INDEX(PRODUTOS!$J$4:$J$63,MATCH($A808,PRODUTOS!$B$4:$B$63,0))&amp;")",IF(AND(INDEX(PRODUTOS!$I$4:$I$63,MATCH($A808,PRODUTOS!$B$4:$B$63,0))="B",$D808="AP07"),"NÃO (modelo B)","SIM")))</f>
        <v>RECOMENDADA</v>
      </c>
      <c r="K808" s="13" t="s">
        <v>325</v>
      </c>
      <c r="L808" s="13"/>
    </row>
    <row r="809" customFormat="false" ht="15" hidden="false" customHeight="false" outlineLevel="0" collapsed="false">
      <c r="A809" s="15" t="s">
        <v>251</v>
      </c>
      <c r="B809" s="11" t="str">
        <f aca="false">INDEX(PRODUTOS!$E$4:$E$63,MATCH($A809,PRODUTOS!$B$4:$B$63,0))</f>
        <v>Palito 8 “ Rígido Natural Dots Encartelado 10 un</v>
      </c>
      <c r="C809" s="11" t="str">
        <f aca="false">INDEX(PRODUTOS!$H$4:$H$63,MATCH($A809,PRODUTOS!$B$4:$B$63,0))</f>
        <v>10 un.</v>
      </c>
      <c r="D809" s="11" t="s">
        <v>331</v>
      </c>
      <c r="E809" s="16" t="str">
        <f aca="false">$A809&amp;"."&amp;$D809&amp;".jpg"</f>
        <v>17908591301158.PT06.jpg</v>
      </c>
      <c r="F809" s="11" t="str">
        <f aca="false">IF(INDEX(PRODUTOS!$I$4:$I$63,MATCH($A809,PRODUTOS!$B$4:$B$63,0))="B",INDEX(MODELOS!$F$3:$F$19,MATCH($D809,MODELOS!$A$3:$A$19,0)),INDEX(MODELOS!$B$3:$B$19,MATCH($D809,MODELOS!$A$3:$A$19,0)))</f>
        <v>Galeria · posição 7</v>
      </c>
      <c r="G809" s="11" t="str">
        <f aca="false">IF(INDEX(PRODUTOS!$F$4:$F$63,MATCH($A809,PRODUTOS!$B$4:$B$63,0))="Ração",IF(INDEX(PRODUTOS!$I$4:$I$63,MATCH($A809,PRODUTOS!$B$4:$B$63,0))="B",INDEX(MODELOS!$G$3:$G$19,MATCH($D809,MODELOS!$A$3:$A$19,0)),INDEX(MODELOS!$C$3:$C$19,MATCH($D809,MODELOS!$A$3:$A$19,0))),IF(INDEX(PRODUTOS!$I$4:$I$63,MATCH($A809,PRODUTOS!$B$4:$B$63,0))="B",INDEX(MODELOS!$H$3:$H$19,MATCH($D809,MODELOS!$A$3:$A$19,0)),INDEX(MODELOS!$D$3:$D$19,MATCH($D809,MODELOS!$A$3:$A$19,0))))</f>
        <v>Composição/níveis de garantia (petiscos) ou especificações (higiene)</v>
      </c>
      <c r="H809" s="11" t="str">
        <f aca="false">IF(INDEX(PRODUTOS!$I$4:$I$63,MATCH($A809,PRODUTOS!$B$4:$B$63,0))="B",INDEX(MODELOS!$I$3:$I$19,MATCH($D809,MODELOS!$A$3:$A$19,0)),INDEX(MODELOS!$E$3:$E$19,MATCH($D809,MODELOS!$A$3:$A$19,0)))</f>
        <v>2000 × 2000</v>
      </c>
      <c r="I809" s="11" t="str">
        <f aca="false">INDEX(MODELOS!$J$3:$J$19,MATCH($D809,MODELOS!$A$3:$A$19,0))</f>
        <v>SIM</v>
      </c>
      <c r="J809" s="11" t="str">
        <f aca="false">IF(LEFT($D809,2)&lt;&gt;"AP",IF($I809="SIM","SIM","RECOMENDADA"),IF(INDEX(PRODUTOS!$J$4:$J$63,MATCH($A809,PRODUTOS!$B$4:$B$63,0))&lt;&gt;"","NÃO (usa o A+ do EAN "&amp;INDEX(PRODUTOS!$J$4:$J$63,MATCH($A809,PRODUTOS!$B$4:$B$63,0))&amp;")",IF(AND(INDEX(PRODUTOS!$I$4:$I$63,MATCH($A809,PRODUTOS!$B$4:$B$63,0))="B",$D809="AP07"),"NÃO (modelo B)","SIM")))</f>
        <v>SIM</v>
      </c>
      <c r="K809" s="13" t="s">
        <v>325</v>
      </c>
      <c r="L809" s="13"/>
    </row>
    <row r="810" customFormat="false" ht="15" hidden="false" customHeight="false" outlineLevel="0" collapsed="false">
      <c r="A810" s="15" t="s">
        <v>251</v>
      </c>
      <c r="B810" s="11" t="str">
        <f aca="false">INDEX(PRODUTOS!$E$4:$E$63,MATCH($A810,PRODUTOS!$B$4:$B$63,0))</f>
        <v>Palito 8 “ Rígido Natural Dots Encartelado 10 un</v>
      </c>
      <c r="C810" s="11" t="str">
        <f aca="false">INDEX(PRODUTOS!$H$4:$H$63,MATCH($A810,PRODUTOS!$B$4:$B$63,0))</f>
        <v>10 un.</v>
      </c>
      <c r="D810" s="11" t="s">
        <v>332</v>
      </c>
      <c r="E810" s="16" t="str">
        <f aca="false">$A810&amp;"."&amp;$D810&amp;".jpg"</f>
        <v>17908591301158.PT07.jpg</v>
      </c>
      <c r="F810" s="11" t="str">
        <f aca="false">IF(INDEX(PRODUTOS!$I$4:$I$63,MATCH($A810,PRODUTOS!$B$4:$B$63,0))="B",INDEX(MODELOS!$F$3:$F$19,MATCH($D810,MODELOS!$A$3:$A$19,0)),INDEX(MODELOS!$B$3:$B$19,MATCH($D810,MODELOS!$A$3:$A$19,0)))</f>
        <v>Galeria · posição 8</v>
      </c>
      <c r="G810" s="11" t="str">
        <f aca="false">IF(INDEX(PRODUTOS!$F$4:$F$63,MATCH($A810,PRODUTOS!$B$4:$B$63,0))="Ração",IF(INDEX(PRODUTOS!$I$4:$I$63,MATCH($A810,PRODUTOS!$B$4:$B$63,0))="B",INDEX(MODELOS!$G$3:$G$19,MATCH($D810,MODELOS!$A$3:$A$19,0)),INDEX(MODELOS!$C$3:$C$19,MATCH($D810,MODELOS!$A$3:$A$19,0))),IF(INDEX(PRODUTOS!$I$4:$I$63,MATCH($A810,PRODUTOS!$B$4:$B$63,0))="B",INDEX(MODELOS!$H$3:$H$19,MATCH($D810,MODELOS!$A$3:$A$19,0)),INDEX(MODELOS!$D$3:$D$19,MATCH($D810,MODELOS!$A$3:$A$19,0))))</f>
        <v>Emocional / momento de uso</v>
      </c>
      <c r="H810" s="11" t="str">
        <f aca="false">IF(INDEX(PRODUTOS!$I$4:$I$63,MATCH($A810,PRODUTOS!$B$4:$B$63,0))="B",INDEX(MODELOS!$I$3:$I$19,MATCH($D810,MODELOS!$A$3:$A$19,0)),INDEX(MODELOS!$E$3:$E$19,MATCH($D810,MODELOS!$A$3:$A$19,0)))</f>
        <v>2000 × 2000</v>
      </c>
      <c r="I810" s="11" t="str">
        <f aca="false">INDEX(MODELOS!$J$3:$J$19,MATCH($D810,MODELOS!$A$3:$A$19,0))</f>
        <v>Recomendada</v>
      </c>
      <c r="J810" s="11" t="str">
        <f aca="false">IF(LEFT($D810,2)&lt;&gt;"AP",IF($I810="SIM","SIM","RECOMENDADA"),IF(INDEX(PRODUTOS!$J$4:$J$63,MATCH($A810,PRODUTOS!$B$4:$B$63,0))&lt;&gt;"","NÃO (usa o A+ do EAN "&amp;INDEX(PRODUTOS!$J$4:$J$63,MATCH($A810,PRODUTOS!$B$4:$B$63,0))&amp;")",IF(AND(INDEX(PRODUTOS!$I$4:$I$63,MATCH($A810,PRODUTOS!$B$4:$B$63,0))="B",$D810="AP07"),"NÃO (modelo B)","SIM")))</f>
        <v>RECOMENDADA</v>
      </c>
      <c r="K810" s="13" t="s">
        <v>325</v>
      </c>
      <c r="L810" s="13"/>
    </row>
    <row r="811" customFormat="false" ht="15" hidden="false" customHeight="false" outlineLevel="0" collapsed="false">
      <c r="A811" s="15" t="s">
        <v>251</v>
      </c>
      <c r="B811" s="11" t="str">
        <f aca="false">INDEX(PRODUTOS!$E$4:$E$63,MATCH($A811,PRODUTOS!$B$4:$B$63,0))</f>
        <v>Palito 8 “ Rígido Natural Dots Encartelado 10 un</v>
      </c>
      <c r="C811" s="11" t="str">
        <f aca="false">INDEX(PRODUTOS!$H$4:$H$63,MATCH($A811,PRODUTOS!$B$4:$B$63,0))</f>
        <v>10 un.</v>
      </c>
      <c r="D811" s="11" t="s">
        <v>333</v>
      </c>
      <c r="E811" s="16" t="str">
        <f aca="false">$A811&amp;"."&amp;$D811&amp;".jpg"</f>
        <v>17908591301158.PT08.jpg</v>
      </c>
      <c r="F811" s="11" t="str">
        <f aca="false">IF(INDEX(PRODUTOS!$I$4:$I$63,MATCH($A811,PRODUTOS!$B$4:$B$63,0))="B",INDEX(MODELOS!$F$3:$F$19,MATCH($D811,MODELOS!$A$3:$A$19,0)),INDEX(MODELOS!$B$3:$B$19,MATCH($D811,MODELOS!$A$3:$A$19,0)))</f>
        <v>Galeria · posição 9</v>
      </c>
      <c r="G811" s="11" t="str">
        <f aca="false">IF(INDEX(PRODUTOS!$F$4:$F$63,MATCH($A811,PRODUTOS!$B$4:$B$63,0))="Ração",IF(INDEX(PRODUTOS!$I$4:$I$63,MATCH($A811,PRODUTOS!$B$4:$B$63,0))="B",INDEX(MODELOS!$G$3:$G$19,MATCH($D811,MODELOS!$A$3:$A$19,0)),INDEX(MODELOS!$C$3:$C$19,MATCH($D811,MODELOS!$A$3:$A$19,0))),IF(INDEX(PRODUTOS!$I$4:$I$63,MATCH($A811,PRODUTOS!$B$4:$B$63,0))="B",INDEX(MODELOS!$H$3:$H$19,MATCH($D811,MODELOS!$A$3:$A$19,0)),INDEX(MODELOS!$D$3:$D$19,MATCH($D811,MODELOS!$A$3:$A$19,0))))</f>
        <v>Linha da marca ("conheça também")</v>
      </c>
      <c r="H811" s="11" t="str">
        <f aca="false">IF(INDEX(PRODUTOS!$I$4:$I$63,MATCH($A811,PRODUTOS!$B$4:$B$63,0))="B",INDEX(MODELOS!$I$3:$I$19,MATCH($D811,MODELOS!$A$3:$A$19,0)),INDEX(MODELOS!$E$3:$E$19,MATCH($D811,MODELOS!$A$3:$A$19,0)))</f>
        <v>2000 × 2000</v>
      </c>
      <c r="I811" s="11" t="str">
        <f aca="false">INDEX(MODELOS!$J$3:$J$19,MATCH($D811,MODELOS!$A$3:$A$19,0))</f>
        <v>Recomendada</v>
      </c>
      <c r="J811" s="11" t="str">
        <f aca="false">IF(LEFT($D811,2)&lt;&gt;"AP",IF($I811="SIM","SIM","RECOMENDADA"),IF(INDEX(PRODUTOS!$J$4:$J$63,MATCH($A811,PRODUTOS!$B$4:$B$63,0))&lt;&gt;"","NÃO (usa o A+ do EAN "&amp;INDEX(PRODUTOS!$J$4:$J$63,MATCH($A811,PRODUTOS!$B$4:$B$63,0))&amp;")",IF(AND(INDEX(PRODUTOS!$I$4:$I$63,MATCH($A811,PRODUTOS!$B$4:$B$63,0))="B",$D811="AP07"),"NÃO (modelo B)","SIM")))</f>
        <v>RECOMENDADA</v>
      </c>
      <c r="K811" s="13" t="s">
        <v>325</v>
      </c>
      <c r="L811" s="13"/>
    </row>
    <row r="812" customFormat="false" ht="15" hidden="false" customHeight="false" outlineLevel="0" collapsed="false">
      <c r="A812" s="15" t="s">
        <v>251</v>
      </c>
      <c r="B812" s="11" t="str">
        <f aca="false">INDEX(PRODUTOS!$E$4:$E$63,MATCH($A812,PRODUTOS!$B$4:$B$63,0))</f>
        <v>Palito 8 “ Rígido Natural Dots Encartelado 10 un</v>
      </c>
      <c r="C812" s="11" t="str">
        <f aca="false">INDEX(PRODUTOS!$H$4:$H$63,MATCH($A812,PRODUTOS!$B$4:$B$63,0))</f>
        <v>10 un.</v>
      </c>
      <c r="D812" s="11" t="s">
        <v>334</v>
      </c>
      <c r="E812" s="16" t="str">
        <f aca="false">$A812&amp;"."&amp;$D812&amp;".jpg"</f>
        <v>17908591301158.AP01.jpg</v>
      </c>
      <c r="F812" s="11" t="str">
        <f aca="false">IF(INDEX(PRODUTOS!$I$4:$I$63,MATCH($A812,PRODUTOS!$B$4:$B$63,0))="B",INDEX(MODELOS!$F$3:$F$19,MATCH($D812,MODELOS!$A$3:$A$19,0)),INDEX(MODELOS!$B$3:$B$19,MATCH($D812,MODELOS!$A$3:$A$19,0)))</f>
        <v>A+ · Módulo 1 · Banner</v>
      </c>
      <c r="G812" s="11" t="str">
        <f aca="false">IF(INDEX(PRODUTOS!$F$4:$F$63,MATCH($A812,PRODUTOS!$B$4:$B$63,0))="Ração",IF(INDEX(PRODUTOS!$I$4:$I$63,MATCH($A812,PRODUTOS!$B$4:$B$63,0))="B",INDEX(MODELOS!$G$3:$G$19,MATCH($D812,MODELOS!$A$3:$A$19,0)),INDEX(MODELOS!$C$3:$C$19,MATCH($D812,MODELOS!$A$3:$A$19,0))),IF(INDEX(PRODUTOS!$I$4:$I$63,MATCH($A812,PRODUTOS!$B$4:$B$63,0))="B",INDEX(MODELOS!$H$3:$H$19,MATCH($D812,MODELOS!$A$3:$A$19,0)),INDEX(MODELOS!$D$3:$D$19,MATCH($D812,MODELOS!$A$3:$A$19,0))))</f>
        <v>Produto + pet, com o nome da linha</v>
      </c>
      <c r="H812" s="11" t="str">
        <f aca="false">IF(INDEX(PRODUTOS!$I$4:$I$63,MATCH($A812,PRODUTOS!$B$4:$B$63,0))="B",INDEX(MODELOS!$I$3:$I$19,MATCH($D812,MODELOS!$A$3:$A$19,0)),INDEX(MODELOS!$E$3:$E$19,MATCH($D812,MODELOS!$A$3:$A$19,0)))</f>
        <v>970 × 600</v>
      </c>
      <c r="I812" s="11" t="str">
        <f aca="false">INDEX(MODELOS!$J$3:$J$19,MATCH($D812,MODELOS!$A$3:$A$19,0))</f>
        <v>Conforme modelo</v>
      </c>
      <c r="J812" s="11" t="str">
        <f aca="false">IF(LEFT($D812,2)&lt;&gt;"AP",IF($I812="SIM","SIM","RECOMENDADA"),IF(INDEX(PRODUTOS!$J$4:$J$63,MATCH($A812,PRODUTOS!$B$4:$B$63,0))&lt;&gt;"","NÃO (usa o A+ do EAN "&amp;INDEX(PRODUTOS!$J$4:$J$63,MATCH($A812,PRODUTOS!$B$4:$B$63,0))&amp;")",IF(AND(INDEX(PRODUTOS!$I$4:$I$63,MATCH($A812,PRODUTOS!$B$4:$B$63,0))="B",$D812="AP07"),"NÃO (modelo B)","SIM")))</f>
        <v>SIM</v>
      </c>
      <c r="K812" s="13" t="s">
        <v>325</v>
      </c>
      <c r="L812" s="13"/>
    </row>
    <row r="813" customFormat="false" ht="15" hidden="false" customHeight="false" outlineLevel="0" collapsed="false">
      <c r="A813" s="15" t="s">
        <v>251</v>
      </c>
      <c r="B813" s="11" t="str">
        <f aca="false">INDEX(PRODUTOS!$E$4:$E$63,MATCH($A813,PRODUTOS!$B$4:$B$63,0))</f>
        <v>Palito 8 “ Rígido Natural Dots Encartelado 10 un</v>
      </c>
      <c r="C813" s="11" t="str">
        <f aca="false">INDEX(PRODUTOS!$H$4:$H$63,MATCH($A813,PRODUTOS!$B$4:$B$63,0))</f>
        <v>10 un.</v>
      </c>
      <c r="D813" s="11" t="s">
        <v>335</v>
      </c>
      <c r="E813" s="16" t="str">
        <f aca="false">$A813&amp;"."&amp;$D813&amp;".jpg"</f>
        <v>17908591301158.AP02.jpg</v>
      </c>
      <c r="F813" s="11" t="str">
        <f aca="false">IF(INDEX(PRODUTOS!$I$4:$I$63,MATCH($A813,PRODUTOS!$B$4:$B$63,0))="B",INDEX(MODELOS!$F$3:$F$19,MATCH($D813,MODELOS!$A$3:$A$19,0)),INDEX(MODELOS!$B$3:$B$19,MATCH($D813,MODELOS!$A$3:$A$19,0)))</f>
        <v>A+ · Módulo 2 · Texto sobreposto</v>
      </c>
      <c r="G813" s="11" t="str">
        <f aca="false">IF(INDEX(PRODUTOS!$F$4:$F$63,MATCH($A813,PRODUTOS!$B$4:$B$63,0))="Ração",IF(INDEX(PRODUTOS!$I$4:$I$63,MATCH($A813,PRODUTOS!$B$4:$B$63,0))="B",INDEX(MODELOS!$G$3:$G$19,MATCH($D813,MODELOS!$A$3:$A$19,0)),INDEX(MODELOS!$C$3:$C$19,MATCH($D813,MODELOS!$A$3:$A$19,0))),IF(INDEX(PRODUTOS!$I$4:$I$63,MATCH($A813,PRODUTOS!$B$4:$B$63,0))="B",INDEX(MODELOS!$H$3:$H$19,MATCH($D813,MODELOS!$A$3:$A$19,0)),INDEX(MODELOS!$D$3:$D$19,MATCH($D813,MODELOS!$A$3:$A$19,0))))</f>
        <v>Principal diferencial; deixar o lado direito limpo</v>
      </c>
      <c r="H813" s="11" t="str">
        <f aca="false">IF(INDEX(PRODUTOS!$I$4:$I$63,MATCH($A813,PRODUTOS!$B$4:$B$63,0))="B",INDEX(MODELOS!$I$3:$I$19,MATCH($D813,MODELOS!$A$3:$A$19,0)),INDEX(MODELOS!$E$3:$E$19,MATCH($D813,MODELOS!$A$3:$A$19,0)))</f>
        <v>970 × 300</v>
      </c>
      <c r="I813" s="11" t="str">
        <f aca="false">INDEX(MODELOS!$J$3:$J$19,MATCH($D813,MODELOS!$A$3:$A$19,0))</f>
        <v>Conforme modelo</v>
      </c>
      <c r="J813" s="11" t="str">
        <f aca="false">IF(LEFT($D813,2)&lt;&gt;"AP",IF($I813="SIM","SIM","RECOMENDADA"),IF(INDEX(PRODUTOS!$J$4:$J$63,MATCH($A813,PRODUTOS!$B$4:$B$63,0))&lt;&gt;"","NÃO (usa o A+ do EAN "&amp;INDEX(PRODUTOS!$J$4:$J$63,MATCH($A813,PRODUTOS!$B$4:$B$63,0))&amp;")",IF(AND(INDEX(PRODUTOS!$I$4:$I$63,MATCH($A813,PRODUTOS!$B$4:$B$63,0))="B",$D813="AP07"),"NÃO (modelo B)","SIM")))</f>
        <v>SIM</v>
      </c>
      <c r="K813" s="13" t="s">
        <v>325</v>
      </c>
      <c r="L813" s="13"/>
    </row>
    <row r="814" customFormat="false" ht="15" hidden="false" customHeight="false" outlineLevel="0" collapsed="false">
      <c r="A814" s="15" t="s">
        <v>251</v>
      </c>
      <c r="B814" s="11" t="str">
        <f aca="false">INDEX(PRODUTOS!$E$4:$E$63,MATCH($A814,PRODUTOS!$B$4:$B$63,0))</f>
        <v>Palito 8 “ Rígido Natural Dots Encartelado 10 un</v>
      </c>
      <c r="C814" s="11" t="str">
        <f aca="false">INDEX(PRODUTOS!$H$4:$H$63,MATCH($A814,PRODUTOS!$B$4:$B$63,0))</f>
        <v>10 un.</v>
      </c>
      <c r="D814" s="11" t="s">
        <v>336</v>
      </c>
      <c r="E814" s="16" t="str">
        <f aca="false">$A814&amp;"."&amp;$D814&amp;".jpg"</f>
        <v>17908591301158.AP03.jpg</v>
      </c>
      <c r="F814" s="11" t="str">
        <f aca="false">IF(INDEX(PRODUTOS!$I$4:$I$63,MATCH($A814,PRODUTOS!$B$4:$B$63,0))="B",INDEX(MODELOS!$F$3:$F$19,MATCH($D814,MODELOS!$A$3:$A$19,0)),INDEX(MODELOS!$B$3:$B$19,MATCH($D814,MODELOS!$A$3:$A$19,0)))</f>
        <v>A+ · Módulo 3 · Benefício 1 de 4</v>
      </c>
      <c r="G814" s="11" t="str">
        <f aca="false">IF(INDEX(PRODUTOS!$F$4:$F$63,MATCH($A814,PRODUTOS!$B$4:$B$63,0))="Ração",IF(INDEX(PRODUTOS!$I$4:$I$63,MATCH($A814,PRODUTOS!$B$4:$B$63,0))="B",INDEX(MODELOS!$G$3:$G$19,MATCH($D814,MODELOS!$A$3:$A$19,0)),INDEX(MODELOS!$C$3:$C$19,MATCH($D814,MODELOS!$A$3:$A$19,0))),IF(INDEX(PRODUTOS!$I$4:$I$63,MATCH($A814,PRODUTOS!$B$4:$B$63,0))="B",INDEX(MODELOS!$H$3:$H$19,MATCH($D814,MODELOS!$A$3:$A$19,0)),INDEX(MODELOS!$D$3:$D$19,MATCH($D814,MODELOS!$A$3:$A$19,0))))</f>
        <v>Foto/ilustração do benefício 1</v>
      </c>
      <c r="H814" s="11" t="str">
        <f aca="false">IF(INDEX(PRODUTOS!$I$4:$I$63,MATCH($A814,PRODUTOS!$B$4:$B$63,0))="B",INDEX(MODELOS!$I$3:$I$19,MATCH($D814,MODELOS!$A$3:$A$19,0)),INDEX(MODELOS!$E$3:$E$19,MATCH($D814,MODELOS!$A$3:$A$19,0)))</f>
        <v>220 × 200</v>
      </c>
      <c r="I814" s="11" t="str">
        <f aca="false">INDEX(MODELOS!$J$3:$J$19,MATCH($D814,MODELOS!$A$3:$A$19,0))</f>
        <v>Conforme modelo</v>
      </c>
      <c r="J814" s="11" t="str">
        <f aca="false">IF(LEFT($D814,2)&lt;&gt;"AP",IF($I814="SIM","SIM","RECOMENDADA"),IF(INDEX(PRODUTOS!$J$4:$J$63,MATCH($A814,PRODUTOS!$B$4:$B$63,0))&lt;&gt;"","NÃO (usa o A+ do EAN "&amp;INDEX(PRODUTOS!$J$4:$J$63,MATCH($A814,PRODUTOS!$B$4:$B$63,0))&amp;")",IF(AND(INDEX(PRODUTOS!$I$4:$I$63,MATCH($A814,PRODUTOS!$B$4:$B$63,0))="B",$D814="AP07"),"NÃO (modelo B)","SIM")))</f>
        <v>SIM</v>
      </c>
      <c r="K814" s="13" t="s">
        <v>325</v>
      </c>
      <c r="L814" s="13"/>
    </row>
    <row r="815" customFormat="false" ht="15" hidden="false" customHeight="false" outlineLevel="0" collapsed="false">
      <c r="A815" s="15" t="s">
        <v>251</v>
      </c>
      <c r="B815" s="11" t="str">
        <f aca="false">INDEX(PRODUTOS!$E$4:$E$63,MATCH($A815,PRODUTOS!$B$4:$B$63,0))</f>
        <v>Palito 8 “ Rígido Natural Dots Encartelado 10 un</v>
      </c>
      <c r="C815" s="11" t="str">
        <f aca="false">INDEX(PRODUTOS!$H$4:$H$63,MATCH($A815,PRODUTOS!$B$4:$B$63,0))</f>
        <v>10 un.</v>
      </c>
      <c r="D815" s="11" t="s">
        <v>337</v>
      </c>
      <c r="E815" s="16" t="str">
        <f aca="false">$A815&amp;"."&amp;$D815&amp;".jpg"</f>
        <v>17908591301158.AP04.jpg</v>
      </c>
      <c r="F815" s="11" t="str">
        <f aca="false">IF(INDEX(PRODUTOS!$I$4:$I$63,MATCH($A815,PRODUTOS!$B$4:$B$63,0))="B",INDEX(MODELOS!$F$3:$F$19,MATCH($D815,MODELOS!$A$3:$A$19,0)),INDEX(MODELOS!$B$3:$B$19,MATCH($D815,MODELOS!$A$3:$A$19,0)))</f>
        <v>A+ · Módulo 3 · Benefício 2 de 4</v>
      </c>
      <c r="G815" s="11" t="str">
        <f aca="false">IF(INDEX(PRODUTOS!$F$4:$F$63,MATCH($A815,PRODUTOS!$B$4:$B$63,0))="Ração",IF(INDEX(PRODUTOS!$I$4:$I$63,MATCH($A815,PRODUTOS!$B$4:$B$63,0))="B",INDEX(MODELOS!$G$3:$G$19,MATCH($D815,MODELOS!$A$3:$A$19,0)),INDEX(MODELOS!$C$3:$C$19,MATCH($D815,MODELOS!$A$3:$A$19,0))),IF(INDEX(PRODUTOS!$I$4:$I$63,MATCH($A815,PRODUTOS!$B$4:$B$63,0))="B",INDEX(MODELOS!$H$3:$H$19,MATCH($D815,MODELOS!$A$3:$A$19,0)),INDEX(MODELOS!$D$3:$D$19,MATCH($D815,MODELOS!$A$3:$A$19,0))))</f>
        <v>Foto/ilustração do benefício 2</v>
      </c>
      <c r="H815" s="11" t="str">
        <f aca="false">IF(INDEX(PRODUTOS!$I$4:$I$63,MATCH($A815,PRODUTOS!$B$4:$B$63,0))="B",INDEX(MODELOS!$I$3:$I$19,MATCH($D815,MODELOS!$A$3:$A$19,0)),INDEX(MODELOS!$E$3:$E$19,MATCH($D815,MODELOS!$A$3:$A$19,0)))</f>
        <v>220 × 200</v>
      </c>
      <c r="I815" s="11" t="str">
        <f aca="false">INDEX(MODELOS!$J$3:$J$19,MATCH($D815,MODELOS!$A$3:$A$19,0))</f>
        <v>Conforme modelo</v>
      </c>
      <c r="J815" s="11" t="str">
        <f aca="false">IF(LEFT($D815,2)&lt;&gt;"AP",IF($I815="SIM","SIM","RECOMENDADA"),IF(INDEX(PRODUTOS!$J$4:$J$63,MATCH($A815,PRODUTOS!$B$4:$B$63,0))&lt;&gt;"","NÃO (usa o A+ do EAN "&amp;INDEX(PRODUTOS!$J$4:$J$63,MATCH($A815,PRODUTOS!$B$4:$B$63,0))&amp;")",IF(AND(INDEX(PRODUTOS!$I$4:$I$63,MATCH($A815,PRODUTOS!$B$4:$B$63,0))="B",$D815="AP07"),"NÃO (modelo B)","SIM")))</f>
        <v>SIM</v>
      </c>
      <c r="K815" s="13" t="s">
        <v>325</v>
      </c>
      <c r="L815" s="13"/>
    </row>
    <row r="816" customFormat="false" ht="15" hidden="false" customHeight="false" outlineLevel="0" collapsed="false">
      <c r="A816" s="15" t="s">
        <v>251</v>
      </c>
      <c r="B816" s="11" t="str">
        <f aca="false">INDEX(PRODUTOS!$E$4:$E$63,MATCH($A816,PRODUTOS!$B$4:$B$63,0))</f>
        <v>Palito 8 “ Rígido Natural Dots Encartelado 10 un</v>
      </c>
      <c r="C816" s="11" t="str">
        <f aca="false">INDEX(PRODUTOS!$H$4:$H$63,MATCH($A816,PRODUTOS!$B$4:$B$63,0))</f>
        <v>10 un.</v>
      </c>
      <c r="D816" s="11" t="s">
        <v>338</v>
      </c>
      <c r="E816" s="16" t="str">
        <f aca="false">$A816&amp;"."&amp;$D816&amp;".jpg"</f>
        <v>17908591301158.AP05.jpg</v>
      </c>
      <c r="F816" s="11" t="str">
        <f aca="false">IF(INDEX(PRODUTOS!$I$4:$I$63,MATCH($A816,PRODUTOS!$B$4:$B$63,0))="B",INDEX(MODELOS!$F$3:$F$19,MATCH($D816,MODELOS!$A$3:$A$19,0)),INDEX(MODELOS!$B$3:$B$19,MATCH($D816,MODELOS!$A$3:$A$19,0)))</f>
        <v>A+ · Módulo 3 · Benefício 3 de 4</v>
      </c>
      <c r="G816" s="11" t="str">
        <f aca="false">IF(INDEX(PRODUTOS!$F$4:$F$63,MATCH($A816,PRODUTOS!$B$4:$B$63,0))="Ração",IF(INDEX(PRODUTOS!$I$4:$I$63,MATCH($A816,PRODUTOS!$B$4:$B$63,0))="B",INDEX(MODELOS!$G$3:$G$19,MATCH($D816,MODELOS!$A$3:$A$19,0)),INDEX(MODELOS!$C$3:$C$19,MATCH($D816,MODELOS!$A$3:$A$19,0))),IF(INDEX(PRODUTOS!$I$4:$I$63,MATCH($A816,PRODUTOS!$B$4:$B$63,0))="B",INDEX(MODELOS!$H$3:$H$19,MATCH($D816,MODELOS!$A$3:$A$19,0)),INDEX(MODELOS!$D$3:$D$19,MATCH($D816,MODELOS!$A$3:$A$19,0))))</f>
        <v>Foto/ilustração do benefício 3</v>
      </c>
      <c r="H816" s="11" t="str">
        <f aca="false">IF(INDEX(PRODUTOS!$I$4:$I$63,MATCH($A816,PRODUTOS!$B$4:$B$63,0))="B",INDEX(MODELOS!$I$3:$I$19,MATCH($D816,MODELOS!$A$3:$A$19,0)),INDEX(MODELOS!$E$3:$E$19,MATCH($D816,MODELOS!$A$3:$A$19,0)))</f>
        <v>220 × 200</v>
      </c>
      <c r="I816" s="11" t="str">
        <f aca="false">INDEX(MODELOS!$J$3:$J$19,MATCH($D816,MODELOS!$A$3:$A$19,0))</f>
        <v>Conforme modelo</v>
      </c>
      <c r="J816" s="11" t="str">
        <f aca="false">IF(LEFT($D816,2)&lt;&gt;"AP",IF($I816="SIM","SIM","RECOMENDADA"),IF(INDEX(PRODUTOS!$J$4:$J$63,MATCH($A816,PRODUTOS!$B$4:$B$63,0))&lt;&gt;"","NÃO (usa o A+ do EAN "&amp;INDEX(PRODUTOS!$J$4:$J$63,MATCH($A816,PRODUTOS!$B$4:$B$63,0))&amp;")",IF(AND(INDEX(PRODUTOS!$I$4:$I$63,MATCH($A816,PRODUTOS!$B$4:$B$63,0))="B",$D816="AP07"),"NÃO (modelo B)","SIM")))</f>
        <v>SIM</v>
      </c>
      <c r="K816" s="13" t="s">
        <v>325</v>
      </c>
      <c r="L816" s="13"/>
    </row>
    <row r="817" customFormat="false" ht="15" hidden="false" customHeight="false" outlineLevel="0" collapsed="false">
      <c r="A817" s="15" t="s">
        <v>251</v>
      </c>
      <c r="B817" s="11" t="str">
        <f aca="false">INDEX(PRODUTOS!$E$4:$E$63,MATCH($A817,PRODUTOS!$B$4:$B$63,0))</f>
        <v>Palito 8 “ Rígido Natural Dots Encartelado 10 un</v>
      </c>
      <c r="C817" s="11" t="str">
        <f aca="false">INDEX(PRODUTOS!$H$4:$H$63,MATCH($A817,PRODUTOS!$B$4:$B$63,0))</f>
        <v>10 un.</v>
      </c>
      <c r="D817" s="11" t="s">
        <v>339</v>
      </c>
      <c r="E817" s="16" t="str">
        <f aca="false">$A817&amp;"."&amp;$D817&amp;".jpg"</f>
        <v>17908591301158.AP06.jpg</v>
      </c>
      <c r="F817" s="11" t="str">
        <f aca="false">IF(INDEX(PRODUTOS!$I$4:$I$63,MATCH($A817,PRODUTOS!$B$4:$B$63,0))="B",INDEX(MODELOS!$F$3:$F$19,MATCH($D817,MODELOS!$A$3:$A$19,0)),INDEX(MODELOS!$B$3:$B$19,MATCH($D817,MODELOS!$A$3:$A$19,0)))</f>
        <v>A+ · Módulo 3 · Benefício 4 de 4</v>
      </c>
      <c r="G817" s="11" t="str">
        <f aca="false">IF(INDEX(PRODUTOS!$F$4:$F$63,MATCH($A817,PRODUTOS!$B$4:$B$63,0))="Ração",IF(INDEX(PRODUTOS!$I$4:$I$63,MATCH($A817,PRODUTOS!$B$4:$B$63,0))="B",INDEX(MODELOS!$G$3:$G$19,MATCH($D817,MODELOS!$A$3:$A$19,0)),INDEX(MODELOS!$C$3:$C$19,MATCH($D817,MODELOS!$A$3:$A$19,0))),IF(INDEX(PRODUTOS!$I$4:$I$63,MATCH($A817,PRODUTOS!$B$4:$B$63,0))="B",INDEX(MODELOS!$H$3:$H$19,MATCH($D817,MODELOS!$A$3:$A$19,0)),INDEX(MODELOS!$D$3:$D$19,MATCH($D817,MODELOS!$A$3:$A$19,0))))</f>
        <v>Foto/ilustração do benefício 4</v>
      </c>
      <c r="H817" s="11" t="str">
        <f aca="false">IF(INDEX(PRODUTOS!$I$4:$I$63,MATCH($A817,PRODUTOS!$B$4:$B$63,0))="B",INDEX(MODELOS!$I$3:$I$19,MATCH($D817,MODELOS!$A$3:$A$19,0)),INDEX(MODELOS!$E$3:$E$19,MATCH($D817,MODELOS!$A$3:$A$19,0)))</f>
        <v>220 × 200</v>
      </c>
      <c r="I817" s="11" t="str">
        <f aca="false">INDEX(MODELOS!$J$3:$J$19,MATCH($D817,MODELOS!$A$3:$A$19,0))</f>
        <v>Conforme modelo</v>
      </c>
      <c r="J817" s="11" t="str">
        <f aca="false">IF(LEFT($D817,2)&lt;&gt;"AP",IF($I817="SIM","SIM","RECOMENDADA"),IF(INDEX(PRODUTOS!$J$4:$J$63,MATCH($A817,PRODUTOS!$B$4:$B$63,0))&lt;&gt;"","NÃO (usa o A+ do EAN "&amp;INDEX(PRODUTOS!$J$4:$J$63,MATCH($A817,PRODUTOS!$B$4:$B$63,0))&amp;")",IF(AND(INDEX(PRODUTOS!$I$4:$I$63,MATCH($A817,PRODUTOS!$B$4:$B$63,0))="B",$D817="AP07"),"NÃO (modelo B)","SIM")))</f>
        <v>SIM</v>
      </c>
      <c r="K817" s="13" t="s">
        <v>325</v>
      </c>
      <c r="L817" s="13"/>
    </row>
    <row r="818" customFormat="false" ht="15" hidden="false" customHeight="false" outlineLevel="0" collapsed="false">
      <c r="A818" s="15" t="s">
        <v>251</v>
      </c>
      <c r="B818" s="11" t="str">
        <f aca="false">INDEX(PRODUTOS!$E$4:$E$63,MATCH($A818,PRODUTOS!$B$4:$B$63,0))</f>
        <v>Palito 8 “ Rígido Natural Dots Encartelado 10 un</v>
      </c>
      <c r="C818" s="11" t="str">
        <f aca="false">INDEX(PRODUTOS!$H$4:$H$63,MATCH($A818,PRODUTOS!$B$4:$B$63,0))</f>
        <v>10 un.</v>
      </c>
      <c r="D818" s="11" t="s">
        <v>340</v>
      </c>
      <c r="E818" s="16" t="str">
        <f aca="false">$A818&amp;"."&amp;$D818&amp;".jpg"</f>
        <v>17908591301158.AP07.jpg</v>
      </c>
      <c r="F818" s="11" t="str">
        <f aca="false">IF(INDEX(PRODUTOS!$I$4:$I$63,MATCH($A818,PRODUTOS!$B$4:$B$63,0))="B",INDEX(MODELOS!$F$3:$F$19,MATCH($D818,MODELOS!$A$3:$A$19,0)),INDEX(MODELOS!$B$3:$B$19,MATCH($D818,MODELOS!$A$3:$A$19,0)))</f>
        <v>A+ · Módulo 4 · Especificações</v>
      </c>
      <c r="G818" s="11" t="str">
        <f aca="false">IF(INDEX(PRODUTOS!$F$4:$F$63,MATCH($A818,PRODUTOS!$B$4:$B$63,0))="Ração",IF(INDEX(PRODUTOS!$I$4:$I$63,MATCH($A818,PRODUTOS!$B$4:$B$63,0))="B",INDEX(MODELOS!$G$3:$G$19,MATCH($D818,MODELOS!$A$3:$A$19,0)),INDEX(MODELOS!$C$3:$C$19,MATCH($D818,MODELOS!$A$3:$A$19,0))),IF(INDEX(PRODUTOS!$I$4:$I$63,MATCH($A818,PRODUTOS!$B$4:$B$63,0))="B",INDEX(MODELOS!$H$3:$H$19,MATCH($D818,MODELOS!$A$3:$A$19,0)),INDEX(MODELOS!$D$3:$D$19,MATCH($D818,MODELOS!$A$3:$A$19,0))))</f>
        <v>Produto em destaque</v>
      </c>
      <c r="H818" s="11" t="str">
        <f aca="false">IF(INDEX(PRODUTOS!$I$4:$I$63,MATCH($A818,PRODUTOS!$B$4:$B$63,0))="B",INDEX(MODELOS!$I$3:$I$19,MATCH($D818,MODELOS!$A$3:$A$19,0)),INDEX(MODELOS!$E$3:$E$19,MATCH($D818,MODELOS!$A$3:$A$19,0)))</f>
        <v>300 × 300</v>
      </c>
      <c r="I818" s="11" t="str">
        <f aca="false">INDEX(MODELOS!$J$3:$J$19,MATCH($D818,MODELOS!$A$3:$A$19,0))</f>
        <v>Conforme modelo</v>
      </c>
      <c r="J818" s="11" t="str">
        <f aca="false">IF(LEFT($D818,2)&lt;&gt;"AP",IF($I818="SIM","SIM","RECOMENDADA"),IF(INDEX(PRODUTOS!$J$4:$J$63,MATCH($A818,PRODUTOS!$B$4:$B$63,0))&lt;&gt;"","NÃO (usa o A+ do EAN "&amp;INDEX(PRODUTOS!$J$4:$J$63,MATCH($A818,PRODUTOS!$B$4:$B$63,0))&amp;")",IF(AND(INDEX(PRODUTOS!$I$4:$I$63,MATCH($A818,PRODUTOS!$B$4:$B$63,0))="B",$D818="AP07"),"NÃO (modelo B)","SIM")))</f>
        <v>SIM</v>
      </c>
      <c r="K818" s="13" t="s">
        <v>325</v>
      </c>
      <c r="L818" s="13"/>
    </row>
    <row r="819" customFormat="false" ht="15" hidden="false" customHeight="false" outlineLevel="0" collapsed="false">
      <c r="A819" s="15" t="s">
        <v>251</v>
      </c>
      <c r="B819" s="11" t="str">
        <f aca="false">INDEX(PRODUTOS!$E$4:$E$63,MATCH($A819,PRODUTOS!$B$4:$B$63,0))</f>
        <v>Palito 8 “ Rígido Natural Dots Encartelado 10 un</v>
      </c>
      <c r="C819" s="11" t="str">
        <f aca="false">INDEX(PRODUTOS!$H$4:$H$63,MATCH($A819,PRODUTOS!$B$4:$B$63,0))</f>
        <v>10 un.</v>
      </c>
      <c r="D819" s="11" t="s">
        <v>341</v>
      </c>
      <c r="E819" s="16" t="str">
        <f aca="false">$A819&amp;"."&amp;$D819&amp;".jpg"</f>
        <v>17908591301158.COMP.jpg</v>
      </c>
      <c r="F819" s="11" t="str">
        <f aca="false">IF(INDEX(PRODUTOS!$I$4:$I$63,MATCH($A819,PRODUTOS!$B$4:$B$63,0))="B",INDEX(MODELOS!$F$3:$F$19,MATCH($D819,MODELOS!$A$3:$A$19,0)),INDEX(MODELOS!$B$3:$B$19,MATCH($D819,MODELOS!$A$3:$A$19,0)))</f>
        <v>A+ · Tabela comparativa</v>
      </c>
      <c r="G819" s="11" t="str">
        <f aca="false">IF(INDEX(PRODUTOS!$F$4:$F$63,MATCH($A819,PRODUTOS!$B$4:$B$63,0))="Ração",IF(INDEX(PRODUTOS!$I$4:$I$63,MATCH($A819,PRODUTOS!$B$4:$B$63,0))="B",INDEX(MODELOS!$G$3:$G$19,MATCH($D819,MODELOS!$A$3:$A$19,0)),INDEX(MODELOS!$C$3:$C$19,MATCH($D819,MODELOS!$A$3:$A$19,0))),IF(INDEX(PRODUTOS!$I$4:$I$63,MATCH($A819,PRODUTOS!$B$4:$B$63,0))="B",INDEX(MODELOS!$H$3:$H$19,MATCH($D819,MODELOS!$A$3:$A$19,0)),INDEX(MODELOS!$D$3:$D$19,MATCH($D819,MODELOS!$A$3:$A$19,0))))</f>
        <v>Produto na vertical, sem fundo colorido</v>
      </c>
      <c r="H819" s="11" t="str">
        <f aca="false">IF(INDEX(PRODUTOS!$I$4:$I$63,MATCH($A819,PRODUTOS!$B$4:$B$63,0))="B",INDEX(MODELOS!$I$3:$I$19,MATCH($D819,MODELOS!$A$3:$A$19,0)),INDEX(MODELOS!$E$3:$E$19,MATCH($D819,MODELOS!$A$3:$A$19,0)))</f>
        <v>150 × 300</v>
      </c>
      <c r="I819" s="11" t="str">
        <f aca="false">INDEX(MODELOS!$J$3:$J$19,MATCH($D819,MODELOS!$A$3:$A$19,0))</f>
        <v>SIM</v>
      </c>
      <c r="J819" s="11" t="str">
        <f aca="false">IF(LEFT($D819,2)&lt;&gt;"AP",IF($I819="SIM","SIM","RECOMENDADA"),IF(INDEX(PRODUTOS!$J$4:$J$63,MATCH($A819,PRODUTOS!$B$4:$B$63,0))&lt;&gt;"","NÃO (usa o A+ do EAN "&amp;INDEX(PRODUTOS!$J$4:$J$63,MATCH($A819,PRODUTOS!$B$4:$B$63,0))&amp;")",IF(AND(INDEX(PRODUTOS!$I$4:$I$63,MATCH($A819,PRODUTOS!$B$4:$B$63,0))="B",$D819="AP07"),"NÃO (modelo B)","SIM")))</f>
        <v>SIM</v>
      </c>
      <c r="K819" s="13" t="s">
        <v>325</v>
      </c>
      <c r="L819" s="13"/>
    </row>
    <row r="820" customFormat="false" ht="15" hidden="false" customHeight="false" outlineLevel="0" collapsed="false">
      <c r="A820" s="15" t="s">
        <v>257</v>
      </c>
      <c r="B820" s="11" t="str">
        <f aca="false">INDEX(PRODUTOS!$E$4:$E$63,MATCH($A820,PRODUTOS!$B$4:$B$63,0))</f>
        <v>Palito 8 ” Rígido Bacon Natural Dots Encartelado 10 un</v>
      </c>
      <c r="C820" s="11" t="str">
        <f aca="false">INDEX(PRODUTOS!$H$4:$H$63,MATCH($A820,PRODUTOS!$B$4:$B$63,0))</f>
        <v>10 un.</v>
      </c>
      <c r="D820" s="11" t="s">
        <v>324</v>
      </c>
      <c r="E820" s="16" t="str">
        <f aca="false">$A820&amp;"."&amp;$D820&amp;".jpg"</f>
        <v>7908591301168.MAIN.jpg</v>
      </c>
      <c r="F820" s="11" t="str">
        <f aca="false">IF(INDEX(PRODUTOS!$I$4:$I$63,MATCH($A820,PRODUTOS!$B$4:$B$63,0))="B",INDEX(MODELOS!$F$3:$F$19,MATCH($D820,MODELOS!$A$3:$A$19,0)),INDEX(MODELOS!$B$3:$B$19,MATCH($D820,MODELOS!$A$3:$A$19,0)))</f>
        <v>Capa (posição 1)</v>
      </c>
      <c r="G820" s="11" t="str">
        <f aca="false">IF(INDEX(PRODUTOS!$F$4:$F$63,MATCH($A820,PRODUTOS!$B$4:$B$63,0))="Ração",IF(INDEX(PRODUTOS!$I$4:$I$63,MATCH($A820,PRODUTOS!$B$4:$B$63,0))="B",INDEX(MODELOS!$G$3:$G$19,MATCH($D820,MODELOS!$A$3:$A$19,0)),INDEX(MODELOS!$C$3:$C$19,MATCH($D820,MODELOS!$A$3:$A$19,0))),IF(INDEX(PRODUTOS!$I$4:$I$63,MATCH($A820,PRODUTOS!$B$4:$B$63,0))="B",INDEX(MODELOS!$H$3:$H$19,MATCH($D820,MODELOS!$A$3:$A$19,0)),INDEX(MODELOS!$D$3:$D$19,MATCH($D820,MODELOS!$A$3:$A$19,0))))</f>
        <v>Embalagem de frente, fundo branco puro, 85% da área, nada adicionado</v>
      </c>
      <c r="H820" s="11" t="str">
        <f aca="false">IF(INDEX(PRODUTOS!$I$4:$I$63,MATCH($A820,PRODUTOS!$B$4:$B$63,0))="B",INDEX(MODELOS!$I$3:$I$19,MATCH($D820,MODELOS!$A$3:$A$19,0)),INDEX(MODELOS!$E$3:$E$19,MATCH($D820,MODELOS!$A$3:$A$19,0)))</f>
        <v>2000 × 2000</v>
      </c>
      <c r="I820" s="11" t="str">
        <f aca="false">INDEX(MODELOS!$J$3:$J$19,MATCH($D820,MODELOS!$A$3:$A$19,0))</f>
        <v>SIM</v>
      </c>
      <c r="J820" s="11" t="str">
        <f aca="false">IF(LEFT($D820,2)&lt;&gt;"AP",IF($I820="SIM","SIM","RECOMENDADA"),IF(INDEX(PRODUTOS!$J$4:$J$63,MATCH($A820,PRODUTOS!$B$4:$B$63,0))&lt;&gt;"","NÃO (usa o A+ do EAN "&amp;INDEX(PRODUTOS!$J$4:$J$63,MATCH($A820,PRODUTOS!$B$4:$B$63,0))&amp;")",IF(AND(INDEX(PRODUTOS!$I$4:$I$63,MATCH($A820,PRODUTOS!$B$4:$B$63,0))="B",$D820="AP07"),"NÃO (modelo B)","SIM")))</f>
        <v>SIM</v>
      </c>
      <c r="K820" s="13" t="s">
        <v>325</v>
      </c>
      <c r="L820" s="13"/>
    </row>
    <row r="821" customFormat="false" ht="15" hidden="false" customHeight="false" outlineLevel="0" collapsed="false">
      <c r="A821" s="15" t="s">
        <v>257</v>
      </c>
      <c r="B821" s="11" t="str">
        <f aca="false">INDEX(PRODUTOS!$E$4:$E$63,MATCH($A821,PRODUTOS!$B$4:$B$63,0))</f>
        <v>Palito 8 ” Rígido Bacon Natural Dots Encartelado 10 un</v>
      </c>
      <c r="C821" s="11" t="str">
        <f aca="false">INDEX(PRODUTOS!$H$4:$H$63,MATCH($A821,PRODUTOS!$B$4:$B$63,0))</f>
        <v>10 un.</v>
      </c>
      <c r="D821" s="11" t="s">
        <v>326</v>
      </c>
      <c r="E821" s="16" t="str">
        <f aca="false">$A821&amp;"."&amp;$D821&amp;".jpg"</f>
        <v>7908591301168.PT01.jpg</v>
      </c>
      <c r="F821" s="11" t="str">
        <f aca="false">IF(INDEX(PRODUTOS!$I$4:$I$63,MATCH($A821,PRODUTOS!$B$4:$B$63,0))="B",INDEX(MODELOS!$F$3:$F$19,MATCH($D821,MODELOS!$A$3:$A$19,0)),INDEX(MODELOS!$B$3:$B$19,MATCH($D821,MODELOS!$A$3:$A$19,0)))</f>
        <v>Galeria · posição 2</v>
      </c>
      <c r="G821" s="11" t="str">
        <f aca="false">IF(INDEX(PRODUTOS!$F$4:$F$63,MATCH($A821,PRODUTOS!$B$4:$B$63,0))="Ração",IF(INDEX(PRODUTOS!$I$4:$I$63,MATCH($A821,PRODUTOS!$B$4:$B$63,0))="B",INDEX(MODELOS!$G$3:$G$19,MATCH($D821,MODELOS!$A$3:$A$19,0)),INDEX(MODELOS!$C$3:$C$19,MATCH($D821,MODELOS!$A$3:$A$19,0))),IF(INDEX(PRODUTOS!$I$4:$I$63,MATCH($A821,PRODUTOS!$B$4:$B$63,0))="B",INDEX(MODELOS!$H$3:$H$19,MATCH($D821,MODELOS!$A$3:$A$19,0)),INDEX(MODELOS!$D$3:$D$19,MATCH($D821,MODELOS!$A$3:$A$19,0))))</f>
        <v>Grande diferencial (ex.: natural, biodegradável, perfumado)</v>
      </c>
      <c r="H821" s="11" t="str">
        <f aca="false">IF(INDEX(PRODUTOS!$I$4:$I$63,MATCH($A821,PRODUTOS!$B$4:$B$63,0))="B",INDEX(MODELOS!$I$3:$I$19,MATCH($D821,MODELOS!$A$3:$A$19,0)),INDEX(MODELOS!$E$3:$E$19,MATCH($D821,MODELOS!$A$3:$A$19,0)))</f>
        <v>2000 × 2000</v>
      </c>
      <c r="I821" s="11" t="str">
        <f aca="false">INDEX(MODELOS!$J$3:$J$19,MATCH($D821,MODELOS!$A$3:$A$19,0))</f>
        <v>SIM</v>
      </c>
      <c r="J821" s="11" t="str">
        <f aca="false">IF(LEFT($D821,2)&lt;&gt;"AP",IF($I821="SIM","SIM","RECOMENDADA"),IF(INDEX(PRODUTOS!$J$4:$J$63,MATCH($A821,PRODUTOS!$B$4:$B$63,0))&lt;&gt;"","NÃO (usa o A+ do EAN "&amp;INDEX(PRODUTOS!$J$4:$J$63,MATCH($A821,PRODUTOS!$B$4:$B$63,0))&amp;")",IF(AND(INDEX(PRODUTOS!$I$4:$I$63,MATCH($A821,PRODUTOS!$B$4:$B$63,0))="B",$D821="AP07"),"NÃO (modelo B)","SIM")))</f>
        <v>SIM</v>
      </c>
      <c r="K821" s="13" t="s">
        <v>325</v>
      </c>
      <c r="L821" s="13"/>
    </row>
    <row r="822" customFormat="false" ht="15" hidden="false" customHeight="false" outlineLevel="0" collapsed="false">
      <c r="A822" s="15" t="s">
        <v>257</v>
      </c>
      <c r="B822" s="11" t="str">
        <f aca="false">INDEX(PRODUTOS!$E$4:$E$63,MATCH($A822,PRODUTOS!$B$4:$B$63,0))</f>
        <v>Palito 8 ” Rígido Bacon Natural Dots Encartelado 10 un</v>
      </c>
      <c r="C822" s="11" t="str">
        <f aca="false">INDEX(PRODUTOS!$H$4:$H$63,MATCH($A822,PRODUTOS!$B$4:$B$63,0))</f>
        <v>10 un.</v>
      </c>
      <c r="D822" s="11" t="s">
        <v>327</v>
      </c>
      <c r="E822" s="16" t="str">
        <f aca="false">$A822&amp;"."&amp;$D822&amp;".jpg"</f>
        <v>7908591301168.PT02.jpg</v>
      </c>
      <c r="F822" s="11" t="str">
        <f aca="false">IF(INDEX(PRODUTOS!$I$4:$I$63,MATCH($A822,PRODUTOS!$B$4:$B$63,0))="B",INDEX(MODELOS!$F$3:$F$19,MATCH($D822,MODELOS!$A$3:$A$19,0)),INDEX(MODELOS!$B$3:$B$19,MATCH($D822,MODELOS!$A$3:$A$19,0)))</f>
        <v>Galeria · posição 3</v>
      </c>
      <c r="G822" s="11" t="str">
        <f aca="false">IF(INDEX(PRODUTOS!$F$4:$F$63,MATCH($A822,PRODUTOS!$B$4:$B$63,0))="Ração",IF(INDEX(PRODUTOS!$I$4:$I$63,MATCH($A822,PRODUTOS!$B$4:$B$63,0))="B",INDEX(MODELOS!$G$3:$G$19,MATCH($D822,MODELOS!$A$3:$A$19,0)),INDEX(MODELOS!$C$3:$C$19,MATCH($D822,MODELOS!$A$3:$A$19,0))),IF(INDEX(PRODUTOS!$I$4:$I$63,MATCH($A822,PRODUTOS!$B$4:$B$63,0))="B",INDEX(MODELOS!$H$3:$H$19,MATCH($D822,MODELOS!$A$3:$A$19,0)),INDEX(MODELOS!$D$3:$D$19,MATCH($D822,MODELOS!$A$3:$A$19,0))))</f>
        <v>Benefícios com ícones (4 a 6, impressos na embalagem)</v>
      </c>
      <c r="H822" s="11" t="str">
        <f aca="false">IF(INDEX(PRODUTOS!$I$4:$I$63,MATCH($A822,PRODUTOS!$B$4:$B$63,0))="B",INDEX(MODELOS!$I$3:$I$19,MATCH($D822,MODELOS!$A$3:$A$19,0)),INDEX(MODELOS!$E$3:$E$19,MATCH($D822,MODELOS!$A$3:$A$19,0)))</f>
        <v>2000 × 2000</v>
      </c>
      <c r="I822" s="11" t="str">
        <f aca="false">INDEX(MODELOS!$J$3:$J$19,MATCH($D822,MODELOS!$A$3:$A$19,0))</f>
        <v>SIM</v>
      </c>
      <c r="J822" s="11" t="str">
        <f aca="false">IF(LEFT($D822,2)&lt;&gt;"AP",IF($I822="SIM","SIM","RECOMENDADA"),IF(INDEX(PRODUTOS!$J$4:$J$63,MATCH($A822,PRODUTOS!$B$4:$B$63,0))&lt;&gt;"","NÃO (usa o A+ do EAN "&amp;INDEX(PRODUTOS!$J$4:$J$63,MATCH($A822,PRODUTOS!$B$4:$B$63,0))&amp;")",IF(AND(INDEX(PRODUTOS!$I$4:$I$63,MATCH($A822,PRODUTOS!$B$4:$B$63,0))="B",$D822="AP07"),"NÃO (modelo B)","SIM")))</f>
        <v>SIM</v>
      </c>
      <c r="K822" s="13" t="s">
        <v>325</v>
      </c>
      <c r="L822" s="13"/>
    </row>
    <row r="823" customFormat="false" ht="15" hidden="false" customHeight="false" outlineLevel="0" collapsed="false">
      <c r="A823" s="15" t="s">
        <v>257</v>
      </c>
      <c r="B823" s="11" t="str">
        <f aca="false">INDEX(PRODUTOS!$E$4:$E$63,MATCH($A823,PRODUTOS!$B$4:$B$63,0))</f>
        <v>Palito 8 ” Rígido Bacon Natural Dots Encartelado 10 un</v>
      </c>
      <c r="C823" s="11" t="str">
        <f aca="false">INDEX(PRODUTOS!$H$4:$H$63,MATCH($A823,PRODUTOS!$B$4:$B$63,0))</f>
        <v>10 un.</v>
      </c>
      <c r="D823" s="11" t="s">
        <v>328</v>
      </c>
      <c r="E823" s="16" t="str">
        <f aca="false">$A823&amp;"."&amp;$D823&amp;".jpg"</f>
        <v>7908591301168.PT03.jpg</v>
      </c>
      <c r="F823" s="11" t="str">
        <f aca="false">IF(INDEX(PRODUTOS!$I$4:$I$63,MATCH($A823,PRODUTOS!$B$4:$B$63,0))="B",INDEX(MODELOS!$F$3:$F$19,MATCH($D823,MODELOS!$A$3:$A$19,0)),INDEX(MODELOS!$B$3:$B$19,MATCH($D823,MODELOS!$A$3:$A$19,0)))</f>
        <v>Galeria · posição 4</v>
      </c>
      <c r="G823" s="11" t="str">
        <f aca="false">IF(INDEX(PRODUTOS!$F$4:$F$63,MATCH($A823,PRODUTOS!$B$4:$B$63,0))="Ração",IF(INDEX(PRODUTOS!$I$4:$I$63,MATCH($A823,PRODUTOS!$B$4:$B$63,0))="B",INDEX(MODELOS!$G$3:$G$19,MATCH($D823,MODELOS!$A$3:$A$19,0)),INDEX(MODELOS!$C$3:$C$19,MATCH($D823,MODELOS!$A$3:$A$19,0))),IF(INDEX(PRODUTOS!$I$4:$I$63,MATCH($A823,PRODUTOS!$B$4:$B$63,0))="B",INDEX(MODELOS!$H$3:$H$19,MATCH($D823,MODELOS!$A$3:$A$19,0)),INDEX(MODELOS!$D$3:$D$19,MATCH($D823,MODELOS!$A$3:$A$19,0))))</f>
        <v>Detalhe e tamanho real (petisco, grânulo ou tapete aberto), com medidas</v>
      </c>
      <c r="H823" s="11" t="str">
        <f aca="false">IF(INDEX(PRODUTOS!$I$4:$I$63,MATCH($A823,PRODUTOS!$B$4:$B$63,0))="B",INDEX(MODELOS!$I$3:$I$19,MATCH($D823,MODELOS!$A$3:$A$19,0)),INDEX(MODELOS!$E$3:$E$19,MATCH($D823,MODELOS!$A$3:$A$19,0)))</f>
        <v>2000 × 2000</v>
      </c>
      <c r="I823" s="11" t="str">
        <f aca="false">INDEX(MODELOS!$J$3:$J$19,MATCH($D823,MODELOS!$A$3:$A$19,0))</f>
        <v>SIM</v>
      </c>
      <c r="J823" s="11" t="str">
        <f aca="false">IF(LEFT($D823,2)&lt;&gt;"AP",IF($I823="SIM","SIM","RECOMENDADA"),IF(INDEX(PRODUTOS!$J$4:$J$63,MATCH($A823,PRODUTOS!$B$4:$B$63,0))&lt;&gt;"","NÃO (usa o A+ do EAN "&amp;INDEX(PRODUTOS!$J$4:$J$63,MATCH($A823,PRODUTOS!$B$4:$B$63,0))&amp;")",IF(AND(INDEX(PRODUTOS!$I$4:$I$63,MATCH($A823,PRODUTOS!$B$4:$B$63,0))="B",$D823="AP07"),"NÃO (modelo B)","SIM")))</f>
        <v>SIM</v>
      </c>
      <c r="K823" s="13" t="s">
        <v>325</v>
      </c>
      <c r="L823" s="13"/>
    </row>
    <row r="824" customFormat="false" ht="15" hidden="false" customHeight="false" outlineLevel="0" collapsed="false">
      <c r="A824" s="15" t="s">
        <v>257</v>
      </c>
      <c r="B824" s="11" t="str">
        <f aca="false">INDEX(PRODUTOS!$E$4:$E$63,MATCH($A824,PRODUTOS!$B$4:$B$63,0))</f>
        <v>Palito 8 ” Rígido Bacon Natural Dots Encartelado 10 un</v>
      </c>
      <c r="C824" s="11" t="str">
        <f aca="false">INDEX(PRODUTOS!$H$4:$H$63,MATCH($A824,PRODUTOS!$B$4:$B$63,0))</f>
        <v>10 un.</v>
      </c>
      <c r="D824" s="11" t="s">
        <v>329</v>
      </c>
      <c r="E824" s="16" t="str">
        <f aca="false">$A824&amp;"."&amp;$D824&amp;".jpg"</f>
        <v>7908591301168.PT04.jpg</v>
      </c>
      <c r="F824" s="11" t="str">
        <f aca="false">IF(INDEX(PRODUTOS!$I$4:$I$63,MATCH($A824,PRODUTOS!$B$4:$B$63,0))="B",INDEX(MODELOS!$F$3:$F$19,MATCH($D824,MODELOS!$A$3:$A$19,0)),INDEX(MODELOS!$B$3:$B$19,MATCH($D824,MODELOS!$A$3:$A$19,0)))</f>
        <v>Galeria · posição 5</v>
      </c>
      <c r="G824" s="11" t="str">
        <f aca="false">IF(INDEX(PRODUTOS!$F$4:$F$63,MATCH($A824,PRODUTOS!$B$4:$B$63,0))="Ração",IF(INDEX(PRODUTOS!$I$4:$I$63,MATCH($A824,PRODUTOS!$B$4:$B$63,0))="B",INDEX(MODELOS!$G$3:$G$19,MATCH($D824,MODELOS!$A$3:$A$19,0)),INDEX(MODELOS!$C$3:$C$19,MATCH($D824,MODELOS!$A$3:$A$19,0))),IF(INDEX(PRODUTOS!$I$4:$I$63,MATCH($A824,PRODUTOS!$B$4:$B$63,0))="B",INDEX(MODELOS!$H$3:$H$19,MATCH($D824,MODELOS!$A$3:$A$19,0)),INDEX(MODELOS!$D$3:$D$19,MATCH($D824,MODELOS!$A$3:$A$19,0))))</f>
        <v>Modo de uso (como oferecer o petisco / como usar o produto)</v>
      </c>
      <c r="H824" s="11" t="str">
        <f aca="false">IF(INDEX(PRODUTOS!$I$4:$I$63,MATCH($A824,PRODUTOS!$B$4:$B$63,0))="B",INDEX(MODELOS!$I$3:$I$19,MATCH($D824,MODELOS!$A$3:$A$19,0)),INDEX(MODELOS!$E$3:$E$19,MATCH($D824,MODELOS!$A$3:$A$19,0)))</f>
        <v>2000 × 2000</v>
      </c>
      <c r="I824" s="11" t="str">
        <f aca="false">INDEX(MODELOS!$J$3:$J$19,MATCH($D824,MODELOS!$A$3:$A$19,0))</f>
        <v>SIM</v>
      </c>
      <c r="J824" s="11" t="str">
        <f aca="false">IF(LEFT($D824,2)&lt;&gt;"AP",IF($I824="SIM","SIM","RECOMENDADA"),IF(INDEX(PRODUTOS!$J$4:$J$63,MATCH($A824,PRODUTOS!$B$4:$B$63,0))&lt;&gt;"","NÃO (usa o A+ do EAN "&amp;INDEX(PRODUTOS!$J$4:$J$63,MATCH($A824,PRODUTOS!$B$4:$B$63,0))&amp;")",IF(AND(INDEX(PRODUTOS!$I$4:$I$63,MATCH($A824,PRODUTOS!$B$4:$B$63,0))="B",$D824="AP07"),"NÃO (modelo B)","SIM")))</f>
        <v>SIM</v>
      </c>
      <c r="K824" s="13" t="s">
        <v>325</v>
      </c>
      <c r="L824" s="13"/>
    </row>
    <row r="825" customFormat="false" ht="15" hidden="false" customHeight="false" outlineLevel="0" collapsed="false">
      <c r="A825" s="15" t="s">
        <v>257</v>
      </c>
      <c r="B825" s="11" t="str">
        <f aca="false">INDEX(PRODUTOS!$E$4:$E$63,MATCH($A825,PRODUTOS!$B$4:$B$63,0))</f>
        <v>Palito 8 ” Rígido Bacon Natural Dots Encartelado 10 un</v>
      </c>
      <c r="C825" s="11" t="str">
        <f aca="false">INDEX(PRODUTOS!$H$4:$H$63,MATCH($A825,PRODUTOS!$B$4:$B$63,0))</f>
        <v>10 un.</v>
      </c>
      <c r="D825" s="11" t="s">
        <v>330</v>
      </c>
      <c r="E825" s="16" t="str">
        <f aca="false">$A825&amp;"."&amp;$D825&amp;".jpg"</f>
        <v>7908591301168.PT05.jpg</v>
      </c>
      <c r="F825" s="11" t="str">
        <f aca="false">IF(INDEX(PRODUTOS!$I$4:$I$63,MATCH($A825,PRODUTOS!$B$4:$B$63,0))="B",INDEX(MODELOS!$F$3:$F$19,MATCH($D825,MODELOS!$A$3:$A$19,0)),INDEX(MODELOS!$B$3:$B$19,MATCH($D825,MODELOS!$A$3:$A$19,0)))</f>
        <v>Galeria · posição 6</v>
      </c>
      <c r="G825" s="11" t="str">
        <f aca="false">IF(INDEX(PRODUTOS!$F$4:$F$63,MATCH($A825,PRODUTOS!$B$4:$B$63,0))="Ração",IF(INDEX(PRODUTOS!$I$4:$I$63,MATCH($A825,PRODUTOS!$B$4:$B$63,0))="B",INDEX(MODELOS!$G$3:$G$19,MATCH($D825,MODELOS!$A$3:$A$19,0)),INDEX(MODELOS!$C$3:$C$19,MATCH($D825,MODELOS!$A$3:$A$19,0))),IF(INDEX(PRODUTOS!$I$4:$I$63,MATCH($A825,PRODUTOS!$B$4:$B$63,0))="B",INDEX(MODELOS!$H$3:$H$19,MATCH($D825,MODELOS!$A$3:$A$19,0)),INDEX(MODELOS!$D$3:$D$19,MATCH($D825,MODELOS!$A$3:$A$19,0))))</f>
        <v>Quantidade por dia ou rendimento do pacote</v>
      </c>
      <c r="H825" s="11" t="str">
        <f aca="false">IF(INDEX(PRODUTOS!$I$4:$I$63,MATCH($A825,PRODUTOS!$B$4:$B$63,0))="B",INDEX(MODELOS!$I$3:$I$19,MATCH($D825,MODELOS!$A$3:$A$19,0)),INDEX(MODELOS!$E$3:$E$19,MATCH($D825,MODELOS!$A$3:$A$19,0)))</f>
        <v>2000 × 2000</v>
      </c>
      <c r="I825" s="11" t="str">
        <f aca="false">INDEX(MODELOS!$J$3:$J$19,MATCH($D825,MODELOS!$A$3:$A$19,0))</f>
        <v>Recomendada</v>
      </c>
      <c r="J825" s="11" t="str">
        <f aca="false">IF(LEFT($D825,2)&lt;&gt;"AP",IF($I825="SIM","SIM","RECOMENDADA"),IF(INDEX(PRODUTOS!$J$4:$J$63,MATCH($A825,PRODUTOS!$B$4:$B$63,0))&lt;&gt;"","NÃO (usa o A+ do EAN "&amp;INDEX(PRODUTOS!$J$4:$J$63,MATCH($A825,PRODUTOS!$B$4:$B$63,0))&amp;")",IF(AND(INDEX(PRODUTOS!$I$4:$I$63,MATCH($A825,PRODUTOS!$B$4:$B$63,0))="B",$D825="AP07"),"NÃO (modelo B)","SIM")))</f>
        <v>RECOMENDADA</v>
      </c>
      <c r="K825" s="13" t="s">
        <v>325</v>
      </c>
      <c r="L825" s="13"/>
    </row>
    <row r="826" customFormat="false" ht="15" hidden="false" customHeight="false" outlineLevel="0" collapsed="false">
      <c r="A826" s="15" t="s">
        <v>257</v>
      </c>
      <c r="B826" s="11" t="str">
        <f aca="false">INDEX(PRODUTOS!$E$4:$E$63,MATCH($A826,PRODUTOS!$B$4:$B$63,0))</f>
        <v>Palito 8 ” Rígido Bacon Natural Dots Encartelado 10 un</v>
      </c>
      <c r="C826" s="11" t="str">
        <f aca="false">INDEX(PRODUTOS!$H$4:$H$63,MATCH($A826,PRODUTOS!$B$4:$B$63,0))</f>
        <v>10 un.</v>
      </c>
      <c r="D826" s="11" t="s">
        <v>331</v>
      </c>
      <c r="E826" s="16" t="str">
        <f aca="false">$A826&amp;"."&amp;$D826&amp;".jpg"</f>
        <v>7908591301168.PT06.jpg</v>
      </c>
      <c r="F826" s="11" t="str">
        <f aca="false">IF(INDEX(PRODUTOS!$I$4:$I$63,MATCH($A826,PRODUTOS!$B$4:$B$63,0))="B",INDEX(MODELOS!$F$3:$F$19,MATCH($D826,MODELOS!$A$3:$A$19,0)),INDEX(MODELOS!$B$3:$B$19,MATCH($D826,MODELOS!$A$3:$A$19,0)))</f>
        <v>Galeria · posição 7</v>
      </c>
      <c r="G826" s="11" t="str">
        <f aca="false">IF(INDEX(PRODUTOS!$F$4:$F$63,MATCH($A826,PRODUTOS!$B$4:$B$63,0))="Ração",IF(INDEX(PRODUTOS!$I$4:$I$63,MATCH($A826,PRODUTOS!$B$4:$B$63,0))="B",INDEX(MODELOS!$G$3:$G$19,MATCH($D826,MODELOS!$A$3:$A$19,0)),INDEX(MODELOS!$C$3:$C$19,MATCH($D826,MODELOS!$A$3:$A$19,0))),IF(INDEX(PRODUTOS!$I$4:$I$63,MATCH($A826,PRODUTOS!$B$4:$B$63,0))="B",INDEX(MODELOS!$H$3:$H$19,MATCH($D826,MODELOS!$A$3:$A$19,0)),INDEX(MODELOS!$D$3:$D$19,MATCH($D826,MODELOS!$A$3:$A$19,0))))</f>
        <v>Composição/níveis de garantia (petiscos) ou especificações (higiene)</v>
      </c>
      <c r="H826" s="11" t="str">
        <f aca="false">IF(INDEX(PRODUTOS!$I$4:$I$63,MATCH($A826,PRODUTOS!$B$4:$B$63,0))="B",INDEX(MODELOS!$I$3:$I$19,MATCH($D826,MODELOS!$A$3:$A$19,0)),INDEX(MODELOS!$E$3:$E$19,MATCH($D826,MODELOS!$A$3:$A$19,0)))</f>
        <v>2000 × 2000</v>
      </c>
      <c r="I826" s="11" t="str">
        <f aca="false">INDEX(MODELOS!$J$3:$J$19,MATCH($D826,MODELOS!$A$3:$A$19,0))</f>
        <v>SIM</v>
      </c>
      <c r="J826" s="11" t="str">
        <f aca="false">IF(LEFT($D826,2)&lt;&gt;"AP",IF($I826="SIM","SIM","RECOMENDADA"),IF(INDEX(PRODUTOS!$J$4:$J$63,MATCH($A826,PRODUTOS!$B$4:$B$63,0))&lt;&gt;"","NÃO (usa o A+ do EAN "&amp;INDEX(PRODUTOS!$J$4:$J$63,MATCH($A826,PRODUTOS!$B$4:$B$63,0))&amp;")",IF(AND(INDEX(PRODUTOS!$I$4:$I$63,MATCH($A826,PRODUTOS!$B$4:$B$63,0))="B",$D826="AP07"),"NÃO (modelo B)","SIM")))</f>
        <v>SIM</v>
      </c>
      <c r="K826" s="13" t="s">
        <v>325</v>
      </c>
      <c r="L826" s="13"/>
    </row>
    <row r="827" customFormat="false" ht="15" hidden="false" customHeight="false" outlineLevel="0" collapsed="false">
      <c r="A827" s="15" t="s">
        <v>257</v>
      </c>
      <c r="B827" s="11" t="str">
        <f aca="false">INDEX(PRODUTOS!$E$4:$E$63,MATCH($A827,PRODUTOS!$B$4:$B$63,0))</f>
        <v>Palito 8 ” Rígido Bacon Natural Dots Encartelado 10 un</v>
      </c>
      <c r="C827" s="11" t="str">
        <f aca="false">INDEX(PRODUTOS!$H$4:$H$63,MATCH($A827,PRODUTOS!$B$4:$B$63,0))</f>
        <v>10 un.</v>
      </c>
      <c r="D827" s="11" t="s">
        <v>332</v>
      </c>
      <c r="E827" s="16" t="str">
        <f aca="false">$A827&amp;"."&amp;$D827&amp;".jpg"</f>
        <v>7908591301168.PT07.jpg</v>
      </c>
      <c r="F827" s="11" t="str">
        <f aca="false">IF(INDEX(PRODUTOS!$I$4:$I$63,MATCH($A827,PRODUTOS!$B$4:$B$63,0))="B",INDEX(MODELOS!$F$3:$F$19,MATCH($D827,MODELOS!$A$3:$A$19,0)),INDEX(MODELOS!$B$3:$B$19,MATCH($D827,MODELOS!$A$3:$A$19,0)))</f>
        <v>Galeria · posição 8</v>
      </c>
      <c r="G827" s="11" t="str">
        <f aca="false">IF(INDEX(PRODUTOS!$F$4:$F$63,MATCH($A827,PRODUTOS!$B$4:$B$63,0))="Ração",IF(INDEX(PRODUTOS!$I$4:$I$63,MATCH($A827,PRODUTOS!$B$4:$B$63,0))="B",INDEX(MODELOS!$G$3:$G$19,MATCH($D827,MODELOS!$A$3:$A$19,0)),INDEX(MODELOS!$C$3:$C$19,MATCH($D827,MODELOS!$A$3:$A$19,0))),IF(INDEX(PRODUTOS!$I$4:$I$63,MATCH($A827,PRODUTOS!$B$4:$B$63,0))="B",INDEX(MODELOS!$H$3:$H$19,MATCH($D827,MODELOS!$A$3:$A$19,0)),INDEX(MODELOS!$D$3:$D$19,MATCH($D827,MODELOS!$A$3:$A$19,0))))</f>
        <v>Emocional / momento de uso</v>
      </c>
      <c r="H827" s="11" t="str">
        <f aca="false">IF(INDEX(PRODUTOS!$I$4:$I$63,MATCH($A827,PRODUTOS!$B$4:$B$63,0))="B",INDEX(MODELOS!$I$3:$I$19,MATCH($D827,MODELOS!$A$3:$A$19,0)),INDEX(MODELOS!$E$3:$E$19,MATCH($D827,MODELOS!$A$3:$A$19,0)))</f>
        <v>2000 × 2000</v>
      </c>
      <c r="I827" s="11" t="str">
        <f aca="false">INDEX(MODELOS!$J$3:$J$19,MATCH($D827,MODELOS!$A$3:$A$19,0))</f>
        <v>Recomendada</v>
      </c>
      <c r="J827" s="11" t="str">
        <f aca="false">IF(LEFT($D827,2)&lt;&gt;"AP",IF($I827="SIM","SIM","RECOMENDADA"),IF(INDEX(PRODUTOS!$J$4:$J$63,MATCH($A827,PRODUTOS!$B$4:$B$63,0))&lt;&gt;"","NÃO (usa o A+ do EAN "&amp;INDEX(PRODUTOS!$J$4:$J$63,MATCH($A827,PRODUTOS!$B$4:$B$63,0))&amp;")",IF(AND(INDEX(PRODUTOS!$I$4:$I$63,MATCH($A827,PRODUTOS!$B$4:$B$63,0))="B",$D827="AP07"),"NÃO (modelo B)","SIM")))</f>
        <v>RECOMENDADA</v>
      </c>
      <c r="K827" s="13" t="s">
        <v>325</v>
      </c>
      <c r="L827" s="13"/>
    </row>
    <row r="828" customFormat="false" ht="15" hidden="false" customHeight="false" outlineLevel="0" collapsed="false">
      <c r="A828" s="15" t="s">
        <v>257</v>
      </c>
      <c r="B828" s="11" t="str">
        <f aca="false">INDEX(PRODUTOS!$E$4:$E$63,MATCH($A828,PRODUTOS!$B$4:$B$63,0))</f>
        <v>Palito 8 ” Rígido Bacon Natural Dots Encartelado 10 un</v>
      </c>
      <c r="C828" s="11" t="str">
        <f aca="false">INDEX(PRODUTOS!$H$4:$H$63,MATCH($A828,PRODUTOS!$B$4:$B$63,0))</f>
        <v>10 un.</v>
      </c>
      <c r="D828" s="11" t="s">
        <v>333</v>
      </c>
      <c r="E828" s="16" t="str">
        <f aca="false">$A828&amp;"."&amp;$D828&amp;".jpg"</f>
        <v>7908591301168.PT08.jpg</v>
      </c>
      <c r="F828" s="11" t="str">
        <f aca="false">IF(INDEX(PRODUTOS!$I$4:$I$63,MATCH($A828,PRODUTOS!$B$4:$B$63,0))="B",INDEX(MODELOS!$F$3:$F$19,MATCH($D828,MODELOS!$A$3:$A$19,0)),INDEX(MODELOS!$B$3:$B$19,MATCH($D828,MODELOS!$A$3:$A$19,0)))</f>
        <v>Galeria · posição 9</v>
      </c>
      <c r="G828" s="11" t="str">
        <f aca="false">IF(INDEX(PRODUTOS!$F$4:$F$63,MATCH($A828,PRODUTOS!$B$4:$B$63,0))="Ração",IF(INDEX(PRODUTOS!$I$4:$I$63,MATCH($A828,PRODUTOS!$B$4:$B$63,0))="B",INDEX(MODELOS!$G$3:$G$19,MATCH($D828,MODELOS!$A$3:$A$19,0)),INDEX(MODELOS!$C$3:$C$19,MATCH($D828,MODELOS!$A$3:$A$19,0))),IF(INDEX(PRODUTOS!$I$4:$I$63,MATCH($A828,PRODUTOS!$B$4:$B$63,0))="B",INDEX(MODELOS!$H$3:$H$19,MATCH($D828,MODELOS!$A$3:$A$19,0)),INDEX(MODELOS!$D$3:$D$19,MATCH($D828,MODELOS!$A$3:$A$19,0))))</f>
        <v>Linha da marca ("conheça também")</v>
      </c>
      <c r="H828" s="11" t="str">
        <f aca="false">IF(INDEX(PRODUTOS!$I$4:$I$63,MATCH($A828,PRODUTOS!$B$4:$B$63,0))="B",INDEX(MODELOS!$I$3:$I$19,MATCH($D828,MODELOS!$A$3:$A$19,0)),INDEX(MODELOS!$E$3:$E$19,MATCH($D828,MODELOS!$A$3:$A$19,0)))</f>
        <v>2000 × 2000</v>
      </c>
      <c r="I828" s="11" t="str">
        <f aca="false">INDEX(MODELOS!$J$3:$J$19,MATCH($D828,MODELOS!$A$3:$A$19,0))</f>
        <v>Recomendada</v>
      </c>
      <c r="J828" s="11" t="str">
        <f aca="false">IF(LEFT($D828,2)&lt;&gt;"AP",IF($I828="SIM","SIM","RECOMENDADA"),IF(INDEX(PRODUTOS!$J$4:$J$63,MATCH($A828,PRODUTOS!$B$4:$B$63,0))&lt;&gt;"","NÃO (usa o A+ do EAN "&amp;INDEX(PRODUTOS!$J$4:$J$63,MATCH($A828,PRODUTOS!$B$4:$B$63,0))&amp;")",IF(AND(INDEX(PRODUTOS!$I$4:$I$63,MATCH($A828,PRODUTOS!$B$4:$B$63,0))="B",$D828="AP07"),"NÃO (modelo B)","SIM")))</f>
        <v>RECOMENDADA</v>
      </c>
      <c r="K828" s="13" t="s">
        <v>325</v>
      </c>
      <c r="L828" s="13"/>
    </row>
    <row r="829" customFormat="false" ht="15" hidden="false" customHeight="false" outlineLevel="0" collapsed="false">
      <c r="A829" s="15" t="s">
        <v>257</v>
      </c>
      <c r="B829" s="11" t="str">
        <f aca="false">INDEX(PRODUTOS!$E$4:$E$63,MATCH($A829,PRODUTOS!$B$4:$B$63,0))</f>
        <v>Palito 8 ” Rígido Bacon Natural Dots Encartelado 10 un</v>
      </c>
      <c r="C829" s="11" t="str">
        <f aca="false">INDEX(PRODUTOS!$H$4:$H$63,MATCH($A829,PRODUTOS!$B$4:$B$63,0))</f>
        <v>10 un.</v>
      </c>
      <c r="D829" s="11" t="s">
        <v>334</v>
      </c>
      <c r="E829" s="16" t="str">
        <f aca="false">$A829&amp;"."&amp;$D829&amp;".jpg"</f>
        <v>7908591301168.AP01.jpg</v>
      </c>
      <c r="F829" s="11" t="str">
        <f aca="false">IF(INDEX(PRODUTOS!$I$4:$I$63,MATCH($A829,PRODUTOS!$B$4:$B$63,0))="B",INDEX(MODELOS!$F$3:$F$19,MATCH($D829,MODELOS!$A$3:$A$19,0)),INDEX(MODELOS!$B$3:$B$19,MATCH($D829,MODELOS!$A$3:$A$19,0)))</f>
        <v>A+ · Módulo 1 · Banner</v>
      </c>
      <c r="G829" s="11" t="str">
        <f aca="false">IF(INDEX(PRODUTOS!$F$4:$F$63,MATCH($A829,PRODUTOS!$B$4:$B$63,0))="Ração",IF(INDEX(PRODUTOS!$I$4:$I$63,MATCH($A829,PRODUTOS!$B$4:$B$63,0))="B",INDEX(MODELOS!$G$3:$G$19,MATCH($D829,MODELOS!$A$3:$A$19,0)),INDEX(MODELOS!$C$3:$C$19,MATCH($D829,MODELOS!$A$3:$A$19,0))),IF(INDEX(PRODUTOS!$I$4:$I$63,MATCH($A829,PRODUTOS!$B$4:$B$63,0))="B",INDEX(MODELOS!$H$3:$H$19,MATCH($D829,MODELOS!$A$3:$A$19,0)),INDEX(MODELOS!$D$3:$D$19,MATCH($D829,MODELOS!$A$3:$A$19,0))))</f>
        <v>Produto + pet, com o nome da linha</v>
      </c>
      <c r="H829" s="11" t="str">
        <f aca="false">IF(INDEX(PRODUTOS!$I$4:$I$63,MATCH($A829,PRODUTOS!$B$4:$B$63,0))="B",INDEX(MODELOS!$I$3:$I$19,MATCH($D829,MODELOS!$A$3:$A$19,0)),INDEX(MODELOS!$E$3:$E$19,MATCH($D829,MODELOS!$A$3:$A$19,0)))</f>
        <v>970 × 600</v>
      </c>
      <c r="I829" s="11" t="str">
        <f aca="false">INDEX(MODELOS!$J$3:$J$19,MATCH($D829,MODELOS!$A$3:$A$19,0))</f>
        <v>Conforme modelo</v>
      </c>
      <c r="J829" s="11" t="str">
        <f aca="false">IF(LEFT($D829,2)&lt;&gt;"AP",IF($I829="SIM","SIM","RECOMENDADA"),IF(INDEX(PRODUTOS!$J$4:$J$63,MATCH($A829,PRODUTOS!$B$4:$B$63,0))&lt;&gt;"","NÃO (usa o A+ do EAN "&amp;INDEX(PRODUTOS!$J$4:$J$63,MATCH($A829,PRODUTOS!$B$4:$B$63,0))&amp;")",IF(AND(INDEX(PRODUTOS!$I$4:$I$63,MATCH($A829,PRODUTOS!$B$4:$B$63,0))="B",$D829="AP07"),"NÃO (modelo B)","SIM")))</f>
        <v>SIM</v>
      </c>
      <c r="K829" s="13" t="s">
        <v>325</v>
      </c>
      <c r="L829" s="13"/>
    </row>
    <row r="830" customFormat="false" ht="15" hidden="false" customHeight="false" outlineLevel="0" collapsed="false">
      <c r="A830" s="15" t="s">
        <v>257</v>
      </c>
      <c r="B830" s="11" t="str">
        <f aca="false">INDEX(PRODUTOS!$E$4:$E$63,MATCH($A830,PRODUTOS!$B$4:$B$63,0))</f>
        <v>Palito 8 ” Rígido Bacon Natural Dots Encartelado 10 un</v>
      </c>
      <c r="C830" s="11" t="str">
        <f aca="false">INDEX(PRODUTOS!$H$4:$H$63,MATCH($A830,PRODUTOS!$B$4:$B$63,0))</f>
        <v>10 un.</v>
      </c>
      <c r="D830" s="11" t="s">
        <v>335</v>
      </c>
      <c r="E830" s="16" t="str">
        <f aca="false">$A830&amp;"."&amp;$D830&amp;".jpg"</f>
        <v>7908591301168.AP02.jpg</v>
      </c>
      <c r="F830" s="11" t="str">
        <f aca="false">IF(INDEX(PRODUTOS!$I$4:$I$63,MATCH($A830,PRODUTOS!$B$4:$B$63,0))="B",INDEX(MODELOS!$F$3:$F$19,MATCH($D830,MODELOS!$A$3:$A$19,0)),INDEX(MODELOS!$B$3:$B$19,MATCH($D830,MODELOS!$A$3:$A$19,0)))</f>
        <v>A+ · Módulo 2 · Texto sobreposto</v>
      </c>
      <c r="G830" s="11" t="str">
        <f aca="false">IF(INDEX(PRODUTOS!$F$4:$F$63,MATCH($A830,PRODUTOS!$B$4:$B$63,0))="Ração",IF(INDEX(PRODUTOS!$I$4:$I$63,MATCH($A830,PRODUTOS!$B$4:$B$63,0))="B",INDEX(MODELOS!$G$3:$G$19,MATCH($D830,MODELOS!$A$3:$A$19,0)),INDEX(MODELOS!$C$3:$C$19,MATCH($D830,MODELOS!$A$3:$A$19,0))),IF(INDEX(PRODUTOS!$I$4:$I$63,MATCH($A830,PRODUTOS!$B$4:$B$63,0))="B",INDEX(MODELOS!$H$3:$H$19,MATCH($D830,MODELOS!$A$3:$A$19,0)),INDEX(MODELOS!$D$3:$D$19,MATCH($D830,MODELOS!$A$3:$A$19,0))))</f>
        <v>Principal diferencial; deixar o lado direito limpo</v>
      </c>
      <c r="H830" s="11" t="str">
        <f aca="false">IF(INDEX(PRODUTOS!$I$4:$I$63,MATCH($A830,PRODUTOS!$B$4:$B$63,0))="B",INDEX(MODELOS!$I$3:$I$19,MATCH($D830,MODELOS!$A$3:$A$19,0)),INDEX(MODELOS!$E$3:$E$19,MATCH($D830,MODELOS!$A$3:$A$19,0)))</f>
        <v>970 × 300</v>
      </c>
      <c r="I830" s="11" t="str">
        <f aca="false">INDEX(MODELOS!$J$3:$J$19,MATCH($D830,MODELOS!$A$3:$A$19,0))</f>
        <v>Conforme modelo</v>
      </c>
      <c r="J830" s="11" t="str">
        <f aca="false">IF(LEFT($D830,2)&lt;&gt;"AP",IF($I830="SIM","SIM","RECOMENDADA"),IF(INDEX(PRODUTOS!$J$4:$J$63,MATCH($A830,PRODUTOS!$B$4:$B$63,0))&lt;&gt;"","NÃO (usa o A+ do EAN "&amp;INDEX(PRODUTOS!$J$4:$J$63,MATCH($A830,PRODUTOS!$B$4:$B$63,0))&amp;")",IF(AND(INDEX(PRODUTOS!$I$4:$I$63,MATCH($A830,PRODUTOS!$B$4:$B$63,0))="B",$D830="AP07"),"NÃO (modelo B)","SIM")))</f>
        <v>SIM</v>
      </c>
      <c r="K830" s="13" t="s">
        <v>325</v>
      </c>
      <c r="L830" s="13"/>
    </row>
    <row r="831" customFormat="false" ht="15" hidden="false" customHeight="false" outlineLevel="0" collapsed="false">
      <c r="A831" s="15" t="s">
        <v>257</v>
      </c>
      <c r="B831" s="11" t="str">
        <f aca="false">INDEX(PRODUTOS!$E$4:$E$63,MATCH($A831,PRODUTOS!$B$4:$B$63,0))</f>
        <v>Palito 8 ” Rígido Bacon Natural Dots Encartelado 10 un</v>
      </c>
      <c r="C831" s="11" t="str">
        <f aca="false">INDEX(PRODUTOS!$H$4:$H$63,MATCH($A831,PRODUTOS!$B$4:$B$63,0))</f>
        <v>10 un.</v>
      </c>
      <c r="D831" s="11" t="s">
        <v>336</v>
      </c>
      <c r="E831" s="16" t="str">
        <f aca="false">$A831&amp;"."&amp;$D831&amp;".jpg"</f>
        <v>7908591301168.AP03.jpg</v>
      </c>
      <c r="F831" s="11" t="str">
        <f aca="false">IF(INDEX(PRODUTOS!$I$4:$I$63,MATCH($A831,PRODUTOS!$B$4:$B$63,0))="B",INDEX(MODELOS!$F$3:$F$19,MATCH($D831,MODELOS!$A$3:$A$19,0)),INDEX(MODELOS!$B$3:$B$19,MATCH($D831,MODELOS!$A$3:$A$19,0)))</f>
        <v>A+ · Módulo 3 · Benefício 1 de 4</v>
      </c>
      <c r="G831" s="11" t="str">
        <f aca="false">IF(INDEX(PRODUTOS!$F$4:$F$63,MATCH($A831,PRODUTOS!$B$4:$B$63,0))="Ração",IF(INDEX(PRODUTOS!$I$4:$I$63,MATCH($A831,PRODUTOS!$B$4:$B$63,0))="B",INDEX(MODELOS!$G$3:$G$19,MATCH($D831,MODELOS!$A$3:$A$19,0)),INDEX(MODELOS!$C$3:$C$19,MATCH($D831,MODELOS!$A$3:$A$19,0))),IF(INDEX(PRODUTOS!$I$4:$I$63,MATCH($A831,PRODUTOS!$B$4:$B$63,0))="B",INDEX(MODELOS!$H$3:$H$19,MATCH($D831,MODELOS!$A$3:$A$19,0)),INDEX(MODELOS!$D$3:$D$19,MATCH($D831,MODELOS!$A$3:$A$19,0))))</f>
        <v>Foto/ilustração do benefício 1</v>
      </c>
      <c r="H831" s="11" t="str">
        <f aca="false">IF(INDEX(PRODUTOS!$I$4:$I$63,MATCH($A831,PRODUTOS!$B$4:$B$63,0))="B",INDEX(MODELOS!$I$3:$I$19,MATCH($D831,MODELOS!$A$3:$A$19,0)),INDEX(MODELOS!$E$3:$E$19,MATCH($D831,MODELOS!$A$3:$A$19,0)))</f>
        <v>220 × 200</v>
      </c>
      <c r="I831" s="11" t="str">
        <f aca="false">INDEX(MODELOS!$J$3:$J$19,MATCH($D831,MODELOS!$A$3:$A$19,0))</f>
        <v>Conforme modelo</v>
      </c>
      <c r="J831" s="11" t="str">
        <f aca="false">IF(LEFT($D831,2)&lt;&gt;"AP",IF($I831="SIM","SIM","RECOMENDADA"),IF(INDEX(PRODUTOS!$J$4:$J$63,MATCH($A831,PRODUTOS!$B$4:$B$63,0))&lt;&gt;"","NÃO (usa o A+ do EAN "&amp;INDEX(PRODUTOS!$J$4:$J$63,MATCH($A831,PRODUTOS!$B$4:$B$63,0))&amp;")",IF(AND(INDEX(PRODUTOS!$I$4:$I$63,MATCH($A831,PRODUTOS!$B$4:$B$63,0))="B",$D831="AP07"),"NÃO (modelo B)","SIM")))</f>
        <v>SIM</v>
      </c>
      <c r="K831" s="13" t="s">
        <v>325</v>
      </c>
      <c r="L831" s="13"/>
    </row>
    <row r="832" customFormat="false" ht="15" hidden="false" customHeight="false" outlineLevel="0" collapsed="false">
      <c r="A832" s="15" t="s">
        <v>257</v>
      </c>
      <c r="B832" s="11" t="str">
        <f aca="false">INDEX(PRODUTOS!$E$4:$E$63,MATCH($A832,PRODUTOS!$B$4:$B$63,0))</f>
        <v>Palito 8 ” Rígido Bacon Natural Dots Encartelado 10 un</v>
      </c>
      <c r="C832" s="11" t="str">
        <f aca="false">INDEX(PRODUTOS!$H$4:$H$63,MATCH($A832,PRODUTOS!$B$4:$B$63,0))</f>
        <v>10 un.</v>
      </c>
      <c r="D832" s="11" t="s">
        <v>337</v>
      </c>
      <c r="E832" s="16" t="str">
        <f aca="false">$A832&amp;"."&amp;$D832&amp;".jpg"</f>
        <v>7908591301168.AP04.jpg</v>
      </c>
      <c r="F832" s="11" t="str">
        <f aca="false">IF(INDEX(PRODUTOS!$I$4:$I$63,MATCH($A832,PRODUTOS!$B$4:$B$63,0))="B",INDEX(MODELOS!$F$3:$F$19,MATCH($D832,MODELOS!$A$3:$A$19,0)),INDEX(MODELOS!$B$3:$B$19,MATCH($D832,MODELOS!$A$3:$A$19,0)))</f>
        <v>A+ · Módulo 3 · Benefício 2 de 4</v>
      </c>
      <c r="G832" s="11" t="str">
        <f aca="false">IF(INDEX(PRODUTOS!$F$4:$F$63,MATCH($A832,PRODUTOS!$B$4:$B$63,0))="Ração",IF(INDEX(PRODUTOS!$I$4:$I$63,MATCH($A832,PRODUTOS!$B$4:$B$63,0))="B",INDEX(MODELOS!$G$3:$G$19,MATCH($D832,MODELOS!$A$3:$A$19,0)),INDEX(MODELOS!$C$3:$C$19,MATCH($D832,MODELOS!$A$3:$A$19,0))),IF(INDEX(PRODUTOS!$I$4:$I$63,MATCH($A832,PRODUTOS!$B$4:$B$63,0))="B",INDEX(MODELOS!$H$3:$H$19,MATCH($D832,MODELOS!$A$3:$A$19,0)),INDEX(MODELOS!$D$3:$D$19,MATCH($D832,MODELOS!$A$3:$A$19,0))))</f>
        <v>Foto/ilustração do benefício 2</v>
      </c>
      <c r="H832" s="11" t="str">
        <f aca="false">IF(INDEX(PRODUTOS!$I$4:$I$63,MATCH($A832,PRODUTOS!$B$4:$B$63,0))="B",INDEX(MODELOS!$I$3:$I$19,MATCH($D832,MODELOS!$A$3:$A$19,0)),INDEX(MODELOS!$E$3:$E$19,MATCH($D832,MODELOS!$A$3:$A$19,0)))</f>
        <v>220 × 200</v>
      </c>
      <c r="I832" s="11" t="str">
        <f aca="false">INDEX(MODELOS!$J$3:$J$19,MATCH($D832,MODELOS!$A$3:$A$19,0))</f>
        <v>Conforme modelo</v>
      </c>
      <c r="J832" s="11" t="str">
        <f aca="false">IF(LEFT($D832,2)&lt;&gt;"AP",IF($I832="SIM","SIM","RECOMENDADA"),IF(INDEX(PRODUTOS!$J$4:$J$63,MATCH($A832,PRODUTOS!$B$4:$B$63,0))&lt;&gt;"","NÃO (usa o A+ do EAN "&amp;INDEX(PRODUTOS!$J$4:$J$63,MATCH($A832,PRODUTOS!$B$4:$B$63,0))&amp;")",IF(AND(INDEX(PRODUTOS!$I$4:$I$63,MATCH($A832,PRODUTOS!$B$4:$B$63,0))="B",$D832="AP07"),"NÃO (modelo B)","SIM")))</f>
        <v>SIM</v>
      </c>
      <c r="K832" s="13" t="s">
        <v>325</v>
      </c>
      <c r="L832" s="13"/>
    </row>
    <row r="833" customFormat="false" ht="15" hidden="false" customHeight="false" outlineLevel="0" collapsed="false">
      <c r="A833" s="15" t="s">
        <v>257</v>
      </c>
      <c r="B833" s="11" t="str">
        <f aca="false">INDEX(PRODUTOS!$E$4:$E$63,MATCH($A833,PRODUTOS!$B$4:$B$63,0))</f>
        <v>Palito 8 ” Rígido Bacon Natural Dots Encartelado 10 un</v>
      </c>
      <c r="C833" s="11" t="str">
        <f aca="false">INDEX(PRODUTOS!$H$4:$H$63,MATCH($A833,PRODUTOS!$B$4:$B$63,0))</f>
        <v>10 un.</v>
      </c>
      <c r="D833" s="11" t="s">
        <v>338</v>
      </c>
      <c r="E833" s="16" t="str">
        <f aca="false">$A833&amp;"."&amp;$D833&amp;".jpg"</f>
        <v>7908591301168.AP05.jpg</v>
      </c>
      <c r="F833" s="11" t="str">
        <f aca="false">IF(INDEX(PRODUTOS!$I$4:$I$63,MATCH($A833,PRODUTOS!$B$4:$B$63,0))="B",INDEX(MODELOS!$F$3:$F$19,MATCH($D833,MODELOS!$A$3:$A$19,0)),INDEX(MODELOS!$B$3:$B$19,MATCH($D833,MODELOS!$A$3:$A$19,0)))</f>
        <v>A+ · Módulo 3 · Benefício 3 de 4</v>
      </c>
      <c r="G833" s="11" t="str">
        <f aca="false">IF(INDEX(PRODUTOS!$F$4:$F$63,MATCH($A833,PRODUTOS!$B$4:$B$63,0))="Ração",IF(INDEX(PRODUTOS!$I$4:$I$63,MATCH($A833,PRODUTOS!$B$4:$B$63,0))="B",INDEX(MODELOS!$G$3:$G$19,MATCH($D833,MODELOS!$A$3:$A$19,0)),INDEX(MODELOS!$C$3:$C$19,MATCH($D833,MODELOS!$A$3:$A$19,0))),IF(INDEX(PRODUTOS!$I$4:$I$63,MATCH($A833,PRODUTOS!$B$4:$B$63,0))="B",INDEX(MODELOS!$H$3:$H$19,MATCH($D833,MODELOS!$A$3:$A$19,0)),INDEX(MODELOS!$D$3:$D$19,MATCH($D833,MODELOS!$A$3:$A$19,0))))</f>
        <v>Foto/ilustração do benefício 3</v>
      </c>
      <c r="H833" s="11" t="str">
        <f aca="false">IF(INDEX(PRODUTOS!$I$4:$I$63,MATCH($A833,PRODUTOS!$B$4:$B$63,0))="B",INDEX(MODELOS!$I$3:$I$19,MATCH($D833,MODELOS!$A$3:$A$19,0)),INDEX(MODELOS!$E$3:$E$19,MATCH($D833,MODELOS!$A$3:$A$19,0)))</f>
        <v>220 × 200</v>
      </c>
      <c r="I833" s="11" t="str">
        <f aca="false">INDEX(MODELOS!$J$3:$J$19,MATCH($D833,MODELOS!$A$3:$A$19,0))</f>
        <v>Conforme modelo</v>
      </c>
      <c r="J833" s="11" t="str">
        <f aca="false">IF(LEFT($D833,2)&lt;&gt;"AP",IF($I833="SIM","SIM","RECOMENDADA"),IF(INDEX(PRODUTOS!$J$4:$J$63,MATCH($A833,PRODUTOS!$B$4:$B$63,0))&lt;&gt;"","NÃO (usa o A+ do EAN "&amp;INDEX(PRODUTOS!$J$4:$J$63,MATCH($A833,PRODUTOS!$B$4:$B$63,0))&amp;")",IF(AND(INDEX(PRODUTOS!$I$4:$I$63,MATCH($A833,PRODUTOS!$B$4:$B$63,0))="B",$D833="AP07"),"NÃO (modelo B)","SIM")))</f>
        <v>SIM</v>
      </c>
      <c r="K833" s="13" t="s">
        <v>325</v>
      </c>
      <c r="L833" s="13"/>
    </row>
    <row r="834" customFormat="false" ht="15" hidden="false" customHeight="false" outlineLevel="0" collapsed="false">
      <c r="A834" s="15" t="s">
        <v>257</v>
      </c>
      <c r="B834" s="11" t="str">
        <f aca="false">INDEX(PRODUTOS!$E$4:$E$63,MATCH($A834,PRODUTOS!$B$4:$B$63,0))</f>
        <v>Palito 8 ” Rígido Bacon Natural Dots Encartelado 10 un</v>
      </c>
      <c r="C834" s="11" t="str">
        <f aca="false">INDEX(PRODUTOS!$H$4:$H$63,MATCH($A834,PRODUTOS!$B$4:$B$63,0))</f>
        <v>10 un.</v>
      </c>
      <c r="D834" s="11" t="s">
        <v>339</v>
      </c>
      <c r="E834" s="16" t="str">
        <f aca="false">$A834&amp;"."&amp;$D834&amp;".jpg"</f>
        <v>7908591301168.AP06.jpg</v>
      </c>
      <c r="F834" s="11" t="str">
        <f aca="false">IF(INDEX(PRODUTOS!$I$4:$I$63,MATCH($A834,PRODUTOS!$B$4:$B$63,0))="B",INDEX(MODELOS!$F$3:$F$19,MATCH($D834,MODELOS!$A$3:$A$19,0)),INDEX(MODELOS!$B$3:$B$19,MATCH($D834,MODELOS!$A$3:$A$19,0)))</f>
        <v>A+ · Módulo 3 · Benefício 4 de 4</v>
      </c>
      <c r="G834" s="11" t="str">
        <f aca="false">IF(INDEX(PRODUTOS!$F$4:$F$63,MATCH($A834,PRODUTOS!$B$4:$B$63,0))="Ração",IF(INDEX(PRODUTOS!$I$4:$I$63,MATCH($A834,PRODUTOS!$B$4:$B$63,0))="B",INDEX(MODELOS!$G$3:$G$19,MATCH($D834,MODELOS!$A$3:$A$19,0)),INDEX(MODELOS!$C$3:$C$19,MATCH($D834,MODELOS!$A$3:$A$19,0))),IF(INDEX(PRODUTOS!$I$4:$I$63,MATCH($A834,PRODUTOS!$B$4:$B$63,0))="B",INDEX(MODELOS!$H$3:$H$19,MATCH($D834,MODELOS!$A$3:$A$19,0)),INDEX(MODELOS!$D$3:$D$19,MATCH($D834,MODELOS!$A$3:$A$19,0))))</f>
        <v>Foto/ilustração do benefício 4</v>
      </c>
      <c r="H834" s="11" t="str">
        <f aca="false">IF(INDEX(PRODUTOS!$I$4:$I$63,MATCH($A834,PRODUTOS!$B$4:$B$63,0))="B",INDEX(MODELOS!$I$3:$I$19,MATCH($D834,MODELOS!$A$3:$A$19,0)),INDEX(MODELOS!$E$3:$E$19,MATCH($D834,MODELOS!$A$3:$A$19,0)))</f>
        <v>220 × 200</v>
      </c>
      <c r="I834" s="11" t="str">
        <f aca="false">INDEX(MODELOS!$J$3:$J$19,MATCH($D834,MODELOS!$A$3:$A$19,0))</f>
        <v>Conforme modelo</v>
      </c>
      <c r="J834" s="11" t="str">
        <f aca="false">IF(LEFT($D834,2)&lt;&gt;"AP",IF($I834="SIM","SIM","RECOMENDADA"),IF(INDEX(PRODUTOS!$J$4:$J$63,MATCH($A834,PRODUTOS!$B$4:$B$63,0))&lt;&gt;"","NÃO (usa o A+ do EAN "&amp;INDEX(PRODUTOS!$J$4:$J$63,MATCH($A834,PRODUTOS!$B$4:$B$63,0))&amp;")",IF(AND(INDEX(PRODUTOS!$I$4:$I$63,MATCH($A834,PRODUTOS!$B$4:$B$63,0))="B",$D834="AP07"),"NÃO (modelo B)","SIM")))</f>
        <v>SIM</v>
      </c>
      <c r="K834" s="13" t="s">
        <v>325</v>
      </c>
      <c r="L834" s="13"/>
    </row>
    <row r="835" customFormat="false" ht="15" hidden="false" customHeight="false" outlineLevel="0" collapsed="false">
      <c r="A835" s="15" t="s">
        <v>257</v>
      </c>
      <c r="B835" s="11" t="str">
        <f aca="false">INDEX(PRODUTOS!$E$4:$E$63,MATCH($A835,PRODUTOS!$B$4:$B$63,0))</f>
        <v>Palito 8 ” Rígido Bacon Natural Dots Encartelado 10 un</v>
      </c>
      <c r="C835" s="11" t="str">
        <f aca="false">INDEX(PRODUTOS!$H$4:$H$63,MATCH($A835,PRODUTOS!$B$4:$B$63,0))</f>
        <v>10 un.</v>
      </c>
      <c r="D835" s="11" t="s">
        <v>340</v>
      </c>
      <c r="E835" s="16" t="str">
        <f aca="false">$A835&amp;"."&amp;$D835&amp;".jpg"</f>
        <v>7908591301168.AP07.jpg</v>
      </c>
      <c r="F835" s="11" t="str">
        <f aca="false">IF(INDEX(PRODUTOS!$I$4:$I$63,MATCH($A835,PRODUTOS!$B$4:$B$63,0))="B",INDEX(MODELOS!$F$3:$F$19,MATCH($D835,MODELOS!$A$3:$A$19,0)),INDEX(MODELOS!$B$3:$B$19,MATCH($D835,MODELOS!$A$3:$A$19,0)))</f>
        <v>A+ · Módulo 4 · Especificações</v>
      </c>
      <c r="G835" s="11" t="str">
        <f aca="false">IF(INDEX(PRODUTOS!$F$4:$F$63,MATCH($A835,PRODUTOS!$B$4:$B$63,0))="Ração",IF(INDEX(PRODUTOS!$I$4:$I$63,MATCH($A835,PRODUTOS!$B$4:$B$63,0))="B",INDEX(MODELOS!$G$3:$G$19,MATCH($D835,MODELOS!$A$3:$A$19,0)),INDEX(MODELOS!$C$3:$C$19,MATCH($D835,MODELOS!$A$3:$A$19,0))),IF(INDEX(PRODUTOS!$I$4:$I$63,MATCH($A835,PRODUTOS!$B$4:$B$63,0))="B",INDEX(MODELOS!$H$3:$H$19,MATCH($D835,MODELOS!$A$3:$A$19,0)),INDEX(MODELOS!$D$3:$D$19,MATCH($D835,MODELOS!$A$3:$A$19,0))))</f>
        <v>Produto em destaque</v>
      </c>
      <c r="H835" s="11" t="str">
        <f aca="false">IF(INDEX(PRODUTOS!$I$4:$I$63,MATCH($A835,PRODUTOS!$B$4:$B$63,0))="B",INDEX(MODELOS!$I$3:$I$19,MATCH($D835,MODELOS!$A$3:$A$19,0)),INDEX(MODELOS!$E$3:$E$19,MATCH($D835,MODELOS!$A$3:$A$19,0)))</f>
        <v>300 × 300</v>
      </c>
      <c r="I835" s="11" t="str">
        <f aca="false">INDEX(MODELOS!$J$3:$J$19,MATCH($D835,MODELOS!$A$3:$A$19,0))</f>
        <v>Conforme modelo</v>
      </c>
      <c r="J835" s="11" t="str">
        <f aca="false">IF(LEFT($D835,2)&lt;&gt;"AP",IF($I835="SIM","SIM","RECOMENDADA"),IF(INDEX(PRODUTOS!$J$4:$J$63,MATCH($A835,PRODUTOS!$B$4:$B$63,0))&lt;&gt;"","NÃO (usa o A+ do EAN "&amp;INDEX(PRODUTOS!$J$4:$J$63,MATCH($A835,PRODUTOS!$B$4:$B$63,0))&amp;")",IF(AND(INDEX(PRODUTOS!$I$4:$I$63,MATCH($A835,PRODUTOS!$B$4:$B$63,0))="B",$D835="AP07"),"NÃO (modelo B)","SIM")))</f>
        <v>SIM</v>
      </c>
      <c r="K835" s="13" t="s">
        <v>325</v>
      </c>
      <c r="L835" s="13"/>
    </row>
    <row r="836" customFormat="false" ht="15" hidden="false" customHeight="false" outlineLevel="0" collapsed="false">
      <c r="A836" s="15" t="s">
        <v>257</v>
      </c>
      <c r="B836" s="11" t="str">
        <f aca="false">INDEX(PRODUTOS!$E$4:$E$63,MATCH($A836,PRODUTOS!$B$4:$B$63,0))</f>
        <v>Palito 8 ” Rígido Bacon Natural Dots Encartelado 10 un</v>
      </c>
      <c r="C836" s="11" t="str">
        <f aca="false">INDEX(PRODUTOS!$H$4:$H$63,MATCH($A836,PRODUTOS!$B$4:$B$63,0))</f>
        <v>10 un.</v>
      </c>
      <c r="D836" s="11" t="s">
        <v>341</v>
      </c>
      <c r="E836" s="16" t="str">
        <f aca="false">$A836&amp;"."&amp;$D836&amp;".jpg"</f>
        <v>7908591301168.COMP.jpg</v>
      </c>
      <c r="F836" s="11" t="str">
        <f aca="false">IF(INDEX(PRODUTOS!$I$4:$I$63,MATCH($A836,PRODUTOS!$B$4:$B$63,0))="B",INDEX(MODELOS!$F$3:$F$19,MATCH($D836,MODELOS!$A$3:$A$19,0)),INDEX(MODELOS!$B$3:$B$19,MATCH($D836,MODELOS!$A$3:$A$19,0)))</f>
        <v>A+ · Tabela comparativa</v>
      </c>
      <c r="G836" s="11" t="str">
        <f aca="false">IF(INDEX(PRODUTOS!$F$4:$F$63,MATCH($A836,PRODUTOS!$B$4:$B$63,0))="Ração",IF(INDEX(PRODUTOS!$I$4:$I$63,MATCH($A836,PRODUTOS!$B$4:$B$63,0))="B",INDEX(MODELOS!$G$3:$G$19,MATCH($D836,MODELOS!$A$3:$A$19,0)),INDEX(MODELOS!$C$3:$C$19,MATCH($D836,MODELOS!$A$3:$A$19,0))),IF(INDEX(PRODUTOS!$I$4:$I$63,MATCH($A836,PRODUTOS!$B$4:$B$63,0))="B",INDEX(MODELOS!$H$3:$H$19,MATCH($D836,MODELOS!$A$3:$A$19,0)),INDEX(MODELOS!$D$3:$D$19,MATCH($D836,MODELOS!$A$3:$A$19,0))))</f>
        <v>Produto na vertical, sem fundo colorido</v>
      </c>
      <c r="H836" s="11" t="str">
        <f aca="false">IF(INDEX(PRODUTOS!$I$4:$I$63,MATCH($A836,PRODUTOS!$B$4:$B$63,0))="B",INDEX(MODELOS!$I$3:$I$19,MATCH($D836,MODELOS!$A$3:$A$19,0)),INDEX(MODELOS!$E$3:$E$19,MATCH($D836,MODELOS!$A$3:$A$19,0)))</f>
        <v>150 × 300</v>
      </c>
      <c r="I836" s="11" t="str">
        <f aca="false">INDEX(MODELOS!$J$3:$J$19,MATCH($D836,MODELOS!$A$3:$A$19,0))</f>
        <v>SIM</v>
      </c>
      <c r="J836" s="11" t="str">
        <f aca="false">IF(LEFT($D836,2)&lt;&gt;"AP",IF($I836="SIM","SIM","RECOMENDADA"),IF(INDEX(PRODUTOS!$J$4:$J$63,MATCH($A836,PRODUTOS!$B$4:$B$63,0))&lt;&gt;"","NÃO (usa o A+ do EAN "&amp;INDEX(PRODUTOS!$J$4:$J$63,MATCH($A836,PRODUTOS!$B$4:$B$63,0))&amp;")",IF(AND(INDEX(PRODUTOS!$I$4:$I$63,MATCH($A836,PRODUTOS!$B$4:$B$63,0))="B",$D836="AP07"),"NÃO (modelo B)","SIM")))</f>
        <v>SIM</v>
      </c>
      <c r="K836" s="13" t="s">
        <v>325</v>
      </c>
      <c r="L836" s="13"/>
    </row>
    <row r="837" customFormat="false" ht="15" hidden="false" customHeight="false" outlineLevel="0" collapsed="false">
      <c r="A837" s="15" t="s">
        <v>261</v>
      </c>
      <c r="B837" s="11" t="str">
        <f aca="false">INDEX(PRODUTOS!$E$4:$E$63,MATCH($A837,PRODUTOS!$B$4:$B$63,0))</f>
        <v>Palito Flex Natural Dots Hortelã 70 g</v>
      </c>
      <c r="C837" s="11" t="str">
        <f aca="false">INDEX(PRODUTOS!$H$4:$H$63,MATCH($A837,PRODUTOS!$B$4:$B$63,0))</f>
        <v>70 g</v>
      </c>
      <c r="D837" s="11" t="s">
        <v>324</v>
      </c>
      <c r="E837" s="16" t="str">
        <f aca="false">$A837&amp;"."&amp;$D837&amp;".jpg"</f>
        <v>7908591301113.MAIN.jpg</v>
      </c>
      <c r="F837" s="11" t="str">
        <f aca="false">IF(INDEX(PRODUTOS!$I$4:$I$63,MATCH($A837,PRODUTOS!$B$4:$B$63,0))="B",INDEX(MODELOS!$F$3:$F$19,MATCH($D837,MODELOS!$A$3:$A$19,0)),INDEX(MODELOS!$B$3:$B$19,MATCH($D837,MODELOS!$A$3:$A$19,0)))</f>
        <v>Capa (posição 1)</v>
      </c>
      <c r="G837" s="11" t="str">
        <f aca="false">IF(INDEX(PRODUTOS!$F$4:$F$63,MATCH($A837,PRODUTOS!$B$4:$B$63,0))="Ração",IF(INDEX(PRODUTOS!$I$4:$I$63,MATCH($A837,PRODUTOS!$B$4:$B$63,0))="B",INDEX(MODELOS!$G$3:$G$19,MATCH($D837,MODELOS!$A$3:$A$19,0)),INDEX(MODELOS!$C$3:$C$19,MATCH($D837,MODELOS!$A$3:$A$19,0))),IF(INDEX(PRODUTOS!$I$4:$I$63,MATCH($A837,PRODUTOS!$B$4:$B$63,0))="B",INDEX(MODELOS!$H$3:$H$19,MATCH($D837,MODELOS!$A$3:$A$19,0)),INDEX(MODELOS!$D$3:$D$19,MATCH($D837,MODELOS!$A$3:$A$19,0))))</f>
        <v>Embalagem de frente, fundo branco puro, 85% da área, nada adicionado</v>
      </c>
      <c r="H837" s="11" t="str">
        <f aca="false">IF(INDEX(PRODUTOS!$I$4:$I$63,MATCH($A837,PRODUTOS!$B$4:$B$63,0))="B",INDEX(MODELOS!$I$3:$I$19,MATCH($D837,MODELOS!$A$3:$A$19,0)),INDEX(MODELOS!$E$3:$E$19,MATCH($D837,MODELOS!$A$3:$A$19,0)))</f>
        <v>2000 × 2000</v>
      </c>
      <c r="I837" s="11" t="str">
        <f aca="false">INDEX(MODELOS!$J$3:$J$19,MATCH($D837,MODELOS!$A$3:$A$19,0))</f>
        <v>SIM</v>
      </c>
      <c r="J837" s="11" t="str">
        <f aca="false">IF(LEFT($D837,2)&lt;&gt;"AP",IF($I837="SIM","SIM","RECOMENDADA"),IF(INDEX(PRODUTOS!$J$4:$J$63,MATCH($A837,PRODUTOS!$B$4:$B$63,0))&lt;&gt;"","NÃO (usa o A+ do EAN "&amp;INDEX(PRODUTOS!$J$4:$J$63,MATCH($A837,PRODUTOS!$B$4:$B$63,0))&amp;")",IF(AND(INDEX(PRODUTOS!$I$4:$I$63,MATCH($A837,PRODUTOS!$B$4:$B$63,0))="B",$D837="AP07"),"NÃO (modelo B)","SIM")))</f>
        <v>SIM</v>
      </c>
      <c r="K837" s="13" t="s">
        <v>325</v>
      </c>
      <c r="L837" s="13"/>
    </row>
    <row r="838" customFormat="false" ht="15" hidden="false" customHeight="false" outlineLevel="0" collapsed="false">
      <c r="A838" s="15" t="s">
        <v>261</v>
      </c>
      <c r="B838" s="11" t="str">
        <f aca="false">INDEX(PRODUTOS!$E$4:$E$63,MATCH($A838,PRODUTOS!$B$4:$B$63,0))</f>
        <v>Palito Flex Natural Dots Hortelã 70 g</v>
      </c>
      <c r="C838" s="11" t="str">
        <f aca="false">INDEX(PRODUTOS!$H$4:$H$63,MATCH($A838,PRODUTOS!$B$4:$B$63,0))</f>
        <v>70 g</v>
      </c>
      <c r="D838" s="11" t="s">
        <v>326</v>
      </c>
      <c r="E838" s="16" t="str">
        <f aca="false">$A838&amp;"."&amp;$D838&amp;".jpg"</f>
        <v>7908591301113.PT01.jpg</v>
      </c>
      <c r="F838" s="11" t="str">
        <f aca="false">IF(INDEX(PRODUTOS!$I$4:$I$63,MATCH($A838,PRODUTOS!$B$4:$B$63,0))="B",INDEX(MODELOS!$F$3:$F$19,MATCH($D838,MODELOS!$A$3:$A$19,0)),INDEX(MODELOS!$B$3:$B$19,MATCH($D838,MODELOS!$A$3:$A$19,0)))</f>
        <v>Galeria · posição 2</v>
      </c>
      <c r="G838" s="11" t="str">
        <f aca="false">IF(INDEX(PRODUTOS!$F$4:$F$63,MATCH($A838,PRODUTOS!$B$4:$B$63,0))="Ração",IF(INDEX(PRODUTOS!$I$4:$I$63,MATCH($A838,PRODUTOS!$B$4:$B$63,0))="B",INDEX(MODELOS!$G$3:$G$19,MATCH($D838,MODELOS!$A$3:$A$19,0)),INDEX(MODELOS!$C$3:$C$19,MATCH($D838,MODELOS!$A$3:$A$19,0))),IF(INDEX(PRODUTOS!$I$4:$I$63,MATCH($A838,PRODUTOS!$B$4:$B$63,0))="B",INDEX(MODELOS!$H$3:$H$19,MATCH($D838,MODELOS!$A$3:$A$19,0)),INDEX(MODELOS!$D$3:$D$19,MATCH($D838,MODELOS!$A$3:$A$19,0))))</f>
        <v>Grande diferencial (ex.: natural, biodegradável, perfumado)</v>
      </c>
      <c r="H838" s="11" t="str">
        <f aca="false">IF(INDEX(PRODUTOS!$I$4:$I$63,MATCH($A838,PRODUTOS!$B$4:$B$63,0))="B",INDEX(MODELOS!$I$3:$I$19,MATCH($D838,MODELOS!$A$3:$A$19,0)),INDEX(MODELOS!$E$3:$E$19,MATCH($D838,MODELOS!$A$3:$A$19,0)))</f>
        <v>2000 × 2000</v>
      </c>
      <c r="I838" s="11" t="str">
        <f aca="false">INDEX(MODELOS!$J$3:$J$19,MATCH($D838,MODELOS!$A$3:$A$19,0))</f>
        <v>SIM</v>
      </c>
      <c r="J838" s="11" t="str">
        <f aca="false">IF(LEFT($D838,2)&lt;&gt;"AP",IF($I838="SIM","SIM","RECOMENDADA"),IF(INDEX(PRODUTOS!$J$4:$J$63,MATCH($A838,PRODUTOS!$B$4:$B$63,0))&lt;&gt;"","NÃO (usa o A+ do EAN "&amp;INDEX(PRODUTOS!$J$4:$J$63,MATCH($A838,PRODUTOS!$B$4:$B$63,0))&amp;")",IF(AND(INDEX(PRODUTOS!$I$4:$I$63,MATCH($A838,PRODUTOS!$B$4:$B$63,0))="B",$D838="AP07"),"NÃO (modelo B)","SIM")))</f>
        <v>SIM</v>
      </c>
      <c r="K838" s="13" t="s">
        <v>325</v>
      </c>
      <c r="L838" s="13"/>
    </row>
    <row r="839" customFormat="false" ht="15" hidden="false" customHeight="false" outlineLevel="0" collapsed="false">
      <c r="A839" s="15" t="s">
        <v>261</v>
      </c>
      <c r="B839" s="11" t="str">
        <f aca="false">INDEX(PRODUTOS!$E$4:$E$63,MATCH($A839,PRODUTOS!$B$4:$B$63,0))</f>
        <v>Palito Flex Natural Dots Hortelã 70 g</v>
      </c>
      <c r="C839" s="11" t="str">
        <f aca="false">INDEX(PRODUTOS!$H$4:$H$63,MATCH($A839,PRODUTOS!$B$4:$B$63,0))</f>
        <v>70 g</v>
      </c>
      <c r="D839" s="11" t="s">
        <v>327</v>
      </c>
      <c r="E839" s="16" t="str">
        <f aca="false">$A839&amp;"."&amp;$D839&amp;".jpg"</f>
        <v>7908591301113.PT02.jpg</v>
      </c>
      <c r="F839" s="11" t="str">
        <f aca="false">IF(INDEX(PRODUTOS!$I$4:$I$63,MATCH($A839,PRODUTOS!$B$4:$B$63,0))="B",INDEX(MODELOS!$F$3:$F$19,MATCH($D839,MODELOS!$A$3:$A$19,0)),INDEX(MODELOS!$B$3:$B$19,MATCH($D839,MODELOS!$A$3:$A$19,0)))</f>
        <v>Galeria · posição 3</v>
      </c>
      <c r="G839" s="11" t="str">
        <f aca="false">IF(INDEX(PRODUTOS!$F$4:$F$63,MATCH($A839,PRODUTOS!$B$4:$B$63,0))="Ração",IF(INDEX(PRODUTOS!$I$4:$I$63,MATCH($A839,PRODUTOS!$B$4:$B$63,0))="B",INDEX(MODELOS!$G$3:$G$19,MATCH($D839,MODELOS!$A$3:$A$19,0)),INDEX(MODELOS!$C$3:$C$19,MATCH($D839,MODELOS!$A$3:$A$19,0))),IF(INDEX(PRODUTOS!$I$4:$I$63,MATCH($A839,PRODUTOS!$B$4:$B$63,0))="B",INDEX(MODELOS!$H$3:$H$19,MATCH($D839,MODELOS!$A$3:$A$19,0)),INDEX(MODELOS!$D$3:$D$19,MATCH($D839,MODELOS!$A$3:$A$19,0))))</f>
        <v>Benefícios com ícones (4 a 6, impressos na embalagem)</v>
      </c>
      <c r="H839" s="11" t="str">
        <f aca="false">IF(INDEX(PRODUTOS!$I$4:$I$63,MATCH($A839,PRODUTOS!$B$4:$B$63,0))="B",INDEX(MODELOS!$I$3:$I$19,MATCH($D839,MODELOS!$A$3:$A$19,0)),INDEX(MODELOS!$E$3:$E$19,MATCH($D839,MODELOS!$A$3:$A$19,0)))</f>
        <v>2000 × 2000</v>
      </c>
      <c r="I839" s="11" t="str">
        <f aca="false">INDEX(MODELOS!$J$3:$J$19,MATCH($D839,MODELOS!$A$3:$A$19,0))</f>
        <v>SIM</v>
      </c>
      <c r="J839" s="11" t="str">
        <f aca="false">IF(LEFT($D839,2)&lt;&gt;"AP",IF($I839="SIM","SIM","RECOMENDADA"),IF(INDEX(PRODUTOS!$J$4:$J$63,MATCH($A839,PRODUTOS!$B$4:$B$63,0))&lt;&gt;"","NÃO (usa o A+ do EAN "&amp;INDEX(PRODUTOS!$J$4:$J$63,MATCH($A839,PRODUTOS!$B$4:$B$63,0))&amp;")",IF(AND(INDEX(PRODUTOS!$I$4:$I$63,MATCH($A839,PRODUTOS!$B$4:$B$63,0))="B",$D839="AP07"),"NÃO (modelo B)","SIM")))</f>
        <v>SIM</v>
      </c>
      <c r="K839" s="13" t="s">
        <v>325</v>
      </c>
      <c r="L839" s="13"/>
    </row>
    <row r="840" customFormat="false" ht="15" hidden="false" customHeight="false" outlineLevel="0" collapsed="false">
      <c r="A840" s="15" t="s">
        <v>261</v>
      </c>
      <c r="B840" s="11" t="str">
        <f aca="false">INDEX(PRODUTOS!$E$4:$E$63,MATCH($A840,PRODUTOS!$B$4:$B$63,0))</f>
        <v>Palito Flex Natural Dots Hortelã 70 g</v>
      </c>
      <c r="C840" s="11" t="str">
        <f aca="false">INDEX(PRODUTOS!$H$4:$H$63,MATCH($A840,PRODUTOS!$B$4:$B$63,0))</f>
        <v>70 g</v>
      </c>
      <c r="D840" s="11" t="s">
        <v>328</v>
      </c>
      <c r="E840" s="16" t="str">
        <f aca="false">$A840&amp;"."&amp;$D840&amp;".jpg"</f>
        <v>7908591301113.PT03.jpg</v>
      </c>
      <c r="F840" s="11" t="str">
        <f aca="false">IF(INDEX(PRODUTOS!$I$4:$I$63,MATCH($A840,PRODUTOS!$B$4:$B$63,0))="B",INDEX(MODELOS!$F$3:$F$19,MATCH($D840,MODELOS!$A$3:$A$19,0)),INDEX(MODELOS!$B$3:$B$19,MATCH($D840,MODELOS!$A$3:$A$19,0)))</f>
        <v>Galeria · posição 4</v>
      </c>
      <c r="G840" s="11" t="str">
        <f aca="false">IF(INDEX(PRODUTOS!$F$4:$F$63,MATCH($A840,PRODUTOS!$B$4:$B$63,0))="Ração",IF(INDEX(PRODUTOS!$I$4:$I$63,MATCH($A840,PRODUTOS!$B$4:$B$63,0))="B",INDEX(MODELOS!$G$3:$G$19,MATCH($D840,MODELOS!$A$3:$A$19,0)),INDEX(MODELOS!$C$3:$C$19,MATCH($D840,MODELOS!$A$3:$A$19,0))),IF(INDEX(PRODUTOS!$I$4:$I$63,MATCH($A840,PRODUTOS!$B$4:$B$63,0))="B",INDEX(MODELOS!$H$3:$H$19,MATCH($D840,MODELOS!$A$3:$A$19,0)),INDEX(MODELOS!$D$3:$D$19,MATCH($D840,MODELOS!$A$3:$A$19,0))))</f>
        <v>Detalhe e tamanho real (petisco, grânulo ou tapete aberto), com medidas</v>
      </c>
      <c r="H840" s="11" t="str">
        <f aca="false">IF(INDEX(PRODUTOS!$I$4:$I$63,MATCH($A840,PRODUTOS!$B$4:$B$63,0))="B",INDEX(MODELOS!$I$3:$I$19,MATCH($D840,MODELOS!$A$3:$A$19,0)),INDEX(MODELOS!$E$3:$E$19,MATCH($D840,MODELOS!$A$3:$A$19,0)))</f>
        <v>2000 × 2000</v>
      </c>
      <c r="I840" s="11" t="str">
        <f aca="false">INDEX(MODELOS!$J$3:$J$19,MATCH($D840,MODELOS!$A$3:$A$19,0))</f>
        <v>SIM</v>
      </c>
      <c r="J840" s="11" t="str">
        <f aca="false">IF(LEFT($D840,2)&lt;&gt;"AP",IF($I840="SIM","SIM","RECOMENDADA"),IF(INDEX(PRODUTOS!$J$4:$J$63,MATCH($A840,PRODUTOS!$B$4:$B$63,0))&lt;&gt;"","NÃO (usa o A+ do EAN "&amp;INDEX(PRODUTOS!$J$4:$J$63,MATCH($A840,PRODUTOS!$B$4:$B$63,0))&amp;")",IF(AND(INDEX(PRODUTOS!$I$4:$I$63,MATCH($A840,PRODUTOS!$B$4:$B$63,0))="B",$D840="AP07"),"NÃO (modelo B)","SIM")))</f>
        <v>SIM</v>
      </c>
      <c r="K840" s="13" t="s">
        <v>325</v>
      </c>
      <c r="L840" s="13"/>
    </row>
    <row r="841" customFormat="false" ht="15" hidden="false" customHeight="false" outlineLevel="0" collapsed="false">
      <c r="A841" s="15" t="s">
        <v>261</v>
      </c>
      <c r="B841" s="11" t="str">
        <f aca="false">INDEX(PRODUTOS!$E$4:$E$63,MATCH($A841,PRODUTOS!$B$4:$B$63,0))</f>
        <v>Palito Flex Natural Dots Hortelã 70 g</v>
      </c>
      <c r="C841" s="11" t="str">
        <f aca="false">INDEX(PRODUTOS!$H$4:$H$63,MATCH($A841,PRODUTOS!$B$4:$B$63,0))</f>
        <v>70 g</v>
      </c>
      <c r="D841" s="11" t="s">
        <v>329</v>
      </c>
      <c r="E841" s="16" t="str">
        <f aca="false">$A841&amp;"."&amp;$D841&amp;".jpg"</f>
        <v>7908591301113.PT04.jpg</v>
      </c>
      <c r="F841" s="11" t="str">
        <f aca="false">IF(INDEX(PRODUTOS!$I$4:$I$63,MATCH($A841,PRODUTOS!$B$4:$B$63,0))="B",INDEX(MODELOS!$F$3:$F$19,MATCH($D841,MODELOS!$A$3:$A$19,0)),INDEX(MODELOS!$B$3:$B$19,MATCH($D841,MODELOS!$A$3:$A$19,0)))</f>
        <v>Galeria · posição 5</v>
      </c>
      <c r="G841" s="11" t="str">
        <f aca="false">IF(INDEX(PRODUTOS!$F$4:$F$63,MATCH($A841,PRODUTOS!$B$4:$B$63,0))="Ração",IF(INDEX(PRODUTOS!$I$4:$I$63,MATCH($A841,PRODUTOS!$B$4:$B$63,0))="B",INDEX(MODELOS!$G$3:$G$19,MATCH($D841,MODELOS!$A$3:$A$19,0)),INDEX(MODELOS!$C$3:$C$19,MATCH($D841,MODELOS!$A$3:$A$19,0))),IF(INDEX(PRODUTOS!$I$4:$I$63,MATCH($A841,PRODUTOS!$B$4:$B$63,0))="B",INDEX(MODELOS!$H$3:$H$19,MATCH($D841,MODELOS!$A$3:$A$19,0)),INDEX(MODELOS!$D$3:$D$19,MATCH($D841,MODELOS!$A$3:$A$19,0))))</f>
        <v>Modo de uso (como oferecer o petisco / como usar o produto)</v>
      </c>
      <c r="H841" s="11" t="str">
        <f aca="false">IF(INDEX(PRODUTOS!$I$4:$I$63,MATCH($A841,PRODUTOS!$B$4:$B$63,0))="B",INDEX(MODELOS!$I$3:$I$19,MATCH($D841,MODELOS!$A$3:$A$19,0)),INDEX(MODELOS!$E$3:$E$19,MATCH($D841,MODELOS!$A$3:$A$19,0)))</f>
        <v>2000 × 2000</v>
      </c>
      <c r="I841" s="11" t="str">
        <f aca="false">INDEX(MODELOS!$J$3:$J$19,MATCH($D841,MODELOS!$A$3:$A$19,0))</f>
        <v>SIM</v>
      </c>
      <c r="J841" s="11" t="str">
        <f aca="false">IF(LEFT($D841,2)&lt;&gt;"AP",IF($I841="SIM","SIM","RECOMENDADA"),IF(INDEX(PRODUTOS!$J$4:$J$63,MATCH($A841,PRODUTOS!$B$4:$B$63,0))&lt;&gt;"","NÃO (usa o A+ do EAN "&amp;INDEX(PRODUTOS!$J$4:$J$63,MATCH($A841,PRODUTOS!$B$4:$B$63,0))&amp;")",IF(AND(INDEX(PRODUTOS!$I$4:$I$63,MATCH($A841,PRODUTOS!$B$4:$B$63,0))="B",$D841="AP07"),"NÃO (modelo B)","SIM")))</f>
        <v>SIM</v>
      </c>
      <c r="K841" s="13" t="s">
        <v>325</v>
      </c>
      <c r="L841" s="13"/>
    </row>
    <row r="842" customFormat="false" ht="15" hidden="false" customHeight="false" outlineLevel="0" collapsed="false">
      <c r="A842" s="15" t="s">
        <v>261</v>
      </c>
      <c r="B842" s="11" t="str">
        <f aca="false">INDEX(PRODUTOS!$E$4:$E$63,MATCH($A842,PRODUTOS!$B$4:$B$63,0))</f>
        <v>Palito Flex Natural Dots Hortelã 70 g</v>
      </c>
      <c r="C842" s="11" t="str">
        <f aca="false">INDEX(PRODUTOS!$H$4:$H$63,MATCH($A842,PRODUTOS!$B$4:$B$63,0))</f>
        <v>70 g</v>
      </c>
      <c r="D842" s="11" t="s">
        <v>330</v>
      </c>
      <c r="E842" s="16" t="str">
        <f aca="false">$A842&amp;"."&amp;$D842&amp;".jpg"</f>
        <v>7908591301113.PT05.jpg</v>
      </c>
      <c r="F842" s="11" t="str">
        <f aca="false">IF(INDEX(PRODUTOS!$I$4:$I$63,MATCH($A842,PRODUTOS!$B$4:$B$63,0))="B",INDEX(MODELOS!$F$3:$F$19,MATCH($D842,MODELOS!$A$3:$A$19,0)),INDEX(MODELOS!$B$3:$B$19,MATCH($D842,MODELOS!$A$3:$A$19,0)))</f>
        <v>Galeria · posição 6</v>
      </c>
      <c r="G842" s="11" t="str">
        <f aca="false">IF(INDEX(PRODUTOS!$F$4:$F$63,MATCH($A842,PRODUTOS!$B$4:$B$63,0))="Ração",IF(INDEX(PRODUTOS!$I$4:$I$63,MATCH($A842,PRODUTOS!$B$4:$B$63,0))="B",INDEX(MODELOS!$G$3:$G$19,MATCH($D842,MODELOS!$A$3:$A$19,0)),INDEX(MODELOS!$C$3:$C$19,MATCH($D842,MODELOS!$A$3:$A$19,0))),IF(INDEX(PRODUTOS!$I$4:$I$63,MATCH($A842,PRODUTOS!$B$4:$B$63,0))="B",INDEX(MODELOS!$H$3:$H$19,MATCH($D842,MODELOS!$A$3:$A$19,0)),INDEX(MODELOS!$D$3:$D$19,MATCH($D842,MODELOS!$A$3:$A$19,0))))</f>
        <v>Quantidade por dia ou rendimento do pacote</v>
      </c>
      <c r="H842" s="11" t="str">
        <f aca="false">IF(INDEX(PRODUTOS!$I$4:$I$63,MATCH($A842,PRODUTOS!$B$4:$B$63,0))="B",INDEX(MODELOS!$I$3:$I$19,MATCH($D842,MODELOS!$A$3:$A$19,0)),INDEX(MODELOS!$E$3:$E$19,MATCH($D842,MODELOS!$A$3:$A$19,0)))</f>
        <v>2000 × 2000</v>
      </c>
      <c r="I842" s="11" t="str">
        <f aca="false">INDEX(MODELOS!$J$3:$J$19,MATCH($D842,MODELOS!$A$3:$A$19,0))</f>
        <v>Recomendada</v>
      </c>
      <c r="J842" s="11" t="str">
        <f aca="false">IF(LEFT($D842,2)&lt;&gt;"AP",IF($I842="SIM","SIM","RECOMENDADA"),IF(INDEX(PRODUTOS!$J$4:$J$63,MATCH($A842,PRODUTOS!$B$4:$B$63,0))&lt;&gt;"","NÃO (usa o A+ do EAN "&amp;INDEX(PRODUTOS!$J$4:$J$63,MATCH($A842,PRODUTOS!$B$4:$B$63,0))&amp;")",IF(AND(INDEX(PRODUTOS!$I$4:$I$63,MATCH($A842,PRODUTOS!$B$4:$B$63,0))="B",$D842="AP07"),"NÃO (modelo B)","SIM")))</f>
        <v>RECOMENDADA</v>
      </c>
      <c r="K842" s="13" t="s">
        <v>325</v>
      </c>
      <c r="L842" s="13"/>
    </row>
    <row r="843" customFormat="false" ht="15" hidden="false" customHeight="false" outlineLevel="0" collapsed="false">
      <c r="A843" s="15" t="s">
        <v>261</v>
      </c>
      <c r="B843" s="11" t="str">
        <f aca="false">INDEX(PRODUTOS!$E$4:$E$63,MATCH($A843,PRODUTOS!$B$4:$B$63,0))</f>
        <v>Palito Flex Natural Dots Hortelã 70 g</v>
      </c>
      <c r="C843" s="11" t="str">
        <f aca="false">INDEX(PRODUTOS!$H$4:$H$63,MATCH($A843,PRODUTOS!$B$4:$B$63,0))</f>
        <v>70 g</v>
      </c>
      <c r="D843" s="11" t="s">
        <v>331</v>
      </c>
      <c r="E843" s="16" t="str">
        <f aca="false">$A843&amp;"."&amp;$D843&amp;".jpg"</f>
        <v>7908591301113.PT06.jpg</v>
      </c>
      <c r="F843" s="11" t="str">
        <f aca="false">IF(INDEX(PRODUTOS!$I$4:$I$63,MATCH($A843,PRODUTOS!$B$4:$B$63,0))="B",INDEX(MODELOS!$F$3:$F$19,MATCH($D843,MODELOS!$A$3:$A$19,0)),INDEX(MODELOS!$B$3:$B$19,MATCH($D843,MODELOS!$A$3:$A$19,0)))</f>
        <v>Galeria · posição 7</v>
      </c>
      <c r="G843" s="11" t="str">
        <f aca="false">IF(INDEX(PRODUTOS!$F$4:$F$63,MATCH($A843,PRODUTOS!$B$4:$B$63,0))="Ração",IF(INDEX(PRODUTOS!$I$4:$I$63,MATCH($A843,PRODUTOS!$B$4:$B$63,0))="B",INDEX(MODELOS!$G$3:$G$19,MATCH($D843,MODELOS!$A$3:$A$19,0)),INDEX(MODELOS!$C$3:$C$19,MATCH($D843,MODELOS!$A$3:$A$19,0))),IF(INDEX(PRODUTOS!$I$4:$I$63,MATCH($A843,PRODUTOS!$B$4:$B$63,0))="B",INDEX(MODELOS!$H$3:$H$19,MATCH($D843,MODELOS!$A$3:$A$19,0)),INDEX(MODELOS!$D$3:$D$19,MATCH($D843,MODELOS!$A$3:$A$19,0))))</f>
        <v>Composição/níveis de garantia (petiscos) ou especificações (higiene)</v>
      </c>
      <c r="H843" s="11" t="str">
        <f aca="false">IF(INDEX(PRODUTOS!$I$4:$I$63,MATCH($A843,PRODUTOS!$B$4:$B$63,0))="B",INDEX(MODELOS!$I$3:$I$19,MATCH($D843,MODELOS!$A$3:$A$19,0)),INDEX(MODELOS!$E$3:$E$19,MATCH($D843,MODELOS!$A$3:$A$19,0)))</f>
        <v>2000 × 2000</v>
      </c>
      <c r="I843" s="11" t="str">
        <f aca="false">INDEX(MODELOS!$J$3:$J$19,MATCH($D843,MODELOS!$A$3:$A$19,0))</f>
        <v>SIM</v>
      </c>
      <c r="J843" s="11" t="str">
        <f aca="false">IF(LEFT($D843,2)&lt;&gt;"AP",IF($I843="SIM","SIM","RECOMENDADA"),IF(INDEX(PRODUTOS!$J$4:$J$63,MATCH($A843,PRODUTOS!$B$4:$B$63,0))&lt;&gt;"","NÃO (usa o A+ do EAN "&amp;INDEX(PRODUTOS!$J$4:$J$63,MATCH($A843,PRODUTOS!$B$4:$B$63,0))&amp;")",IF(AND(INDEX(PRODUTOS!$I$4:$I$63,MATCH($A843,PRODUTOS!$B$4:$B$63,0))="B",$D843="AP07"),"NÃO (modelo B)","SIM")))</f>
        <v>SIM</v>
      </c>
      <c r="K843" s="13" t="s">
        <v>325</v>
      </c>
      <c r="L843" s="13"/>
    </row>
    <row r="844" customFormat="false" ht="15" hidden="false" customHeight="false" outlineLevel="0" collapsed="false">
      <c r="A844" s="15" t="s">
        <v>261</v>
      </c>
      <c r="B844" s="11" t="str">
        <f aca="false">INDEX(PRODUTOS!$E$4:$E$63,MATCH($A844,PRODUTOS!$B$4:$B$63,0))</f>
        <v>Palito Flex Natural Dots Hortelã 70 g</v>
      </c>
      <c r="C844" s="11" t="str">
        <f aca="false">INDEX(PRODUTOS!$H$4:$H$63,MATCH($A844,PRODUTOS!$B$4:$B$63,0))</f>
        <v>70 g</v>
      </c>
      <c r="D844" s="11" t="s">
        <v>332</v>
      </c>
      <c r="E844" s="16" t="str">
        <f aca="false">$A844&amp;"."&amp;$D844&amp;".jpg"</f>
        <v>7908591301113.PT07.jpg</v>
      </c>
      <c r="F844" s="11" t="str">
        <f aca="false">IF(INDEX(PRODUTOS!$I$4:$I$63,MATCH($A844,PRODUTOS!$B$4:$B$63,0))="B",INDEX(MODELOS!$F$3:$F$19,MATCH($D844,MODELOS!$A$3:$A$19,0)),INDEX(MODELOS!$B$3:$B$19,MATCH($D844,MODELOS!$A$3:$A$19,0)))</f>
        <v>Galeria · posição 8</v>
      </c>
      <c r="G844" s="11" t="str">
        <f aca="false">IF(INDEX(PRODUTOS!$F$4:$F$63,MATCH($A844,PRODUTOS!$B$4:$B$63,0))="Ração",IF(INDEX(PRODUTOS!$I$4:$I$63,MATCH($A844,PRODUTOS!$B$4:$B$63,0))="B",INDEX(MODELOS!$G$3:$G$19,MATCH($D844,MODELOS!$A$3:$A$19,0)),INDEX(MODELOS!$C$3:$C$19,MATCH($D844,MODELOS!$A$3:$A$19,0))),IF(INDEX(PRODUTOS!$I$4:$I$63,MATCH($A844,PRODUTOS!$B$4:$B$63,0))="B",INDEX(MODELOS!$H$3:$H$19,MATCH($D844,MODELOS!$A$3:$A$19,0)),INDEX(MODELOS!$D$3:$D$19,MATCH($D844,MODELOS!$A$3:$A$19,0))))</f>
        <v>Emocional / momento de uso</v>
      </c>
      <c r="H844" s="11" t="str">
        <f aca="false">IF(INDEX(PRODUTOS!$I$4:$I$63,MATCH($A844,PRODUTOS!$B$4:$B$63,0))="B",INDEX(MODELOS!$I$3:$I$19,MATCH($D844,MODELOS!$A$3:$A$19,0)),INDEX(MODELOS!$E$3:$E$19,MATCH($D844,MODELOS!$A$3:$A$19,0)))</f>
        <v>2000 × 2000</v>
      </c>
      <c r="I844" s="11" t="str">
        <f aca="false">INDEX(MODELOS!$J$3:$J$19,MATCH($D844,MODELOS!$A$3:$A$19,0))</f>
        <v>Recomendada</v>
      </c>
      <c r="J844" s="11" t="str">
        <f aca="false">IF(LEFT($D844,2)&lt;&gt;"AP",IF($I844="SIM","SIM","RECOMENDADA"),IF(INDEX(PRODUTOS!$J$4:$J$63,MATCH($A844,PRODUTOS!$B$4:$B$63,0))&lt;&gt;"","NÃO (usa o A+ do EAN "&amp;INDEX(PRODUTOS!$J$4:$J$63,MATCH($A844,PRODUTOS!$B$4:$B$63,0))&amp;")",IF(AND(INDEX(PRODUTOS!$I$4:$I$63,MATCH($A844,PRODUTOS!$B$4:$B$63,0))="B",$D844="AP07"),"NÃO (modelo B)","SIM")))</f>
        <v>RECOMENDADA</v>
      </c>
      <c r="K844" s="13" t="s">
        <v>325</v>
      </c>
      <c r="L844" s="13"/>
    </row>
    <row r="845" customFormat="false" ht="15" hidden="false" customHeight="false" outlineLevel="0" collapsed="false">
      <c r="A845" s="15" t="s">
        <v>261</v>
      </c>
      <c r="B845" s="11" t="str">
        <f aca="false">INDEX(PRODUTOS!$E$4:$E$63,MATCH($A845,PRODUTOS!$B$4:$B$63,0))</f>
        <v>Palito Flex Natural Dots Hortelã 70 g</v>
      </c>
      <c r="C845" s="11" t="str">
        <f aca="false">INDEX(PRODUTOS!$H$4:$H$63,MATCH($A845,PRODUTOS!$B$4:$B$63,0))</f>
        <v>70 g</v>
      </c>
      <c r="D845" s="11" t="s">
        <v>333</v>
      </c>
      <c r="E845" s="16" t="str">
        <f aca="false">$A845&amp;"."&amp;$D845&amp;".jpg"</f>
        <v>7908591301113.PT08.jpg</v>
      </c>
      <c r="F845" s="11" t="str">
        <f aca="false">IF(INDEX(PRODUTOS!$I$4:$I$63,MATCH($A845,PRODUTOS!$B$4:$B$63,0))="B",INDEX(MODELOS!$F$3:$F$19,MATCH($D845,MODELOS!$A$3:$A$19,0)),INDEX(MODELOS!$B$3:$B$19,MATCH($D845,MODELOS!$A$3:$A$19,0)))</f>
        <v>Galeria · posição 9</v>
      </c>
      <c r="G845" s="11" t="str">
        <f aca="false">IF(INDEX(PRODUTOS!$F$4:$F$63,MATCH($A845,PRODUTOS!$B$4:$B$63,0))="Ração",IF(INDEX(PRODUTOS!$I$4:$I$63,MATCH($A845,PRODUTOS!$B$4:$B$63,0))="B",INDEX(MODELOS!$G$3:$G$19,MATCH($D845,MODELOS!$A$3:$A$19,0)),INDEX(MODELOS!$C$3:$C$19,MATCH($D845,MODELOS!$A$3:$A$19,0))),IF(INDEX(PRODUTOS!$I$4:$I$63,MATCH($A845,PRODUTOS!$B$4:$B$63,0))="B",INDEX(MODELOS!$H$3:$H$19,MATCH($D845,MODELOS!$A$3:$A$19,0)),INDEX(MODELOS!$D$3:$D$19,MATCH($D845,MODELOS!$A$3:$A$19,0))))</f>
        <v>Linha da marca ("conheça também")</v>
      </c>
      <c r="H845" s="11" t="str">
        <f aca="false">IF(INDEX(PRODUTOS!$I$4:$I$63,MATCH($A845,PRODUTOS!$B$4:$B$63,0))="B",INDEX(MODELOS!$I$3:$I$19,MATCH($D845,MODELOS!$A$3:$A$19,0)),INDEX(MODELOS!$E$3:$E$19,MATCH($D845,MODELOS!$A$3:$A$19,0)))</f>
        <v>2000 × 2000</v>
      </c>
      <c r="I845" s="11" t="str">
        <f aca="false">INDEX(MODELOS!$J$3:$J$19,MATCH($D845,MODELOS!$A$3:$A$19,0))</f>
        <v>Recomendada</v>
      </c>
      <c r="J845" s="11" t="str">
        <f aca="false">IF(LEFT($D845,2)&lt;&gt;"AP",IF($I845="SIM","SIM","RECOMENDADA"),IF(INDEX(PRODUTOS!$J$4:$J$63,MATCH($A845,PRODUTOS!$B$4:$B$63,0))&lt;&gt;"","NÃO (usa o A+ do EAN "&amp;INDEX(PRODUTOS!$J$4:$J$63,MATCH($A845,PRODUTOS!$B$4:$B$63,0))&amp;")",IF(AND(INDEX(PRODUTOS!$I$4:$I$63,MATCH($A845,PRODUTOS!$B$4:$B$63,0))="B",$D845="AP07"),"NÃO (modelo B)","SIM")))</f>
        <v>RECOMENDADA</v>
      </c>
      <c r="K845" s="13" t="s">
        <v>325</v>
      </c>
      <c r="L845" s="13"/>
    </row>
    <row r="846" customFormat="false" ht="15" hidden="false" customHeight="false" outlineLevel="0" collapsed="false">
      <c r="A846" s="15" t="s">
        <v>261</v>
      </c>
      <c r="B846" s="11" t="str">
        <f aca="false">INDEX(PRODUTOS!$E$4:$E$63,MATCH($A846,PRODUTOS!$B$4:$B$63,0))</f>
        <v>Palito Flex Natural Dots Hortelã 70 g</v>
      </c>
      <c r="C846" s="11" t="str">
        <f aca="false">INDEX(PRODUTOS!$H$4:$H$63,MATCH($A846,PRODUTOS!$B$4:$B$63,0))</f>
        <v>70 g</v>
      </c>
      <c r="D846" s="11" t="s">
        <v>334</v>
      </c>
      <c r="E846" s="16" t="str">
        <f aca="false">$A846&amp;"."&amp;$D846&amp;".jpg"</f>
        <v>7908591301113.AP01.jpg</v>
      </c>
      <c r="F846" s="11" t="str">
        <f aca="false">IF(INDEX(PRODUTOS!$I$4:$I$63,MATCH($A846,PRODUTOS!$B$4:$B$63,0))="B",INDEX(MODELOS!$F$3:$F$19,MATCH($D846,MODELOS!$A$3:$A$19,0)),INDEX(MODELOS!$B$3:$B$19,MATCH($D846,MODELOS!$A$3:$A$19,0)))</f>
        <v>A+ · Módulo 1 · Banner</v>
      </c>
      <c r="G846" s="11" t="str">
        <f aca="false">IF(INDEX(PRODUTOS!$F$4:$F$63,MATCH($A846,PRODUTOS!$B$4:$B$63,0))="Ração",IF(INDEX(PRODUTOS!$I$4:$I$63,MATCH($A846,PRODUTOS!$B$4:$B$63,0))="B",INDEX(MODELOS!$G$3:$G$19,MATCH($D846,MODELOS!$A$3:$A$19,0)),INDEX(MODELOS!$C$3:$C$19,MATCH($D846,MODELOS!$A$3:$A$19,0))),IF(INDEX(PRODUTOS!$I$4:$I$63,MATCH($A846,PRODUTOS!$B$4:$B$63,0))="B",INDEX(MODELOS!$H$3:$H$19,MATCH($D846,MODELOS!$A$3:$A$19,0)),INDEX(MODELOS!$D$3:$D$19,MATCH($D846,MODELOS!$A$3:$A$19,0))))</f>
        <v>Produto + pet, com o nome da linha</v>
      </c>
      <c r="H846" s="11" t="str">
        <f aca="false">IF(INDEX(PRODUTOS!$I$4:$I$63,MATCH($A846,PRODUTOS!$B$4:$B$63,0))="B",INDEX(MODELOS!$I$3:$I$19,MATCH($D846,MODELOS!$A$3:$A$19,0)),INDEX(MODELOS!$E$3:$E$19,MATCH($D846,MODELOS!$A$3:$A$19,0)))</f>
        <v>970 × 600</v>
      </c>
      <c r="I846" s="11" t="str">
        <f aca="false">INDEX(MODELOS!$J$3:$J$19,MATCH($D846,MODELOS!$A$3:$A$19,0))</f>
        <v>Conforme modelo</v>
      </c>
      <c r="J846" s="11" t="str">
        <f aca="false">IF(LEFT($D846,2)&lt;&gt;"AP",IF($I846="SIM","SIM","RECOMENDADA"),IF(INDEX(PRODUTOS!$J$4:$J$63,MATCH($A846,PRODUTOS!$B$4:$B$63,0))&lt;&gt;"","NÃO (usa o A+ do EAN "&amp;INDEX(PRODUTOS!$J$4:$J$63,MATCH($A846,PRODUTOS!$B$4:$B$63,0))&amp;")",IF(AND(INDEX(PRODUTOS!$I$4:$I$63,MATCH($A846,PRODUTOS!$B$4:$B$63,0))="B",$D846="AP07"),"NÃO (modelo B)","SIM")))</f>
        <v>SIM</v>
      </c>
      <c r="K846" s="13" t="s">
        <v>325</v>
      </c>
      <c r="L846" s="13"/>
    </row>
    <row r="847" customFormat="false" ht="15" hidden="false" customHeight="false" outlineLevel="0" collapsed="false">
      <c r="A847" s="15" t="s">
        <v>261</v>
      </c>
      <c r="B847" s="11" t="str">
        <f aca="false">INDEX(PRODUTOS!$E$4:$E$63,MATCH($A847,PRODUTOS!$B$4:$B$63,0))</f>
        <v>Palito Flex Natural Dots Hortelã 70 g</v>
      </c>
      <c r="C847" s="11" t="str">
        <f aca="false">INDEX(PRODUTOS!$H$4:$H$63,MATCH($A847,PRODUTOS!$B$4:$B$63,0))</f>
        <v>70 g</v>
      </c>
      <c r="D847" s="11" t="s">
        <v>335</v>
      </c>
      <c r="E847" s="16" t="str">
        <f aca="false">$A847&amp;"."&amp;$D847&amp;".jpg"</f>
        <v>7908591301113.AP02.jpg</v>
      </c>
      <c r="F847" s="11" t="str">
        <f aca="false">IF(INDEX(PRODUTOS!$I$4:$I$63,MATCH($A847,PRODUTOS!$B$4:$B$63,0))="B",INDEX(MODELOS!$F$3:$F$19,MATCH($D847,MODELOS!$A$3:$A$19,0)),INDEX(MODELOS!$B$3:$B$19,MATCH($D847,MODELOS!$A$3:$A$19,0)))</f>
        <v>A+ · Módulo 2 · Texto sobreposto</v>
      </c>
      <c r="G847" s="11" t="str">
        <f aca="false">IF(INDEX(PRODUTOS!$F$4:$F$63,MATCH($A847,PRODUTOS!$B$4:$B$63,0))="Ração",IF(INDEX(PRODUTOS!$I$4:$I$63,MATCH($A847,PRODUTOS!$B$4:$B$63,0))="B",INDEX(MODELOS!$G$3:$G$19,MATCH($D847,MODELOS!$A$3:$A$19,0)),INDEX(MODELOS!$C$3:$C$19,MATCH($D847,MODELOS!$A$3:$A$19,0))),IF(INDEX(PRODUTOS!$I$4:$I$63,MATCH($A847,PRODUTOS!$B$4:$B$63,0))="B",INDEX(MODELOS!$H$3:$H$19,MATCH($D847,MODELOS!$A$3:$A$19,0)),INDEX(MODELOS!$D$3:$D$19,MATCH($D847,MODELOS!$A$3:$A$19,0))))</f>
        <v>Principal diferencial; deixar o lado direito limpo</v>
      </c>
      <c r="H847" s="11" t="str">
        <f aca="false">IF(INDEX(PRODUTOS!$I$4:$I$63,MATCH($A847,PRODUTOS!$B$4:$B$63,0))="B",INDEX(MODELOS!$I$3:$I$19,MATCH($D847,MODELOS!$A$3:$A$19,0)),INDEX(MODELOS!$E$3:$E$19,MATCH($D847,MODELOS!$A$3:$A$19,0)))</f>
        <v>970 × 300</v>
      </c>
      <c r="I847" s="11" t="str">
        <f aca="false">INDEX(MODELOS!$J$3:$J$19,MATCH($D847,MODELOS!$A$3:$A$19,0))</f>
        <v>Conforme modelo</v>
      </c>
      <c r="J847" s="11" t="str">
        <f aca="false">IF(LEFT($D847,2)&lt;&gt;"AP",IF($I847="SIM","SIM","RECOMENDADA"),IF(INDEX(PRODUTOS!$J$4:$J$63,MATCH($A847,PRODUTOS!$B$4:$B$63,0))&lt;&gt;"","NÃO (usa o A+ do EAN "&amp;INDEX(PRODUTOS!$J$4:$J$63,MATCH($A847,PRODUTOS!$B$4:$B$63,0))&amp;")",IF(AND(INDEX(PRODUTOS!$I$4:$I$63,MATCH($A847,PRODUTOS!$B$4:$B$63,0))="B",$D847="AP07"),"NÃO (modelo B)","SIM")))</f>
        <v>SIM</v>
      </c>
      <c r="K847" s="13" t="s">
        <v>325</v>
      </c>
      <c r="L847" s="13"/>
    </row>
    <row r="848" customFormat="false" ht="15" hidden="false" customHeight="false" outlineLevel="0" collapsed="false">
      <c r="A848" s="15" t="s">
        <v>261</v>
      </c>
      <c r="B848" s="11" t="str">
        <f aca="false">INDEX(PRODUTOS!$E$4:$E$63,MATCH($A848,PRODUTOS!$B$4:$B$63,0))</f>
        <v>Palito Flex Natural Dots Hortelã 70 g</v>
      </c>
      <c r="C848" s="11" t="str">
        <f aca="false">INDEX(PRODUTOS!$H$4:$H$63,MATCH($A848,PRODUTOS!$B$4:$B$63,0))</f>
        <v>70 g</v>
      </c>
      <c r="D848" s="11" t="s">
        <v>336</v>
      </c>
      <c r="E848" s="16" t="str">
        <f aca="false">$A848&amp;"."&amp;$D848&amp;".jpg"</f>
        <v>7908591301113.AP03.jpg</v>
      </c>
      <c r="F848" s="11" t="str">
        <f aca="false">IF(INDEX(PRODUTOS!$I$4:$I$63,MATCH($A848,PRODUTOS!$B$4:$B$63,0))="B",INDEX(MODELOS!$F$3:$F$19,MATCH($D848,MODELOS!$A$3:$A$19,0)),INDEX(MODELOS!$B$3:$B$19,MATCH($D848,MODELOS!$A$3:$A$19,0)))</f>
        <v>A+ · Módulo 3 · Benefício 1 de 4</v>
      </c>
      <c r="G848" s="11" t="str">
        <f aca="false">IF(INDEX(PRODUTOS!$F$4:$F$63,MATCH($A848,PRODUTOS!$B$4:$B$63,0))="Ração",IF(INDEX(PRODUTOS!$I$4:$I$63,MATCH($A848,PRODUTOS!$B$4:$B$63,0))="B",INDEX(MODELOS!$G$3:$G$19,MATCH($D848,MODELOS!$A$3:$A$19,0)),INDEX(MODELOS!$C$3:$C$19,MATCH($D848,MODELOS!$A$3:$A$19,0))),IF(INDEX(PRODUTOS!$I$4:$I$63,MATCH($A848,PRODUTOS!$B$4:$B$63,0))="B",INDEX(MODELOS!$H$3:$H$19,MATCH($D848,MODELOS!$A$3:$A$19,0)),INDEX(MODELOS!$D$3:$D$19,MATCH($D848,MODELOS!$A$3:$A$19,0))))</f>
        <v>Foto/ilustração do benefício 1</v>
      </c>
      <c r="H848" s="11" t="str">
        <f aca="false">IF(INDEX(PRODUTOS!$I$4:$I$63,MATCH($A848,PRODUTOS!$B$4:$B$63,0))="B",INDEX(MODELOS!$I$3:$I$19,MATCH($D848,MODELOS!$A$3:$A$19,0)),INDEX(MODELOS!$E$3:$E$19,MATCH($D848,MODELOS!$A$3:$A$19,0)))</f>
        <v>220 × 200</v>
      </c>
      <c r="I848" s="11" t="str">
        <f aca="false">INDEX(MODELOS!$J$3:$J$19,MATCH($D848,MODELOS!$A$3:$A$19,0))</f>
        <v>Conforme modelo</v>
      </c>
      <c r="J848" s="11" t="str">
        <f aca="false">IF(LEFT($D848,2)&lt;&gt;"AP",IF($I848="SIM","SIM","RECOMENDADA"),IF(INDEX(PRODUTOS!$J$4:$J$63,MATCH($A848,PRODUTOS!$B$4:$B$63,0))&lt;&gt;"","NÃO (usa o A+ do EAN "&amp;INDEX(PRODUTOS!$J$4:$J$63,MATCH($A848,PRODUTOS!$B$4:$B$63,0))&amp;")",IF(AND(INDEX(PRODUTOS!$I$4:$I$63,MATCH($A848,PRODUTOS!$B$4:$B$63,0))="B",$D848="AP07"),"NÃO (modelo B)","SIM")))</f>
        <v>SIM</v>
      </c>
      <c r="K848" s="13" t="s">
        <v>325</v>
      </c>
      <c r="L848" s="13"/>
    </row>
    <row r="849" customFormat="false" ht="15" hidden="false" customHeight="false" outlineLevel="0" collapsed="false">
      <c r="A849" s="15" t="s">
        <v>261</v>
      </c>
      <c r="B849" s="11" t="str">
        <f aca="false">INDEX(PRODUTOS!$E$4:$E$63,MATCH($A849,PRODUTOS!$B$4:$B$63,0))</f>
        <v>Palito Flex Natural Dots Hortelã 70 g</v>
      </c>
      <c r="C849" s="11" t="str">
        <f aca="false">INDEX(PRODUTOS!$H$4:$H$63,MATCH($A849,PRODUTOS!$B$4:$B$63,0))</f>
        <v>70 g</v>
      </c>
      <c r="D849" s="11" t="s">
        <v>337</v>
      </c>
      <c r="E849" s="16" t="str">
        <f aca="false">$A849&amp;"."&amp;$D849&amp;".jpg"</f>
        <v>7908591301113.AP04.jpg</v>
      </c>
      <c r="F849" s="11" t="str">
        <f aca="false">IF(INDEX(PRODUTOS!$I$4:$I$63,MATCH($A849,PRODUTOS!$B$4:$B$63,0))="B",INDEX(MODELOS!$F$3:$F$19,MATCH($D849,MODELOS!$A$3:$A$19,0)),INDEX(MODELOS!$B$3:$B$19,MATCH($D849,MODELOS!$A$3:$A$19,0)))</f>
        <v>A+ · Módulo 3 · Benefício 2 de 4</v>
      </c>
      <c r="G849" s="11" t="str">
        <f aca="false">IF(INDEX(PRODUTOS!$F$4:$F$63,MATCH($A849,PRODUTOS!$B$4:$B$63,0))="Ração",IF(INDEX(PRODUTOS!$I$4:$I$63,MATCH($A849,PRODUTOS!$B$4:$B$63,0))="B",INDEX(MODELOS!$G$3:$G$19,MATCH($D849,MODELOS!$A$3:$A$19,0)),INDEX(MODELOS!$C$3:$C$19,MATCH($D849,MODELOS!$A$3:$A$19,0))),IF(INDEX(PRODUTOS!$I$4:$I$63,MATCH($A849,PRODUTOS!$B$4:$B$63,0))="B",INDEX(MODELOS!$H$3:$H$19,MATCH($D849,MODELOS!$A$3:$A$19,0)),INDEX(MODELOS!$D$3:$D$19,MATCH($D849,MODELOS!$A$3:$A$19,0))))</f>
        <v>Foto/ilustração do benefício 2</v>
      </c>
      <c r="H849" s="11" t="str">
        <f aca="false">IF(INDEX(PRODUTOS!$I$4:$I$63,MATCH($A849,PRODUTOS!$B$4:$B$63,0))="B",INDEX(MODELOS!$I$3:$I$19,MATCH($D849,MODELOS!$A$3:$A$19,0)),INDEX(MODELOS!$E$3:$E$19,MATCH($D849,MODELOS!$A$3:$A$19,0)))</f>
        <v>220 × 200</v>
      </c>
      <c r="I849" s="11" t="str">
        <f aca="false">INDEX(MODELOS!$J$3:$J$19,MATCH($D849,MODELOS!$A$3:$A$19,0))</f>
        <v>Conforme modelo</v>
      </c>
      <c r="J849" s="11" t="str">
        <f aca="false">IF(LEFT($D849,2)&lt;&gt;"AP",IF($I849="SIM","SIM","RECOMENDADA"),IF(INDEX(PRODUTOS!$J$4:$J$63,MATCH($A849,PRODUTOS!$B$4:$B$63,0))&lt;&gt;"","NÃO (usa o A+ do EAN "&amp;INDEX(PRODUTOS!$J$4:$J$63,MATCH($A849,PRODUTOS!$B$4:$B$63,0))&amp;")",IF(AND(INDEX(PRODUTOS!$I$4:$I$63,MATCH($A849,PRODUTOS!$B$4:$B$63,0))="B",$D849="AP07"),"NÃO (modelo B)","SIM")))</f>
        <v>SIM</v>
      </c>
      <c r="K849" s="13" t="s">
        <v>325</v>
      </c>
      <c r="L849" s="13"/>
    </row>
    <row r="850" customFormat="false" ht="15" hidden="false" customHeight="false" outlineLevel="0" collapsed="false">
      <c r="A850" s="15" t="s">
        <v>261</v>
      </c>
      <c r="B850" s="11" t="str">
        <f aca="false">INDEX(PRODUTOS!$E$4:$E$63,MATCH($A850,PRODUTOS!$B$4:$B$63,0))</f>
        <v>Palito Flex Natural Dots Hortelã 70 g</v>
      </c>
      <c r="C850" s="11" t="str">
        <f aca="false">INDEX(PRODUTOS!$H$4:$H$63,MATCH($A850,PRODUTOS!$B$4:$B$63,0))</f>
        <v>70 g</v>
      </c>
      <c r="D850" s="11" t="s">
        <v>338</v>
      </c>
      <c r="E850" s="16" t="str">
        <f aca="false">$A850&amp;"."&amp;$D850&amp;".jpg"</f>
        <v>7908591301113.AP05.jpg</v>
      </c>
      <c r="F850" s="11" t="str">
        <f aca="false">IF(INDEX(PRODUTOS!$I$4:$I$63,MATCH($A850,PRODUTOS!$B$4:$B$63,0))="B",INDEX(MODELOS!$F$3:$F$19,MATCH($D850,MODELOS!$A$3:$A$19,0)),INDEX(MODELOS!$B$3:$B$19,MATCH($D850,MODELOS!$A$3:$A$19,0)))</f>
        <v>A+ · Módulo 3 · Benefício 3 de 4</v>
      </c>
      <c r="G850" s="11" t="str">
        <f aca="false">IF(INDEX(PRODUTOS!$F$4:$F$63,MATCH($A850,PRODUTOS!$B$4:$B$63,0))="Ração",IF(INDEX(PRODUTOS!$I$4:$I$63,MATCH($A850,PRODUTOS!$B$4:$B$63,0))="B",INDEX(MODELOS!$G$3:$G$19,MATCH($D850,MODELOS!$A$3:$A$19,0)),INDEX(MODELOS!$C$3:$C$19,MATCH($D850,MODELOS!$A$3:$A$19,0))),IF(INDEX(PRODUTOS!$I$4:$I$63,MATCH($A850,PRODUTOS!$B$4:$B$63,0))="B",INDEX(MODELOS!$H$3:$H$19,MATCH($D850,MODELOS!$A$3:$A$19,0)),INDEX(MODELOS!$D$3:$D$19,MATCH($D850,MODELOS!$A$3:$A$19,0))))</f>
        <v>Foto/ilustração do benefício 3</v>
      </c>
      <c r="H850" s="11" t="str">
        <f aca="false">IF(INDEX(PRODUTOS!$I$4:$I$63,MATCH($A850,PRODUTOS!$B$4:$B$63,0))="B",INDEX(MODELOS!$I$3:$I$19,MATCH($D850,MODELOS!$A$3:$A$19,0)),INDEX(MODELOS!$E$3:$E$19,MATCH($D850,MODELOS!$A$3:$A$19,0)))</f>
        <v>220 × 200</v>
      </c>
      <c r="I850" s="11" t="str">
        <f aca="false">INDEX(MODELOS!$J$3:$J$19,MATCH($D850,MODELOS!$A$3:$A$19,0))</f>
        <v>Conforme modelo</v>
      </c>
      <c r="J850" s="11" t="str">
        <f aca="false">IF(LEFT($D850,2)&lt;&gt;"AP",IF($I850="SIM","SIM","RECOMENDADA"),IF(INDEX(PRODUTOS!$J$4:$J$63,MATCH($A850,PRODUTOS!$B$4:$B$63,0))&lt;&gt;"","NÃO (usa o A+ do EAN "&amp;INDEX(PRODUTOS!$J$4:$J$63,MATCH($A850,PRODUTOS!$B$4:$B$63,0))&amp;")",IF(AND(INDEX(PRODUTOS!$I$4:$I$63,MATCH($A850,PRODUTOS!$B$4:$B$63,0))="B",$D850="AP07"),"NÃO (modelo B)","SIM")))</f>
        <v>SIM</v>
      </c>
      <c r="K850" s="13" t="s">
        <v>325</v>
      </c>
      <c r="L850" s="13"/>
    </row>
    <row r="851" customFormat="false" ht="15" hidden="false" customHeight="false" outlineLevel="0" collapsed="false">
      <c r="A851" s="15" t="s">
        <v>261</v>
      </c>
      <c r="B851" s="11" t="str">
        <f aca="false">INDEX(PRODUTOS!$E$4:$E$63,MATCH($A851,PRODUTOS!$B$4:$B$63,0))</f>
        <v>Palito Flex Natural Dots Hortelã 70 g</v>
      </c>
      <c r="C851" s="11" t="str">
        <f aca="false">INDEX(PRODUTOS!$H$4:$H$63,MATCH($A851,PRODUTOS!$B$4:$B$63,0))</f>
        <v>70 g</v>
      </c>
      <c r="D851" s="11" t="s">
        <v>339</v>
      </c>
      <c r="E851" s="16" t="str">
        <f aca="false">$A851&amp;"."&amp;$D851&amp;".jpg"</f>
        <v>7908591301113.AP06.jpg</v>
      </c>
      <c r="F851" s="11" t="str">
        <f aca="false">IF(INDEX(PRODUTOS!$I$4:$I$63,MATCH($A851,PRODUTOS!$B$4:$B$63,0))="B",INDEX(MODELOS!$F$3:$F$19,MATCH($D851,MODELOS!$A$3:$A$19,0)),INDEX(MODELOS!$B$3:$B$19,MATCH($D851,MODELOS!$A$3:$A$19,0)))</f>
        <v>A+ · Módulo 3 · Benefício 4 de 4</v>
      </c>
      <c r="G851" s="11" t="str">
        <f aca="false">IF(INDEX(PRODUTOS!$F$4:$F$63,MATCH($A851,PRODUTOS!$B$4:$B$63,0))="Ração",IF(INDEX(PRODUTOS!$I$4:$I$63,MATCH($A851,PRODUTOS!$B$4:$B$63,0))="B",INDEX(MODELOS!$G$3:$G$19,MATCH($D851,MODELOS!$A$3:$A$19,0)),INDEX(MODELOS!$C$3:$C$19,MATCH($D851,MODELOS!$A$3:$A$19,0))),IF(INDEX(PRODUTOS!$I$4:$I$63,MATCH($A851,PRODUTOS!$B$4:$B$63,0))="B",INDEX(MODELOS!$H$3:$H$19,MATCH($D851,MODELOS!$A$3:$A$19,0)),INDEX(MODELOS!$D$3:$D$19,MATCH($D851,MODELOS!$A$3:$A$19,0))))</f>
        <v>Foto/ilustração do benefício 4</v>
      </c>
      <c r="H851" s="11" t="str">
        <f aca="false">IF(INDEX(PRODUTOS!$I$4:$I$63,MATCH($A851,PRODUTOS!$B$4:$B$63,0))="B",INDEX(MODELOS!$I$3:$I$19,MATCH($D851,MODELOS!$A$3:$A$19,0)),INDEX(MODELOS!$E$3:$E$19,MATCH($D851,MODELOS!$A$3:$A$19,0)))</f>
        <v>220 × 200</v>
      </c>
      <c r="I851" s="11" t="str">
        <f aca="false">INDEX(MODELOS!$J$3:$J$19,MATCH($D851,MODELOS!$A$3:$A$19,0))</f>
        <v>Conforme modelo</v>
      </c>
      <c r="J851" s="11" t="str">
        <f aca="false">IF(LEFT($D851,2)&lt;&gt;"AP",IF($I851="SIM","SIM","RECOMENDADA"),IF(INDEX(PRODUTOS!$J$4:$J$63,MATCH($A851,PRODUTOS!$B$4:$B$63,0))&lt;&gt;"","NÃO (usa o A+ do EAN "&amp;INDEX(PRODUTOS!$J$4:$J$63,MATCH($A851,PRODUTOS!$B$4:$B$63,0))&amp;")",IF(AND(INDEX(PRODUTOS!$I$4:$I$63,MATCH($A851,PRODUTOS!$B$4:$B$63,0))="B",$D851="AP07"),"NÃO (modelo B)","SIM")))</f>
        <v>SIM</v>
      </c>
      <c r="K851" s="13" t="s">
        <v>325</v>
      </c>
      <c r="L851" s="13"/>
    </row>
    <row r="852" customFormat="false" ht="15" hidden="false" customHeight="false" outlineLevel="0" collapsed="false">
      <c r="A852" s="15" t="s">
        <v>261</v>
      </c>
      <c r="B852" s="11" t="str">
        <f aca="false">INDEX(PRODUTOS!$E$4:$E$63,MATCH($A852,PRODUTOS!$B$4:$B$63,0))</f>
        <v>Palito Flex Natural Dots Hortelã 70 g</v>
      </c>
      <c r="C852" s="11" t="str">
        <f aca="false">INDEX(PRODUTOS!$H$4:$H$63,MATCH($A852,PRODUTOS!$B$4:$B$63,0))</f>
        <v>70 g</v>
      </c>
      <c r="D852" s="11" t="s">
        <v>340</v>
      </c>
      <c r="E852" s="16" t="str">
        <f aca="false">$A852&amp;"."&amp;$D852&amp;".jpg"</f>
        <v>7908591301113.AP07.jpg</v>
      </c>
      <c r="F852" s="11" t="str">
        <f aca="false">IF(INDEX(PRODUTOS!$I$4:$I$63,MATCH($A852,PRODUTOS!$B$4:$B$63,0))="B",INDEX(MODELOS!$F$3:$F$19,MATCH($D852,MODELOS!$A$3:$A$19,0)),INDEX(MODELOS!$B$3:$B$19,MATCH($D852,MODELOS!$A$3:$A$19,0)))</f>
        <v>A+ · Módulo 4 · Especificações</v>
      </c>
      <c r="G852" s="11" t="str">
        <f aca="false">IF(INDEX(PRODUTOS!$F$4:$F$63,MATCH($A852,PRODUTOS!$B$4:$B$63,0))="Ração",IF(INDEX(PRODUTOS!$I$4:$I$63,MATCH($A852,PRODUTOS!$B$4:$B$63,0))="B",INDEX(MODELOS!$G$3:$G$19,MATCH($D852,MODELOS!$A$3:$A$19,0)),INDEX(MODELOS!$C$3:$C$19,MATCH($D852,MODELOS!$A$3:$A$19,0))),IF(INDEX(PRODUTOS!$I$4:$I$63,MATCH($A852,PRODUTOS!$B$4:$B$63,0))="B",INDEX(MODELOS!$H$3:$H$19,MATCH($D852,MODELOS!$A$3:$A$19,0)),INDEX(MODELOS!$D$3:$D$19,MATCH($D852,MODELOS!$A$3:$A$19,0))))</f>
        <v>Produto em destaque</v>
      </c>
      <c r="H852" s="11" t="str">
        <f aca="false">IF(INDEX(PRODUTOS!$I$4:$I$63,MATCH($A852,PRODUTOS!$B$4:$B$63,0))="B",INDEX(MODELOS!$I$3:$I$19,MATCH($D852,MODELOS!$A$3:$A$19,0)),INDEX(MODELOS!$E$3:$E$19,MATCH($D852,MODELOS!$A$3:$A$19,0)))</f>
        <v>300 × 300</v>
      </c>
      <c r="I852" s="11" t="str">
        <f aca="false">INDEX(MODELOS!$J$3:$J$19,MATCH($D852,MODELOS!$A$3:$A$19,0))</f>
        <v>Conforme modelo</v>
      </c>
      <c r="J852" s="11" t="str">
        <f aca="false">IF(LEFT($D852,2)&lt;&gt;"AP",IF($I852="SIM","SIM","RECOMENDADA"),IF(INDEX(PRODUTOS!$J$4:$J$63,MATCH($A852,PRODUTOS!$B$4:$B$63,0))&lt;&gt;"","NÃO (usa o A+ do EAN "&amp;INDEX(PRODUTOS!$J$4:$J$63,MATCH($A852,PRODUTOS!$B$4:$B$63,0))&amp;")",IF(AND(INDEX(PRODUTOS!$I$4:$I$63,MATCH($A852,PRODUTOS!$B$4:$B$63,0))="B",$D852="AP07"),"NÃO (modelo B)","SIM")))</f>
        <v>SIM</v>
      </c>
      <c r="K852" s="13" t="s">
        <v>325</v>
      </c>
      <c r="L852" s="13"/>
    </row>
    <row r="853" customFormat="false" ht="15" hidden="false" customHeight="false" outlineLevel="0" collapsed="false">
      <c r="A853" s="15" t="s">
        <v>261</v>
      </c>
      <c r="B853" s="11" t="str">
        <f aca="false">INDEX(PRODUTOS!$E$4:$E$63,MATCH($A853,PRODUTOS!$B$4:$B$63,0))</f>
        <v>Palito Flex Natural Dots Hortelã 70 g</v>
      </c>
      <c r="C853" s="11" t="str">
        <f aca="false">INDEX(PRODUTOS!$H$4:$H$63,MATCH($A853,PRODUTOS!$B$4:$B$63,0))</f>
        <v>70 g</v>
      </c>
      <c r="D853" s="11" t="s">
        <v>341</v>
      </c>
      <c r="E853" s="16" t="str">
        <f aca="false">$A853&amp;"."&amp;$D853&amp;".jpg"</f>
        <v>7908591301113.COMP.jpg</v>
      </c>
      <c r="F853" s="11" t="str">
        <f aca="false">IF(INDEX(PRODUTOS!$I$4:$I$63,MATCH($A853,PRODUTOS!$B$4:$B$63,0))="B",INDEX(MODELOS!$F$3:$F$19,MATCH($D853,MODELOS!$A$3:$A$19,0)),INDEX(MODELOS!$B$3:$B$19,MATCH($D853,MODELOS!$A$3:$A$19,0)))</f>
        <v>A+ · Tabela comparativa</v>
      </c>
      <c r="G853" s="11" t="str">
        <f aca="false">IF(INDEX(PRODUTOS!$F$4:$F$63,MATCH($A853,PRODUTOS!$B$4:$B$63,0))="Ração",IF(INDEX(PRODUTOS!$I$4:$I$63,MATCH($A853,PRODUTOS!$B$4:$B$63,0))="B",INDEX(MODELOS!$G$3:$G$19,MATCH($D853,MODELOS!$A$3:$A$19,0)),INDEX(MODELOS!$C$3:$C$19,MATCH($D853,MODELOS!$A$3:$A$19,0))),IF(INDEX(PRODUTOS!$I$4:$I$63,MATCH($A853,PRODUTOS!$B$4:$B$63,0))="B",INDEX(MODELOS!$H$3:$H$19,MATCH($D853,MODELOS!$A$3:$A$19,0)),INDEX(MODELOS!$D$3:$D$19,MATCH($D853,MODELOS!$A$3:$A$19,0))))</f>
        <v>Produto na vertical, sem fundo colorido</v>
      </c>
      <c r="H853" s="11" t="str">
        <f aca="false">IF(INDEX(PRODUTOS!$I$4:$I$63,MATCH($A853,PRODUTOS!$B$4:$B$63,0))="B",INDEX(MODELOS!$I$3:$I$19,MATCH($D853,MODELOS!$A$3:$A$19,0)),INDEX(MODELOS!$E$3:$E$19,MATCH($D853,MODELOS!$A$3:$A$19,0)))</f>
        <v>150 × 300</v>
      </c>
      <c r="I853" s="11" t="str">
        <f aca="false">INDEX(MODELOS!$J$3:$J$19,MATCH($D853,MODELOS!$A$3:$A$19,0))</f>
        <v>SIM</v>
      </c>
      <c r="J853" s="11" t="str">
        <f aca="false">IF(LEFT($D853,2)&lt;&gt;"AP",IF($I853="SIM","SIM","RECOMENDADA"),IF(INDEX(PRODUTOS!$J$4:$J$63,MATCH($A853,PRODUTOS!$B$4:$B$63,0))&lt;&gt;"","NÃO (usa o A+ do EAN "&amp;INDEX(PRODUTOS!$J$4:$J$63,MATCH($A853,PRODUTOS!$B$4:$B$63,0))&amp;")",IF(AND(INDEX(PRODUTOS!$I$4:$I$63,MATCH($A853,PRODUTOS!$B$4:$B$63,0))="B",$D853="AP07"),"NÃO (modelo B)","SIM")))</f>
        <v>SIM</v>
      </c>
      <c r="K853" s="13" t="s">
        <v>325</v>
      </c>
      <c r="L853" s="13"/>
    </row>
    <row r="854" customFormat="false" ht="15" hidden="false" customHeight="false" outlineLevel="0" collapsed="false">
      <c r="A854" s="15" t="s">
        <v>266</v>
      </c>
      <c r="B854" s="11" t="str">
        <f aca="false">INDEX(PRODUTOS!$E$4:$E$63,MATCH($A854,PRODUTOS!$B$4:$B$63,0))</f>
        <v>Palito Flex Natural Dots Leite 70 g</v>
      </c>
      <c r="C854" s="11" t="str">
        <f aca="false">INDEX(PRODUTOS!$H$4:$H$63,MATCH($A854,PRODUTOS!$B$4:$B$63,0))</f>
        <v>70 g</v>
      </c>
      <c r="D854" s="11" t="s">
        <v>324</v>
      </c>
      <c r="E854" s="16" t="str">
        <f aca="false">$A854&amp;"."&amp;$D854&amp;".jpg"</f>
        <v>7908591301120.MAIN.jpg</v>
      </c>
      <c r="F854" s="11" t="str">
        <f aca="false">IF(INDEX(PRODUTOS!$I$4:$I$63,MATCH($A854,PRODUTOS!$B$4:$B$63,0))="B",INDEX(MODELOS!$F$3:$F$19,MATCH($D854,MODELOS!$A$3:$A$19,0)),INDEX(MODELOS!$B$3:$B$19,MATCH($D854,MODELOS!$A$3:$A$19,0)))</f>
        <v>Capa (posição 1)</v>
      </c>
      <c r="G854" s="11" t="str">
        <f aca="false">IF(INDEX(PRODUTOS!$F$4:$F$63,MATCH($A854,PRODUTOS!$B$4:$B$63,0))="Ração",IF(INDEX(PRODUTOS!$I$4:$I$63,MATCH($A854,PRODUTOS!$B$4:$B$63,0))="B",INDEX(MODELOS!$G$3:$G$19,MATCH($D854,MODELOS!$A$3:$A$19,0)),INDEX(MODELOS!$C$3:$C$19,MATCH($D854,MODELOS!$A$3:$A$19,0))),IF(INDEX(PRODUTOS!$I$4:$I$63,MATCH($A854,PRODUTOS!$B$4:$B$63,0))="B",INDEX(MODELOS!$H$3:$H$19,MATCH($D854,MODELOS!$A$3:$A$19,0)),INDEX(MODELOS!$D$3:$D$19,MATCH($D854,MODELOS!$A$3:$A$19,0))))</f>
        <v>Embalagem de frente, fundo branco puro, 85% da área, nada adicionado</v>
      </c>
      <c r="H854" s="11" t="str">
        <f aca="false">IF(INDEX(PRODUTOS!$I$4:$I$63,MATCH($A854,PRODUTOS!$B$4:$B$63,0))="B",INDEX(MODELOS!$I$3:$I$19,MATCH($D854,MODELOS!$A$3:$A$19,0)),INDEX(MODELOS!$E$3:$E$19,MATCH($D854,MODELOS!$A$3:$A$19,0)))</f>
        <v>2000 × 2000</v>
      </c>
      <c r="I854" s="11" t="str">
        <f aca="false">INDEX(MODELOS!$J$3:$J$19,MATCH($D854,MODELOS!$A$3:$A$19,0))</f>
        <v>SIM</v>
      </c>
      <c r="J854" s="11" t="str">
        <f aca="false">IF(LEFT($D854,2)&lt;&gt;"AP",IF($I854="SIM","SIM","RECOMENDADA"),IF(INDEX(PRODUTOS!$J$4:$J$63,MATCH($A854,PRODUTOS!$B$4:$B$63,0))&lt;&gt;"","NÃO (usa o A+ do EAN "&amp;INDEX(PRODUTOS!$J$4:$J$63,MATCH($A854,PRODUTOS!$B$4:$B$63,0))&amp;")",IF(AND(INDEX(PRODUTOS!$I$4:$I$63,MATCH($A854,PRODUTOS!$B$4:$B$63,0))="B",$D854="AP07"),"NÃO (modelo B)","SIM")))</f>
        <v>SIM</v>
      </c>
      <c r="K854" s="13" t="s">
        <v>325</v>
      </c>
      <c r="L854" s="13"/>
    </row>
    <row r="855" customFormat="false" ht="15" hidden="false" customHeight="false" outlineLevel="0" collapsed="false">
      <c r="A855" s="15" t="s">
        <v>266</v>
      </c>
      <c r="B855" s="11" t="str">
        <f aca="false">INDEX(PRODUTOS!$E$4:$E$63,MATCH($A855,PRODUTOS!$B$4:$B$63,0))</f>
        <v>Palito Flex Natural Dots Leite 70 g</v>
      </c>
      <c r="C855" s="11" t="str">
        <f aca="false">INDEX(PRODUTOS!$H$4:$H$63,MATCH($A855,PRODUTOS!$B$4:$B$63,0))</f>
        <v>70 g</v>
      </c>
      <c r="D855" s="11" t="s">
        <v>326</v>
      </c>
      <c r="E855" s="16" t="str">
        <f aca="false">$A855&amp;"."&amp;$D855&amp;".jpg"</f>
        <v>7908591301120.PT01.jpg</v>
      </c>
      <c r="F855" s="11" t="str">
        <f aca="false">IF(INDEX(PRODUTOS!$I$4:$I$63,MATCH($A855,PRODUTOS!$B$4:$B$63,0))="B",INDEX(MODELOS!$F$3:$F$19,MATCH($D855,MODELOS!$A$3:$A$19,0)),INDEX(MODELOS!$B$3:$B$19,MATCH($D855,MODELOS!$A$3:$A$19,0)))</f>
        <v>Galeria · posição 2</v>
      </c>
      <c r="G855" s="11" t="str">
        <f aca="false">IF(INDEX(PRODUTOS!$F$4:$F$63,MATCH($A855,PRODUTOS!$B$4:$B$63,0))="Ração",IF(INDEX(PRODUTOS!$I$4:$I$63,MATCH($A855,PRODUTOS!$B$4:$B$63,0))="B",INDEX(MODELOS!$G$3:$G$19,MATCH($D855,MODELOS!$A$3:$A$19,0)),INDEX(MODELOS!$C$3:$C$19,MATCH($D855,MODELOS!$A$3:$A$19,0))),IF(INDEX(PRODUTOS!$I$4:$I$63,MATCH($A855,PRODUTOS!$B$4:$B$63,0))="B",INDEX(MODELOS!$H$3:$H$19,MATCH($D855,MODELOS!$A$3:$A$19,0)),INDEX(MODELOS!$D$3:$D$19,MATCH($D855,MODELOS!$A$3:$A$19,0))))</f>
        <v>Grande diferencial (ex.: natural, biodegradável, perfumado)</v>
      </c>
      <c r="H855" s="11" t="str">
        <f aca="false">IF(INDEX(PRODUTOS!$I$4:$I$63,MATCH($A855,PRODUTOS!$B$4:$B$63,0))="B",INDEX(MODELOS!$I$3:$I$19,MATCH($D855,MODELOS!$A$3:$A$19,0)),INDEX(MODELOS!$E$3:$E$19,MATCH($D855,MODELOS!$A$3:$A$19,0)))</f>
        <v>2000 × 2000</v>
      </c>
      <c r="I855" s="11" t="str">
        <f aca="false">INDEX(MODELOS!$J$3:$J$19,MATCH($D855,MODELOS!$A$3:$A$19,0))</f>
        <v>SIM</v>
      </c>
      <c r="J855" s="11" t="str">
        <f aca="false">IF(LEFT($D855,2)&lt;&gt;"AP",IF($I855="SIM","SIM","RECOMENDADA"),IF(INDEX(PRODUTOS!$J$4:$J$63,MATCH($A855,PRODUTOS!$B$4:$B$63,0))&lt;&gt;"","NÃO (usa o A+ do EAN "&amp;INDEX(PRODUTOS!$J$4:$J$63,MATCH($A855,PRODUTOS!$B$4:$B$63,0))&amp;")",IF(AND(INDEX(PRODUTOS!$I$4:$I$63,MATCH($A855,PRODUTOS!$B$4:$B$63,0))="B",$D855="AP07"),"NÃO (modelo B)","SIM")))</f>
        <v>SIM</v>
      </c>
      <c r="K855" s="13" t="s">
        <v>325</v>
      </c>
      <c r="L855" s="13"/>
    </row>
    <row r="856" customFormat="false" ht="15" hidden="false" customHeight="false" outlineLevel="0" collapsed="false">
      <c r="A856" s="15" t="s">
        <v>266</v>
      </c>
      <c r="B856" s="11" t="str">
        <f aca="false">INDEX(PRODUTOS!$E$4:$E$63,MATCH($A856,PRODUTOS!$B$4:$B$63,0))</f>
        <v>Palito Flex Natural Dots Leite 70 g</v>
      </c>
      <c r="C856" s="11" t="str">
        <f aca="false">INDEX(PRODUTOS!$H$4:$H$63,MATCH($A856,PRODUTOS!$B$4:$B$63,0))</f>
        <v>70 g</v>
      </c>
      <c r="D856" s="11" t="s">
        <v>327</v>
      </c>
      <c r="E856" s="16" t="str">
        <f aca="false">$A856&amp;"."&amp;$D856&amp;".jpg"</f>
        <v>7908591301120.PT02.jpg</v>
      </c>
      <c r="F856" s="11" t="str">
        <f aca="false">IF(INDEX(PRODUTOS!$I$4:$I$63,MATCH($A856,PRODUTOS!$B$4:$B$63,0))="B",INDEX(MODELOS!$F$3:$F$19,MATCH($D856,MODELOS!$A$3:$A$19,0)),INDEX(MODELOS!$B$3:$B$19,MATCH($D856,MODELOS!$A$3:$A$19,0)))</f>
        <v>Galeria · posição 3</v>
      </c>
      <c r="G856" s="11" t="str">
        <f aca="false">IF(INDEX(PRODUTOS!$F$4:$F$63,MATCH($A856,PRODUTOS!$B$4:$B$63,0))="Ração",IF(INDEX(PRODUTOS!$I$4:$I$63,MATCH($A856,PRODUTOS!$B$4:$B$63,0))="B",INDEX(MODELOS!$G$3:$G$19,MATCH($D856,MODELOS!$A$3:$A$19,0)),INDEX(MODELOS!$C$3:$C$19,MATCH($D856,MODELOS!$A$3:$A$19,0))),IF(INDEX(PRODUTOS!$I$4:$I$63,MATCH($A856,PRODUTOS!$B$4:$B$63,0))="B",INDEX(MODELOS!$H$3:$H$19,MATCH($D856,MODELOS!$A$3:$A$19,0)),INDEX(MODELOS!$D$3:$D$19,MATCH($D856,MODELOS!$A$3:$A$19,0))))</f>
        <v>Benefícios com ícones (4 a 6, impressos na embalagem)</v>
      </c>
      <c r="H856" s="11" t="str">
        <f aca="false">IF(INDEX(PRODUTOS!$I$4:$I$63,MATCH($A856,PRODUTOS!$B$4:$B$63,0))="B",INDEX(MODELOS!$I$3:$I$19,MATCH($D856,MODELOS!$A$3:$A$19,0)),INDEX(MODELOS!$E$3:$E$19,MATCH($D856,MODELOS!$A$3:$A$19,0)))</f>
        <v>2000 × 2000</v>
      </c>
      <c r="I856" s="11" t="str">
        <f aca="false">INDEX(MODELOS!$J$3:$J$19,MATCH($D856,MODELOS!$A$3:$A$19,0))</f>
        <v>SIM</v>
      </c>
      <c r="J856" s="11" t="str">
        <f aca="false">IF(LEFT($D856,2)&lt;&gt;"AP",IF($I856="SIM","SIM","RECOMENDADA"),IF(INDEX(PRODUTOS!$J$4:$J$63,MATCH($A856,PRODUTOS!$B$4:$B$63,0))&lt;&gt;"","NÃO (usa o A+ do EAN "&amp;INDEX(PRODUTOS!$J$4:$J$63,MATCH($A856,PRODUTOS!$B$4:$B$63,0))&amp;")",IF(AND(INDEX(PRODUTOS!$I$4:$I$63,MATCH($A856,PRODUTOS!$B$4:$B$63,0))="B",$D856="AP07"),"NÃO (modelo B)","SIM")))</f>
        <v>SIM</v>
      </c>
      <c r="K856" s="13" t="s">
        <v>325</v>
      </c>
      <c r="L856" s="13"/>
    </row>
    <row r="857" customFormat="false" ht="15" hidden="false" customHeight="false" outlineLevel="0" collapsed="false">
      <c r="A857" s="15" t="s">
        <v>266</v>
      </c>
      <c r="B857" s="11" t="str">
        <f aca="false">INDEX(PRODUTOS!$E$4:$E$63,MATCH($A857,PRODUTOS!$B$4:$B$63,0))</f>
        <v>Palito Flex Natural Dots Leite 70 g</v>
      </c>
      <c r="C857" s="11" t="str">
        <f aca="false">INDEX(PRODUTOS!$H$4:$H$63,MATCH($A857,PRODUTOS!$B$4:$B$63,0))</f>
        <v>70 g</v>
      </c>
      <c r="D857" s="11" t="s">
        <v>328</v>
      </c>
      <c r="E857" s="16" t="str">
        <f aca="false">$A857&amp;"."&amp;$D857&amp;".jpg"</f>
        <v>7908591301120.PT03.jpg</v>
      </c>
      <c r="F857" s="11" t="str">
        <f aca="false">IF(INDEX(PRODUTOS!$I$4:$I$63,MATCH($A857,PRODUTOS!$B$4:$B$63,0))="B",INDEX(MODELOS!$F$3:$F$19,MATCH($D857,MODELOS!$A$3:$A$19,0)),INDEX(MODELOS!$B$3:$B$19,MATCH($D857,MODELOS!$A$3:$A$19,0)))</f>
        <v>Galeria · posição 4</v>
      </c>
      <c r="G857" s="11" t="str">
        <f aca="false">IF(INDEX(PRODUTOS!$F$4:$F$63,MATCH($A857,PRODUTOS!$B$4:$B$63,0))="Ração",IF(INDEX(PRODUTOS!$I$4:$I$63,MATCH($A857,PRODUTOS!$B$4:$B$63,0))="B",INDEX(MODELOS!$G$3:$G$19,MATCH($D857,MODELOS!$A$3:$A$19,0)),INDEX(MODELOS!$C$3:$C$19,MATCH($D857,MODELOS!$A$3:$A$19,0))),IF(INDEX(PRODUTOS!$I$4:$I$63,MATCH($A857,PRODUTOS!$B$4:$B$63,0))="B",INDEX(MODELOS!$H$3:$H$19,MATCH($D857,MODELOS!$A$3:$A$19,0)),INDEX(MODELOS!$D$3:$D$19,MATCH($D857,MODELOS!$A$3:$A$19,0))))</f>
        <v>Detalhe e tamanho real (petisco, grânulo ou tapete aberto), com medidas</v>
      </c>
      <c r="H857" s="11" t="str">
        <f aca="false">IF(INDEX(PRODUTOS!$I$4:$I$63,MATCH($A857,PRODUTOS!$B$4:$B$63,0))="B",INDEX(MODELOS!$I$3:$I$19,MATCH($D857,MODELOS!$A$3:$A$19,0)),INDEX(MODELOS!$E$3:$E$19,MATCH($D857,MODELOS!$A$3:$A$19,0)))</f>
        <v>2000 × 2000</v>
      </c>
      <c r="I857" s="11" t="str">
        <f aca="false">INDEX(MODELOS!$J$3:$J$19,MATCH($D857,MODELOS!$A$3:$A$19,0))</f>
        <v>SIM</v>
      </c>
      <c r="J857" s="11" t="str">
        <f aca="false">IF(LEFT($D857,2)&lt;&gt;"AP",IF($I857="SIM","SIM","RECOMENDADA"),IF(INDEX(PRODUTOS!$J$4:$J$63,MATCH($A857,PRODUTOS!$B$4:$B$63,0))&lt;&gt;"","NÃO (usa o A+ do EAN "&amp;INDEX(PRODUTOS!$J$4:$J$63,MATCH($A857,PRODUTOS!$B$4:$B$63,0))&amp;")",IF(AND(INDEX(PRODUTOS!$I$4:$I$63,MATCH($A857,PRODUTOS!$B$4:$B$63,0))="B",$D857="AP07"),"NÃO (modelo B)","SIM")))</f>
        <v>SIM</v>
      </c>
      <c r="K857" s="13" t="s">
        <v>325</v>
      </c>
      <c r="L857" s="13"/>
    </row>
    <row r="858" customFormat="false" ht="15" hidden="false" customHeight="false" outlineLevel="0" collapsed="false">
      <c r="A858" s="15" t="s">
        <v>266</v>
      </c>
      <c r="B858" s="11" t="str">
        <f aca="false">INDEX(PRODUTOS!$E$4:$E$63,MATCH($A858,PRODUTOS!$B$4:$B$63,0))</f>
        <v>Palito Flex Natural Dots Leite 70 g</v>
      </c>
      <c r="C858" s="11" t="str">
        <f aca="false">INDEX(PRODUTOS!$H$4:$H$63,MATCH($A858,PRODUTOS!$B$4:$B$63,0))</f>
        <v>70 g</v>
      </c>
      <c r="D858" s="11" t="s">
        <v>329</v>
      </c>
      <c r="E858" s="16" t="str">
        <f aca="false">$A858&amp;"."&amp;$D858&amp;".jpg"</f>
        <v>7908591301120.PT04.jpg</v>
      </c>
      <c r="F858" s="11" t="str">
        <f aca="false">IF(INDEX(PRODUTOS!$I$4:$I$63,MATCH($A858,PRODUTOS!$B$4:$B$63,0))="B",INDEX(MODELOS!$F$3:$F$19,MATCH($D858,MODELOS!$A$3:$A$19,0)),INDEX(MODELOS!$B$3:$B$19,MATCH($D858,MODELOS!$A$3:$A$19,0)))</f>
        <v>Galeria · posição 5</v>
      </c>
      <c r="G858" s="11" t="str">
        <f aca="false">IF(INDEX(PRODUTOS!$F$4:$F$63,MATCH($A858,PRODUTOS!$B$4:$B$63,0))="Ração",IF(INDEX(PRODUTOS!$I$4:$I$63,MATCH($A858,PRODUTOS!$B$4:$B$63,0))="B",INDEX(MODELOS!$G$3:$G$19,MATCH($D858,MODELOS!$A$3:$A$19,0)),INDEX(MODELOS!$C$3:$C$19,MATCH($D858,MODELOS!$A$3:$A$19,0))),IF(INDEX(PRODUTOS!$I$4:$I$63,MATCH($A858,PRODUTOS!$B$4:$B$63,0))="B",INDEX(MODELOS!$H$3:$H$19,MATCH($D858,MODELOS!$A$3:$A$19,0)),INDEX(MODELOS!$D$3:$D$19,MATCH($D858,MODELOS!$A$3:$A$19,0))))</f>
        <v>Modo de uso (como oferecer o petisco / como usar o produto)</v>
      </c>
      <c r="H858" s="11" t="str">
        <f aca="false">IF(INDEX(PRODUTOS!$I$4:$I$63,MATCH($A858,PRODUTOS!$B$4:$B$63,0))="B",INDEX(MODELOS!$I$3:$I$19,MATCH($D858,MODELOS!$A$3:$A$19,0)),INDEX(MODELOS!$E$3:$E$19,MATCH($D858,MODELOS!$A$3:$A$19,0)))</f>
        <v>2000 × 2000</v>
      </c>
      <c r="I858" s="11" t="str">
        <f aca="false">INDEX(MODELOS!$J$3:$J$19,MATCH($D858,MODELOS!$A$3:$A$19,0))</f>
        <v>SIM</v>
      </c>
      <c r="J858" s="11" t="str">
        <f aca="false">IF(LEFT($D858,2)&lt;&gt;"AP",IF($I858="SIM","SIM","RECOMENDADA"),IF(INDEX(PRODUTOS!$J$4:$J$63,MATCH($A858,PRODUTOS!$B$4:$B$63,0))&lt;&gt;"","NÃO (usa o A+ do EAN "&amp;INDEX(PRODUTOS!$J$4:$J$63,MATCH($A858,PRODUTOS!$B$4:$B$63,0))&amp;")",IF(AND(INDEX(PRODUTOS!$I$4:$I$63,MATCH($A858,PRODUTOS!$B$4:$B$63,0))="B",$D858="AP07"),"NÃO (modelo B)","SIM")))</f>
        <v>SIM</v>
      </c>
      <c r="K858" s="13" t="s">
        <v>325</v>
      </c>
      <c r="L858" s="13"/>
    </row>
    <row r="859" customFormat="false" ht="15" hidden="false" customHeight="false" outlineLevel="0" collapsed="false">
      <c r="A859" s="15" t="s">
        <v>266</v>
      </c>
      <c r="B859" s="11" t="str">
        <f aca="false">INDEX(PRODUTOS!$E$4:$E$63,MATCH($A859,PRODUTOS!$B$4:$B$63,0))</f>
        <v>Palito Flex Natural Dots Leite 70 g</v>
      </c>
      <c r="C859" s="11" t="str">
        <f aca="false">INDEX(PRODUTOS!$H$4:$H$63,MATCH($A859,PRODUTOS!$B$4:$B$63,0))</f>
        <v>70 g</v>
      </c>
      <c r="D859" s="11" t="s">
        <v>330</v>
      </c>
      <c r="E859" s="16" t="str">
        <f aca="false">$A859&amp;"."&amp;$D859&amp;".jpg"</f>
        <v>7908591301120.PT05.jpg</v>
      </c>
      <c r="F859" s="11" t="str">
        <f aca="false">IF(INDEX(PRODUTOS!$I$4:$I$63,MATCH($A859,PRODUTOS!$B$4:$B$63,0))="B",INDEX(MODELOS!$F$3:$F$19,MATCH($D859,MODELOS!$A$3:$A$19,0)),INDEX(MODELOS!$B$3:$B$19,MATCH($D859,MODELOS!$A$3:$A$19,0)))</f>
        <v>Galeria · posição 6</v>
      </c>
      <c r="G859" s="11" t="str">
        <f aca="false">IF(INDEX(PRODUTOS!$F$4:$F$63,MATCH($A859,PRODUTOS!$B$4:$B$63,0))="Ração",IF(INDEX(PRODUTOS!$I$4:$I$63,MATCH($A859,PRODUTOS!$B$4:$B$63,0))="B",INDEX(MODELOS!$G$3:$G$19,MATCH($D859,MODELOS!$A$3:$A$19,0)),INDEX(MODELOS!$C$3:$C$19,MATCH($D859,MODELOS!$A$3:$A$19,0))),IF(INDEX(PRODUTOS!$I$4:$I$63,MATCH($A859,PRODUTOS!$B$4:$B$63,0))="B",INDEX(MODELOS!$H$3:$H$19,MATCH($D859,MODELOS!$A$3:$A$19,0)),INDEX(MODELOS!$D$3:$D$19,MATCH($D859,MODELOS!$A$3:$A$19,0))))</f>
        <v>Quantidade por dia ou rendimento do pacote</v>
      </c>
      <c r="H859" s="11" t="str">
        <f aca="false">IF(INDEX(PRODUTOS!$I$4:$I$63,MATCH($A859,PRODUTOS!$B$4:$B$63,0))="B",INDEX(MODELOS!$I$3:$I$19,MATCH($D859,MODELOS!$A$3:$A$19,0)),INDEX(MODELOS!$E$3:$E$19,MATCH($D859,MODELOS!$A$3:$A$19,0)))</f>
        <v>2000 × 2000</v>
      </c>
      <c r="I859" s="11" t="str">
        <f aca="false">INDEX(MODELOS!$J$3:$J$19,MATCH($D859,MODELOS!$A$3:$A$19,0))</f>
        <v>Recomendada</v>
      </c>
      <c r="J859" s="11" t="str">
        <f aca="false">IF(LEFT($D859,2)&lt;&gt;"AP",IF($I859="SIM","SIM","RECOMENDADA"),IF(INDEX(PRODUTOS!$J$4:$J$63,MATCH($A859,PRODUTOS!$B$4:$B$63,0))&lt;&gt;"","NÃO (usa o A+ do EAN "&amp;INDEX(PRODUTOS!$J$4:$J$63,MATCH($A859,PRODUTOS!$B$4:$B$63,0))&amp;")",IF(AND(INDEX(PRODUTOS!$I$4:$I$63,MATCH($A859,PRODUTOS!$B$4:$B$63,0))="B",$D859="AP07"),"NÃO (modelo B)","SIM")))</f>
        <v>RECOMENDADA</v>
      </c>
      <c r="K859" s="13" t="s">
        <v>325</v>
      </c>
      <c r="L859" s="13"/>
    </row>
    <row r="860" customFormat="false" ht="15" hidden="false" customHeight="false" outlineLevel="0" collapsed="false">
      <c r="A860" s="15" t="s">
        <v>266</v>
      </c>
      <c r="B860" s="11" t="str">
        <f aca="false">INDEX(PRODUTOS!$E$4:$E$63,MATCH($A860,PRODUTOS!$B$4:$B$63,0))</f>
        <v>Palito Flex Natural Dots Leite 70 g</v>
      </c>
      <c r="C860" s="11" t="str">
        <f aca="false">INDEX(PRODUTOS!$H$4:$H$63,MATCH($A860,PRODUTOS!$B$4:$B$63,0))</f>
        <v>70 g</v>
      </c>
      <c r="D860" s="11" t="s">
        <v>331</v>
      </c>
      <c r="E860" s="16" t="str">
        <f aca="false">$A860&amp;"."&amp;$D860&amp;".jpg"</f>
        <v>7908591301120.PT06.jpg</v>
      </c>
      <c r="F860" s="11" t="str">
        <f aca="false">IF(INDEX(PRODUTOS!$I$4:$I$63,MATCH($A860,PRODUTOS!$B$4:$B$63,0))="B",INDEX(MODELOS!$F$3:$F$19,MATCH($D860,MODELOS!$A$3:$A$19,0)),INDEX(MODELOS!$B$3:$B$19,MATCH($D860,MODELOS!$A$3:$A$19,0)))</f>
        <v>Galeria · posição 7</v>
      </c>
      <c r="G860" s="11" t="str">
        <f aca="false">IF(INDEX(PRODUTOS!$F$4:$F$63,MATCH($A860,PRODUTOS!$B$4:$B$63,0))="Ração",IF(INDEX(PRODUTOS!$I$4:$I$63,MATCH($A860,PRODUTOS!$B$4:$B$63,0))="B",INDEX(MODELOS!$G$3:$G$19,MATCH($D860,MODELOS!$A$3:$A$19,0)),INDEX(MODELOS!$C$3:$C$19,MATCH($D860,MODELOS!$A$3:$A$19,0))),IF(INDEX(PRODUTOS!$I$4:$I$63,MATCH($A860,PRODUTOS!$B$4:$B$63,0))="B",INDEX(MODELOS!$H$3:$H$19,MATCH($D860,MODELOS!$A$3:$A$19,0)),INDEX(MODELOS!$D$3:$D$19,MATCH($D860,MODELOS!$A$3:$A$19,0))))</f>
        <v>Composição/níveis de garantia (petiscos) ou especificações (higiene)</v>
      </c>
      <c r="H860" s="11" t="str">
        <f aca="false">IF(INDEX(PRODUTOS!$I$4:$I$63,MATCH($A860,PRODUTOS!$B$4:$B$63,0))="B",INDEX(MODELOS!$I$3:$I$19,MATCH($D860,MODELOS!$A$3:$A$19,0)),INDEX(MODELOS!$E$3:$E$19,MATCH($D860,MODELOS!$A$3:$A$19,0)))</f>
        <v>2000 × 2000</v>
      </c>
      <c r="I860" s="11" t="str">
        <f aca="false">INDEX(MODELOS!$J$3:$J$19,MATCH($D860,MODELOS!$A$3:$A$19,0))</f>
        <v>SIM</v>
      </c>
      <c r="J860" s="11" t="str">
        <f aca="false">IF(LEFT($D860,2)&lt;&gt;"AP",IF($I860="SIM","SIM","RECOMENDADA"),IF(INDEX(PRODUTOS!$J$4:$J$63,MATCH($A860,PRODUTOS!$B$4:$B$63,0))&lt;&gt;"","NÃO (usa o A+ do EAN "&amp;INDEX(PRODUTOS!$J$4:$J$63,MATCH($A860,PRODUTOS!$B$4:$B$63,0))&amp;")",IF(AND(INDEX(PRODUTOS!$I$4:$I$63,MATCH($A860,PRODUTOS!$B$4:$B$63,0))="B",$D860="AP07"),"NÃO (modelo B)","SIM")))</f>
        <v>SIM</v>
      </c>
      <c r="K860" s="13" t="s">
        <v>325</v>
      </c>
      <c r="L860" s="13"/>
    </row>
    <row r="861" customFormat="false" ht="15" hidden="false" customHeight="false" outlineLevel="0" collapsed="false">
      <c r="A861" s="15" t="s">
        <v>266</v>
      </c>
      <c r="B861" s="11" t="str">
        <f aca="false">INDEX(PRODUTOS!$E$4:$E$63,MATCH($A861,PRODUTOS!$B$4:$B$63,0))</f>
        <v>Palito Flex Natural Dots Leite 70 g</v>
      </c>
      <c r="C861" s="11" t="str">
        <f aca="false">INDEX(PRODUTOS!$H$4:$H$63,MATCH($A861,PRODUTOS!$B$4:$B$63,0))</f>
        <v>70 g</v>
      </c>
      <c r="D861" s="11" t="s">
        <v>332</v>
      </c>
      <c r="E861" s="16" t="str">
        <f aca="false">$A861&amp;"."&amp;$D861&amp;".jpg"</f>
        <v>7908591301120.PT07.jpg</v>
      </c>
      <c r="F861" s="11" t="str">
        <f aca="false">IF(INDEX(PRODUTOS!$I$4:$I$63,MATCH($A861,PRODUTOS!$B$4:$B$63,0))="B",INDEX(MODELOS!$F$3:$F$19,MATCH($D861,MODELOS!$A$3:$A$19,0)),INDEX(MODELOS!$B$3:$B$19,MATCH($D861,MODELOS!$A$3:$A$19,0)))</f>
        <v>Galeria · posição 8</v>
      </c>
      <c r="G861" s="11" t="str">
        <f aca="false">IF(INDEX(PRODUTOS!$F$4:$F$63,MATCH($A861,PRODUTOS!$B$4:$B$63,0))="Ração",IF(INDEX(PRODUTOS!$I$4:$I$63,MATCH($A861,PRODUTOS!$B$4:$B$63,0))="B",INDEX(MODELOS!$G$3:$G$19,MATCH($D861,MODELOS!$A$3:$A$19,0)),INDEX(MODELOS!$C$3:$C$19,MATCH($D861,MODELOS!$A$3:$A$19,0))),IF(INDEX(PRODUTOS!$I$4:$I$63,MATCH($A861,PRODUTOS!$B$4:$B$63,0))="B",INDEX(MODELOS!$H$3:$H$19,MATCH($D861,MODELOS!$A$3:$A$19,0)),INDEX(MODELOS!$D$3:$D$19,MATCH($D861,MODELOS!$A$3:$A$19,0))))</f>
        <v>Emocional / momento de uso</v>
      </c>
      <c r="H861" s="11" t="str">
        <f aca="false">IF(INDEX(PRODUTOS!$I$4:$I$63,MATCH($A861,PRODUTOS!$B$4:$B$63,0))="B",INDEX(MODELOS!$I$3:$I$19,MATCH($D861,MODELOS!$A$3:$A$19,0)),INDEX(MODELOS!$E$3:$E$19,MATCH($D861,MODELOS!$A$3:$A$19,0)))</f>
        <v>2000 × 2000</v>
      </c>
      <c r="I861" s="11" t="str">
        <f aca="false">INDEX(MODELOS!$J$3:$J$19,MATCH($D861,MODELOS!$A$3:$A$19,0))</f>
        <v>Recomendada</v>
      </c>
      <c r="J861" s="11" t="str">
        <f aca="false">IF(LEFT($D861,2)&lt;&gt;"AP",IF($I861="SIM","SIM","RECOMENDADA"),IF(INDEX(PRODUTOS!$J$4:$J$63,MATCH($A861,PRODUTOS!$B$4:$B$63,0))&lt;&gt;"","NÃO (usa o A+ do EAN "&amp;INDEX(PRODUTOS!$J$4:$J$63,MATCH($A861,PRODUTOS!$B$4:$B$63,0))&amp;")",IF(AND(INDEX(PRODUTOS!$I$4:$I$63,MATCH($A861,PRODUTOS!$B$4:$B$63,0))="B",$D861="AP07"),"NÃO (modelo B)","SIM")))</f>
        <v>RECOMENDADA</v>
      </c>
      <c r="K861" s="13" t="s">
        <v>325</v>
      </c>
      <c r="L861" s="13"/>
    </row>
    <row r="862" customFormat="false" ht="15" hidden="false" customHeight="false" outlineLevel="0" collapsed="false">
      <c r="A862" s="15" t="s">
        <v>266</v>
      </c>
      <c r="B862" s="11" t="str">
        <f aca="false">INDEX(PRODUTOS!$E$4:$E$63,MATCH($A862,PRODUTOS!$B$4:$B$63,0))</f>
        <v>Palito Flex Natural Dots Leite 70 g</v>
      </c>
      <c r="C862" s="11" t="str">
        <f aca="false">INDEX(PRODUTOS!$H$4:$H$63,MATCH($A862,PRODUTOS!$B$4:$B$63,0))</f>
        <v>70 g</v>
      </c>
      <c r="D862" s="11" t="s">
        <v>333</v>
      </c>
      <c r="E862" s="16" t="str">
        <f aca="false">$A862&amp;"."&amp;$D862&amp;".jpg"</f>
        <v>7908591301120.PT08.jpg</v>
      </c>
      <c r="F862" s="11" t="str">
        <f aca="false">IF(INDEX(PRODUTOS!$I$4:$I$63,MATCH($A862,PRODUTOS!$B$4:$B$63,0))="B",INDEX(MODELOS!$F$3:$F$19,MATCH($D862,MODELOS!$A$3:$A$19,0)),INDEX(MODELOS!$B$3:$B$19,MATCH($D862,MODELOS!$A$3:$A$19,0)))</f>
        <v>Galeria · posição 9</v>
      </c>
      <c r="G862" s="11" t="str">
        <f aca="false">IF(INDEX(PRODUTOS!$F$4:$F$63,MATCH($A862,PRODUTOS!$B$4:$B$63,0))="Ração",IF(INDEX(PRODUTOS!$I$4:$I$63,MATCH($A862,PRODUTOS!$B$4:$B$63,0))="B",INDEX(MODELOS!$G$3:$G$19,MATCH($D862,MODELOS!$A$3:$A$19,0)),INDEX(MODELOS!$C$3:$C$19,MATCH($D862,MODELOS!$A$3:$A$19,0))),IF(INDEX(PRODUTOS!$I$4:$I$63,MATCH($A862,PRODUTOS!$B$4:$B$63,0))="B",INDEX(MODELOS!$H$3:$H$19,MATCH($D862,MODELOS!$A$3:$A$19,0)),INDEX(MODELOS!$D$3:$D$19,MATCH($D862,MODELOS!$A$3:$A$19,0))))</f>
        <v>Linha da marca ("conheça também")</v>
      </c>
      <c r="H862" s="11" t="str">
        <f aca="false">IF(INDEX(PRODUTOS!$I$4:$I$63,MATCH($A862,PRODUTOS!$B$4:$B$63,0))="B",INDEX(MODELOS!$I$3:$I$19,MATCH($D862,MODELOS!$A$3:$A$19,0)),INDEX(MODELOS!$E$3:$E$19,MATCH($D862,MODELOS!$A$3:$A$19,0)))</f>
        <v>2000 × 2000</v>
      </c>
      <c r="I862" s="11" t="str">
        <f aca="false">INDEX(MODELOS!$J$3:$J$19,MATCH($D862,MODELOS!$A$3:$A$19,0))</f>
        <v>Recomendada</v>
      </c>
      <c r="J862" s="11" t="str">
        <f aca="false">IF(LEFT($D862,2)&lt;&gt;"AP",IF($I862="SIM","SIM","RECOMENDADA"),IF(INDEX(PRODUTOS!$J$4:$J$63,MATCH($A862,PRODUTOS!$B$4:$B$63,0))&lt;&gt;"","NÃO (usa o A+ do EAN "&amp;INDEX(PRODUTOS!$J$4:$J$63,MATCH($A862,PRODUTOS!$B$4:$B$63,0))&amp;")",IF(AND(INDEX(PRODUTOS!$I$4:$I$63,MATCH($A862,PRODUTOS!$B$4:$B$63,0))="B",$D862="AP07"),"NÃO (modelo B)","SIM")))</f>
        <v>RECOMENDADA</v>
      </c>
      <c r="K862" s="13" t="s">
        <v>325</v>
      </c>
      <c r="L862" s="13"/>
    </row>
    <row r="863" customFormat="false" ht="15" hidden="false" customHeight="false" outlineLevel="0" collapsed="false">
      <c r="A863" s="15" t="s">
        <v>266</v>
      </c>
      <c r="B863" s="11" t="str">
        <f aca="false">INDEX(PRODUTOS!$E$4:$E$63,MATCH($A863,PRODUTOS!$B$4:$B$63,0))</f>
        <v>Palito Flex Natural Dots Leite 70 g</v>
      </c>
      <c r="C863" s="11" t="str">
        <f aca="false">INDEX(PRODUTOS!$H$4:$H$63,MATCH($A863,PRODUTOS!$B$4:$B$63,0))</f>
        <v>70 g</v>
      </c>
      <c r="D863" s="11" t="s">
        <v>334</v>
      </c>
      <c r="E863" s="16" t="str">
        <f aca="false">$A863&amp;"."&amp;$D863&amp;".jpg"</f>
        <v>7908591301120.AP01.jpg</v>
      </c>
      <c r="F863" s="11" t="str">
        <f aca="false">IF(INDEX(PRODUTOS!$I$4:$I$63,MATCH($A863,PRODUTOS!$B$4:$B$63,0))="B",INDEX(MODELOS!$F$3:$F$19,MATCH($D863,MODELOS!$A$3:$A$19,0)),INDEX(MODELOS!$B$3:$B$19,MATCH($D863,MODELOS!$A$3:$A$19,0)))</f>
        <v>A+ · Módulo 1 · Banner</v>
      </c>
      <c r="G863" s="11" t="str">
        <f aca="false">IF(INDEX(PRODUTOS!$F$4:$F$63,MATCH($A863,PRODUTOS!$B$4:$B$63,0))="Ração",IF(INDEX(PRODUTOS!$I$4:$I$63,MATCH($A863,PRODUTOS!$B$4:$B$63,0))="B",INDEX(MODELOS!$G$3:$G$19,MATCH($D863,MODELOS!$A$3:$A$19,0)),INDEX(MODELOS!$C$3:$C$19,MATCH($D863,MODELOS!$A$3:$A$19,0))),IF(INDEX(PRODUTOS!$I$4:$I$63,MATCH($A863,PRODUTOS!$B$4:$B$63,0))="B",INDEX(MODELOS!$H$3:$H$19,MATCH($D863,MODELOS!$A$3:$A$19,0)),INDEX(MODELOS!$D$3:$D$19,MATCH($D863,MODELOS!$A$3:$A$19,0))))</f>
        <v>Produto + pet, com o nome da linha</v>
      </c>
      <c r="H863" s="11" t="str">
        <f aca="false">IF(INDEX(PRODUTOS!$I$4:$I$63,MATCH($A863,PRODUTOS!$B$4:$B$63,0))="B",INDEX(MODELOS!$I$3:$I$19,MATCH($D863,MODELOS!$A$3:$A$19,0)),INDEX(MODELOS!$E$3:$E$19,MATCH($D863,MODELOS!$A$3:$A$19,0)))</f>
        <v>970 × 600</v>
      </c>
      <c r="I863" s="11" t="str">
        <f aca="false">INDEX(MODELOS!$J$3:$J$19,MATCH($D863,MODELOS!$A$3:$A$19,0))</f>
        <v>Conforme modelo</v>
      </c>
      <c r="J863" s="11" t="str">
        <f aca="false">IF(LEFT($D863,2)&lt;&gt;"AP",IF($I863="SIM","SIM","RECOMENDADA"),IF(INDEX(PRODUTOS!$J$4:$J$63,MATCH($A863,PRODUTOS!$B$4:$B$63,0))&lt;&gt;"","NÃO (usa o A+ do EAN "&amp;INDEX(PRODUTOS!$J$4:$J$63,MATCH($A863,PRODUTOS!$B$4:$B$63,0))&amp;")",IF(AND(INDEX(PRODUTOS!$I$4:$I$63,MATCH($A863,PRODUTOS!$B$4:$B$63,0))="B",$D863="AP07"),"NÃO (modelo B)","SIM")))</f>
        <v>SIM</v>
      </c>
      <c r="K863" s="13" t="s">
        <v>325</v>
      </c>
      <c r="L863" s="13"/>
    </row>
    <row r="864" customFormat="false" ht="15" hidden="false" customHeight="false" outlineLevel="0" collapsed="false">
      <c r="A864" s="15" t="s">
        <v>266</v>
      </c>
      <c r="B864" s="11" t="str">
        <f aca="false">INDEX(PRODUTOS!$E$4:$E$63,MATCH($A864,PRODUTOS!$B$4:$B$63,0))</f>
        <v>Palito Flex Natural Dots Leite 70 g</v>
      </c>
      <c r="C864" s="11" t="str">
        <f aca="false">INDEX(PRODUTOS!$H$4:$H$63,MATCH($A864,PRODUTOS!$B$4:$B$63,0))</f>
        <v>70 g</v>
      </c>
      <c r="D864" s="11" t="s">
        <v>335</v>
      </c>
      <c r="E864" s="16" t="str">
        <f aca="false">$A864&amp;"."&amp;$D864&amp;".jpg"</f>
        <v>7908591301120.AP02.jpg</v>
      </c>
      <c r="F864" s="11" t="str">
        <f aca="false">IF(INDEX(PRODUTOS!$I$4:$I$63,MATCH($A864,PRODUTOS!$B$4:$B$63,0))="B",INDEX(MODELOS!$F$3:$F$19,MATCH($D864,MODELOS!$A$3:$A$19,0)),INDEX(MODELOS!$B$3:$B$19,MATCH($D864,MODELOS!$A$3:$A$19,0)))</f>
        <v>A+ · Módulo 2 · Texto sobreposto</v>
      </c>
      <c r="G864" s="11" t="str">
        <f aca="false">IF(INDEX(PRODUTOS!$F$4:$F$63,MATCH($A864,PRODUTOS!$B$4:$B$63,0))="Ração",IF(INDEX(PRODUTOS!$I$4:$I$63,MATCH($A864,PRODUTOS!$B$4:$B$63,0))="B",INDEX(MODELOS!$G$3:$G$19,MATCH($D864,MODELOS!$A$3:$A$19,0)),INDEX(MODELOS!$C$3:$C$19,MATCH($D864,MODELOS!$A$3:$A$19,0))),IF(INDEX(PRODUTOS!$I$4:$I$63,MATCH($A864,PRODUTOS!$B$4:$B$63,0))="B",INDEX(MODELOS!$H$3:$H$19,MATCH($D864,MODELOS!$A$3:$A$19,0)),INDEX(MODELOS!$D$3:$D$19,MATCH($D864,MODELOS!$A$3:$A$19,0))))</f>
        <v>Principal diferencial; deixar o lado direito limpo</v>
      </c>
      <c r="H864" s="11" t="str">
        <f aca="false">IF(INDEX(PRODUTOS!$I$4:$I$63,MATCH($A864,PRODUTOS!$B$4:$B$63,0))="B",INDEX(MODELOS!$I$3:$I$19,MATCH($D864,MODELOS!$A$3:$A$19,0)),INDEX(MODELOS!$E$3:$E$19,MATCH($D864,MODELOS!$A$3:$A$19,0)))</f>
        <v>970 × 300</v>
      </c>
      <c r="I864" s="11" t="str">
        <f aca="false">INDEX(MODELOS!$J$3:$J$19,MATCH($D864,MODELOS!$A$3:$A$19,0))</f>
        <v>Conforme modelo</v>
      </c>
      <c r="J864" s="11" t="str">
        <f aca="false">IF(LEFT($D864,2)&lt;&gt;"AP",IF($I864="SIM","SIM","RECOMENDADA"),IF(INDEX(PRODUTOS!$J$4:$J$63,MATCH($A864,PRODUTOS!$B$4:$B$63,0))&lt;&gt;"","NÃO (usa o A+ do EAN "&amp;INDEX(PRODUTOS!$J$4:$J$63,MATCH($A864,PRODUTOS!$B$4:$B$63,0))&amp;")",IF(AND(INDEX(PRODUTOS!$I$4:$I$63,MATCH($A864,PRODUTOS!$B$4:$B$63,0))="B",$D864="AP07"),"NÃO (modelo B)","SIM")))</f>
        <v>SIM</v>
      </c>
      <c r="K864" s="13" t="s">
        <v>325</v>
      </c>
      <c r="L864" s="13"/>
    </row>
    <row r="865" customFormat="false" ht="15" hidden="false" customHeight="false" outlineLevel="0" collapsed="false">
      <c r="A865" s="15" t="s">
        <v>266</v>
      </c>
      <c r="B865" s="11" t="str">
        <f aca="false">INDEX(PRODUTOS!$E$4:$E$63,MATCH($A865,PRODUTOS!$B$4:$B$63,0))</f>
        <v>Palito Flex Natural Dots Leite 70 g</v>
      </c>
      <c r="C865" s="11" t="str">
        <f aca="false">INDEX(PRODUTOS!$H$4:$H$63,MATCH($A865,PRODUTOS!$B$4:$B$63,0))</f>
        <v>70 g</v>
      </c>
      <c r="D865" s="11" t="s">
        <v>336</v>
      </c>
      <c r="E865" s="16" t="str">
        <f aca="false">$A865&amp;"."&amp;$D865&amp;".jpg"</f>
        <v>7908591301120.AP03.jpg</v>
      </c>
      <c r="F865" s="11" t="str">
        <f aca="false">IF(INDEX(PRODUTOS!$I$4:$I$63,MATCH($A865,PRODUTOS!$B$4:$B$63,0))="B",INDEX(MODELOS!$F$3:$F$19,MATCH($D865,MODELOS!$A$3:$A$19,0)),INDEX(MODELOS!$B$3:$B$19,MATCH($D865,MODELOS!$A$3:$A$19,0)))</f>
        <v>A+ · Módulo 3 · Benefício 1 de 4</v>
      </c>
      <c r="G865" s="11" t="str">
        <f aca="false">IF(INDEX(PRODUTOS!$F$4:$F$63,MATCH($A865,PRODUTOS!$B$4:$B$63,0))="Ração",IF(INDEX(PRODUTOS!$I$4:$I$63,MATCH($A865,PRODUTOS!$B$4:$B$63,0))="B",INDEX(MODELOS!$G$3:$G$19,MATCH($D865,MODELOS!$A$3:$A$19,0)),INDEX(MODELOS!$C$3:$C$19,MATCH($D865,MODELOS!$A$3:$A$19,0))),IF(INDEX(PRODUTOS!$I$4:$I$63,MATCH($A865,PRODUTOS!$B$4:$B$63,0))="B",INDEX(MODELOS!$H$3:$H$19,MATCH($D865,MODELOS!$A$3:$A$19,0)),INDEX(MODELOS!$D$3:$D$19,MATCH($D865,MODELOS!$A$3:$A$19,0))))</f>
        <v>Foto/ilustração do benefício 1</v>
      </c>
      <c r="H865" s="11" t="str">
        <f aca="false">IF(INDEX(PRODUTOS!$I$4:$I$63,MATCH($A865,PRODUTOS!$B$4:$B$63,0))="B",INDEX(MODELOS!$I$3:$I$19,MATCH($D865,MODELOS!$A$3:$A$19,0)),INDEX(MODELOS!$E$3:$E$19,MATCH($D865,MODELOS!$A$3:$A$19,0)))</f>
        <v>220 × 200</v>
      </c>
      <c r="I865" s="11" t="str">
        <f aca="false">INDEX(MODELOS!$J$3:$J$19,MATCH($D865,MODELOS!$A$3:$A$19,0))</f>
        <v>Conforme modelo</v>
      </c>
      <c r="J865" s="11" t="str">
        <f aca="false">IF(LEFT($D865,2)&lt;&gt;"AP",IF($I865="SIM","SIM","RECOMENDADA"),IF(INDEX(PRODUTOS!$J$4:$J$63,MATCH($A865,PRODUTOS!$B$4:$B$63,0))&lt;&gt;"","NÃO (usa o A+ do EAN "&amp;INDEX(PRODUTOS!$J$4:$J$63,MATCH($A865,PRODUTOS!$B$4:$B$63,0))&amp;")",IF(AND(INDEX(PRODUTOS!$I$4:$I$63,MATCH($A865,PRODUTOS!$B$4:$B$63,0))="B",$D865="AP07"),"NÃO (modelo B)","SIM")))</f>
        <v>SIM</v>
      </c>
      <c r="K865" s="13" t="s">
        <v>325</v>
      </c>
      <c r="L865" s="13"/>
    </row>
    <row r="866" customFormat="false" ht="15" hidden="false" customHeight="false" outlineLevel="0" collapsed="false">
      <c r="A866" s="15" t="s">
        <v>266</v>
      </c>
      <c r="B866" s="11" t="str">
        <f aca="false">INDEX(PRODUTOS!$E$4:$E$63,MATCH($A866,PRODUTOS!$B$4:$B$63,0))</f>
        <v>Palito Flex Natural Dots Leite 70 g</v>
      </c>
      <c r="C866" s="11" t="str">
        <f aca="false">INDEX(PRODUTOS!$H$4:$H$63,MATCH($A866,PRODUTOS!$B$4:$B$63,0))</f>
        <v>70 g</v>
      </c>
      <c r="D866" s="11" t="s">
        <v>337</v>
      </c>
      <c r="E866" s="16" t="str">
        <f aca="false">$A866&amp;"."&amp;$D866&amp;".jpg"</f>
        <v>7908591301120.AP04.jpg</v>
      </c>
      <c r="F866" s="11" t="str">
        <f aca="false">IF(INDEX(PRODUTOS!$I$4:$I$63,MATCH($A866,PRODUTOS!$B$4:$B$63,0))="B",INDEX(MODELOS!$F$3:$F$19,MATCH($D866,MODELOS!$A$3:$A$19,0)),INDEX(MODELOS!$B$3:$B$19,MATCH($D866,MODELOS!$A$3:$A$19,0)))</f>
        <v>A+ · Módulo 3 · Benefício 2 de 4</v>
      </c>
      <c r="G866" s="11" t="str">
        <f aca="false">IF(INDEX(PRODUTOS!$F$4:$F$63,MATCH($A866,PRODUTOS!$B$4:$B$63,0))="Ração",IF(INDEX(PRODUTOS!$I$4:$I$63,MATCH($A866,PRODUTOS!$B$4:$B$63,0))="B",INDEX(MODELOS!$G$3:$G$19,MATCH($D866,MODELOS!$A$3:$A$19,0)),INDEX(MODELOS!$C$3:$C$19,MATCH($D866,MODELOS!$A$3:$A$19,0))),IF(INDEX(PRODUTOS!$I$4:$I$63,MATCH($A866,PRODUTOS!$B$4:$B$63,0))="B",INDEX(MODELOS!$H$3:$H$19,MATCH($D866,MODELOS!$A$3:$A$19,0)),INDEX(MODELOS!$D$3:$D$19,MATCH($D866,MODELOS!$A$3:$A$19,0))))</f>
        <v>Foto/ilustração do benefício 2</v>
      </c>
      <c r="H866" s="11" t="str">
        <f aca="false">IF(INDEX(PRODUTOS!$I$4:$I$63,MATCH($A866,PRODUTOS!$B$4:$B$63,0))="B",INDEX(MODELOS!$I$3:$I$19,MATCH($D866,MODELOS!$A$3:$A$19,0)),INDEX(MODELOS!$E$3:$E$19,MATCH($D866,MODELOS!$A$3:$A$19,0)))</f>
        <v>220 × 200</v>
      </c>
      <c r="I866" s="11" t="str">
        <f aca="false">INDEX(MODELOS!$J$3:$J$19,MATCH($D866,MODELOS!$A$3:$A$19,0))</f>
        <v>Conforme modelo</v>
      </c>
      <c r="J866" s="11" t="str">
        <f aca="false">IF(LEFT($D866,2)&lt;&gt;"AP",IF($I866="SIM","SIM","RECOMENDADA"),IF(INDEX(PRODUTOS!$J$4:$J$63,MATCH($A866,PRODUTOS!$B$4:$B$63,0))&lt;&gt;"","NÃO (usa o A+ do EAN "&amp;INDEX(PRODUTOS!$J$4:$J$63,MATCH($A866,PRODUTOS!$B$4:$B$63,0))&amp;")",IF(AND(INDEX(PRODUTOS!$I$4:$I$63,MATCH($A866,PRODUTOS!$B$4:$B$63,0))="B",$D866="AP07"),"NÃO (modelo B)","SIM")))</f>
        <v>SIM</v>
      </c>
      <c r="K866" s="13" t="s">
        <v>325</v>
      </c>
      <c r="L866" s="13"/>
    </row>
    <row r="867" customFormat="false" ht="15" hidden="false" customHeight="false" outlineLevel="0" collapsed="false">
      <c r="A867" s="15" t="s">
        <v>266</v>
      </c>
      <c r="B867" s="11" t="str">
        <f aca="false">INDEX(PRODUTOS!$E$4:$E$63,MATCH($A867,PRODUTOS!$B$4:$B$63,0))</f>
        <v>Palito Flex Natural Dots Leite 70 g</v>
      </c>
      <c r="C867" s="11" t="str">
        <f aca="false">INDEX(PRODUTOS!$H$4:$H$63,MATCH($A867,PRODUTOS!$B$4:$B$63,0))</f>
        <v>70 g</v>
      </c>
      <c r="D867" s="11" t="s">
        <v>338</v>
      </c>
      <c r="E867" s="16" t="str">
        <f aca="false">$A867&amp;"."&amp;$D867&amp;".jpg"</f>
        <v>7908591301120.AP05.jpg</v>
      </c>
      <c r="F867" s="11" t="str">
        <f aca="false">IF(INDEX(PRODUTOS!$I$4:$I$63,MATCH($A867,PRODUTOS!$B$4:$B$63,0))="B",INDEX(MODELOS!$F$3:$F$19,MATCH($D867,MODELOS!$A$3:$A$19,0)),INDEX(MODELOS!$B$3:$B$19,MATCH($D867,MODELOS!$A$3:$A$19,0)))</f>
        <v>A+ · Módulo 3 · Benefício 3 de 4</v>
      </c>
      <c r="G867" s="11" t="str">
        <f aca="false">IF(INDEX(PRODUTOS!$F$4:$F$63,MATCH($A867,PRODUTOS!$B$4:$B$63,0))="Ração",IF(INDEX(PRODUTOS!$I$4:$I$63,MATCH($A867,PRODUTOS!$B$4:$B$63,0))="B",INDEX(MODELOS!$G$3:$G$19,MATCH($D867,MODELOS!$A$3:$A$19,0)),INDEX(MODELOS!$C$3:$C$19,MATCH($D867,MODELOS!$A$3:$A$19,0))),IF(INDEX(PRODUTOS!$I$4:$I$63,MATCH($A867,PRODUTOS!$B$4:$B$63,0))="B",INDEX(MODELOS!$H$3:$H$19,MATCH($D867,MODELOS!$A$3:$A$19,0)),INDEX(MODELOS!$D$3:$D$19,MATCH($D867,MODELOS!$A$3:$A$19,0))))</f>
        <v>Foto/ilustração do benefício 3</v>
      </c>
      <c r="H867" s="11" t="str">
        <f aca="false">IF(INDEX(PRODUTOS!$I$4:$I$63,MATCH($A867,PRODUTOS!$B$4:$B$63,0))="B",INDEX(MODELOS!$I$3:$I$19,MATCH($D867,MODELOS!$A$3:$A$19,0)),INDEX(MODELOS!$E$3:$E$19,MATCH($D867,MODELOS!$A$3:$A$19,0)))</f>
        <v>220 × 200</v>
      </c>
      <c r="I867" s="11" t="str">
        <f aca="false">INDEX(MODELOS!$J$3:$J$19,MATCH($D867,MODELOS!$A$3:$A$19,0))</f>
        <v>Conforme modelo</v>
      </c>
      <c r="J867" s="11" t="str">
        <f aca="false">IF(LEFT($D867,2)&lt;&gt;"AP",IF($I867="SIM","SIM","RECOMENDADA"),IF(INDEX(PRODUTOS!$J$4:$J$63,MATCH($A867,PRODUTOS!$B$4:$B$63,0))&lt;&gt;"","NÃO (usa o A+ do EAN "&amp;INDEX(PRODUTOS!$J$4:$J$63,MATCH($A867,PRODUTOS!$B$4:$B$63,0))&amp;")",IF(AND(INDEX(PRODUTOS!$I$4:$I$63,MATCH($A867,PRODUTOS!$B$4:$B$63,0))="B",$D867="AP07"),"NÃO (modelo B)","SIM")))</f>
        <v>SIM</v>
      </c>
      <c r="K867" s="13" t="s">
        <v>325</v>
      </c>
      <c r="L867" s="13"/>
    </row>
    <row r="868" customFormat="false" ht="15" hidden="false" customHeight="false" outlineLevel="0" collapsed="false">
      <c r="A868" s="15" t="s">
        <v>266</v>
      </c>
      <c r="B868" s="11" t="str">
        <f aca="false">INDEX(PRODUTOS!$E$4:$E$63,MATCH($A868,PRODUTOS!$B$4:$B$63,0))</f>
        <v>Palito Flex Natural Dots Leite 70 g</v>
      </c>
      <c r="C868" s="11" t="str">
        <f aca="false">INDEX(PRODUTOS!$H$4:$H$63,MATCH($A868,PRODUTOS!$B$4:$B$63,0))</f>
        <v>70 g</v>
      </c>
      <c r="D868" s="11" t="s">
        <v>339</v>
      </c>
      <c r="E868" s="16" t="str">
        <f aca="false">$A868&amp;"."&amp;$D868&amp;".jpg"</f>
        <v>7908591301120.AP06.jpg</v>
      </c>
      <c r="F868" s="11" t="str">
        <f aca="false">IF(INDEX(PRODUTOS!$I$4:$I$63,MATCH($A868,PRODUTOS!$B$4:$B$63,0))="B",INDEX(MODELOS!$F$3:$F$19,MATCH($D868,MODELOS!$A$3:$A$19,0)),INDEX(MODELOS!$B$3:$B$19,MATCH($D868,MODELOS!$A$3:$A$19,0)))</f>
        <v>A+ · Módulo 3 · Benefício 4 de 4</v>
      </c>
      <c r="G868" s="11" t="str">
        <f aca="false">IF(INDEX(PRODUTOS!$F$4:$F$63,MATCH($A868,PRODUTOS!$B$4:$B$63,0))="Ração",IF(INDEX(PRODUTOS!$I$4:$I$63,MATCH($A868,PRODUTOS!$B$4:$B$63,0))="B",INDEX(MODELOS!$G$3:$G$19,MATCH($D868,MODELOS!$A$3:$A$19,0)),INDEX(MODELOS!$C$3:$C$19,MATCH($D868,MODELOS!$A$3:$A$19,0))),IF(INDEX(PRODUTOS!$I$4:$I$63,MATCH($A868,PRODUTOS!$B$4:$B$63,0))="B",INDEX(MODELOS!$H$3:$H$19,MATCH($D868,MODELOS!$A$3:$A$19,0)),INDEX(MODELOS!$D$3:$D$19,MATCH($D868,MODELOS!$A$3:$A$19,0))))</f>
        <v>Foto/ilustração do benefício 4</v>
      </c>
      <c r="H868" s="11" t="str">
        <f aca="false">IF(INDEX(PRODUTOS!$I$4:$I$63,MATCH($A868,PRODUTOS!$B$4:$B$63,0))="B",INDEX(MODELOS!$I$3:$I$19,MATCH($D868,MODELOS!$A$3:$A$19,0)),INDEX(MODELOS!$E$3:$E$19,MATCH($D868,MODELOS!$A$3:$A$19,0)))</f>
        <v>220 × 200</v>
      </c>
      <c r="I868" s="11" t="str">
        <f aca="false">INDEX(MODELOS!$J$3:$J$19,MATCH($D868,MODELOS!$A$3:$A$19,0))</f>
        <v>Conforme modelo</v>
      </c>
      <c r="J868" s="11" t="str">
        <f aca="false">IF(LEFT($D868,2)&lt;&gt;"AP",IF($I868="SIM","SIM","RECOMENDADA"),IF(INDEX(PRODUTOS!$J$4:$J$63,MATCH($A868,PRODUTOS!$B$4:$B$63,0))&lt;&gt;"","NÃO (usa o A+ do EAN "&amp;INDEX(PRODUTOS!$J$4:$J$63,MATCH($A868,PRODUTOS!$B$4:$B$63,0))&amp;")",IF(AND(INDEX(PRODUTOS!$I$4:$I$63,MATCH($A868,PRODUTOS!$B$4:$B$63,0))="B",$D868="AP07"),"NÃO (modelo B)","SIM")))</f>
        <v>SIM</v>
      </c>
      <c r="K868" s="13" t="s">
        <v>325</v>
      </c>
      <c r="L868" s="13"/>
    </row>
    <row r="869" customFormat="false" ht="15" hidden="false" customHeight="false" outlineLevel="0" collapsed="false">
      <c r="A869" s="15" t="s">
        <v>266</v>
      </c>
      <c r="B869" s="11" t="str">
        <f aca="false">INDEX(PRODUTOS!$E$4:$E$63,MATCH($A869,PRODUTOS!$B$4:$B$63,0))</f>
        <v>Palito Flex Natural Dots Leite 70 g</v>
      </c>
      <c r="C869" s="11" t="str">
        <f aca="false">INDEX(PRODUTOS!$H$4:$H$63,MATCH($A869,PRODUTOS!$B$4:$B$63,0))</f>
        <v>70 g</v>
      </c>
      <c r="D869" s="11" t="s">
        <v>340</v>
      </c>
      <c r="E869" s="16" t="str">
        <f aca="false">$A869&amp;"."&amp;$D869&amp;".jpg"</f>
        <v>7908591301120.AP07.jpg</v>
      </c>
      <c r="F869" s="11" t="str">
        <f aca="false">IF(INDEX(PRODUTOS!$I$4:$I$63,MATCH($A869,PRODUTOS!$B$4:$B$63,0))="B",INDEX(MODELOS!$F$3:$F$19,MATCH($D869,MODELOS!$A$3:$A$19,0)),INDEX(MODELOS!$B$3:$B$19,MATCH($D869,MODELOS!$A$3:$A$19,0)))</f>
        <v>A+ · Módulo 4 · Especificações</v>
      </c>
      <c r="G869" s="11" t="str">
        <f aca="false">IF(INDEX(PRODUTOS!$F$4:$F$63,MATCH($A869,PRODUTOS!$B$4:$B$63,0))="Ração",IF(INDEX(PRODUTOS!$I$4:$I$63,MATCH($A869,PRODUTOS!$B$4:$B$63,0))="B",INDEX(MODELOS!$G$3:$G$19,MATCH($D869,MODELOS!$A$3:$A$19,0)),INDEX(MODELOS!$C$3:$C$19,MATCH($D869,MODELOS!$A$3:$A$19,0))),IF(INDEX(PRODUTOS!$I$4:$I$63,MATCH($A869,PRODUTOS!$B$4:$B$63,0))="B",INDEX(MODELOS!$H$3:$H$19,MATCH($D869,MODELOS!$A$3:$A$19,0)),INDEX(MODELOS!$D$3:$D$19,MATCH($D869,MODELOS!$A$3:$A$19,0))))</f>
        <v>Produto em destaque</v>
      </c>
      <c r="H869" s="11" t="str">
        <f aca="false">IF(INDEX(PRODUTOS!$I$4:$I$63,MATCH($A869,PRODUTOS!$B$4:$B$63,0))="B",INDEX(MODELOS!$I$3:$I$19,MATCH($D869,MODELOS!$A$3:$A$19,0)),INDEX(MODELOS!$E$3:$E$19,MATCH($D869,MODELOS!$A$3:$A$19,0)))</f>
        <v>300 × 300</v>
      </c>
      <c r="I869" s="11" t="str">
        <f aca="false">INDEX(MODELOS!$J$3:$J$19,MATCH($D869,MODELOS!$A$3:$A$19,0))</f>
        <v>Conforme modelo</v>
      </c>
      <c r="J869" s="11" t="str">
        <f aca="false">IF(LEFT($D869,2)&lt;&gt;"AP",IF($I869="SIM","SIM","RECOMENDADA"),IF(INDEX(PRODUTOS!$J$4:$J$63,MATCH($A869,PRODUTOS!$B$4:$B$63,0))&lt;&gt;"","NÃO (usa o A+ do EAN "&amp;INDEX(PRODUTOS!$J$4:$J$63,MATCH($A869,PRODUTOS!$B$4:$B$63,0))&amp;")",IF(AND(INDEX(PRODUTOS!$I$4:$I$63,MATCH($A869,PRODUTOS!$B$4:$B$63,0))="B",$D869="AP07"),"NÃO (modelo B)","SIM")))</f>
        <v>SIM</v>
      </c>
      <c r="K869" s="13" t="s">
        <v>325</v>
      </c>
      <c r="L869" s="13"/>
    </row>
    <row r="870" customFormat="false" ht="15" hidden="false" customHeight="false" outlineLevel="0" collapsed="false">
      <c r="A870" s="15" t="s">
        <v>266</v>
      </c>
      <c r="B870" s="11" t="str">
        <f aca="false">INDEX(PRODUTOS!$E$4:$E$63,MATCH($A870,PRODUTOS!$B$4:$B$63,0))</f>
        <v>Palito Flex Natural Dots Leite 70 g</v>
      </c>
      <c r="C870" s="11" t="str">
        <f aca="false">INDEX(PRODUTOS!$H$4:$H$63,MATCH($A870,PRODUTOS!$B$4:$B$63,0))</f>
        <v>70 g</v>
      </c>
      <c r="D870" s="11" t="s">
        <v>341</v>
      </c>
      <c r="E870" s="16" t="str">
        <f aca="false">$A870&amp;"."&amp;$D870&amp;".jpg"</f>
        <v>7908591301120.COMP.jpg</v>
      </c>
      <c r="F870" s="11" t="str">
        <f aca="false">IF(INDEX(PRODUTOS!$I$4:$I$63,MATCH($A870,PRODUTOS!$B$4:$B$63,0))="B",INDEX(MODELOS!$F$3:$F$19,MATCH($D870,MODELOS!$A$3:$A$19,0)),INDEX(MODELOS!$B$3:$B$19,MATCH($D870,MODELOS!$A$3:$A$19,0)))</f>
        <v>A+ · Tabela comparativa</v>
      </c>
      <c r="G870" s="11" t="str">
        <f aca="false">IF(INDEX(PRODUTOS!$F$4:$F$63,MATCH($A870,PRODUTOS!$B$4:$B$63,0))="Ração",IF(INDEX(PRODUTOS!$I$4:$I$63,MATCH($A870,PRODUTOS!$B$4:$B$63,0))="B",INDEX(MODELOS!$G$3:$G$19,MATCH($D870,MODELOS!$A$3:$A$19,0)),INDEX(MODELOS!$C$3:$C$19,MATCH($D870,MODELOS!$A$3:$A$19,0))),IF(INDEX(PRODUTOS!$I$4:$I$63,MATCH($A870,PRODUTOS!$B$4:$B$63,0))="B",INDEX(MODELOS!$H$3:$H$19,MATCH($D870,MODELOS!$A$3:$A$19,0)),INDEX(MODELOS!$D$3:$D$19,MATCH($D870,MODELOS!$A$3:$A$19,0))))</f>
        <v>Produto na vertical, sem fundo colorido</v>
      </c>
      <c r="H870" s="11" t="str">
        <f aca="false">IF(INDEX(PRODUTOS!$I$4:$I$63,MATCH($A870,PRODUTOS!$B$4:$B$63,0))="B",INDEX(MODELOS!$I$3:$I$19,MATCH($D870,MODELOS!$A$3:$A$19,0)),INDEX(MODELOS!$E$3:$E$19,MATCH($D870,MODELOS!$A$3:$A$19,0)))</f>
        <v>150 × 300</v>
      </c>
      <c r="I870" s="11" t="str">
        <f aca="false">INDEX(MODELOS!$J$3:$J$19,MATCH($D870,MODELOS!$A$3:$A$19,0))</f>
        <v>SIM</v>
      </c>
      <c r="J870" s="11" t="str">
        <f aca="false">IF(LEFT($D870,2)&lt;&gt;"AP",IF($I870="SIM","SIM","RECOMENDADA"),IF(INDEX(PRODUTOS!$J$4:$J$63,MATCH($A870,PRODUTOS!$B$4:$B$63,0))&lt;&gt;"","NÃO (usa o A+ do EAN "&amp;INDEX(PRODUTOS!$J$4:$J$63,MATCH($A870,PRODUTOS!$B$4:$B$63,0))&amp;")",IF(AND(INDEX(PRODUTOS!$I$4:$I$63,MATCH($A870,PRODUTOS!$B$4:$B$63,0))="B",$D870="AP07"),"NÃO (modelo B)","SIM")))</f>
        <v>SIM</v>
      </c>
      <c r="K870" s="13" t="s">
        <v>325</v>
      </c>
      <c r="L870" s="13"/>
    </row>
    <row r="871" customFormat="false" ht="15" hidden="false" customHeight="false" outlineLevel="0" collapsed="false">
      <c r="A871" s="15" t="s">
        <v>270</v>
      </c>
      <c r="B871" s="11" t="str">
        <f aca="false">INDEX(PRODUTOS!$E$4:$E$63,MATCH($A871,PRODUTOS!$B$4:$B$63,0))</f>
        <v>Palito Flex Natural Dots Maracujá 70 g</v>
      </c>
      <c r="C871" s="11" t="str">
        <f aca="false">INDEX(PRODUTOS!$H$4:$H$63,MATCH($A871,PRODUTOS!$B$4:$B$63,0))</f>
        <v>70 g</v>
      </c>
      <c r="D871" s="11" t="s">
        <v>324</v>
      </c>
      <c r="E871" s="16" t="str">
        <f aca="false">$A871&amp;"."&amp;$D871&amp;".jpg"</f>
        <v>7908591301137.MAIN.jpg</v>
      </c>
      <c r="F871" s="11" t="str">
        <f aca="false">IF(INDEX(PRODUTOS!$I$4:$I$63,MATCH($A871,PRODUTOS!$B$4:$B$63,0))="B",INDEX(MODELOS!$F$3:$F$19,MATCH($D871,MODELOS!$A$3:$A$19,0)),INDEX(MODELOS!$B$3:$B$19,MATCH($D871,MODELOS!$A$3:$A$19,0)))</f>
        <v>Capa (posição 1)</v>
      </c>
      <c r="G871" s="11" t="str">
        <f aca="false">IF(INDEX(PRODUTOS!$F$4:$F$63,MATCH($A871,PRODUTOS!$B$4:$B$63,0))="Ração",IF(INDEX(PRODUTOS!$I$4:$I$63,MATCH($A871,PRODUTOS!$B$4:$B$63,0))="B",INDEX(MODELOS!$G$3:$G$19,MATCH($D871,MODELOS!$A$3:$A$19,0)),INDEX(MODELOS!$C$3:$C$19,MATCH($D871,MODELOS!$A$3:$A$19,0))),IF(INDEX(PRODUTOS!$I$4:$I$63,MATCH($A871,PRODUTOS!$B$4:$B$63,0))="B",INDEX(MODELOS!$H$3:$H$19,MATCH($D871,MODELOS!$A$3:$A$19,0)),INDEX(MODELOS!$D$3:$D$19,MATCH($D871,MODELOS!$A$3:$A$19,0))))</f>
        <v>Embalagem de frente, fundo branco puro, 85% da área, nada adicionado</v>
      </c>
      <c r="H871" s="11" t="str">
        <f aca="false">IF(INDEX(PRODUTOS!$I$4:$I$63,MATCH($A871,PRODUTOS!$B$4:$B$63,0))="B",INDEX(MODELOS!$I$3:$I$19,MATCH($D871,MODELOS!$A$3:$A$19,0)),INDEX(MODELOS!$E$3:$E$19,MATCH($D871,MODELOS!$A$3:$A$19,0)))</f>
        <v>2000 × 2000</v>
      </c>
      <c r="I871" s="11" t="str">
        <f aca="false">INDEX(MODELOS!$J$3:$J$19,MATCH($D871,MODELOS!$A$3:$A$19,0))</f>
        <v>SIM</v>
      </c>
      <c r="J871" s="11" t="str">
        <f aca="false">IF(LEFT($D871,2)&lt;&gt;"AP",IF($I871="SIM","SIM","RECOMENDADA"),IF(INDEX(PRODUTOS!$J$4:$J$63,MATCH($A871,PRODUTOS!$B$4:$B$63,0))&lt;&gt;"","NÃO (usa o A+ do EAN "&amp;INDEX(PRODUTOS!$J$4:$J$63,MATCH($A871,PRODUTOS!$B$4:$B$63,0))&amp;")",IF(AND(INDEX(PRODUTOS!$I$4:$I$63,MATCH($A871,PRODUTOS!$B$4:$B$63,0))="B",$D871="AP07"),"NÃO (modelo B)","SIM")))</f>
        <v>SIM</v>
      </c>
      <c r="K871" s="13" t="s">
        <v>325</v>
      </c>
      <c r="L871" s="13"/>
    </row>
    <row r="872" customFormat="false" ht="15" hidden="false" customHeight="false" outlineLevel="0" collapsed="false">
      <c r="A872" s="15" t="s">
        <v>270</v>
      </c>
      <c r="B872" s="11" t="str">
        <f aca="false">INDEX(PRODUTOS!$E$4:$E$63,MATCH($A872,PRODUTOS!$B$4:$B$63,0))</f>
        <v>Palito Flex Natural Dots Maracujá 70 g</v>
      </c>
      <c r="C872" s="11" t="str">
        <f aca="false">INDEX(PRODUTOS!$H$4:$H$63,MATCH($A872,PRODUTOS!$B$4:$B$63,0))</f>
        <v>70 g</v>
      </c>
      <c r="D872" s="11" t="s">
        <v>326</v>
      </c>
      <c r="E872" s="16" t="str">
        <f aca="false">$A872&amp;"."&amp;$D872&amp;".jpg"</f>
        <v>7908591301137.PT01.jpg</v>
      </c>
      <c r="F872" s="11" t="str">
        <f aca="false">IF(INDEX(PRODUTOS!$I$4:$I$63,MATCH($A872,PRODUTOS!$B$4:$B$63,0))="B",INDEX(MODELOS!$F$3:$F$19,MATCH($D872,MODELOS!$A$3:$A$19,0)),INDEX(MODELOS!$B$3:$B$19,MATCH($D872,MODELOS!$A$3:$A$19,0)))</f>
        <v>Galeria · posição 2</v>
      </c>
      <c r="G872" s="11" t="str">
        <f aca="false">IF(INDEX(PRODUTOS!$F$4:$F$63,MATCH($A872,PRODUTOS!$B$4:$B$63,0))="Ração",IF(INDEX(PRODUTOS!$I$4:$I$63,MATCH($A872,PRODUTOS!$B$4:$B$63,0))="B",INDEX(MODELOS!$G$3:$G$19,MATCH($D872,MODELOS!$A$3:$A$19,0)),INDEX(MODELOS!$C$3:$C$19,MATCH($D872,MODELOS!$A$3:$A$19,0))),IF(INDEX(PRODUTOS!$I$4:$I$63,MATCH($A872,PRODUTOS!$B$4:$B$63,0))="B",INDEX(MODELOS!$H$3:$H$19,MATCH($D872,MODELOS!$A$3:$A$19,0)),INDEX(MODELOS!$D$3:$D$19,MATCH($D872,MODELOS!$A$3:$A$19,0))))</f>
        <v>Grande diferencial (ex.: natural, biodegradável, perfumado)</v>
      </c>
      <c r="H872" s="11" t="str">
        <f aca="false">IF(INDEX(PRODUTOS!$I$4:$I$63,MATCH($A872,PRODUTOS!$B$4:$B$63,0))="B",INDEX(MODELOS!$I$3:$I$19,MATCH($D872,MODELOS!$A$3:$A$19,0)),INDEX(MODELOS!$E$3:$E$19,MATCH($D872,MODELOS!$A$3:$A$19,0)))</f>
        <v>2000 × 2000</v>
      </c>
      <c r="I872" s="11" t="str">
        <f aca="false">INDEX(MODELOS!$J$3:$J$19,MATCH($D872,MODELOS!$A$3:$A$19,0))</f>
        <v>SIM</v>
      </c>
      <c r="J872" s="11" t="str">
        <f aca="false">IF(LEFT($D872,2)&lt;&gt;"AP",IF($I872="SIM","SIM","RECOMENDADA"),IF(INDEX(PRODUTOS!$J$4:$J$63,MATCH($A872,PRODUTOS!$B$4:$B$63,0))&lt;&gt;"","NÃO (usa o A+ do EAN "&amp;INDEX(PRODUTOS!$J$4:$J$63,MATCH($A872,PRODUTOS!$B$4:$B$63,0))&amp;")",IF(AND(INDEX(PRODUTOS!$I$4:$I$63,MATCH($A872,PRODUTOS!$B$4:$B$63,0))="B",$D872="AP07"),"NÃO (modelo B)","SIM")))</f>
        <v>SIM</v>
      </c>
      <c r="K872" s="13" t="s">
        <v>325</v>
      </c>
      <c r="L872" s="13"/>
    </row>
    <row r="873" customFormat="false" ht="15" hidden="false" customHeight="false" outlineLevel="0" collapsed="false">
      <c r="A873" s="15" t="s">
        <v>270</v>
      </c>
      <c r="B873" s="11" t="str">
        <f aca="false">INDEX(PRODUTOS!$E$4:$E$63,MATCH($A873,PRODUTOS!$B$4:$B$63,0))</f>
        <v>Palito Flex Natural Dots Maracujá 70 g</v>
      </c>
      <c r="C873" s="11" t="str">
        <f aca="false">INDEX(PRODUTOS!$H$4:$H$63,MATCH($A873,PRODUTOS!$B$4:$B$63,0))</f>
        <v>70 g</v>
      </c>
      <c r="D873" s="11" t="s">
        <v>327</v>
      </c>
      <c r="E873" s="16" t="str">
        <f aca="false">$A873&amp;"."&amp;$D873&amp;".jpg"</f>
        <v>7908591301137.PT02.jpg</v>
      </c>
      <c r="F873" s="11" t="str">
        <f aca="false">IF(INDEX(PRODUTOS!$I$4:$I$63,MATCH($A873,PRODUTOS!$B$4:$B$63,0))="B",INDEX(MODELOS!$F$3:$F$19,MATCH($D873,MODELOS!$A$3:$A$19,0)),INDEX(MODELOS!$B$3:$B$19,MATCH($D873,MODELOS!$A$3:$A$19,0)))</f>
        <v>Galeria · posição 3</v>
      </c>
      <c r="G873" s="11" t="str">
        <f aca="false">IF(INDEX(PRODUTOS!$F$4:$F$63,MATCH($A873,PRODUTOS!$B$4:$B$63,0))="Ração",IF(INDEX(PRODUTOS!$I$4:$I$63,MATCH($A873,PRODUTOS!$B$4:$B$63,0))="B",INDEX(MODELOS!$G$3:$G$19,MATCH($D873,MODELOS!$A$3:$A$19,0)),INDEX(MODELOS!$C$3:$C$19,MATCH($D873,MODELOS!$A$3:$A$19,0))),IF(INDEX(PRODUTOS!$I$4:$I$63,MATCH($A873,PRODUTOS!$B$4:$B$63,0))="B",INDEX(MODELOS!$H$3:$H$19,MATCH($D873,MODELOS!$A$3:$A$19,0)),INDEX(MODELOS!$D$3:$D$19,MATCH($D873,MODELOS!$A$3:$A$19,0))))</f>
        <v>Benefícios com ícones (4 a 6, impressos na embalagem)</v>
      </c>
      <c r="H873" s="11" t="str">
        <f aca="false">IF(INDEX(PRODUTOS!$I$4:$I$63,MATCH($A873,PRODUTOS!$B$4:$B$63,0))="B",INDEX(MODELOS!$I$3:$I$19,MATCH($D873,MODELOS!$A$3:$A$19,0)),INDEX(MODELOS!$E$3:$E$19,MATCH($D873,MODELOS!$A$3:$A$19,0)))</f>
        <v>2000 × 2000</v>
      </c>
      <c r="I873" s="11" t="str">
        <f aca="false">INDEX(MODELOS!$J$3:$J$19,MATCH($D873,MODELOS!$A$3:$A$19,0))</f>
        <v>SIM</v>
      </c>
      <c r="J873" s="11" t="str">
        <f aca="false">IF(LEFT($D873,2)&lt;&gt;"AP",IF($I873="SIM","SIM","RECOMENDADA"),IF(INDEX(PRODUTOS!$J$4:$J$63,MATCH($A873,PRODUTOS!$B$4:$B$63,0))&lt;&gt;"","NÃO (usa o A+ do EAN "&amp;INDEX(PRODUTOS!$J$4:$J$63,MATCH($A873,PRODUTOS!$B$4:$B$63,0))&amp;")",IF(AND(INDEX(PRODUTOS!$I$4:$I$63,MATCH($A873,PRODUTOS!$B$4:$B$63,0))="B",$D873="AP07"),"NÃO (modelo B)","SIM")))</f>
        <v>SIM</v>
      </c>
      <c r="K873" s="13" t="s">
        <v>325</v>
      </c>
      <c r="L873" s="13"/>
    </row>
    <row r="874" customFormat="false" ht="15" hidden="false" customHeight="false" outlineLevel="0" collapsed="false">
      <c r="A874" s="15" t="s">
        <v>270</v>
      </c>
      <c r="B874" s="11" t="str">
        <f aca="false">INDEX(PRODUTOS!$E$4:$E$63,MATCH($A874,PRODUTOS!$B$4:$B$63,0))</f>
        <v>Palito Flex Natural Dots Maracujá 70 g</v>
      </c>
      <c r="C874" s="11" t="str">
        <f aca="false">INDEX(PRODUTOS!$H$4:$H$63,MATCH($A874,PRODUTOS!$B$4:$B$63,0))</f>
        <v>70 g</v>
      </c>
      <c r="D874" s="11" t="s">
        <v>328</v>
      </c>
      <c r="E874" s="16" t="str">
        <f aca="false">$A874&amp;"."&amp;$D874&amp;".jpg"</f>
        <v>7908591301137.PT03.jpg</v>
      </c>
      <c r="F874" s="11" t="str">
        <f aca="false">IF(INDEX(PRODUTOS!$I$4:$I$63,MATCH($A874,PRODUTOS!$B$4:$B$63,0))="B",INDEX(MODELOS!$F$3:$F$19,MATCH($D874,MODELOS!$A$3:$A$19,0)),INDEX(MODELOS!$B$3:$B$19,MATCH($D874,MODELOS!$A$3:$A$19,0)))</f>
        <v>Galeria · posição 4</v>
      </c>
      <c r="G874" s="11" t="str">
        <f aca="false">IF(INDEX(PRODUTOS!$F$4:$F$63,MATCH($A874,PRODUTOS!$B$4:$B$63,0))="Ração",IF(INDEX(PRODUTOS!$I$4:$I$63,MATCH($A874,PRODUTOS!$B$4:$B$63,0))="B",INDEX(MODELOS!$G$3:$G$19,MATCH($D874,MODELOS!$A$3:$A$19,0)),INDEX(MODELOS!$C$3:$C$19,MATCH($D874,MODELOS!$A$3:$A$19,0))),IF(INDEX(PRODUTOS!$I$4:$I$63,MATCH($A874,PRODUTOS!$B$4:$B$63,0))="B",INDEX(MODELOS!$H$3:$H$19,MATCH($D874,MODELOS!$A$3:$A$19,0)),INDEX(MODELOS!$D$3:$D$19,MATCH($D874,MODELOS!$A$3:$A$19,0))))</f>
        <v>Detalhe e tamanho real (petisco, grânulo ou tapete aberto), com medidas</v>
      </c>
      <c r="H874" s="11" t="str">
        <f aca="false">IF(INDEX(PRODUTOS!$I$4:$I$63,MATCH($A874,PRODUTOS!$B$4:$B$63,0))="B",INDEX(MODELOS!$I$3:$I$19,MATCH($D874,MODELOS!$A$3:$A$19,0)),INDEX(MODELOS!$E$3:$E$19,MATCH($D874,MODELOS!$A$3:$A$19,0)))</f>
        <v>2000 × 2000</v>
      </c>
      <c r="I874" s="11" t="str">
        <f aca="false">INDEX(MODELOS!$J$3:$J$19,MATCH($D874,MODELOS!$A$3:$A$19,0))</f>
        <v>SIM</v>
      </c>
      <c r="J874" s="11" t="str">
        <f aca="false">IF(LEFT($D874,2)&lt;&gt;"AP",IF($I874="SIM","SIM","RECOMENDADA"),IF(INDEX(PRODUTOS!$J$4:$J$63,MATCH($A874,PRODUTOS!$B$4:$B$63,0))&lt;&gt;"","NÃO (usa o A+ do EAN "&amp;INDEX(PRODUTOS!$J$4:$J$63,MATCH($A874,PRODUTOS!$B$4:$B$63,0))&amp;")",IF(AND(INDEX(PRODUTOS!$I$4:$I$63,MATCH($A874,PRODUTOS!$B$4:$B$63,0))="B",$D874="AP07"),"NÃO (modelo B)","SIM")))</f>
        <v>SIM</v>
      </c>
      <c r="K874" s="13" t="s">
        <v>325</v>
      </c>
      <c r="L874" s="13"/>
    </row>
    <row r="875" customFormat="false" ht="15" hidden="false" customHeight="false" outlineLevel="0" collapsed="false">
      <c r="A875" s="15" t="s">
        <v>270</v>
      </c>
      <c r="B875" s="11" t="str">
        <f aca="false">INDEX(PRODUTOS!$E$4:$E$63,MATCH($A875,PRODUTOS!$B$4:$B$63,0))</f>
        <v>Palito Flex Natural Dots Maracujá 70 g</v>
      </c>
      <c r="C875" s="11" t="str">
        <f aca="false">INDEX(PRODUTOS!$H$4:$H$63,MATCH($A875,PRODUTOS!$B$4:$B$63,0))</f>
        <v>70 g</v>
      </c>
      <c r="D875" s="11" t="s">
        <v>329</v>
      </c>
      <c r="E875" s="16" t="str">
        <f aca="false">$A875&amp;"."&amp;$D875&amp;".jpg"</f>
        <v>7908591301137.PT04.jpg</v>
      </c>
      <c r="F875" s="11" t="str">
        <f aca="false">IF(INDEX(PRODUTOS!$I$4:$I$63,MATCH($A875,PRODUTOS!$B$4:$B$63,0))="B",INDEX(MODELOS!$F$3:$F$19,MATCH($D875,MODELOS!$A$3:$A$19,0)),INDEX(MODELOS!$B$3:$B$19,MATCH($D875,MODELOS!$A$3:$A$19,0)))</f>
        <v>Galeria · posição 5</v>
      </c>
      <c r="G875" s="11" t="str">
        <f aca="false">IF(INDEX(PRODUTOS!$F$4:$F$63,MATCH($A875,PRODUTOS!$B$4:$B$63,0))="Ração",IF(INDEX(PRODUTOS!$I$4:$I$63,MATCH($A875,PRODUTOS!$B$4:$B$63,0))="B",INDEX(MODELOS!$G$3:$G$19,MATCH($D875,MODELOS!$A$3:$A$19,0)),INDEX(MODELOS!$C$3:$C$19,MATCH($D875,MODELOS!$A$3:$A$19,0))),IF(INDEX(PRODUTOS!$I$4:$I$63,MATCH($A875,PRODUTOS!$B$4:$B$63,0))="B",INDEX(MODELOS!$H$3:$H$19,MATCH($D875,MODELOS!$A$3:$A$19,0)),INDEX(MODELOS!$D$3:$D$19,MATCH($D875,MODELOS!$A$3:$A$19,0))))</f>
        <v>Modo de uso (como oferecer o petisco / como usar o produto)</v>
      </c>
      <c r="H875" s="11" t="str">
        <f aca="false">IF(INDEX(PRODUTOS!$I$4:$I$63,MATCH($A875,PRODUTOS!$B$4:$B$63,0))="B",INDEX(MODELOS!$I$3:$I$19,MATCH($D875,MODELOS!$A$3:$A$19,0)),INDEX(MODELOS!$E$3:$E$19,MATCH($D875,MODELOS!$A$3:$A$19,0)))</f>
        <v>2000 × 2000</v>
      </c>
      <c r="I875" s="11" t="str">
        <f aca="false">INDEX(MODELOS!$J$3:$J$19,MATCH($D875,MODELOS!$A$3:$A$19,0))</f>
        <v>SIM</v>
      </c>
      <c r="J875" s="11" t="str">
        <f aca="false">IF(LEFT($D875,2)&lt;&gt;"AP",IF($I875="SIM","SIM","RECOMENDADA"),IF(INDEX(PRODUTOS!$J$4:$J$63,MATCH($A875,PRODUTOS!$B$4:$B$63,0))&lt;&gt;"","NÃO (usa o A+ do EAN "&amp;INDEX(PRODUTOS!$J$4:$J$63,MATCH($A875,PRODUTOS!$B$4:$B$63,0))&amp;")",IF(AND(INDEX(PRODUTOS!$I$4:$I$63,MATCH($A875,PRODUTOS!$B$4:$B$63,0))="B",$D875="AP07"),"NÃO (modelo B)","SIM")))</f>
        <v>SIM</v>
      </c>
      <c r="K875" s="13" t="s">
        <v>325</v>
      </c>
      <c r="L875" s="13"/>
    </row>
    <row r="876" customFormat="false" ht="15" hidden="false" customHeight="false" outlineLevel="0" collapsed="false">
      <c r="A876" s="15" t="s">
        <v>270</v>
      </c>
      <c r="B876" s="11" t="str">
        <f aca="false">INDEX(PRODUTOS!$E$4:$E$63,MATCH($A876,PRODUTOS!$B$4:$B$63,0))</f>
        <v>Palito Flex Natural Dots Maracujá 70 g</v>
      </c>
      <c r="C876" s="11" t="str">
        <f aca="false">INDEX(PRODUTOS!$H$4:$H$63,MATCH($A876,PRODUTOS!$B$4:$B$63,0))</f>
        <v>70 g</v>
      </c>
      <c r="D876" s="11" t="s">
        <v>330</v>
      </c>
      <c r="E876" s="16" t="str">
        <f aca="false">$A876&amp;"."&amp;$D876&amp;".jpg"</f>
        <v>7908591301137.PT05.jpg</v>
      </c>
      <c r="F876" s="11" t="str">
        <f aca="false">IF(INDEX(PRODUTOS!$I$4:$I$63,MATCH($A876,PRODUTOS!$B$4:$B$63,0))="B",INDEX(MODELOS!$F$3:$F$19,MATCH($D876,MODELOS!$A$3:$A$19,0)),INDEX(MODELOS!$B$3:$B$19,MATCH($D876,MODELOS!$A$3:$A$19,0)))</f>
        <v>Galeria · posição 6</v>
      </c>
      <c r="G876" s="11" t="str">
        <f aca="false">IF(INDEX(PRODUTOS!$F$4:$F$63,MATCH($A876,PRODUTOS!$B$4:$B$63,0))="Ração",IF(INDEX(PRODUTOS!$I$4:$I$63,MATCH($A876,PRODUTOS!$B$4:$B$63,0))="B",INDEX(MODELOS!$G$3:$G$19,MATCH($D876,MODELOS!$A$3:$A$19,0)),INDEX(MODELOS!$C$3:$C$19,MATCH($D876,MODELOS!$A$3:$A$19,0))),IF(INDEX(PRODUTOS!$I$4:$I$63,MATCH($A876,PRODUTOS!$B$4:$B$63,0))="B",INDEX(MODELOS!$H$3:$H$19,MATCH($D876,MODELOS!$A$3:$A$19,0)),INDEX(MODELOS!$D$3:$D$19,MATCH($D876,MODELOS!$A$3:$A$19,0))))</f>
        <v>Quantidade por dia ou rendimento do pacote</v>
      </c>
      <c r="H876" s="11" t="str">
        <f aca="false">IF(INDEX(PRODUTOS!$I$4:$I$63,MATCH($A876,PRODUTOS!$B$4:$B$63,0))="B",INDEX(MODELOS!$I$3:$I$19,MATCH($D876,MODELOS!$A$3:$A$19,0)),INDEX(MODELOS!$E$3:$E$19,MATCH($D876,MODELOS!$A$3:$A$19,0)))</f>
        <v>2000 × 2000</v>
      </c>
      <c r="I876" s="11" t="str">
        <f aca="false">INDEX(MODELOS!$J$3:$J$19,MATCH($D876,MODELOS!$A$3:$A$19,0))</f>
        <v>Recomendada</v>
      </c>
      <c r="J876" s="11" t="str">
        <f aca="false">IF(LEFT($D876,2)&lt;&gt;"AP",IF($I876="SIM","SIM","RECOMENDADA"),IF(INDEX(PRODUTOS!$J$4:$J$63,MATCH($A876,PRODUTOS!$B$4:$B$63,0))&lt;&gt;"","NÃO (usa o A+ do EAN "&amp;INDEX(PRODUTOS!$J$4:$J$63,MATCH($A876,PRODUTOS!$B$4:$B$63,0))&amp;")",IF(AND(INDEX(PRODUTOS!$I$4:$I$63,MATCH($A876,PRODUTOS!$B$4:$B$63,0))="B",$D876="AP07"),"NÃO (modelo B)","SIM")))</f>
        <v>RECOMENDADA</v>
      </c>
      <c r="K876" s="13" t="s">
        <v>325</v>
      </c>
      <c r="L876" s="13"/>
    </row>
    <row r="877" customFormat="false" ht="15" hidden="false" customHeight="false" outlineLevel="0" collapsed="false">
      <c r="A877" s="15" t="s">
        <v>270</v>
      </c>
      <c r="B877" s="11" t="str">
        <f aca="false">INDEX(PRODUTOS!$E$4:$E$63,MATCH($A877,PRODUTOS!$B$4:$B$63,0))</f>
        <v>Palito Flex Natural Dots Maracujá 70 g</v>
      </c>
      <c r="C877" s="11" t="str">
        <f aca="false">INDEX(PRODUTOS!$H$4:$H$63,MATCH($A877,PRODUTOS!$B$4:$B$63,0))</f>
        <v>70 g</v>
      </c>
      <c r="D877" s="11" t="s">
        <v>331</v>
      </c>
      <c r="E877" s="16" t="str">
        <f aca="false">$A877&amp;"."&amp;$D877&amp;".jpg"</f>
        <v>7908591301137.PT06.jpg</v>
      </c>
      <c r="F877" s="11" t="str">
        <f aca="false">IF(INDEX(PRODUTOS!$I$4:$I$63,MATCH($A877,PRODUTOS!$B$4:$B$63,0))="B",INDEX(MODELOS!$F$3:$F$19,MATCH($D877,MODELOS!$A$3:$A$19,0)),INDEX(MODELOS!$B$3:$B$19,MATCH($D877,MODELOS!$A$3:$A$19,0)))</f>
        <v>Galeria · posição 7</v>
      </c>
      <c r="G877" s="11" t="str">
        <f aca="false">IF(INDEX(PRODUTOS!$F$4:$F$63,MATCH($A877,PRODUTOS!$B$4:$B$63,0))="Ração",IF(INDEX(PRODUTOS!$I$4:$I$63,MATCH($A877,PRODUTOS!$B$4:$B$63,0))="B",INDEX(MODELOS!$G$3:$G$19,MATCH($D877,MODELOS!$A$3:$A$19,0)),INDEX(MODELOS!$C$3:$C$19,MATCH($D877,MODELOS!$A$3:$A$19,0))),IF(INDEX(PRODUTOS!$I$4:$I$63,MATCH($A877,PRODUTOS!$B$4:$B$63,0))="B",INDEX(MODELOS!$H$3:$H$19,MATCH($D877,MODELOS!$A$3:$A$19,0)),INDEX(MODELOS!$D$3:$D$19,MATCH($D877,MODELOS!$A$3:$A$19,0))))</f>
        <v>Composição/níveis de garantia (petiscos) ou especificações (higiene)</v>
      </c>
      <c r="H877" s="11" t="str">
        <f aca="false">IF(INDEX(PRODUTOS!$I$4:$I$63,MATCH($A877,PRODUTOS!$B$4:$B$63,0))="B",INDEX(MODELOS!$I$3:$I$19,MATCH($D877,MODELOS!$A$3:$A$19,0)),INDEX(MODELOS!$E$3:$E$19,MATCH($D877,MODELOS!$A$3:$A$19,0)))</f>
        <v>2000 × 2000</v>
      </c>
      <c r="I877" s="11" t="str">
        <f aca="false">INDEX(MODELOS!$J$3:$J$19,MATCH($D877,MODELOS!$A$3:$A$19,0))</f>
        <v>SIM</v>
      </c>
      <c r="J877" s="11" t="str">
        <f aca="false">IF(LEFT($D877,2)&lt;&gt;"AP",IF($I877="SIM","SIM","RECOMENDADA"),IF(INDEX(PRODUTOS!$J$4:$J$63,MATCH($A877,PRODUTOS!$B$4:$B$63,0))&lt;&gt;"","NÃO (usa o A+ do EAN "&amp;INDEX(PRODUTOS!$J$4:$J$63,MATCH($A877,PRODUTOS!$B$4:$B$63,0))&amp;")",IF(AND(INDEX(PRODUTOS!$I$4:$I$63,MATCH($A877,PRODUTOS!$B$4:$B$63,0))="B",$D877="AP07"),"NÃO (modelo B)","SIM")))</f>
        <v>SIM</v>
      </c>
      <c r="K877" s="13" t="s">
        <v>325</v>
      </c>
      <c r="L877" s="13"/>
    </row>
    <row r="878" customFormat="false" ht="15" hidden="false" customHeight="false" outlineLevel="0" collapsed="false">
      <c r="A878" s="15" t="s">
        <v>270</v>
      </c>
      <c r="B878" s="11" t="str">
        <f aca="false">INDEX(PRODUTOS!$E$4:$E$63,MATCH($A878,PRODUTOS!$B$4:$B$63,0))</f>
        <v>Palito Flex Natural Dots Maracujá 70 g</v>
      </c>
      <c r="C878" s="11" t="str">
        <f aca="false">INDEX(PRODUTOS!$H$4:$H$63,MATCH($A878,PRODUTOS!$B$4:$B$63,0))</f>
        <v>70 g</v>
      </c>
      <c r="D878" s="11" t="s">
        <v>332</v>
      </c>
      <c r="E878" s="16" t="str">
        <f aca="false">$A878&amp;"."&amp;$D878&amp;".jpg"</f>
        <v>7908591301137.PT07.jpg</v>
      </c>
      <c r="F878" s="11" t="str">
        <f aca="false">IF(INDEX(PRODUTOS!$I$4:$I$63,MATCH($A878,PRODUTOS!$B$4:$B$63,0))="B",INDEX(MODELOS!$F$3:$F$19,MATCH($D878,MODELOS!$A$3:$A$19,0)),INDEX(MODELOS!$B$3:$B$19,MATCH($D878,MODELOS!$A$3:$A$19,0)))</f>
        <v>Galeria · posição 8</v>
      </c>
      <c r="G878" s="11" t="str">
        <f aca="false">IF(INDEX(PRODUTOS!$F$4:$F$63,MATCH($A878,PRODUTOS!$B$4:$B$63,0))="Ração",IF(INDEX(PRODUTOS!$I$4:$I$63,MATCH($A878,PRODUTOS!$B$4:$B$63,0))="B",INDEX(MODELOS!$G$3:$G$19,MATCH($D878,MODELOS!$A$3:$A$19,0)),INDEX(MODELOS!$C$3:$C$19,MATCH($D878,MODELOS!$A$3:$A$19,0))),IF(INDEX(PRODUTOS!$I$4:$I$63,MATCH($A878,PRODUTOS!$B$4:$B$63,0))="B",INDEX(MODELOS!$H$3:$H$19,MATCH($D878,MODELOS!$A$3:$A$19,0)),INDEX(MODELOS!$D$3:$D$19,MATCH($D878,MODELOS!$A$3:$A$19,0))))</f>
        <v>Emocional / momento de uso</v>
      </c>
      <c r="H878" s="11" t="str">
        <f aca="false">IF(INDEX(PRODUTOS!$I$4:$I$63,MATCH($A878,PRODUTOS!$B$4:$B$63,0))="B",INDEX(MODELOS!$I$3:$I$19,MATCH($D878,MODELOS!$A$3:$A$19,0)),INDEX(MODELOS!$E$3:$E$19,MATCH($D878,MODELOS!$A$3:$A$19,0)))</f>
        <v>2000 × 2000</v>
      </c>
      <c r="I878" s="11" t="str">
        <f aca="false">INDEX(MODELOS!$J$3:$J$19,MATCH($D878,MODELOS!$A$3:$A$19,0))</f>
        <v>Recomendada</v>
      </c>
      <c r="J878" s="11" t="str">
        <f aca="false">IF(LEFT($D878,2)&lt;&gt;"AP",IF($I878="SIM","SIM","RECOMENDADA"),IF(INDEX(PRODUTOS!$J$4:$J$63,MATCH($A878,PRODUTOS!$B$4:$B$63,0))&lt;&gt;"","NÃO (usa o A+ do EAN "&amp;INDEX(PRODUTOS!$J$4:$J$63,MATCH($A878,PRODUTOS!$B$4:$B$63,0))&amp;")",IF(AND(INDEX(PRODUTOS!$I$4:$I$63,MATCH($A878,PRODUTOS!$B$4:$B$63,0))="B",$D878="AP07"),"NÃO (modelo B)","SIM")))</f>
        <v>RECOMENDADA</v>
      </c>
      <c r="K878" s="13" t="s">
        <v>325</v>
      </c>
      <c r="L878" s="13"/>
    </row>
    <row r="879" customFormat="false" ht="15" hidden="false" customHeight="false" outlineLevel="0" collapsed="false">
      <c r="A879" s="15" t="s">
        <v>270</v>
      </c>
      <c r="B879" s="11" t="str">
        <f aca="false">INDEX(PRODUTOS!$E$4:$E$63,MATCH($A879,PRODUTOS!$B$4:$B$63,0))</f>
        <v>Palito Flex Natural Dots Maracujá 70 g</v>
      </c>
      <c r="C879" s="11" t="str">
        <f aca="false">INDEX(PRODUTOS!$H$4:$H$63,MATCH($A879,PRODUTOS!$B$4:$B$63,0))</f>
        <v>70 g</v>
      </c>
      <c r="D879" s="11" t="s">
        <v>333</v>
      </c>
      <c r="E879" s="16" t="str">
        <f aca="false">$A879&amp;"."&amp;$D879&amp;".jpg"</f>
        <v>7908591301137.PT08.jpg</v>
      </c>
      <c r="F879" s="11" t="str">
        <f aca="false">IF(INDEX(PRODUTOS!$I$4:$I$63,MATCH($A879,PRODUTOS!$B$4:$B$63,0))="B",INDEX(MODELOS!$F$3:$F$19,MATCH($D879,MODELOS!$A$3:$A$19,0)),INDEX(MODELOS!$B$3:$B$19,MATCH($D879,MODELOS!$A$3:$A$19,0)))</f>
        <v>Galeria · posição 9</v>
      </c>
      <c r="G879" s="11" t="str">
        <f aca="false">IF(INDEX(PRODUTOS!$F$4:$F$63,MATCH($A879,PRODUTOS!$B$4:$B$63,0))="Ração",IF(INDEX(PRODUTOS!$I$4:$I$63,MATCH($A879,PRODUTOS!$B$4:$B$63,0))="B",INDEX(MODELOS!$G$3:$G$19,MATCH($D879,MODELOS!$A$3:$A$19,0)),INDEX(MODELOS!$C$3:$C$19,MATCH($D879,MODELOS!$A$3:$A$19,0))),IF(INDEX(PRODUTOS!$I$4:$I$63,MATCH($A879,PRODUTOS!$B$4:$B$63,0))="B",INDEX(MODELOS!$H$3:$H$19,MATCH($D879,MODELOS!$A$3:$A$19,0)),INDEX(MODELOS!$D$3:$D$19,MATCH($D879,MODELOS!$A$3:$A$19,0))))</f>
        <v>Linha da marca ("conheça também")</v>
      </c>
      <c r="H879" s="11" t="str">
        <f aca="false">IF(INDEX(PRODUTOS!$I$4:$I$63,MATCH($A879,PRODUTOS!$B$4:$B$63,0))="B",INDEX(MODELOS!$I$3:$I$19,MATCH($D879,MODELOS!$A$3:$A$19,0)),INDEX(MODELOS!$E$3:$E$19,MATCH($D879,MODELOS!$A$3:$A$19,0)))</f>
        <v>2000 × 2000</v>
      </c>
      <c r="I879" s="11" t="str">
        <f aca="false">INDEX(MODELOS!$J$3:$J$19,MATCH($D879,MODELOS!$A$3:$A$19,0))</f>
        <v>Recomendada</v>
      </c>
      <c r="J879" s="11" t="str">
        <f aca="false">IF(LEFT($D879,2)&lt;&gt;"AP",IF($I879="SIM","SIM","RECOMENDADA"),IF(INDEX(PRODUTOS!$J$4:$J$63,MATCH($A879,PRODUTOS!$B$4:$B$63,0))&lt;&gt;"","NÃO (usa o A+ do EAN "&amp;INDEX(PRODUTOS!$J$4:$J$63,MATCH($A879,PRODUTOS!$B$4:$B$63,0))&amp;")",IF(AND(INDEX(PRODUTOS!$I$4:$I$63,MATCH($A879,PRODUTOS!$B$4:$B$63,0))="B",$D879="AP07"),"NÃO (modelo B)","SIM")))</f>
        <v>RECOMENDADA</v>
      </c>
      <c r="K879" s="13" t="s">
        <v>325</v>
      </c>
      <c r="L879" s="13"/>
    </row>
    <row r="880" customFormat="false" ht="15" hidden="false" customHeight="false" outlineLevel="0" collapsed="false">
      <c r="A880" s="15" t="s">
        <v>270</v>
      </c>
      <c r="B880" s="11" t="str">
        <f aca="false">INDEX(PRODUTOS!$E$4:$E$63,MATCH($A880,PRODUTOS!$B$4:$B$63,0))</f>
        <v>Palito Flex Natural Dots Maracujá 70 g</v>
      </c>
      <c r="C880" s="11" t="str">
        <f aca="false">INDEX(PRODUTOS!$H$4:$H$63,MATCH($A880,PRODUTOS!$B$4:$B$63,0))</f>
        <v>70 g</v>
      </c>
      <c r="D880" s="11" t="s">
        <v>334</v>
      </c>
      <c r="E880" s="16" t="str">
        <f aca="false">$A880&amp;"."&amp;$D880&amp;".jpg"</f>
        <v>7908591301137.AP01.jpg</v>
      </c>
      <c r="F880" s="11" t="str">
        <f aca="false">IF(INDEX(PRODUTOS!$I$4:$I$63,MATCH($A880,PRODUTOS!$B$4:$B$63,0))="B",INDEX(MODELOS!$F$3:$F$19,MATCH($D880,MODELOS!$A$3:$A$19,0)),INDEX(MODELOS!$B$3:$B$19,MATCH($D880,MODELOS!$A$3:$A$19,0)))</f>
        <v>A+ · Módulo 1 · Banner</v>
      </c>
      <c r="G880" s="11" t="str">
        <f aca="false">IF(INDEX(PRODUTOS!$F$4:$F$63,MATCH($A880,PRODUTOS!$B$4:$B$63,0))="Ração",IF(INDEX(PRODUTOS!$I$4:$I$63,MATCH($A880,PRODUTOS!$B$4:$B$63,0))="B",INDEX(MODELOS!$G$3:$G$19,MATCH($D880,MODELOS!$A$3:$A$19,0)),INDEX(MODELOS!$C$3:$C$19,MATCH($D880,MODELOS!$A$3:$A$19,0))),IF(INDEX(PRODUTOS!$I$4:$I$63,MATCH($A880,PRODUTOS!$B$4:$B$63,0))="B",INDEX(MODELOS!$H$3:$H$19,MATCH($D880,MODELOS!$A$3:$A$19,0)),INDEX(MODELOS!$D$3:$D$19,MATCH($D880,MODELOS!$A$3:$A$19,0))))</f>
        <v>Produto + pet, com o nome da linha</v>
      </c>
      <c r="H880" s="11" t="str">
        <f aca="false">IF(INDEX(PRODUTOS!$I$4:$I$63,MATCH($A880,PRODUTOS!$B$4:$B$63,0))="B",INDEX(MODELOS!$I$3:$I$19,MATCH($D880,MODELOS!$A$3:$A$19,0)),INDEX(MODELOS!$E$3:$E$19,MATCH($D880,MODELOS!$A$3:$A$19,0)))</f>
        <v>970 × 600</v>
      </c>
      <c r="I880" s="11" t="str">
        <f aca="false">INDEX(MODELOS!$J$3:$J$19,MATCH($D880,MODELOS!$A$3:$A$19,0))</f>
        <v>Conforme modelo</v>
      </c>
      <c r="J880" s="11" t="str">
        <f aca="false">IF(LEFT($D880,2)&lt;&gt;"AP",IF($I880="SIM","SIM","RECOMENDADA"),IF(INDEX(PRODUTOS!$J$4:$J$63,MATCH($A880,PRODUTOS!$B$4:$B$63,0))&lt;&gt;"","NÃO (usa o A+ do EAN "&amp;INDEX(PRODUTOS!$J$4:$J$63,MATCH($A880,PRODUTOS!$B$4:$B$63,0))&amp;")",IF(AND(INDEX(PRODUTOS!$I$4:$I$63,MATCH($A880,PRODUTOS!$B$4:$B$63,0))="B",$D880="AP07"),"NÃO (modelo B)","SIM")))</f>
        <v>SIM</v>
      </c>
      <c r="K880" s="13" t="s">
        <v>325</v>
      </c>
      <c r="L880" s="13"/>
    </row>
    <row r="881" customFormat="false" ht="15" hidden="false" customHeight="false" outlineLevel="0" collapsed="false">
      <c r="A881" s="15" t="s">
        <v>270</v>
      </c>
      <c r="B881" s="11" t="str">
        <f aca="false">INDEX(PRODUTOS!$E$4:$E$63,MATCH($A881,PRODUTOS!$B$4:$B$63,0))</f>
        <v>Palito Flex Natural Dots Maracujá 70 g</v>
      </c>
      <c r="C881" s="11" t="str">
        <f aca="false">INDEX(PRODUTOS!$H$4:$H$63,MATCH($A881,PRODUTOS!$B$4:$B$63,0))</f>
        <v>70 g</v>
      </c>
      <c r="D881" s="11" t="s">
        <v>335</v>
      </c>
      <c r="E881" s="16" t="str">
        <f aca="false">$A881&amp;"."&amp;$D881&amp;".jpg"</f>
        <v>7908591301137.AP02.jpg</v>
      </c>
      <c r="F881" s="11" t="str">
        <f aca="false">IF(INDEX(PRODUTOS!$I$4:$I$63,MATCH($A881,PRODUTOS!$B$4:$B$63,0))="B",INDEX(MODELOS!$F$3:$F$19,MATCH($D881,MODELOS!$A$3:$A$19,0)),INDEX(MODELOS!$B$3:$B$19,MATCH($D881,MODELOS!$A$3:$A$19,0)))</f>
        <v>A+ · Módulo 2 · Texto sobreposto</v>
      </c>
      <c r="G881" s="11" t="str">
        <f aca="false">IF(INDEX(PRODUTOS!$F$4:$F$63,MATCH($A881,PRODUTOS!$B$4:$B$63,0))="Ração",IF(INDEX(PRODUTOS!$I$4:$I$63,MATCH($A881,PRODUTOS!$B$4:$B$63,0))="B",INDEX(MODELOS!$G$3:$G$19,MATCH($D881,MODELOS!$A$3:$A$19,0)),INDEX(MODELOS!$C$3:$C$19,MATCH($D881,MODELOS!$A$3:$A$19,0))),IF(INDEX(PRODUTOS!$I$4:$I$63,MATCH($A881,PRODUTOS!$B$4:$B$63,0))="B",INDEX(MODELOS!$H$3:$H$19,MATCH($D881,MODELOS!$A$3:$A$19,0)),INDEX(MODELOS!$D$3:$D$19,MATCH($D881,MODELOS!$A$3:$A$19,0))))</f>
        <v>Principal diferencial; deixar o lado direito limpo</v>
      </c>
      <c r="H881" s="11" t="str">
        <f aca="false">IF(INDEX(PRODUTOS!$I$4:$I$63,MATCH($A881,PRODUTOS!$B$4:$B$63,0))="B",INDEX(MODELOS!$I$3:$I$19,MATCH($D881,MODELOS!$A$3:$A$19,0)),INDEX(MODELOS!$E$3:$E$19,MATCH($D881,MODELOS!$A$3:$A$19,0)))</f>
        <v>970 × 300</v>
      </c>
      <c r="I881" s="11" t="str">
        <f aca="false">INDEX(MODELOS!$J$3:$J$19,MATCH($D881,MODELOS!$A$3:$A$19,0))</f>
        <v>Conforme modelo</v>
      </c>
      <c r="J881" s="11" t="str">
        <f aca="false">IF(LEFT($D881,2)&lt;&gt;"AP",IF($I881="SIM","SIM","RECOMENDADA"),IF(INDEX(PRODUTOS!$J$4:$J$63,MATCH($A881,PRODUTOS!$B$4:$B$63,0))&lt;&gt;"","NÃO (usa o A+ do EAN "&amp;INDEX(PRODUTOS!$J$4:$J$63,MATCH($A881,PRODUTOS!$B$4:$B$63,0))&amp;")",IF(AND(INDEX(PRODUTOS!$I$4:$I$63,MATCH($A881,PRODUTOS!$B$4:$B$63,0))="B",$D881="AP07"),"NÃO (modelo B)","SIM")))</f>
        <v>SIM</v>
      </c>
      <c r="K881" s="13" t="s">
        <v>325</v>
      </c>
      <c r="L881" s="13"/>
    </row>
    <row r="882" customFormat="false" ht="15" hidden="false" customHeight="false" outlineLevel="0" collapsed="false">
      <c r="A882" s="15" t="s">
        <v>270</v>
      </c>
      <c r="B882" s="11" t="str">
        <f aca="false">INDEX(PRODUTOS!$E$4:$E$63,MATCH($A882,PRODUTOS!$B$4:$B$63,0))</f>
        <v>Palito Flex Natural Dots Maracujá 70 g</v>
      </c>
      <c r="C882" s="11" t="str">
        <f aca="false">INDEX(PRODUTOS!$H$4:$H$63,MATCH($A882,PRODUTOS!$B$4:$B$63,0))</f>
        <v>70 g</v>
      </c>
      <c r="D882" s="11" t="s">
        <v>336</v>
      </c>
      <c r="E882" s="16" t="str">
        <f aca="false">$A882&amp;"."&amp;$D882&amp;".jpg"</f>
        <v>7908591301137.AP03.jpg</v>
      </c>
      <c r="F882" s="11" t="str">
        <f aca="false">IF(INDEX(PRODUTOS!$I$4:$I$63,MATCH($A882,PRODUTOS!$B$4:$B$63,0))="B",INDEX(MODELOS!$F$3:$F$19,MATCH($D882,MODELOS!$A$3:$A$19,0)),INDEX(MODELOS!$B$3:$B$19,MATCH($D882,MODELOS!$A$3:$A$19,0)))</f>
        <v>A+ · Módulo 3 · Benefício 1 de 4</v>
      </c>
      <c r="G882" s="11" t="str">
        <f aca="false">IF(INDEX(PRODUTOS!$F$4:$F$63,MATCH($A882,PRODUTOS!$B$4:$B$63,0))="Ração",IF(INDEX(PRODUTOS!$I$4:$I$63,MATCH($A882,PRODUTOS!$B$4:$B$63,0))="B",INDEX(MODELOS!$G$3:$G$19,MATCH($D882,MODELOS!$A$3:$A$19,0)),INDEX(MODELOS!$C$3:$C$19,MATCH($D882,MODELOS!$A$3:$A$19,0))),IF(INDEX(PRODUTOS!$I$4:$I$63,MATCH($A882,PRODUTOS!$B$4:$B$63,0))="B",INDEX(MODELOS!$H$3:$H$19,MATCH($D882,MODELOS!$A$3:$A$19,0)),INDEX(MODELOS!$D$3:$D$19,MATCH($D882,MODELOS!$A$3:$A$19,0))))</f>
        <v>Foto/ilustração do benefício 1</v>
      </c>
      <c r="H882" s="11" t="str">
        <f aca="false">IF(INDEX(PRODUTOS!$I$4:$I$63,MATCH($A882,PRODUTOS!$B$4:$B$63,0))="B",INDEX(MODELOS!$I$3:$I$19,MATCH($D882,MODELOS!$A$3:$A$19,0)),INDEX(MODELOS!$E$3:$E$19,MATCH($D882,MODELOS!$A$3:$A$19,0)))</f>
        <v>220 × 200</v>
      </c>
      <c r="I882" s="11" t="str">
        <f aca="false">INDEX(MODELOS!$J$3:$J$19,MATCH($D882,MODELOS!$A$3:$A$19,0))</f>
        <v>Conforme modelo</v>
      </c>
      <c r="J882" s="11" t="str">
        <f aca="false">IF(LEFT($D882,2)&lt;&gt;"AP",IF($I882="SIM","SIM","RECOMENDADA"),IF(INDEX(PRODUTOS!$J$4:$J$63,MATCH($A882,PRODUTOS!$B$4:$B$63,0))&lt;&gt;"","NÃO (usa o A+ do EAN "&amp;INDEX(PRODUTOS!$J$4:$J$63,MATCH($A882,PRODUTOS!$B$4:$B$63,0))&amp;")",IF(AND(INDEX(PRODUTOS!$I$4:$I$63,MATCH($A882,PRODUTOS!$B$4:$B$63,0))="B",$D882="AP07"),"NÃO (modelo B)","SIM")))</f>
        <v>SIM</v>
      </c>
      <c r="K882" s="13" t="s">
        <v>325</v>
      </c>
      <c r="L882" s="13"/>
    </row>
    <row r="883" customFormat="false" ht="15" hidden="false" customHeight="false" outlineLevel="0" collapsed="false">
      <c r="A883" s="15" t="s">
        <v>270</v>
      </c>
      <c r="B883" s="11" t="str">
        <f aca="false">INDEX(PRODUTOS!$E$4:$E$63,MATCH($A883,PRODUTOS!$B$4:$B$63,0))</f>
        <v>Palito Flex Natural Dots Maracujá 70 g</v>
      </c>
      <c r="C883" s="11" t="str">
        <f aca="false">INDEX(PRODUTOS!$H$4:$H$63,MATCH($A883,PRODUTOS!$B$4:$B$63,0))</f>
        <v>70 g</v>
      </c>
      <c r="D883" s="11" t="s">
        <v>337</v>
      </c>
      <c r="E883" s="16" t="str">
        <f aca="false">$A883&amp;"."&amp;$D883&amp;".jpg"</f>
        <v>7908591301137.AP04.jpg</v>
      </c>
      <c r="F883" s="11" t="str">
        <f aca="false">IF(INDEX(PRODUTOS!$I$4:$I$63,MATCH($A883,PRODUTOS!$B$4:$B$63,0))="B",INDEX(MODELOS!$F$3:$F$19,MATCH($D883,MODELOS!$A$3:$A$19,0)),INDEX(MODELOS!$B$3:$B$19,MATCH($D883,MODELOS!$A$3:$A$19,0)))</f>
        <v>A+ · Módulo 3 · Benefício 2 de 4</v>
      </c>
      <c r="G883" s="11" t="str">
        <f aca="false">IF(INDEX(PRODUTOS!$F$4:$F$63,MATCH($A883,PRODUTOS!$B$4:$B$63,0))="Ração",IF(INDEX(PRODUTOS!$I$4:$I$63,MATCH($A883,PRODUTOS!$B$4:$B$63,0))="B",INDEX(MODELOS!$G$3:$G$19,MATCH($D883,MODELOS!$A$3:$A$19,0)),INDEX(MODELOS!$C$3:$C$19,MATCH($D883,MODELOS!$A$3:$A$19,0))),IF(INDEX(PRODUTOS!$I$4:$I$63,MATCH($A883,PRODUTOS!$B$4:$B$63,0))="B",INDEX(MODELOS!$H$3:$H$19,MATCH($D883,MODELOS!$A$3:$A$19,0)),INDEX(MODELOS!$D$3:$D$19,MATCH($D883,MODELOS!$A$3:$A$19,0))))</f>
        <v>Foto/ilustração do benefício 2</v>
      </c>
      <c r="H883" s="11" t="str">
        <f aca="false">IF(INDEX(PRODUTOS!$I$4:$I$63,MATCH($A883,PRODUTOS!$B$4:$B$63,0))="B",INDEX(MODELOS!$I$3:$I$19,MATCH($D883,MODELOS!$A$3:$A$19,0)),INDEX(MODELOS!$E$3:$E$19,MATCH($D883,MODELOS!$A$3:$A$19,0)))</f>
        <v>220 × 200</v>
      </c>
      <c r="I883" s="11" t="str">
        <f aca="false">INDEX(MODELOS!$J$3:$J$19,MATCH($D883,MODELOS!$A$3:$A$19,0))</f>
        <v>Conforme modelo</v>
      </c>
      <c r="J883" s="11" t="str">
        <f aca="false">IF(LEFT($D883,2)&lt;&gt;"AP",IF($I883="SIM","SIM","RECOMENDADA"),IF(INDEX(PRODUTOS!$J$4:$J$63,MATCH($A883,PRODUTOS!$B$4:$B$63,0))&lt;&gt;"","NÃO (usa o A+ do EAN "&amp;INDEX(PRODUTOS!$J$4:$J$63,MATCH($A883,PRODUTOS!$B$4:$B$63,0))&amp;")",IF(AND(INDEX(PRODUTOS!$I$4:$I$63,MATCH($A883,PRODUTOS!$B$4:$B$63,0))="B",$D883="AP07"),"NÃO (modelo B)","SIM")))</f>
        <v>SIM</v>
      </c>
      <c r="K883" s="13" t="s">
        <v>325</v>
      </c>
      <c r="L883" s="13"/>
    </row>
    <row r="884" customFormat="false" ht="15" hidden="false" customHeight="false" outlineLevel="0" collapsed="false">
      <c r="A884" s="15" t="s">
        <v>270</v>
      </c>
      <c r="B884" s="11" t="str">
        <f aca="false">INDEX(PRODUTOS!$E$4:$E$63,MATCH($A884,PRODUTOS!$B$4:$B$63,0))</f>
        <v>Palito Flex Natural Dots Maracujá 70 g</v>
      </c>
      <c r="C884" s="11" t="str">
        <f aca="false">INDEX(PRODUTOS!$H$4:$H$63,MATCH($A884,PRODUTOS!$B$4:$B$63,0))</f>
        <v>70 g</v>
      </c>
      <c r="D884" s="11" t="s">
        <v>338</v>
      </c>
      <c r="E884" s="16" t="str">
        <f aca="false">$A884&amp;"."&amp;$D884&amp;".jpg"</f>
        <v>7908591301137.AP05.jpg</v>
      </c>
      <c r="F884" s="11" t="str">
        <f aca="false">IF(INDEX(PRODUTOS!$I$4:$I$63,MATCH($A884,PRODUTOS!$B$4:$B$63,0))="B",INDEX(MODELOS!$F$3:$F$19,MATCH($D884,MODELOS!$A$3:$A$19,0)),INDEX(MODELOS!$B$3:$B$19,MATCH($D884,MODELOS!$A$3:$A$19,0)))</f>
        <v>A+ · Módulo 3 · Benefício 3 de 4</v>
      </c>
      <c r="G884" s="11" t="str">
        <f aca="false">IF(INDEX(PRODUTOS!$F$4:$F$63,MATCH($A884,PRODUTOS!$B$4:$B$63,0))="Ração",IF(INDEX(PRODUTOS!$I$4:$I$63,MATCH($A884,PRODUTOS!$B$4:$B$63,0))="B",INDEX(MODELOS!$G$3:$G$19,MATCH($D884,MODELOS!$A$3:$A$19,0)),INDEX(MODELOS!$C$3:$C$19,MATCH($D884,MODELOS!$A$3:$A$19,0))),IF(INDEX(PRODUTOS!$I$4:$I$63,MATCH($A884,PRODUTOS!$B$4:$B$63,0))="B",INDEX(MODELOS!$H$3:$H$19,MATCH($D884,MODELOS!$A$3:$A$19,0)),INDEX(MODELOS!$D$3:$D$19,MATCH($D884,MODELOS!$A$3:$A$19,0))))</f>
        <v>Foto/ilustração do benefício 3</v>
      </c>
      <c r="H884" s="11" t="str">
        <f aca="false">IF(INDEX(PRODUTOS!$I$4:$I$63,MATCH($A884,PRODUTOS!$B$4:$B$63,0))="B",INDEX(MODELOS!$I$3:$I$19,MATCH($D884,MODELOS!$A$3:$A$19,0)),INDEX(MODELOS!$E$3:$E$19,MATCH($D884,MODELOS!$A$3:$A$19,0)))</f>
        <v>220 × 200</v>
      </c>
      <c r="I884" s="11" t="str">
        <f aca="false">INDEX(MODELOS!$J$3:$J$19,MATCH($D884,MODELOS!$A$3:$A$19,0))</f>
        <v>Conforme modelo</v>
      </c>
      <c r="J884" s="11" t="str">
        <f aca="false">IF(LEFT($D884,2)&lt;&gt;"AP",IF($I884="SIM","SIM","RECOMENDADA"),IF(INDEX(PRODUTOS!$J$4:$J$63,MATCH($A884,PRODUTOS!$B$4:$B$63,0))&lt;&gt;"","NÃO (usa o A+ do EAN "&amp;INDEX(PRODUTOS!$J$4:$J$63,MATCH($A884,PRODUTOS!$B$4:$B$63,0))&amp;")",IF(AND(INDEX(PRODUTOS!$I$4:$I$63,MATCH($A884,PRODUTOS!$B$4:$B$63,0))="B",$D884="AP07"),"NÃO (modelo B)","SIM")))</f>
        <v>SIM</v>
      </c>
      <c r="K884" s="13" t="s">
        <v>325</v>
      </c>
      <c r="L884" s="13"/>
    </row>
    <row r="885" customFormat="false" ht="15" hidden="false" customHeight="false" outlineLevel="0" collapsed="false">
      <c r="A885" s="15" t="s">
        <v>270</v>
      </c>
      <c r="B885" s="11" t="str">
        <f aca="false">INDEX(PRODUTOS!$E$4:$E$63,MATCH($A885,PRODUTOS!$B$4:$B$63,0))</f>
        <v>Palito Flex Natural Dots Maracujá 70 g</v>
      </c>
      <c r="C885" s="11" t="str">
        <f aca="false">INDEX(PRODUTOS!$H$4:$H$63,MATCH($A885,PRODUTOS!$B$4:$B$63,0))</f>
        <v>70 g</v>
      </c>
      <c r="D885" s="11" t="s">
        <v>339</v>
      </c>
      <c r="E885" s="16" t="str">
        <f aca="false">$A885&amp;"."&amp;$D885&amp;".jpg"</f>
        <v>7908591301137.AP06.jpg</v>
      </c>
      <c r="F885" s="11" t="str">
        <f aca="false">IF(INDEX(PRODUTOS!$I$4:$I$63,MATCH($A885,PRODUTOS!$B$4:$B$63,0))="B",INDEX(MODELOS!$F$3:$F$19,MATCH($D885,MODELOS!$A$3:$A$19,0)),INDEX(MODELOS!$B$3:$B$19,MATCH($D885,MODELOS!$A$3:$A$19,0)))</f>
        <v>A+ · Módulo 3 · Benefício 4 de 4</v>
      </c>
      <c r="G885" s="11" t="str">
        <f aca="false">IF(INDEX(PRODUTOS!$F$4:$F$63,MATCH($A885,PRODUTOS!$B$4:$B$63,0))="Ração",IF(INDEX(PRODUTOS!$I$4:$I$63,MATCH($A885,PRODUTOS!$B$4:$B$63,0))="B",INDEX(MODELOS!$G$3:$G$19,MATCH($D885,MODELOS!$A$3:$A$19,0)),INDEX(MODELOS!$C$3:$C$19,MATCH($D885,MODELOS!$A$3:$A$19,0))),IF(INDEX(PRODUTOS!$I$4:$I$63,MATCH($A885,PRODUTOS!$B$4:$B$63,0))="B",INDEX(MODELOS!$H$3:$H$19,MATCH($D885,MODELOS!$A$3:$A$19,0)),INDEX(MODELOS!$D$3:$D$19,MATCH($D885,MODELOS!$A$3:$A$19,0))))</f>
        <v>Foto/ilustração do benefício 4</v>
      </c>
      <c r="H885" s="11" t="str">
        <f aca="false">IF(INDEX(PRODUTOS!$I$4:$I$63,MATCH($A885,PRODUTOS!$B$4:$B$63,0))="B",INDEX(MODELOS!$I$3:$I$19,MATCH($D885,MODELOS!$A$3:$A$19,0)),INDEX(MODELOS!$E$3:$E$19,MATCH($D885,MODELOS!$A$3:$A$19,0)))</f>
        <v>220 × 200</v>
      </c>
      <c r="I885" s="11" t="str">
        <f aca="false">INDEX(MODELOS!$J$3:$J$19,MATCH($D885,MODELOS!$A$3:$A$19,0))</f>
        <v>Conforme modelo</v>
      </c>
      <c r="J885" s="11" t="str">
        <f aca="false">IF(LEFT($D885,2)&lt;&gt;"AP",IF($I885="SIM","SIM","RECOMENDADA"),IF(INDEX(PRODUTOS!$J$4:$J$63,MATCH($A885,PRODUTOS!$B$4:$B$63,0))&lt;&gt;"","NÃO (usa o A+ do EAN "&amp;INDEX(PRODUTOS!$J$4:$J$63,MATCH($A885,PRODUTOS!$B$4:$B$63,0))&amp;")",IF(AND(INDEX(PRODUTOS!$I$4:$I$63,MATCH($A885,PRODUTOS!$B$4:$B$63,0))="B",$D885="AP07"),"NÃO (modelo B)","SIM")))</f>
        <v>SIM</v>
      </c>
      <c r="K885" s="13" t="s">
        <v>325</v>
      </c>
      <c r="L885" s="13"/>
    </row>
    <row r="886" customFormat="false" ht="15" hidden="false" customHeight="false" outlineLevel="0" collapsed="false">
      <c r="A886" s="15" t="s">
        <v>270</v>
      </c>
      <c r="B886" s="11" t="str">
        <f aca="false">INDEX(PRODUTOS!$E$4:$E$63,MATCH($A886,PRODUTOS!$B$4:$B$63,0))</f>
        <v>Palito Flex Natural Dots Maracujá 70 g</v>
      </c>
      <c r="C886" s="11" t="str">
        <f aca="false">INDEX(PRODUTOS!$H$4:$H$63,MATCH($A886,PRODUTOS!$B$4:$B$63,0))</f>
        <v>70 g</v>
      </c>
      <c r="D886" s="11" t="s">
        <v>340</v>
      </c>
      <c r="E886" s="16" t="str">
        <f aca="false">$A886&amp;"."&amp;$D886&amp;".jpg"</f>
        <v>7908591301137.AP07.jpg</v>
      </c>
      <c r="F886" s="11" t="str">
        <f aca="false">IF(INDEX(PRODUTOS!$I$4:$I$63,MATCH($A886,PRODUTOS!$B$4:$B$63,0))="B",INDEX(MODELOS!$F$3:$F$19,MATCH($D886,MODELOS!$A$3:$A$19,0)),INDEX(MODELOS!$B$3:$B$19,MATCH($D886,MODELOS!$A$3:$A$19,0)))</f>
        <v>A+ · Módulo 4 · Especificações</v>
      </c>
      <c r="G886" s="11" t="str">
        <f aca="false">IF(INDEX(PRODUTOS!$F$4:$F$63,MATCH($A886,PRODUTOS!$B$4:$B$63,0))="Ração",IF(INDEX(PRODUTOS!$I$4:$I$63,MATCH($A886,PRODUTOS!$B$4:$B$63,0))="B",INDEX(MODELOS!$G$3:$G$19,MATCH($D886,MODELOS!$A$3:$A$19,0)),INDEX(MODELOS!$C$3:$C$19,MATCH($D886,MODELOS!$A$3:$A$19,0))),IF(INDEX(PRODUTOS!$I$4:$I$63,MATCH($A886,PRODUTOS!$B$4:$B$63,0))="B",INDEX(MODELOS!$H$3:$H$19,MATCH($D886,MODELOS!$A$3:$A$19,0)),INDEX(MODELOS!$D$3:$D$19,MATCH($D886,MODELOS!$A$3:$A$19,0))))</f>
        <v>Produto em destaque</v>
      </c>
      <c r="H886" s="11" t="str">
        <f aca="false">IF(INDEX(PRODUTOS!$I$4:$I$63,MATCH($A886,PRODUTOS!$B$4:$B$63,0))="B",INDEX(MODELOS!$I$3:$I$19,MATCH($D886,MODELOS!$A$3:$A$19,0)),INDEX(MODELOS!$E$3:$E$19,MATCH($D886,MODELOS!$A$3:$A$19,0)))</f>
        <v>300 × 300</v>
      </c>
      <c r="I886" s="11" t="str">
        <f aca="false">INDEX(MODELOS!$J$3:$J$19,MATCH($D886,MODELOS!$A$3:$A$19,0))</f>
        <v>Conforme modelo</v>
      </c>
      <c r="J886" s="11" t="str">
        <f aca="false">IF(LEFT($D886,2)&lt;&gt;"AP",IF($I886="SIM","SIM","RECOMENDADA"),IF(INDEX(PRODUTOS!$J$4:$J$63,MATCH($A886,PRODUTOS!$B$4:$B$63,0))&lt;&gt;"","NÃO (usa o A+ do EAN "&amp;INDEX(PRODUTOS!$J$4:$J$63,MATCH($A886,PRODUTOS!$B$4:$B$63,0))&amp;")",IF(AND(INDEX(PRODUTOS!$I$4:$I$63,MATCH($A886,PRODUTOS!$B$4:$B$63,0))="B",$D886="AP07"),"NÃO (modelo B)","SIM")))</f>
        <v>SIM</v>
      </c>
      <c r="K886" s="13" t="s">
        <v>325</v>
      </c>
      <c r="L886" s="13"/>
    </row>
    <row r="887" customFormat="false" ht="15" hidden="false" customHeight="false" outlineLevel="0" collapsed="false">
      <c r="A887" s="15" t="s">
        <v>270</v>
      </c>
      <c r="B887" s="11" t="str">
        <f aca="false">INDEX(PRODUTOS!$E$4:$E$63,MATCH($A887,PRODUTOS!$B$4:$B$63,0))</f>
        <v>Palito Flex Natural Dots Maracujá 70 g</v>
      </c>
      <c r="C887" s="11" t="str">
        <f aca="false">INDEX(PRODUTOS!$H$4:$H$63,MATCH($A887,PRODUTOS!$B$4:$B$63,0))</f>
        <v>70 g</v>
      </c>
      <c r="D887" s="11" t="s">
        <v>341</v>
      </c>
      <c r="E887" s="16" t="str">
        <f aca="false">$A887&amp;"."&amp;$D887&amp;".jpg"</f>
        <v>7908591301137.COMP.jpg</v>
      </c>
      <c r="F887" s="11" t="str">
        <f aca="false">IF(INDEX(PRODUTOS!$I$4:$I$63,MATCH($A887,PRODUTOS!$B$4:$B$63,0))="B",INDEX(MODELOS!$F$3:$F$19,MATCH($D887,MODELOS!$A$3:$A$19,0)),INDEX(MODELOS!$B$3:$B$19,MATCH($D887,MODELOS!$A$3:$A$19,0)))</f>
        <v>A+ · Tabela comparativa</v>
      </c>
      <c r="G887" s="11" t="str">
        <f aca="false">IF(INDEX(PRODUTOS!$F$4:$F$63,MATCH($A887,PRODUTOS!$B$4:$B$63,0))="Ração",IF(INDEX(PRODUTOS!$I$4:$I$63,MATCH($A887,PRODUTOS!$B$4:$B$63,0))="B",INDEX(MODELOS!$G$3:$G$19,MATCH($D887,MODELOS!$A$3:$A$19,0)),INDEX(MODELOS!$C$3:$C$19,MATCH($D887,MODELOS!$A$3:$A$19,0))),IF(INDEX(PRODUTOS!$I$4:$I$63,MATCH($A887,PRODUTOS!$B$4:$B$63,0))="B",INDEX(MODELOS!$H$3:$H$19,MATCH($D887,MODELOS!$A$3:$A$19,0)),INDEX(MODELOS!$D$3:$D$19,MATCH($D887,MODELOS!$A$3:$A$19,0))))</f>
        <v>Produto na vertical, sem fundo colorido</v>
      </c>
      <c r="H887" s="11" t="str">
        <f aca="false">IF(INDEX(PRODUTOS!$I$4:$I$63,MATCH($A887,PRODUTOS!$B$4:$B$63,0))="B",INDEX(MODELOS!$I$3:$I$19,MATCH($D887,MODELOS!$A$3:$A$19,0)),INDEX(MODELOS!$E$3:$E$19,MATCH($D887,MODELOS!$A$3:$A$19,0)))</f>
        <v>150 × 300</v>
      </c>
      <c r="I887" s="11" t="str">
        <f aca="false">INDEX(MODELOS!$J$3:$J$19,MATCH($D887,MODELOS!$A$3:$A$19,0))</f>
        <v>SIM</v>
      </c>
      <c r="J887" s="11" t="str">
        <f aca="false">IF(LEFT($D887,2)&lt;&gt;"AP",IF($I887="SIM","SIM","RECOMENDADA"),IF(INDEX(PRODUTOS!$J$4:$J$63,MATCH($A887,PRODUTOS!$B$4:$B$63,0))&lt;&gt;"","NÃO (usa o A+ do EAN "&amp;INDEX(PRODUTOS!$J$4:$J$63,MATCH($A887,PRODUTOS!$B$4:$B$63,0))&amp;")",IF(AND(INDEX(PRODUTOS!$I$4:$I$63,MATCH($A887,PRODUTOS!$B$4:$B$63,0))="B",$D887="AP07"),"NÃO (modelo B)","SIM")))</f>
        <v>SIM</v>
      </c>
      <c r="K887" s="13" t="s">
        <v>325</v>
      </c>
      <c r="L887" s="13"/>
    </row>
    <row r="888" customFormat="false" ht="15" hidden="false" customHeight="false" outlineLevel="0" collapsed="false">
      <c r="A888" s="15" t="s">
        <v>274</v>
      </c>
      <c r="B888" s="11" t="str">
        <f aca="false">INDEX(PRODUTOS!$E$4:$E$63,MATCH($A888,PRODUTOS!$B$4:$B$63,0))</f>
        <v>Granulado Higiênico de Madeira Natural Dots para Pets - Pacote 20 kg</v>
      </c>
      <c r="C888" s="11" t="str">
        <f aca="false">INDEX(PRODUTOS!$H$4:$H$63,MATCH($A888,PRODUTOS!$B$4:$B$63,0))</f>
        <v>20 kg</v>
      </c>
      <c r="D888" s="11" t="s">
        <v>324</v>
      </c>
      <c r="E888" s="16" t="str">
        <f aca="false">$A888&amp;"."&amp;$D888&amp;".jpg"</f>
        <v>7908591300239.MAIN.jpg</v>
      </c>
      <c r="F888" s="11" t="str">
        <f aca="false">IF(INDEX(PRODUTOS!$I$4:$I$63,MATCH($A888,PRODUTOS!$B$4:$B$63,0))="B",INDEX(MODELOS!$F$3:$F$19,MATCH($D888,MODELOS!$A$3:$A$19,0)),INDEX(MODELOS!$B$3:$B$19,MATCH($D888,MODELOS!$A$3:$A$19,0)))</f>
        <v>Capa (posição 1)</v>
      </c>
      <c r="G888" s="11" t="str">
        <f aca="false">IF(INDEX(PRODUTOS!$F$4:$F$63,MATCH($A888,PRODUTOS!$B$4:$B$63,0))="Ração",IF(INDEX(PRODUTOS!$I$4:$I$63,MATCH($A888,PRODUTOS!$B$4:$B$63,0))="B",INDEX(MODELOS!$G$3:$G$19,MATCH($D888,MODELOS!$A$3:$A$19,0)),INDEX(MODELOS!$C$3:$C$19,MATCH($D888,MODELOS!$A$3:$A$19,0))),IF(INDEX(PRODUTOS!$I$4:$I$63,MATCH($A888,PRODUTOS!$B$4:$B$63,0))="B",INDEX(MODELOS!$H$3:$H$19,MATCH($D888,MODELOS!$A$3:$A$19,0)),INDEX(MODELOS!$D$3:$D$19,MATCH($D888,MODELOS!$A$3:$A$19,0))))</f>
        <v>Embalagem de frente, fundo branco puro, 85% da área, nada adicionado</v>
      </c>
      <c r="H888" s="11" t="str">
        <f aca="false">IF(INDEX(PRODUTOS!$I$4:$I$63,MATCH($A888,PRODUTOS!$B$4:$B$63,0))="B",INDEX(MODELOS!$I$3:$I$19,MATCH($D888,MODELOS!$A$3:$A$19,0)),INDEX(MODELOS!$E$3:$E$19,MATCH($D888,MODELOS!$A$3:$A$19,0)))</f>
        <v>2000 × 2000</v>
      </c>
      <c r="I888" s="11" t="str">
        <f aca="false">INDEX(MODELOS!$J$3:$J$19,MATCH($D888,MODELOS!$A$3:$A$19,0))</f>
        <v>SIM</v>
      </c>
      <c r="J888" s="11" t="str">
        <f aca="false">IF(LEFT($D888,2)&lt;&gt;"AP",IF($I888="SIM","SIM","RECOMENDADA"),IF(INDEX(PRODUTOS!$J$4:$J$63,MATCH($A888,PRODUTOS!$B$4:$B$63,0))&lt;&gt;"","NÃO (usa o A+ do EAN "&amp;INDEX(PRODUTOS!$J$4:$J$63,MATCH($A888,PRODUTOS!$B$4:$B$63,0))&amp;")",IF(AND(INDEX(PRODUTOS!$I$4:$I$63,MATCH($A888,PRODUTOS!$B$4:$B$63,0))="B",$D888="AP07"),"NÃO (modelo B)","SIM")))</f>
        <v>SIM</v>
      </c>
      <c r="K888" s="13" t="s">
        <v>325</v>
      </c>
      <c r="L888" s="13"/>
    </row>
    <row r="889" customFormat="false" ht="15" hidden="false" customHeight="false" outlineLevel="0" collapsed="false">
      <c r="A889" s="15" t="s">
        <v>274</v>
      </c>
      <c r="B889" s="11" t="str">
        <f aca="false">INDEX(PRODUTOS!$E$4:$E$63,MATCH($A889,PRODUTOS!$B$4:$B$63,0))</f>
        <v>Granulado Higiênico de Madeira Natural Dots para Pets - Pacote 20 kg</v>
      </c>
      <c r="C889" s="11" t="str">
        <f aca="false">INDEX(PRODUTOS!$H$4:$H$63,MATCH($A889,PRODUTOS!$B$4:$B$63,0))</f>
        <v>20 kg</v>
      </c>
      <c r="D889" s="11" t="s">
        <v>326</v>
      </c>
      <c r="E889" s="16" t="str">
        <f aca="false">$A889&amp;"."&amp;$D889&amp;".jpg"</f>
        <v>7908591300239.PT01.jpg</v>
      </c>
      <c r="F889" s="11" t="str">
        <f aca="false">IF(INDEX(PRODUTOS!$I$4:$I$63,MATCH($A889,PRODUTOS!$B$4:$B$63,0))="B",INDEX(MODELOS!$F$3:$F$19,MATCH($D889,MODELOS!$A$3:$A$19,0)),INDEX(MODELOS!$B$3:$B$19,MATCH($D889,MODELOS!$A$3:$A$19,0)))</f>
        <v>Galeria · posição 2</v>
      </c>
      <c r="G889" s="11" t="str">
        <f aca="false">IF(INDEX(PRODUTOS!$F$4:$F$63,MATCH($A889,PRODUTOS!$B$4:$B$63,0))="Ração",IF(INDEX(PRODUTOS!$I$4:$I$63,MATCH($A889,PRODUTOS!$B$4:$B$63,0))="B",INDEX(MODELOS!$G$3:$G$19,MATCH($D889,MODELOS!$A$3:$A$19,0)),INDEX(MODELOS!$C$3:$C$19,MATCH($D889,MODELOS!$A$3:$A$19,0))),IF(INDEX(PRODUTOS!$I$4:$I$63,MATCH($A889,PRODUTOS!$B$4:$B$63,0))="B",INDEX(MODELOS!$H$3:$H$19,MATCH($D889,MODELOS!$A$3:$A$19,0)),INDEX(MODELOS!$D$3:$D$19,MATCH($D889,MODELOS!$A$3:$A$19,0))))</f>
        <v>Grande diferencial (ex.: natural, biodegradável, perfumado)</v>
      </c>
      <c r="H889" s="11" t="str">
        <f aca="false">IF(INDEX(PRODUTOS!$I$4:$I$63,MATCH($A889,PRODUTOS!$B$4:$B$63,0))="B",INDEX(MODELOS!$I$3:$I$19,MATCH($D889,MODELOS!$A$3:$A$19,0)),INDEX(MODELOS!$E$3:$E$19,MATCH($D889,MODELOS!$A$3:$A$19,0)))</f>
        <v>2000 × 2000</v>
      </c>
      <c r="I889" s="11" t="str">
        <f aca="false">INDEX(MODELOS!$J$3:$J$19,MATCH($D889,MODELOS!$A$3:$A$19,0))</f>
        <v>SIM</v>
      </c>
      <c r="J889" s="11" t="str">
        <f aca="false">IF(LEFT($D889,2)&lt;&gt;"AP",IF($I889="SIM","SIM","RECOMENDADA"),IF(INDEX(PRODUTOS!$J$4:$J$63,MATCH($A889,PRODUTOS!$B$4:$B$63,0))&lt;&gt;"","NÃO (usa o A+ do EAN "&amp;INDEX(PRODUTOS!$J$4:$J$63,MATCH($A889,PRODUTOS!$B$4:$B$63,0))&amp;")",IF(AND(INDEX(PRODUTOS!$I$4:$I$63,MATCH($A889,PRODUTOS!$B$4:$B$63,0))="B",$D889="AP07"),"NÃO (modelo B)","SIM")))</f>
        <v>SIM</v>
      </c>
      <c r="K889" s="13" t="s">
        <v>325</v>
      </c>
      <c r="L889" s="13"/>
    </row>
    <row r="890" customFormat="false" ht="15" hidden="false" customHeight="false" outlineLevel="0" collapsed="false">
      <c r="A890" s="15" t="s">
        <v>274</v>
      </c>
      <c r="B890" s="11" t="str">
        <f aca="false">INDEX(PRODUTOS!$E$4:$E$63,MATCH($A890,PRODUTOS!$B$4:$B$63,0))</f>
        <v>Granulado Higiênico de Madeira Natural Dots para Pets - Pacote 20 kg</v>
      </c>
      <c r="C890" s="11" t="str">
        <f aca="false">INDEX(PRODUTOS!$H$4:$H$63,MATCH($A890,PRODUTOS!$B$4:$B$63,0))</f>
        <v>20 kg</v>
      </c>
      <c r="D890" s="11" t="s">
        <v>327</v>
      </c>
      <c r="E890" s="16" t="str">
        <f aca="false">$A890&amp;"."&amp;$D890&amp;".jpg"</f>
        <v>7908591300239.PT02.jpg</v>
      </c>
      <c r="F890" s="11" t="str">
        <f aca="false">IF(INDEX(PRODUTOS!$I$4:$I$63,MATCH($A890,PRODUTOS!$B$4:$B$63,0))="B",INDEX(MODELOS!$F$3:$F$19,MATCH($D890,MODELOS!$A$3:$A$19,0)),INDEX(MODELOS!$B$3:$B$19,MATCH($D890,MODELOS!$A$3:$A$19,0)))</f>
        <v>Galeria · posição 3</v>
      </c>
      <c r="G890" s="11" t="str">
        <f aca="false">IF(INDEX(PRODUTOS!$F$4:$F$63,MATCH($A890,PRODUTOS!$B$4:$B$63,0))="Ração",IF(INDEX(PRODUTOS!$I$4:$I$63,MATCH($A890,PRODUTOS!$B$4:$B$63,0))="B",INDEX(MODELOS!$G$3:$G$19,MATCH($D890,MODELOS!$A$3:$A$19,0)),INDEX(MODELOS!$C$3:$C$19,MATCH($D890,MODELOS!$A$3:$A$19,0))),IF(INDEX(PRODUTOS!$I$4:$I$63,MATCH($A890,PRODUTOS!$B$4:$B$63,0))="B",INDEX(MODELOS!$H$3:$H$19,MATCH($D890,MODELOS!$A$3:$A$19,0)),INDEX(MODELOS!$D$3:$D$19,MATCH($D890,MODELOS!$A$3:$A$19,0))))</f>
        <v>Benefícios com ícones (4 a 6, impressos na embalagem)</v>
      </c>
      <c r="H890" s="11" t="str">
        <f aca="false">IF(INDEX(PRODUTOS!$I$4:$I$63,MATCH($A890,PRODUTOS!$B$4:$B$63,0))="B",INDEX(MODELOS!$I$3:$I$19,MATCH($D890,MODELOS!$A$3:$A$19,0)),INDEX(MODELOS!$E$3:$E$19,MATCH($D890,MODELOS!$A$3:$A$19,0)))</f>
        <v>2000 × 2000</v>
      </c>
      <c r="I890" s="11" t="str">
        <f aca="false">INDEX(MODELOS!$J$3:$J$19,MATCH($D890,MODELOS!$A$3:$A$19,0))</f>
        <v>SIM</v>
      </c>
      <c r="J890" s="11" t="str">
        <f aca="false">IF(LEFT($D890,2)&lt;&gt;"AP",IF($I890="SIM","SIM","RECOMENDADA"),IF(INDEX(PRODUTOS!$J$4:$J$63,MATCH($A890,PRODUTOS!$B$4:$B$63,0))&lt;&gt;"","NÃO (usa o A+ do EAN "&amp;INDEX(PRODUTOS!$J$4:$J$63,MATCH($A890,PRODUTOS!$B$4:$B$63,0))&amp;")",IF(AND(INDEX(PRODUTOS!$I$4:$I$63,MATCH($A890,PRODUTOS!$B$4:$B$63,0))="B",$D890="AP07"),"NÃO (modelo B)","SIM")))</f>
        <v>SIM</v>
      </c>
      <c r="K890" s="13" t="s">
        <v>325</v>
      </c>
      <c r="L890" s="13"/>
    </row>
    <row r="891" customFormat="false" ht="15" hidden="false" customHeight="false" outlineLevel="0" collapsed="false">
      <c r="A891" s="15" t="s">
        <v>274</v>
      </c>
      <c r="B891" s="11" t="str">
        <f aca="false">INDEX(PRODUTOS!$E$4:$E$63,MATCH($A891,PRODUTOS!$B$4:$B$63,0))</f>
        <v>Granulado Higiênico de Madeira Natural Dots para Pets - Pacote 20 kg</v>
      </c>
      <c r="C891" s="11" t="str">
        <f aca="false">INDEX(PRODUTOS!$H$4:$H$63,MATCH($A891,PRODUTOS!$B$4:$B$63,0))</f>
        <v>20 kg</v>
      </c>
      <c r="D891" s="11" t="s">
        <v>328</v>
      </c>
      <c r="E891" s="16" t="str">
        <f aca="false">$A891&amp;"."&amp;$D891&amp;".jpg"</f>
        <v>7908591300239.PT03.jpg</v>
      </c>
      <c r="F891" s="11" t="str">
        <f aca="false">IF(INDEX(PRODUTOS!$I$4:$I$63,MATCH($A891,PRODUTOS!$B$4:$B$63,0))="B",INDEX(MODELOS!$F$3:$F$19,MATCH($D891,MODELOS!$A$3:$A$19,0)),INDEX(MODELOS!$B$3:$B$19,MATCH($D891,MODELOS!$A$3:$A$19,0)))</f>
        <v>Galeria · posição 4</v>
      </c>
      <c r="G891" s="11" t="str">
        <f aca="false">IF(INDEX(PRODUTOS!$F$4:$F$63,MATCH($A891,PRODUTOS!$B$4:$B$63,0))="Ração",IF(INDEX(PRODUTOS!$I$4:$I$63,MATCH($A891,PRODUTOS!$B$4:$B$63,0))="B",INDEX(MODELOS!$G$3:$G$19,MATCH($D891,MODELOS!$A$3:$A$19,0)),INDEX(MODELOS!$C$3:$C$19,MATCH($D891,MODELOS!$A$3:$A$19,0))),IF(INDEX(PRODUTOS!$I$4:$I$63,MATCH($A891,PRODUTOS!$B$4:$B$63,0))="B",INDEX(MODELOS!$H$3:$H$19,MATCH($D891,MODELOS!$A$3:$A$19,0)),INDEX(MODELOS!$D$3:$D$19,MATCH($D891,MODELOS!$A$3:$A$19,0))))</f>
        <v>Detalhe e tamanho real (petisco, grânulo ou tapete aberto), com medidas</v>
      </c>
      <c r="H891" s="11" t="str">
        <f aca="false">IF(INDEX(PRODUTOS!$I$4:$I$63,MATCH($A891,PRODUTOS!$B$4:$B$63,0))="B",INDEX(MODELOS!$I$3:$I$19,MATCH($D891,MODELOS!$A$3:$A$19,0)),INDEX(MODELOS!$E$3:$E$19,MATCH($D891,MODELOS!$A$3:$A$19,0)))</f>
        <v>2000 × 2000</v>
      </c>
      <c r="I891" s="11" t="str">
        <f aca="false">INDEX(MODELOS!$J$3:$J$19,MATCH($D891,MODELOS!$A$3:$A$19,0))</f>
        <v>SIM</v>
      </c>
      <c r="J891" s="11" t="str">
        <f aca="false">IF(LEFT($D891,2)&lt;&gt;"AP",IF($I891="SIM","SIM","RECOMENDADA"),IF(INDEX(PRODUTOS!$J$4:$J$63,MATCH($A891,PRODUTOS!$B$4:$B$63,0))&lt;&gt;"","NÃO (usa o A+ do EAN "&amp;INDEX(PRODUTOS!$J$4:$J$63,MATCH($A891,PRODUTOS!$B$4:$B$63,0))&amp;")",IF(AND(INDEX(PRODUTOS!$I$4:$I$63,MATCH($A891,PRODUTOS!$B$4:$B$63,0))="B",$D891="AP07"),"NÃO (modelo B)","SIM")))</f>
        <v>SIM</v>
      </c>
      <c r="K891" s="13" t="s">
        <v>325</v>
      </c>
      <c r="L891" s="13"/>
    </row>
    <row r="892" customFormat="false" ht="15" hidden="false" customHeight="false" outlineLevel="0" collapsed="false">
      <c r="A892" s="15" t="s">
        <v>274</v>
      </c>
      <c r="B892" s="11" t="str">
        <f aca="false">INDEX(PRODUTOS!$E$4:$E$63,MATCH($A892,PRODUTOS!$B$4:$B$63,0))</f>
        <v>Granulado Higiênico de Madeira Natural Dots para Pets - Pacote 20 kg</v>
      </c>
      <c r="C892" s="11" t="str">
        <f aca="false">INDEX(PRODUTOS!$H$4:$H$63,MATCH($A892,PRODUTOS!$B$4:$B$63,0))</f>
        <v>20 kg</v>
      </c>
      <c r="D892" s="11" t="s">
        <v>329</v>
      </c>
      <c r="E892" s="16" t="str">
        <f aca="false">$A892&amp;"."&amp;$D892&amp;".jpg"</f>
        <v>7908591300239.PT04.jpg</v>
      </c>
      <c r="F892" s="11" t="str">
        <f aca="false">IF(INDEX(PRODUTOS!$I$4:$I$63,MATCH($A892,PRODUTOS!$B$4:$B$63,0))="B",INDEX(MODELOS!$F$3:$F$19,MATCH($D892,MODELOS!$A$3:$A$19,0)),INDEX(MODELOS!$B$3:$B$19,MATCH($D892,MODELOS!$A$3:$A$19,0)))</f>
        <v>Galeria · posição 5</v>
      </c>
      <c r="G892" s="11" t="str">
        <f aca="false">IF(INDEX(PRODUTOS!$F$4:$F$63,MATCH($A892,PRODUTOS!$B$4:$B$63,0))="Ração",IF(INDEX(PRODUTOS!$I$4:$I$63,MATCH($A892,PRODUTOS!$B$4:$B$63,0))="B",INDEX(MODELOS!$G$3:$G$19,MATCH($D892,MODELOS!$A$3:$A$19,0)),INDEX(MODELOS!$C$3:$C$19,MATCH($D892,MODELOS!$A$3:$A$19,0))),IF(INDEX(PRODUTOS!$I$4:$I$63,MATCH($A892,PRODUTOS!$B$4:$B$63,0))="B",INDEX(MODELOS!$H$3:$H$19,MATCH($D892,MODELOS!$A$3:$A$19,0)),INDEX(MODELOS!$D$3:$D$19,MATCH($D892,MODELOS!$A$3:$A$19,0))))</f>
        <v>Modo de uso (como oferecer o petisco / como usar o produto)</v>
      </c>
      <c r="H892" s="11" t="str">
        <f aca="false">IF(INDEX(PRODUTOS!$I$4:$I$63,MATCH($A892,PRODUTOS!$B$4:$B$63,0))="B",INDEX(MODELOS!$I$3:$I$19,MATCH($D892,MODELOS!$A$3:$A$19,0)),INDEX(MODELOS!$E$3:$E$19,MATCH($D892,MODELOS!$A$3:$A$19,0)))</f>
        <v>2000 × 2000</v>
      </c>
      <c r="I892" s="11" t="str">
        <f aca="false">INDEX(MODELOS!$J$3:$J$19,MATCH($D892,MODELOS!$A$3:$A$19,0))</f>
        <v>SIM</v>
      </c>
      <c r="J892" s="11" t="str">
        <f aca="false">IF(LEFT($D892,2)&lt;&gt;"AP",IF($I892="SIM","SIM","RECOMENDADA"),IF(INDEX(PRODUTOS!$J$4:$J$63,MATCH($A892,PRODUTOS!$B$4:$B$63,0))&lt;&gt;"","NÃO (usa o A+ do EAN "&amp;INDEX(PRODUTOS!$J$4:$J$63,MATCH($A892,PRODUTOS!$B$4:$B$63,0))&amp;")",IF(AND(INDEX(PRODUTOS!$I$4:$I$63,MATCH($A892,PRODUTOS!$B$4:$B$63,0))="B",$D892="AP07"),"NÃO (modelo B)","SIM")))</f>
        <v>SIM</v>
      </c>
      <c r="K892" s="13" t="s">
        <v>325</v>
      </c>
      <c r="L892" s="13"/>
    </row>
    <row r="893" customFormat="false" ht="15" hidden="false" customHeight="false" outlineLevel="0" collapsed="false">
      <c r="A893" s="15" t="s">
        <v>274</v>
      </c>
      <c r="B893" s="11" t="str">
        <f aca="false">INDEX(PRODUTOS!$E$4:$E$63,MATCH($A893,PRODUTOS!$B$4:$B$63,0))</f>
        <v>Granulado Higiênico de Madeira Natural Dots para Pets - Pacote 20 kg</v>
      </c>
      <c r="C893" s="11" t="str">
        <f aca="false">INDEX(PRODUTOS!$H$4:$H$63,MATCH($A893,PRODUTOS!$B$4:$B$63,0))</f>
        <v>20 kg</v>
      </c>
      <c r="D893" s="11" t="s">
        <v>330</v>
      </c>
      <c r="E893" s="16" t="str">
        <f aca="false">$A893&amp;"."&amp;$D893&amp;".jpg"</f>
        <v>7908591300239.PT05.jpg</v>
      </c>
      <c r="F893" s="11" t="str">
        <f aca="false">IF(INDEX(PRODUTOS!$I$4:$I$63,MATCH($A893,PRODUTOS!$B$4:$B$63,0))="B",INDEX(MODELOS!$F$3:$F$19,MATCH($D893,MODELOS!$A$3:$A$19,0)),INDEX(MODELOS!$B$3:$B$19,MATCH($D893,MODELOS!$A$3:$A$19,0)))</f>
        <v>Galeria · posição 6</v>
      </c>
      <c r="G893" s="11" t="str">
        <f aca="false">IF(INDEX(PRODUTOS!$F$4:$F$63,MATCH($A893,PRODUTOS!$B$4:$B$63,0))="Ração",IF(INDEX(PRODUTOS!$I$4:$I$63,MATCH($A893,PRODUTOS!$B$4:$B$63,0))="B",INDEX(MODELOS!$G$3:$G$19,MATCH($D893,MODELOS!$A$3:$A$19,0)),INDEX(MODELOS!$C$3:$C$19,MATCH($D893,MODELOS!$A$3:$A$19,0))),IF(INDEX(PRODUTOS!$I$4:$I$63,MATCH($A893,PRODUTOS!$B$4:$B$63,0))="B",INDEX(MODELOS!$H$3:$H$19,MATCH($D893,MODELOS!$A$3:$A$19,0)),INDEX(MODELOS!$D$3:$D$19,MATCH($D893,MODELOS!$A$3:$A$19,0))))</f>
        <v>Quantidade por dia ou rendimento do pacote</v>
      </c>
      <c r="H893" s="11" t="str">
        <f aca="false">IF(INDEX(PRODUTOS!$I$4:$I$63,MATCH($A893,PRODUTOS!$B$4:$B$63,0))="B",INDEX(MODELOS!$I$3:$I$19,MATCH($D893,MODELOS!$A$3:$A$19,0)),INDEX(MODELOS!$E$3:$E$19,MATCH($D893,MODELOS!$A$3:$A$19,0)))</f>
        <v>2000 × 2000</v>
      </c>
      <c r="I893" s="11" t="str">
        <f aca="false">INDEX(MODELOS!$J$3:$J$19,MATCH($D893,MODELOS!$A$3:$A$19,0))</f>
        <v>Recomendada</v>
      </c>
      <c r="J893" s="11" t="str">
        <f aca="false">IF(LEFT($D893,2)&lt;&gt;"AP",IF($I893="SIM","SIM","RECOMENDADA"),IF(INDEX(PRODUTOS!$J$4:$J$63,MATCH($A893,PRODUTOS!$B$4:$B$63,0))&lt;&gt;"","NÃO (usa o A+ do EAN "&amp;INDEX(PRODUTOS!$J$4:$J$63,MATCH($A893,PRODUTOS!$B$4:$B$63,0))&amp;")",IF(AND(INDEX(PRODUTOS!$I$4:$I$63,MATCH($A893,PRODUTOS!$B$4:$B$63,0))="B",$D893="AP07"),"NÃO (modelo B)","SIM")))</f>
        <v>RECOMENDADA</v>
      </c>
      <c r="K893" s="13" t="s">
        <v>325</v>
      </c>
      <c r="L893" s="13"/>
    </row>
    <row r="894" customFormat="false" ht="15" hidden="false" customHeight="false" outlineLevel="0" collapsed="false">
      <c r="A894" s="15" t="s">
        <v>274</v>
      </c>
      <c r="B894" s="11" t="str">
        <f aca="false">INDEX(PRODUTOS!$E$4:$E$63,MATCH($A894,PRODUTOS!$B$4:$B$63,0))</f>
        <v>Granulado Higiênico de Madeira Natural Dots para Pets - Pacote 20 kg</v>
      </c>
      <c r="C894" s="11" t="str">
        <f aca="false">INDEX(PRODUTOS!$H$4:$H$63,MATCH($A894,PRODUTOS!$B$4:$B$63,0))</f>
        <v>20 kg</v>
      </c>
      <c r="D894" s="11" t="s">
        <v>331</v>
      </c>
      <c r="E894" s="16" t="str">
        <f aca="false">$A894&amp;"."&amp;$D894&amp;".jpg"</f>
        <v>7908591300239.PT06.jpg</v>
      </c>
      <c r="F894" s="11" t="str">
        <f aca="false">IF(INDEX(PRODUTOS!$I$4:$I$63,MATCH($A894,PRODUTOS!$B$4:$B$63,0))="B",INDEX(MODELOS!$F$3:$F$19,MATCH($D894,MODELOS!$A$3:$A$19,0)),INDEX(MODELOS!$B$3:$B$19,MATCH($D894,MODELOS!$A$3:$A$19,0)))</f>
        <v>Galeria · posição 7</v>
      </c>
      <c r="G894" s="11" t="str">
        <f aca="false">IF(INDEX(PRODUTOS!$F$4:$F$63,MATCH($A894,PRODUTOS!$B$4:$B$63,0))="Ração",IF(INDEX(PRODUTOS!$I$4:$I$63,MATCH($A894,PRODUTOS!$B$4:$B$63,0))="B",INDEX(MODELOS!$G$3:$G$19,MATCH($D894,MODELOS!$A$3:$A$19,0)),INDEX(MODELOS!$C$3:$C$19,MATCH($D894,MODELOS!$A$3:$A$19,0))),IF(INDEX(PRODUTOS!$I$4:$I$63,MATCH($A894,PRODUTOS!$B$4:$B$63,0))="B",INDEX(MODELOS!$H$3:$H$19,MATCH($D894,MODELOS!$A$3:$A$19,0)),INDEX(MODELOS!$D$3:$D$19,MATCH($D894,MODELOS!$A$3:$A$19,0))))</f>
        <v>Composição/níveis de garantia (petiscos) ou especificações (higiene)</v>
      </c>
      <c r="H894" s="11" t="str">
        <f aca="false">IF(INDEX(PRODUTOS!$I$4:$I$63,MATCH($A894,PRODUTOS!$B$4:$B$63,0))="B",INDEX(MODELOS!$I$3:$I$19,MATCH($D894,MODELOS!$A$3:$A$19,0)),INDEX(MODELOS!$E$3:$E$19,MATCH($D894,MODELOS!$A$3:$A$19,0)))</f>
        <v>2000 × 2000</v>
      </c>
      <c r="I894" s="11" t="str">
        <f aca="false">INDEX(MODELOS!$J$3:$J$19,MATCH($D894,MODELOS!$A$3:$A$19,0))</f>
        <v>SIM</v>
      </c>
      <c r="J894" s="11" t="str">
        <f aca="false">IF(LEFT($D894,2)&lt;&gt;"AP",IF($I894="SIM","SIM","RECOMENDADA"),IF(INDEX(PRODUTOS!$J$4:$J$63,MATCH($A894,PRODUTOS!$B$4:$B$63,0))&lt;&gt;"","NÃO (usa o A+ do EAN "&amp;INDEX(PRODUTOS!$J$4:$J$63,MATCH($A894,PRODUTOS!$B$4:$B$63,0))&amp;")",IF(AND(INDEX(PRODUTOS!$I$4:$I$63,MATCH($A894,PRODUTOS!$B$4:$B$63,0))="B",$D894="AP07"),"NÃO (modelo B)","SIM")))</f>
        <v>SIM</v>
      </c>
      <c r="K894" s="13" t="s">
        <v>325</v>
      </c>
      <c r="L894" s="13"/>
    </row>
    <row r="895" customFormat="false" ht="15" hidden="false" customHeight="false" outlineLevel="0" collapsed="false">
      <c r="A895" s="15" t="s">
        <v>274</v>
      </c>
      <c r="B895" s="11" t="str">
        <f aca="false">INDEX(PRODUTOS!$E$4:$E$63,MATCH($A895,PRODUTOS!$B$4:$B$63,0))</f>
        <v>Granulado Higiênico de Madeira Natural Dots para Pets - Pacote 20 kg</v>
      </c>
      <c r="C895" s="11" t="str">
        <f aca="false">INDEX(PRODUTOS!$H$4:$H$63,MATCH($A895,PRODUTOS!$B$4:$B$63,0))</f>
        <v>20 kg</v>
      </c>
      <c r="D895" s="11" t="s">
        <v>332</v>
      </c>
      <c r="E895" s="16" t="str">
        <f aca="false">$A895&amp;"."&amp;$D895&amp;".jpg"</f>
        <v>7908591300239.PT07.jpg</v>
      </c>
      <c r="F895" s="11" t="str">
        <f aca="false">IF(INDEX(PRODUTOS!$I$4:$I$63,MATCH($A895,PRODUTOS!$B$4:$B$63,0))="B",INDEX(MODELOS!$F$3:$F$19,MATCH($D895,MODELOS!$A$3:$A$19,0)),INDEX(MODELOS!$B$3:$B$19,MATCH($D895,MODELOS!$A$3:$A$19,0)))</f>
        <v>Galeria · posição 8</v>
      </c>
      <c r="G895" s="11" t="str">
        <f aca="false">IF(INDEX(PRODUTOS!$F$4:$F$63,MATCH($A895,PRODUTOS!$B$4:$B$63,0))="Ração",IF(INDEX(PRODUTOS!$I$4:$I$63,MATCH($A895,PRODUTOS!$B$4:$B$63,0))="B",INDEX(MODELOS!$G$3:$G$19,MATCH($D895,MODELOS!$A$3:$A$19,0)),INDEX(MODELOS!$C$3:$C$19,MATCH($D895,MODELOS!$A$3:$A$19,0))),IF(INDEX(PRODUTOS!$I$4:$I$63,MATCH($A895,PRODUTOS!$B$4:$B$63,0))="B",INDEX(MODELOS!$H$3:$H$19,MATCH($D895,MODELOS!$A$3:$A$19,0)),INDEX(MODELOS!$D$3:$D$19,MATCH($D895,MODELOS!$A$3:$A$19,0))))</f>
        <v>Emocional / momento de uso</v>
      </c>
      <c r="H895" s="11" t="str">
        <f aca="false">IF(INDEX(PRODUTOS!$I$4:$I$63,MATCH($A895,PRODUTOS!$B$4:$B$63,0))="B",INDEX(MODELOS!$I$3:$I$19,MATCH($D895,MODELOS!$A$3:$A$19,0)),INDEX(MODELOS!$E$3:$E$19,MATCH($D895,MODELOS!$A$3:$A$19,0)))</f>
        <v>2000 × 2000</v>
      </c>
      <c r="I895" s="11" t="str">
        <f aca="false">INDEX(MODELOS!$J$3:$J$19,MATCH($D895,MODELOS!$A$3:$A$19,0))</f>
        <v>Recomendada</v>
      </c>
      <c r="J895" s="11" t="str">
        <f aca="false">IF(LEFT($D895,2)&lt;&gt;"AP",IF($I895="SIM","SIM","RECOMENDADA"),IF(INDEX(PRODUTOS!$J$4:$J$63,MATCH($A895,PRODUTOS!$B$4:$B$63,0))&lt;&gt;"","NÃO (usa o A+ do EAN "&amp;INDEX(PRODUTOS!$J$4:$J$63,MATCH($A895,PRODUTOS!$B$4:$B$63,0))&amp;")",IF(AND(INDEX(PRODUTOS!$I$4:$I$63,MATCH($A895,PRODUTOS!$B$4:$B$63,0))="B",$D895="AP07"),"NÃO (modelo B)","SIM")))</f>
        <v>RECOMENDADA</v>
      </c>
      <c r="K895" s="13" t="s">
        <v>325</v>
      </c>
      <c r="L895" s="13"/>
    </row>
    <row r="896" customFormat="false" ht="15" hidden="false" customHeight="false" outlineLevel="0" collapsed="false">
      <c r="A896" s="15" t="s">
        <v>274</v>
      </c>
      <c r="B896" s="11" t="str">
        <f aca="false">INDEX(PRODUTOS!$E$4:$E$63,MATCH($A896,PRODUTOS!$B$4:$B$63,0))</f>
        <v>Granulado Higiênico de Madeira Natural Dots para Pets - Pacote 20 kg</v>
      </c>
      <c r="C896" s="11" t="str">
        <f aca="false">INDEX(PRODUTOS!$H$4:$H$63,MATCH($A896,PRODUTOS!$B$4:$B$63,0))</f>
        <v>20 kg</v>
      </c>
      <c r="D896" s="11" t="s">
        <v>333</v>
      </c>
      <c r="E896" s="16" t="str">
        <f aca="false">$A896&amp;"."&amp;$D896&amp;".jpg"</f>
        <v>7908591300239.PT08.jpg</v>
      </c>
      <c r="F896" s="11" t="str">
        <f aca="false">IF(INDEX(PRODUTOS!$I$4:$I$63,MATCH($A896,PRODUTOS!$B$4:$B$63,0))="B",INDEX(MODELOS!$F$3:$F$19,MATCH($D896,MODELOS!$A$3:$A$19,0)),INDEX(MODELOS!$B$3:$B$19,MATCH($D896,MODELOS!$A$3:$A$19,0)))</f>
        <v>Galeria · posição 9</v>
      </c>
      <c r="G896" s="11" t="str">
        <f aca="false">IF(INDEX(PRODUTOS!$F$4:$F$63,MATCH($A896,PRODUTOS!$B$4:$B$63,0))="Ração",IF(INDEX(PRODUTOS!$I$4:$I$63,MATCH($A896,PRODUTOS!$B$4:$B$63,0))="B",INDEX(MODELOS!$G$3:$G$19,MATCH($D896,MODELOS!$A$3:$A$19,0)),INDEX(MODELOS!$C$3:$C$19,MATCH($D896,MODELOS!$A$3:$A$19,0))),IF(INDEX(PRODUTOS!$I$4:$I$63,MATCH($A896,PRODUTOS!$B$4:$B$63,0))="B",INDEX(MODELOS!$H$3:$H$19,MATCH($D896,MODELOS!$A$3:$A$19,0)),INDEX(MODELOS!$D$3:$D$19,MATCH($D896,MODELOS!$A$3:$A$19,0))))</f>
        <v>Linha da marca ("conheça também")</v>
      </c>
      <c r="H896" s="11" t="str">
        <f aca="false">IF(INDEX(PRODUTOS!$I$4:$I$63,MATCH($A896,PRODUTOS!$B$4:$B$63,0))="B",INDEX(MODELOS!$I$3:$I$19,MATCH($D896,MODELOS!$A$3:$A$19,0)),INDEX(MODELOS!$E$3:$E$19,MATCH($D896,MODELOS!$A$3:$A$19,0)))</f>
        <v>2000 × 2000</v>
      </c>
      <c r="I896" s="11" t="str">
        <f aca="false">INDEX(MODELOS!$J$3:$J$19,MATCH($D896,MODELOS!$A$3:$A$19,0))</f>
        <v>Recomendada</v>
      </c>
      <c r="J896" s="11" t="str">
        <f aca="false">IF(LEFT($D896,2)&lt;&gt;"AP",IF($I896="SIM","SIM","RECOMENDADA"),IF(INDEX(PRODUTOS!$J$4:$J$63,MATCH($A896,PRODUTOS!$B$4:$B$63,0))&lt;&gt;"","NÃO (usa o A+ do EAN "&amp;INDEX(PRODUTOS!$J$4:$J$63,MATCH($A896,PRODUTOS!$B$4:$B$63,0))&amp;")",IF(AND(INDEX(PRODUTOS!$I$4:$I$63,MATCH($A896,PRODUTOS!$B$4:$B$63,0))="B",$D896="AP07"),"NÃO (modelo B)","SIM")))</f>
        <v>RECOMENDADA</v>
      </c>
      <c r="K896" s="13" t="s">
        <v>325</v>
      </c>
      <c r="L896" s="13"/>
    </row>
    <row r="897" customFormat="false" ht="15" hidden="false" customHeight="false" outlineLevel="0" collapsed="false">
      <c r="A897" s="15" t="s">
        <v>274</v>
      </c>
      <c r="B897" s="11" t="str">
        <f aca="false">INDEX(PRODUTOS!$E$4:$E$63,MATCH($A897,PRODUTOS!$B$4:$B$63,0))</f>
        <v>Granulado Higiênico de Madeira Natural Dots para Pets - Pacote 20 kg</v>
      </c>
      <c r="C897" s="11" t="str">
        <f aca="false">INDEX(PRODUTOS!$H$4:$H$63,MATCH($A897,PRODUTOS!$B$4:$B$63,0))</f>
        <v>20 kg</v>
      </c>
      <c r="D897" s="11" t="s">
        <v>334</v>
      </c>
      <c r="E897" s="16" t="str">
        <f aca="false">$A897&amp;"."&amp;$D897&amp;".jpg"</f>
        <v>7908591300239.AP01.jpg</v>
      </c>
      <c r="F897" s="11" t="str">
        <f aca="false">IF(INDEX(PRODUTOS!$I$4:$I$63,MATCH($A897,PRODUTOS!$B$4:$B$63,0))="B",INDEX(MODELOS!$F$3:$F$19,MATCH($D897,MODELOS!$A$3:$A$19,0)),INDEX(MODELOS!$B$3:$B$19,MATCH($D897,MODELOS!$A$3:$A$19,0)))</f>
        <v>A+ · Módulo 1 · Banner</v>
      </c>
      <c r="G897" s="11" t="str">
        <f aca="false">IF(INDEX(PRODUTOS!$F$4:$F$63,MATCH($A897,PRODUTOS!$B$4:$B$63,0))="Ração",IF(INDEX(PRODUTOS!$I$4:$I$63,MATCH($A897,PRODUTOS!$B$4:$B$63,0))="B",INDEX(MODELOS!$G$3:$G$19,MATCH($D897,MODELOS!$A$3:$A$19,0)),INDEX(MODELOS!$C$3:$C$19,MATCH($D897,MODELOS!$A$3:$A$19,0))),IF(INDEX(PRODUTOS!$I$4:$I$63,MATCH($A897,PRODUTOS!$B$4:$B$63,0))="B",INDEX(MODELOS!$H$3:$H$19,MATCH($D897,MODELOS!$A$3:$A$19,0)),INDEX(MODELOS!$D$3:$D$19,MATCH($D897,MODELOS!$A$3:$A$19,0))))</f>
        <v>Produto + pet, com o nome da linha</v>
      </c>
      <c r="H897" s="11" t="str">
        <f aca="false">IF(INDEX(PRODUTOS!$I$4:$I$63,MATCH($A897,PRODUTOS!$B$4:$B$63,0))="B",INDEX(MODELOS!$I$3:$I$19,MATCH($D897,MODELOS!$A$3:$A$19,0)),INDEX(MODELOS!$E$3:$E$19,MATCH($D897,MODELOS!$A$3:$A$19,0)))</f>
        <v>970 × 600</v>
      </c>
      <c r="I897" s="11" t="str">
        <f aca="false">INDEX(MODELOS!$J$3:$J$19,MATCH($D897,MODELOS!$A$3:$A$19,0))</f>
        <v>Conforme modelo</v>
      </c>
      <c r="J897" s="11" t="str">
        <f aca="false">IF(LEFT($D897,2)&lt;&gt;"AP",IF($I897="SIM","SIM","RECOMENDADA"),IF(INDEX(PRODUTOS!$J$4:$J$63,MATCH($A897,PRODUTOS!$B$4:$B$63,0))&lt;&gt;"","NÃO (usa o A+ do EAN "&amp;INDEX(PRODUTOS!$J$4:$J$63,MATCH($A897,PRODUTOS!$B$4:$B$63,0))&amp;")",IF(AND(INDEX(PRODUTOS!$I$4:$I$63,MATCH($A897,PRODUTOS!$B$4:$B$63,0))="B",$D897="AP07"),"NÃO (modelo B)","SIM")))</f>
        <v>SIM</v>
      </c>
      <c r="K897" s="13" t="s">
        <v>325</v>
      </c>
      <c r="L897" s="13"/>
    </row>
    <row r="898" customFormat="false" ht="15" hidden="false" customHeight="false" outlineLevel="0" collapsed="false">
      <c r="A898" s="15" t="s">
        <v>274</v>
      </c>
      <c r="B898" s="11" t="str">
        <f aca="false">INDEX(PRODUTOS!$E$4:$E$63,MATCH($A898,PRODUTOS!$B$4:$B$63,0))</f>
        <v>Granulado Higiênico de Madeira Natural Dots para Pets - Pacote 20 kg</v>
      </c>
      <c r="C898" s="11" t="str">
        <f aca="false">INDEX(PRODUTOS!$H$4:$H$63,MATCH($A898,PRODUTOS!$B$4:$B$63,0))</f>
        <v>20 kg</v>
      </c>
      <c r="D898" s="11" t="s">
        <v>335</v>
      </c>
      <c r="E898" s="16" t="str">
        <f aca="false">$A898&amp;"."&amp;$D898&amp;".jpg"</f>
        <v>7908591300239.AP02.jpg</v>
      </c>
      <c r="F898" s="11" t="str">
        <f aca="false">IF(INDEX(PRODUTOS!$I$4:$I$63,MATCH($A898,PRODUTOS!$B$4:$B$63,0))="B",INDEX(MODELOS!$F$3:$F$19,MATCH($D898,MODELOS!$A$3:$A$19,0)),INDEX(MODELOS!$B$3:$B$19,MATCH($D898,MODELOS!$A$3:$A$19,0)))</f>
        <v>A+ · Módulo 2 · Texto sobreposto</v>
      </c>
      <c r="G898" s="11" t="str">
        <f aca="false">IF(INDEX(PRODUTOS!$F$4:$F$63,MATCH($A898,PRODUTOS!$B$4:$B$63,0))="Ração",IF(INDEX(PRODUTOS!$I$4:$I$63,MATCH($A898,PRODUTOS!$B$4:$B$63,0))="B",INDEX(MODELOS!$G$3:$G$19,MATCH($D898,MODELOS!$A$3:$A$19,0)),INDEX(MODELOS!$C$3:$C$19,MATCH($D898,MODELOS!$A$3:$A$19,0))),IF(INDEX(PRODUTOS!$I$4:$I$63,MATCH($A898,PRODUTOS!$B$4:$B$63,0))="B",INDEX(MODELOS!$H$3:$H$19,MATCH($D898,MODELOS!$A$3:$A$19,0)),INDEX(MODELOS!$D$3:$D$19,MATCH($D898,MODELOS!$A$3:$A$19,0))))</f>
        <v>Principal diferencial; deixar o lado direito limpo</v>
      </c>
      <c r="H898" s="11" t="str">
        <f aca="false">IF(INDEX(PRODUTOS!$I$4:$I$63,MATCH($A898,PRODUTOS!$B$4:$B$63,0))="B",INDEX(MODELOS!$I$3:$I$19,MATCH($D898,MODELOS!$A$3:$A$19,0)),INDEX(MODELOS!$E$3:$E$19,MATCH($D898,MODELOS!$A$3:$A$19,0)))</f>
        <v>970 × 300</v>
      </c>
      <c r="I898" s="11" t="str">
        <f aca="false">INDEX(MODELOS!$J$3:$J$19,MATCH($D898,MODELOS!$A$3:$A$19,0))</f>
        <v>Conforme modelo</v>
      </c>
      <c r="J898" s="11" t="str">
        <f aca="false">IF(LEFT($D898,2)&lt;&gt;"AP",IF($I898="SIM","SIM","RECOMENDADA"),IF(INDEX(PRODUTOS!$J$4:$J$63,MATCH($A898,PRODUTOS!$B$4:$B$63,0))&lt;&gt;"","NÃO (usa o A+ do EAN "&amp;INDEX(PRODUTOS!$J$4:$J$63,MATCH($A898,PRODUTOS!$B$4:$B$63,0))&amp;")",IF(AND(INDEX(PRODUTOS!$I$4:$I$63,MATCH($A898,PRODUTOS!$B$4:$B$63,0))="B",$D898="AP07"),"NÃO (modelo B)","SIM")))</f>
        <v>SIM</v>
      </c>
      <c r="K898" s="13" t="s">
        <v>325</v>
      </c>
      <c r="L898" s="13"/>
    </row>
    <row r="899" customFormat="false" ht="15" hidden="false" customHeight="false" outlineLevel="0" collapsed="false">
      <c r="A899" s="15" t="s">
        <v>274</v>
      </c>
      <c r="B899" s="11" t="str">
        <f aca="false">INDEX(PRODUTOS!$E$4:$E$63,MATCH($A899,PRODUTOS!$B$4:$B$63,0))</f>
        <v>Granulado Higiênico de Madeira Natural Dots para Pets - Pacote 20 kg</v>
      </c>
      <c r="C899" s="11" t="str">
        <f aca="false">INDEX(PRODUTOS!$H$4:$H$63,MATCH($A899,PRODUTOS!$B$4:$B$63,0))</f>
        <v>20 kg</v>
      </c>
      <c r="D899" s="11" t="s">
        <v>336</v>
      </c>
      <c r="E899" s="16" t="str">
        <f aca="false">$A899&amp;"."&amp;$D899&amp;".jpg"</f>
        <v>7908591300239.AP03.jpg</v>
      </c>
      <c r="F899" s="11" t="str">
        <f aca="false">IF(INDEX(PRODUTOS!$I$4:$I$63,MATCH($A899,PRODUTOS!$B$4:$B$63,0))="B",INDEX(MODELOS!$F$3:$F$19,MATCH($D899,MODELOS!$A$3:$A$19,0)),INDEX(MODELOS!$B$3:$B$19,MATCH($D899,MODELOS!$A$3:$A$19,0)))</f>
        <v>A+ · Módulo 3 · Benefício 1 de 4</v>
      </c>
      <c r="G899" s="11" t="str">
        <f aca="false">IF(INDEX(PRODUTOS!$F$4:$F$63,MATCH($A899,PRODUTOS!$B$4:$B$63,0))="Ração",IF(INDEX(PRODUTOS!$I$4:$I$63,MATCH($A899,PRODUTOS!$B$4:$B$63,0))="B",INDEX(MODELOS!$G$3:$G$19,MATCH($D899,MODELOS!$A$3:$A$19,0)),INDEX(MODELOS!$C$3:$C$19,MATCH($D899,MODELOS!$A$3:$A$19,0))),IF(INDEX(PRODUTOS!$I$4:$I$63,MATCH($A899,PRODUTOS!$B$4:$B$63,0))="B",INDEX(MODELOS!$H$3:$H$19,MATCH($D899,MODELOS!$A$3:$A$19,0)),INDEX(MODELOS!$D$3:$D$19,MATCH($D899,MODELOS!$A$3:$A$19,0))))</f>
        <v>Foto/ilustração do benefício 1</v>
      </c>
      <c r="H899" s="11" t="str">
        <f aca="false">IF(INDEX(PRODUTOS!$I$4:$I$63,MATCH($A899,PRODUTOS!$B$4:$B$63,0))="B",INDEX(MODELOS!$I$3:$I$19,MATCH($D899,MODELOS!$A$3:$A$19,0)),INDEX(MODELOS!$E$3:$E$19,MATCH($D899,MODELOS!$A$3:$A$19,0)))</f>
        <v>220 × 200</v>
      </c>
      <c r="I899" s="11" t="str">
        <f aca="false">INDEX(MODELOS!$J$3:$J$19,MATCH($D899,MODELOS!$A$3:$A$19,0))</f>
        <v>Conforme modelo</v>
      </c>
      <c r="J899" s="11" t="str">
        <f aca="false">IF(LEFT($D899,2)&lt;&gt;"AP",IF($I899="SIM","SIM","RECOMENDADA"),IF(INDEX(PRODUTOS!$J$4:$J$63,MATCH($A899,PRODUTOS!$B$4:$B$63,0))&lt;&gt;"","NÃO (usa o A+ do EAN "&amp;INDEX(PRODUTOS!$J$4:$J$63,MATCH($A899,PRODUTOS!$B$4:$B$63,0))&amp;")",IF(AND(INDEX(PRODUTOS!$I$4:$I$63,MATCH($A899,PRODUTOS!$B$4:$B$63,0))="B",$D899="AP07"),"NÃO (modelo B)","SIM")))</f>
        <v>SIM</v>
      </c>
      <c r="K899" s="13" t="s">
        <v>325</v>
      </c>
      <c r="L899" s="13"/>
    </row>
    <row r="900" customFormat="false" ht="15" hidden="false" customHeight="false" outlineLevel="0" collapsed="false">
      <c r="A900" s="15" t="s">
        <v>274</v>
      </c>
      <c r="B900" s="11" t="str">
        <f aca="false">INDEX(PRODUTOS!$E$4:$E$63,MATCH($A900,PRODUTOS!$B$4:$B$63,0))</f>
        <v>Granulado Higiênico de Madeira Natural Dots para Pets - Pacote 20 kg</v>
      </c>
      <c r="C900" s="11" t="str">
        <f aca="false">INDEX(PRODUTOS!$H$4:$H$63,MATCH($A900,PRODUTOS!$B$4:$B$63,0))</f>
        <v>20 kg</v>
      </c>
      <c r="D900" s="11" t="s">
        <v>337</v>
      </c>
      <c r="E900" s="16" t="str">
        <f aca="false">$A900&amp;"."&amp;$D900&amp;".jpg"</f>
        <v>7908591300239.AP04.jpg</v>
      </c>
      <c r="F900" s="11" t="str">
        <f aca="false">IF(INDEX(PRODUTOS!$I$4:$I$63,MATCH($A900,PRODUTOS!$B$4:$B$63,0))="B",INDEX(MODELOS!$F$3:$F$19,MATCH($D900,MODELOS!$A$3:$A$19,0)),INDEX(MODELOS!$B$3:$B$19,MATCH($D900,MODELOS!$A$3:$A$19,0)))</f>
        <v>A+ · Módulo 3 · Benefício 2 de 4</v>
      </c>
      <c r="G900" s="11" t="str">
        <f aca="false">IF(INDEX(PRODUTOS!$F$4:$F$63,MATCH($A900,PRODUTOS!$B$4:$B$63,0))="Ração",IF(INDEX(PRODUTOS!$I$4:$I$63,MATCH($A900,PRODUTOS!$B$4:$B$63,0))="B",INDEX(MODELOS!$G$3:$G$19,MATCH($D900,MODELOS!$A$3:$A$19,0)),INDEX(MODELOS!$C$3:$C$19,MATCH($D900,MODELOS!$A$3:$A$19,0))),IF(INDEX(PRODUTOS!$I$4:$I$63,MATCH($A900,PRODUTOS!$B$4:$B$63,0))="B",INDEX(MODELOS!$H$3:$H$19,MATCH($D900,MODELOS!$A$3:$A$19,0)),INDEX(MODELOS!$D$3:$D$19,MATCH($D900,MODELOS!$A$3:$A$19,0))))</f>
        <v>Foto/ilustração do benefício 2</v>
      </c>
      <c r="H900" s="11" t="str">
        <f aca="false">IF(INDEX(PRODUTOS!$I$4:$I$63,MATCH($A900,PRODUTOS!$B$4:$B$63,0))="B",INDEX(MODELOS!$I$3:$I$19,MATCH($D900,MODELOS!$A$3:$A$19,0)),INDEX(MODELOS!$E$3:$E$19,MATCH($D900,MODELOS!$A$3:$A$19,0)))</f>
        <v>220 × 200</v>
      </c>
      <c r="I900" s="11" t="str">
        <f aca="false">INDEX(MODELOS!$J$3:$J$19,MATCH($D900,MODELOS!$A$3:$A$19,0))</f>
        <v>Conforme modelo</v>
      </c>
      <c r="J900" s="11" t="str">
        <f aca="false">IF(LEFT($D900,2)&lt;&gt;"AP",IF($I900="SIM","SIM","RECOMENDADA"),IF(INDEX(PRODUTOS!$J$4:$J$63,MATCH($A900,PRODUTOS!$B$4:$B$63,0))&lt;&gt;"","NÃO (usa o A+ do EAN "&amp;INDEX(PRODUTOS!$J$4:$J$63,MATCH($A900,PRODUTOS!$B$4:$B$63,0))&amp;")",IF(AND(INDEX(PRODUTOS!$I$4:$I$63,MATCH($A900,PRODUTOS!$B$4:$B$63,0))="B",$D900="AP07"),"NÃO (modelo B)","SIM")))</f>
        <v>SIM</v>
      </c>
      <c r="K900" s="13" t="s">
        <v>325</v>
      </c>
      <c r="L900" s="13"/>
    </row>
    <row r="901" customFormat="false" ht="15" hidden="false" customHeight="false" outlineLevel="0" collapsed="false">
      <c r="A901" s="15" t="s">
        <v>274</v>
      </c>
      <c r="B901" s="11" t="str">
        <f aca="false">INDEX(PRODUTOS!$E$4:$E$63,MATCH($A901,PRODUTOS!$B$4:$B$63,0))</f>
        <v>Granulado Higiênico de Madeira Natural Dots para Pets - Pacote 20 kg</v>
      </c>
      <c r="C901" s="11" t="str">
        <f aca="false">INDEX(PRODUTOS!$H$4:$H$63,MATCH($A901,PRODUTOS!$B$4:$B$63,0))</f>
        <v>20 kg</v>
      </c>
      <c r="D901" s="11" t="s">
        <v>338</v>
      </c>
      <c r="E901" s="16" t="str">
        <f aca="false">$A901&amp;"."&amp;$D901&amp;".jpg"</f>
        <v>7908591300239.AP05.jpg</v>
      </c>
      <c r="F901" s="11" t="str">
        <f aca="false">IF(INDEX(PRODUTOS!$I$4:$I$63,MATCH($A901,PRODUTOS!$B$4:$B$63,0))="B",INDEX(MODELOS!$F$3:$F$19,MATCH($D901,MODELOS!$A$3:$A$19,0)),INDEX(MODELOS!$B$3:$B$19,MATCH($D901,MODELOS!$A$3:$A$19,0)))</f>
        <v>A+ · Módulo 3 · Benefício 3 de 4</v>
      </c>
      <c r="G901" s="11" t="str">
        <f aca="false">IF(INDEX(PRODUTOS!$F$4:$F$63,MATCH($A901,PRODUTOS!$B$4:$B$63,0))="Ração",IF(INDEX(PRODUTOS!$I$4:$I$63,MATCH($A901,PRODUTOS!$B$4:$B$63,0))="B",INDEX(MODELOS!$G$3:$G$19,MATCH($D901,MODELOS!$A$3:$A$19,0)),INDEX(MODELOS!$C$3:$C$19,MATCH($D901,MODELOS!$A$3:$A$19,0))),IF(INDEX(PRODUTOS!$I$4:$I$63,MATCH($A901,PRODUTOS!$B$4:$B$63,0))="B",INDEX(MODELOS!$H$3:$H$19,MATCH($D901,MODELOS!$A$3:$A$19,0)),INDEX(MODELOS!$D$3:$D$19,MATCH($D901,MODELOS!$A$3:$A$19,0))))</f>
        <v>Foto/ilustração do benefício 3</v>
      </c>
      <c r="H901" s="11" t="str">
        <f aca="false">IF(INDEX(PRODUTOS!$I$4:$I$63,MATCH($A901,PRODUTOS!$B$4:$B$63,0))="B",INDEX(MODELOS!$I$3:$I$19,MATCH($D901,MODELOS!$A$3:$A$19,0)),INDEX(MODELOS!$E$3:$E$19,MATCH($D901,MODELOS!$A$3:$A$19,0)))</f>
        <v>220 × 200</v>
      </c>
      <c r="I901" s="11" t="str">
        <f aca="false">INDEX(MODELOS!$J$3:$J$19,MATCH($D901,MODELOS!$A$3:$A$19,0))</f>
        <v>Conforme modelo</v>
      </c>
      <c r="J901" s="11" t="str">
        <f aca="false">IF(LEFT($D901,2)&lt;&gt;"AP",IF($I901="SIM","SIM","RECOMENDADA"),IF(INDEX(PRODUTOS!$J$4:$J$63,MATCH($A901,PRODUTOS!$B$4:$B$63,0))&lt;&gt;"","NÃO (usa o A+ do EAN "&amp;INDEX(PRODUTOS!$J$4:$J$63,MATCH($A901,PRODUTOS!$B$4:$B$63,0))&amp;")",IF(AND(INDEX(PRODUTOS!$I$4:$I$63,MATCH($A901,PRODUTOS!$B$4:$B$63,0))="B",$D901="AP07"),"NÃO (modelo B)","SIM")))</f>
        <v>SIM</v>
      </c>
      <c r="K901" s="13" t="s">
        <v>325</v>
      </c>
      <c r="L901" s="13"/>
    </row>
    <row r="902" customFormat="false" ht="15" hidden="false" customHeight="false" outlineLevel="0" collapsed="false">
      <c r="A902" s="15" t="s">
        <v>274</v>
      </c>
      <c r="B902" s="11" t="str">
        <f aca="false">INDEX(PRODUTOS!$E$4:$E$63,MATCH($A902,PRODUTOS!$B$4:$B$63,0))</f>
        <v>Granulado Higiênico de Madeira Natural Dots para Pets - Pacote 20 kg</v>
      </c>
      <c r="C902" s="11" t="str">
        <f aca="false">INDEX(PRODUTOS!$H$4:$H$63,MATCH($A902,PRODUTOS!$B$4:$B$63,0))</f>
        <v>20 kg</v>
      </c>
      <c r="D902" s="11" t="s">
        <v>339</v>
      </c>
      <c r="E902" s="16" t="str">
        <f aca="false">$A902&amp;"."&amp;$D902&amp;".jpg"</f>
        <v>7908591300239.AP06.jpg</v>
      </c>
      <c r="F902" s="11" t="str">
        <f aca="false">IF(INDEX(PRODUTOS!$I$4:$I$63,MATCH($A902,PRODUTOS!$B$4:$B$63,0))="B",INDEX(MODELOS!$F$3:$F$19,MATCH($D902,MODELOS!$A$3:$A$19,0)),INDEX(MODELOS!$B$3:$B$19,MATCH($D902,MODELOS!$A$3:$A$19,0)))</f>
        <v>A+ · Módulo 3 · Benefício 4 de 4</v>
      </c>
      <c r="G902" s="11" t="str">
        <f aca="false">IF(INDEX(PRODUTOS!$F$4:$F$63,MATCH($A902,PRODUTOS!$B$4:$B$63,0))="Ração",IF(INDEX(PRODUTOS!$I$4:$I$63,MATCH($A902,PRODUTOS!$B$4:$B$63,0))="B",INDEX(MODELOS!$G$3:$G$19,MATCH($D902,MODELOS!$A$3:$A$19,0)),INDEX(MODELOS!$C$3:$C$19,MATCH($D902,MODELOS!$A$3:$A$19,0))),IF(INDEX(PRODUTOS!$I$4:$I$63,MATCH($A902,PRODUTOS!$B$4:$B$63,0))="B",INDEX(MODELOS!$H$3:$H$19,MATCH($D902,MODELOS!$A$3:$A$19,0)),INDEX(MODELOS!$D$3:$D$19,MATCH($D902,MODELOS!$A$3:$A$19,0))))</f>
        <v>Foto/ilustração do benefício 4</v>
      </c>
      <c r="H902" s="11" t="str">
        <f aca="false">IF(INDEX(PRODUTOS!$I$4:$I$63,MATCH($A902,PRODUTOS!$B$4:$B$63,0))="B",INDEX(MODELOS!$I$3:$I$19,MATCH($D902,MODELOS!$A$3:$A$19,0)),INDEX(MODELOS!$E$3:$E$19,MATCH($D902,MODELOS!$A$3:$A$19,0)))</f>
        <v>220 × 200</v>
      </c>
      <c r="I902" s="11" t="str">
        <f aca="false">INDEX(MODELOS!$J$3:$J$19,MATCH($D902,MODELOS!$A$3:$A$19,0))</f>
        <v>Conforme modelo</v>
      </c>
      <c r="J902" s="11" t="str">
        <f aca="false">IF(LEFT($D902,2)&lt;&gt;"AP",IF($I902="SIM","SIM","RECOMENDADA"),IF(INDEX(PRODUTOS!$J$4:$J$63,MATCH($A902,PRODUTOS!$B$4:$B$63,0))&lt;&gt;"","NÃO (usa o A+ do EAN "&amp;INDEX(PRODUTOS!$J$4:$J$63,MATCH($A902,PRODUTOS!$B$4:$B$63,0))&amp;")",IF(AND(INDEX(PRODUTOS!$I$4:$I$63,MATCH($A902,PRODUTOS!$B$4:$B$63,0))="B",$D902="AP07"),"NÃO (modelo B)","SIM")))</f>
        <v>SIM</v>
      </c>
      <c r="K902" s="13" t="s">
        <v>325</v>
      </c>
      <c r="L902" s="13"/>
    </row>
    <row r="903" customFormat="false" ht="15" hidden="false" customHeight="false" outlineLevel="0" collapsed="false">
      <c r="A903" s="15" t="s">
        <v>274</v>
      </c>
      <c r="B903" s="11" t="str">
        <f aca="false">INDEX(PRODUTOS!$E$4:$E$63,MATCH($A903,PRODUTOS!$B$4:$B$63,0))</f>
        <v>Granulado Higiênico de Madeira Natural Dots para Pets - Pacote 20 kg</v>
      </c>
      <c r="C903" s="11" t="str">
        <f aca="false">INDEX(PRODUTOS!$H$4:$H$63,MATCH($A903,PRODUTOS!$B$4:$B$63,0))</f>
        <v>20 kg</v>
      </c>
      <c r="D903" s="11" t="s">
        <v>340</v>
      </c>
      <c r="E903" s="16" t="str">
        <f aca="false">$A903&amp;"."&amp;$D903&amp;".jpg"</f>
        <v>7908591300239.AP07.jpg</v>
      </c>
      <c r="F903" s="11" t="str">
        <f aca="false">IF(INDEX(PRODUTOS!$I$4:$I$63,MATCH($A903,PRODUTOS!$B$4:$B$63,0))="B",INDEX(MODELOS!$F$3:$F$19,MATCH($D903,MODELOS!$A$3:$A$19,0)),INDEX(MODELOS!$B$3:$B$19,MATCH($D903,MODELOS!$A$3:$A$19,0)))</f>
        <v>A+ · Módulo 4 · Especificações</v>
      </c>
      <c r="G903" s="11" t="str">
        <f aca="false">IF(INDEX(PRODUTOS!$F$4:$F$63,MATCH($A903,PRODUTOS!$B$4:$B$63,0))="Ração",IF(INDEX(PRODUTOS!$I$4:$I$63,MATCH($A903,PRODUTOS!$B$4:$B$63,0))="B",INDEX(MODELOS!$G$3:$G$19,MATCH($D903,MODELOS!$A$3:$A$19,0)),INDEX(MODELOS!$C$3:$C$19,MATCH($D903,MODELOS!$A$3:$A$19,0))),IF(INDEX(PRODUTOS!$I$4:$I$63,MATCH($A903,PRODUTOS!$B$4:$B$63,0))="B",INDEX(MODELOS!$H$3:$H$19,MATCH($D903,MODELOS!$A$3:$A$19,0)),INDEX(MODELOS!$D$3:$D$19,MATCH($D903,MODELOS!$A$3:$A$19,0))))</f>
        <v>Produto em destaque</v>
      </c>
      <c r="H903" s="11" t="str">
        <f aca="false">IF(INDEX(PRODUTOS!$I$4:$I$63,MATCH($A903,PRODUTOS!$B$4:$B$63,0))="B",INDEX(MODELOS!$I$3:$I$19,MATCH($D903,MODELOS!$A$3:$A$19,0)),INDEX(MODELOS!$E$3:$E$19,MATCH($D903,MODELOS!$A$3:$A$19,0)))</f>
        <v>300 × 300</v>
      </c>
      <c r="I903" s="11" t="str">
        <f aca="false">INDEX(MODELOS!$J$3:$J$19,MATCH($D903,MODELOS!$A$3:$A$19,0))</f>
        <v>Conforme modelo</v>
      </c>
      <c r="J903" s="11" t="str">
        <f aca="false">IF(LEFT($D903,2)&lt;&gt;"AP",IF($I903="SIM","SIM","RECOMENDADA"),IF(INDEX(PRODUTOS!$J$4:$J$63,MATCH($A903,PRODUTOS!$B$4:$B$63,0))&lt;&gt;"","NÃO (usa o A+ do EAN "&amp;INDEX(PRODUTOS!$J$4:$J$63,MATCH($A903,PRODUTOS!$B$4:$B$63,0))&amp;")",IF(AND(INDEX(PRODUTOS!$I$4:$I$63,MATCH($A903,PRODUTOS!$B$4:$B$63,0))="B",$D903="AP07"),"NÃO (modelo B)","SIM")))</f>
        <v>SIM</v>
      </c>
      <c r="K903" s="13" t="s">
        <v>325</v>
      </c>
      <c r="L903" s="13"/>
    </row>
    <row r="904" customFormat="false" ht="15" hidden="false" customHeight="false" outlineLevel="0" collapsed="false">
      <c r="A904" s="15" t="s">
        <v>274</v>
      </c>
      <c r="B904" s="11" t="str">
        <f aca="false">INDEX(PRODUTOS!$E$4:$E$63,MATCH($A904,PRODUTOS!$B$4:$B$63,0))</f>
        <v>Granulado Higiênico de Madeira Natural Dots para Pets - Pacote 20 kg</v>
      </c>
      <c r="C904" s="11" t="str">
        <f aca="false">INDEX(PRODUTOS!$H$4:$H$63,MATCH($A904,PRODUTOS!$B$4:$B$63,0))</f>
        <v>20 kg</v>
      </c>
      <c r="D904" s="11" t="s">
        <v>341</v>
      </c>
      <c r="E904" s="16" t="str">
        <f aca="false">$A904&amp;"."&amp;$D904&amp;".jpg"</f>
        <v>7908591300239.COMP.jpg</v>
      </c>
      <c r="F904" s="11" t="str">
        <f aca="false">IF(INDEX(PRODUTOS!$I$4:$I$63,MATCH($A904,PRODUTOS!$B$4:$B$63,0))="B",INDEX(MODELOS!$F$3:$F$19,MATCH($D904,MODELOS!$A$3:$A$19,0)),INDEX(MODELOS!$B$3:$B$19,MATCH($D904,MODELOS!$A$3:$A$19,0)))</f>
        <v>A+ · Tabela comparativa</v>
      </c>
      <c r="G904" s="11" t="str">
        <f aca="false">IF(INDEX(PRODUTOS!$F$4:$F$63,MATCH($A904,PRODUTOS!$B$4:$B$63,0))="Ração",IF(INDEX(PRODUTOS!$I$4:$I$63,MATCH($A904,PRODUTOS!$B$4:$B$63,0))="B",INDEX(MODELOS!$G$3:$G$19,MATCH($D904,MODELOS!$A$3:$A$19,0)),INDEX(MODELOS!$C$3:$C$19,MATCH($D904,MODELOS!$A$3:$A$19,0))),IF(INDEX(PRODUTOS!$I$4:$I$63,MATCH($A904,PRODUTOS!$B$4:$B$63,0))="B",INDEX(MODELOS!$H$3:$H$19,MATCH($D904,MODELOS!$A$3:$A$19,0)),INDEX(MODELOS!$D$3:$D$19,MATCH($D904,MODELOS!$A$3:$A$19,0))))</f>
        <v>Produto na vertical, sem fundo colorido</v>
      </c>
      <c r="H904" s="11" t="str">
        <f aca="false">IF(INDEX(PRODUTOS!$I$4:$I$63,MATCH($A904,PRODUTOS!$B$4:$B$63,0))="B",INDEX(MODELOS!$I$3:$I$19,MATCH($D904,MODELOS!$A$3:$A$19,0)),INDEX(MODELOS!$E$3:$E$19,MATCH($D904,MODELOS!$A$3:$A$19,0)))</f>
        <v>150 × 300</v>
      </c>
      <c r="I904" s="11" t="str">
        <f aca="false">INDEX(MODELOS!$J$3:$J$19,MATCH($D904,MODELOS!$A$3:$A$19,0))</f>
        <v>SIM</v>
      </c>
      <c r="J904" s="11" t="str">
        <f aca="false">IF(LEFT($D904,2)&lt;&gt;"AP",IF($I904="SIM","SIM","RECOMENDADA"),IF(INDEX(PRODUTOS!$J$4:$J$63,MATCH($A904,PRODUTOS!$B$4:$B$63,0))&lt;&gt;"","NÃO (usa o A+ do EAN "&amp;INDEX(PRODUTOS!$J$4:$J$63,MATCH($A904,PRODUTOS!$B$4:$B$63,0))&amp;")",IF(AND(INDEX(PRODUTOS!$I$4:$I$63,MATCH($A904,PRODUTOS!$B$4:$B$63,0))="B",$D904="AP07"),"NÃO (modelo B)","SIM")))</f>
        <v>SIM</v>
      </c>
      <c r="K904" s="13" t="s">
        <v>325</v>
      </c>
      <c r="L904" s="13"/>
    </row>
    <row r="905" customFormat="false" ht="15" hidden="false" customHeight="false" outlineLevel="0" collapsed="false">
      <c r="A905" s="15" t="s">
        <v>280</v>
      </c>
      <c r="B905" s="11" t="str">
        <f aca="false">INDEX(PRODUTOS!$E$4:$E$63,MATCH($A905,PRODUTOS!$B$4:$B$63,0))</f>
        <v>Granulado Higiênico de Madeira Natural Dots para Pets - Pacote 10 kg</v>
      </c>
      <c r="C905" s="11" t="str">
        <f aca="false">INDEX(PRODUTOS!$H$4:$H$63,MATCH($A905,PRODUTOS!$B$4:$B$63,0))</f>
        <v>10 kg</v>
      </c>
      <c r="D905" s="11" t="s">
        <v>324</v>
      </c>
      <c r="E905" s="16" t="str">
        <f aca="false">$A905&amp;"."&amp;$D905&amp;".jpg"</f>
        <v>7908591300482.MAIN.jpg</v>
      </c>
      <c r="F905" s="11" t="str">
        <f aca="false">IF(INDEX(PRODUTOS!$I$4:$I$63,MATCH($A905,PRODUTOS!$B$4:$B$63,0))="B",INDEX(MODELOS!$F$3:$F$19,MATCH($D905,MODELOS!$A$3:$A$19,0)),INDEX(MODELOS!$B$3:$B$19,MATCH($D905,MODELOS!$A$3:$A$19,0)))</f>
        <v>Capa (posição 1)</v>
      </c>
      <c r="G905" s="11" t="str">
        <f aca="false">IF(INDEX(PRODUTOS!$F$4:$F$63,MATCH($A905,PRODUTOS!$B$4:$B$63,0))="Ração",IF(INDEX(PRODUTOS!$I$4:$I$63,MATCH($A905,PRODUTOS!$B$4:$B$63,0))="B",INDEX(MODELOS!$G$3:$G$19,MATCH($D905,MODELOS!$A$3:$A$19,0)),INDEX(MODELOS!$C$3:$C$19,MATCH($D905,MODELOS!$A$3:$A$19,0))),IF(INDEX(PRODUTOS!$I$4:$I$63,MATCH($A905,PRODUTOS!$B$4:$B$63,0))="B",INDEX(MODELOS!$H$3:$H$19,MATCH($D905,MODELOS!$A$3:$A$19,0)),INDEX(MODELOS!$D$3:$D$19,MATCH($D905,MODELOS!$A$3:$A$19,0))))</f>
        <v>Embalagem de frente, fundo branco puro, 85% da área, nada adicionado</v>
      </c>
      <c r="H905" s="11" t="str">
        <f aca="false">IF(INDEX(PRODUTOS!$I$4:$I$63,MATCH($A905,PRODUTOS!$B$4:$B$63,0))="B",INDEX(MODELOS!$I$3:$I$19,MATCH($D905,MODELOS!$A$3:$A$19,0)),INDEX(MODELOS!$E$3:$E$19,MATCH($D905,MODELOS!$A$3:$A$19,0)))</f>
        <v>2000 × 2000</v>
      </c>
      <c r="I905" s="11" t="str">
        <f aca="false">INDEX(MODELOS!$J$3:$J$19,MATCH($D905,MODELOS!$A$3:$A$19,0))</f>
        <v>SIM</v>
      </c>
      <c r="J905" s="11" t="str">
        <f aca="false">IF(LEFT($D905,2)&lt;&gt;"AP",IF($I905="SIM","SIM","RECOMENDADA"),IF(INDEX(PRODUTOS!$J$4:$J$63,MATCH($A905,PRODUTOS!$B$4:$B$63,0))&lt;&gt;"","NÃO (usa o A+ do EAN "&amp;INDEX(PRODUTOS!$J$4:$J$63,MATCH($A905,PRODUTOS!$B$4:$B$63,0))&amp;")",IF(AND(INDEX(PRODUTOS!$I$4:$I$63,MATCH($A905,PRODUTOS!$B$4:$B$63,0))="B",$D905="AP07"),"NÃO (modelo B)","SIM")))</f>
        <v>SIM</v>
      </c>
      <c r="K905" s="13" t="s">
        <v>325</v>
      </c>
      <c r="L905" s="13"/>
    </row>
    <row r="906" customFormat="false" ht="15" hidden="false" customHeight="false" outlineLevel="0" collapsed="false">
      <c r="A906" s="15" t="s">
        <v>280</v>
      </c>
      <c r="B906" s="11" t="str">
        <f aca="false">INDEX(PRODUTOS!$E$4:$E$63,MATCH($A906,PRODUTOS!$B$4:$B$63,0))</f>
        <v>Granulado Higiênico de Madeira Natural Dots para Pets - Pacote 10 kg</v>
      </c>
      <c r="C906" s="11" t="str">
        <f aca="false">INDEX(PRODUTOS!$H$4:$H$63,MATCH($A906,PRODUTOS!$B$4:$B$63,0))</f>
        <v>10 kg</v>
      </c>
      <c r="D906" s="11" t="s">
        <v>326</v>
      </c>
      <c r="E906" s="16" t="str">
        <f aca="false">$A906&amp;"."&amp;$D906&amp;".jpg"</f>
        <v>7908591300482.PT01.jpg</v>
      </c>
      <c r="F906" s="11" t="str">
        <f aca="false">IF(INDEX(PRODUTOS!$I$4:$I$63,MATCH($A906,PRODUTOS!$B$4:$B$63,0))="B",INDEX(MODELOS!$F$3:$F$19,MATCH($D906,MODELOS!$A$3:$A$19,0)),INDEX(MODELOS!$B$3:$B$19,MATCH($D906,MODELOS!$A$3:$A$19,0)))</f>
        <v>Galeria · posição 2</v>
      </c>
      <c r="G906" s="11" t="str">
        <f aca="false">IF(INDEX(PRODUTOS!$F$4:$F$63,MATCH($A906,PRODUTOS!$B$4:$B$63,0))="Ração",IF(INDEX(PRODUTOS!$I$4:$I$63,MATCH($A906,PRODUTOS!$B$4:$B$63,0))="B",INDEX(MODELOS!$G$3:$G$19,MATCH($D906,MODELOS!$A$3:$A$19,0)),INDEX(MODELOS!$C$3:$C$19,MATCH($D906,MODELOS!$A$3:$A$19,0))),IF(INDEX(PRODUTOS!$I$4:$I$63,MATCH($A906,PRODUTOS!$B$4:$B$63,0))="B",INDEX(MODELOS!$H$3:$H$19,MATCH($D906,MODELOS!$A$3:$A$19,0)),INDEX(MODELOS!$D$3:$D$19,MATCH($D906,MODELOS!$A$3:$A$19,0))))</f>
        <v>Grande diferencial (ex.: natural, biodegradável, perfumado)</v>
      </c>
      <c r="H906" s="11" t="str">
        <f aca="false">IF(INDEX(PRODUTOS!$I$4:$I$63,MATCH($A906,PRODUTOS!$B$4:$B$63,0))="B",INDEX(MODELOS!$I$3:$I$19,MATCH($D906,MODELOS!$A$3:$A$19,0)),INDEX(MODELOS!$E$3:$E$19,MATCH($D906,MODELOS!$A$3:$A$19,0)))</f>
        <v>2000 × 2000</v>
      </c>
      <c r="I906" s="11" t="str">
        <f aca="false">INDEX(MODELOS!$J$3:$J$19,MATCH($D906,MODELOS!$A$3:$A$19,0))</f>
        <v>SIM</v>
      </c>
      <c r="J906" s="11" t="str">
        <f aca="false">IF(LEFT($D906,2)&lt;&gt;"AP",IF($I906="SIM","SIM","RECOMENDADA"),IF(INDEX(PRODUTOS!$J$4:$J$63,MATCH($A906,PRODUTOS!$B$4:$B$63,0))&lt;&gt;"","NÃO (usa o A+ do EAN "&amp;INDEX(PRODUTOS!$J$4:$J$63,MATCH($A906,PRODUTOS!$B$4:$B$63,0))&amp;")",IF(AND(INDEX(PRODUTOS!$I$4:$I$63,MATCH($A906,PRODUTOS!$B$4:$B$63,0))="B",$D906="AP07"),"NÃO (modelo B)","SIM")))</f>
        <v>SIM</v>
      </c>
      <c r="K906" s="13" t="s">
        <v>325</v>
      </c>
      <c r="L906" s="13"/>
    </row>
    <row r="907" customFormat="false" ht="15" hidden="false" customHeight="false" outlineLevel="0" collapsed="false">
      <c r="A907" s="15" t="s">
        <v>280</v>
      </c>
      <c r="B907" s="11" t="str">
        <f aca="false">INDEX(PRODUTOS!$E$4:$E$63,MATCH($A907,PRODUTOS!$B$4:$B$63,0))</f>
        <v>Granulado Higiênico de Madeira Natural Dots para Pets - Pacote 10 kg</v>
      </c>
      <c r="C907" s="11" t="str">
        <f aca="false">INDEX(PRODUTOS!$H$4:$H$63,MATCH($A907,PRODUTOS!$B$4:$B$63,0))</f>
        <v>10 kg</v>
      </c>
      <c r="D907" s="11" t="s">
        <v>327</v>
      </c>
      <c r="E907" s="16" t="str">
        <f aca="false">$A907&amp;"."&amp;$D907&amp;".jpg"</f>
        <v>7908591300482.PT02.jpg</v>
      </c>
      <c r="F907" s="11" t="str">
        <f aca="false">IF(INDEX(PRODUTOS!$I$4:$I$63,MATCH($A907,PRODUTOS!$B$4:$B$63,0))="B",INDEX(MODELOS!$F$3:$F$19,MATCH($D907,MODELOS!$A$3:$A$19,0)),INDEX(MODELOS!$B$3:$B$19,MATCH($D907,MODELOS!$A$3:$A$19,0)))</f>
        <v>Galeria · posição 3</v>
      </c>
      <c r="G907" s="11" t="str">
        <f aca="false">IF(INDEX(PRODUTOS!$F$4:$F$63,MATCH($A907,PRODUTOS!$B$4:$B$63,0))="Ração",IF(INDEX(PRODUTOS!$I$4:$I$63,MATCH($A907,PRODUTOS!$B$4:$B$63,0))="B",INDEX(MODELOS!$G$3:$G$19,MATCH($D907,MODELOS!$A$3:$A$19,0)),INDEX(MODELOS!$C$3:$C$19,MATCH($D907,MODELOS!$A$3:$A$19,0))),IF(INDEX(PRODUTOS!$I$4:$I$63,MATCH($A907,PRODUTOS!$B$4:$B$63,0))="B",INDEX(MODELOS!$H$3:$H$19,MATCH($D907,MODELOS!$A$3:$A$19,0)),INDEX(MODELOS!$D$3:$D$19,MATCH($D907,MODELOS!$A$3:$A$19,0))))</f>
        <v>Benefícios com ícones (4 a 6, impressos na embalagem)</v>
      </c>
      <c r="H907" s="11" t="str">
        <f aca="false">IF(INDEX(PRODUTOS!$I$4:$I$63,MATCH($A907,PRODUTOS!$B$4:$B$63,0))="B",INDEX(MODELOS!$I$3:$I$19,MATCH($D907,MODELOS!$A$3:$A$19,0)),INDEX(MODELOS!$E$3:$E$19,MATCH($D907,MODELOS!$A$3:$A$19,0)))</f>
        <v>2000 × 2000</v>
      </c>
      <c r="I907" s="11" t="str">
        <f aca="false">INDEX(MODELOS!$J$3:$J$19,MATCH($D907,MODELOS!$A$3:$A$19,0))</f>
        <v>SIM</v>
      </c>
      <c r="J907" s="11" t="str">
        <f aca="false">IF(LEFT($D907,2)&lt;&gt;"AP",IF($I907="SIM","SIM","RECOMENDADA"),IF(INDEX(PRODUTOS!$J$4:$J$63,MATCH($A907,PRODUTOS!$B$4:$B$63,0))&lt;&gt;"","NÃO (usa o A+ do EAN "&amp;INDEX(PRODUTOS!$J$4:$J$63,MATCH($A907,PRODUTOS!$B$4:$B$63,0))&amp;")",IF(AND(INDEX(PRODUTOS!$I$4:$I$63,MATCH($A907,PRODUTOS!$B$4:$B$63,0))="B",$D907="AP07"),"NÃO (modelo B)","SIM")))</f>
        <v>SIM</v>
      </c>
      <c r="K907" s="13" t="s">
        <v>325</v>
      </c>
      <c r="L907" s="13"/>
    </row>
    <row r="908" customFormat="false" ht="15" hidden="false" customHeight="false" outlineLevel="0" collapsed="false">
      <c r="A908" s="15" t="s">
        <v>280</v>
      </c>
      <c r="B908" s="11" t="str">
        <f aca="false">INDEX(PRODUTOS!$E$4:$E$63,MATCH($A908,PRODUTOS!$B$4:$B$63,0))</f>
        <v>Granulado Higiênico de Madeira Natural Dots para Pets - Pacote 10 kg</v>
      </c>
      <c r="C908" s="11" t="str">
        <f aca="false">INDEX(PRODUTOS!$H$4:$H$63,MATCH($A908,PRODUTOS!$B$4:$B$63,0))</f>
        <v>10 kg</v>
      </c>
      <c r="D908" s="11" t="s">
        <v>328</v>
      </c>
      <c r="E908" s="16" t="str">
        <f aca="false">$A908&amp;"."&amp;$D908&amp;".jpg"</f>
        <v>7908591300482.PT03.jpg</v>
      </c>
      <c r="F908" s="11" t="str">
        <f aca="false">IF(INDEX(PRODUTOS!$I$4:$I$63,MATCH($A908,PRODUTOS!$B$4:$B$63,0))="B",INDEX(MODELOS!$F$3:$F$19,MATCH($D908,MODELOS!$A$3:$A$19,0)),INDEX(MODELOS!$B$3:$B$19,MATCH($D908,MODELOS!$A$3:$A$19,0)))</f>
        <v>Galeria · posição 4</v>
      </c>
      <c r="G908" s="11" t="str">
        <f aca="false">IF(INDEX(PRODUTOS!$F$4:$F$63,MATCH($A908,PRODUTOS!$B$4:$B$63,0))="Ração",IF(INDEX(PRODUTOS!$I$4:$I$63,MATCH($A908,PRODUTOS!$B$4:$B$63,0))="B",INDEX(MODELOS!$G$3:$G$19,MATCH($D908,MODELOS!$A$3:$A$19,0)),INDEX(MODELOS!$C$3:$C$19,MATCH($D908,MODELOS!$A$3:$A$19,0))),IF(INDEX(PRODUTOS!$I$4:$I$63,MATCH($A908,PRODUTOS!$B$4:$B$63,0))="B",INDEX(MODELOS!$H$3:$H$19,MATCH($D908,MODELOS!$A$3:$A$19,0)),INDEX(MODELOS!$D$3:$D$19,MATCH($D908,MODELOS!$A$3:$A$19,0))))</f>
        <v>Detalhe e tamanho real (petisco, grânulo ou tapete aberto), com medidas</v>
      </c>
      <c r="H908" s="11" t="str">
        <f aca="false">IF(INDEX(PRODUTOS!$I$4:$I$63,MATCH($A908,PRODUTOS!$B$4:$B$63,0))="B",INDEX(MODELOS!$I$3:$I$19,MATCH($D908,MODELOS!$A$3:$A$19,0)),INDEX(MODELOS!$E$3:$E$19,MATCH($D908,MODELOS!$A$3:$A$19,0)))</f>
        <v>2000 × 2000</v>
      </c>
      <c r="I908" s="11" t="str">
        <f aca="false">INDEX(MODELOS!$J$3:$J$19,MATCH($D908,MODELOS!$A$3:$A$19,0))</f>
        <v>SIM</v>
      </c>
      <c r="J908" s="11" t="str">
        <f aca="false">IF(LEFT($D908,2)&lt;&gt;"AP",IF($I908="SIM","SIM","RECOMENDADA"),IF(INDEX(PRODUTOS!$J$4:$J$63,MATCH($A908,PRODUTOS!$B$4:$B$63,0))&lt;&gt;"","NÃO (usa o A+ do EAN "&amp;INDEX(PRODUTOS!$J$4:$J$63,MATCH($A908,PRODUTOS!$B$4:$B$63,0))&amp;")",IF(AND(INDEX(PRODUTOS!$I$4:$I$63,MATCH($A908,PRODUTOS!$B$4:$B$63,0))="B",$D908="AP07"),"NÃO (modelo B)","SIM")))</f>
        <v>SIM</v>
      </c>
      <c r="K908" s="13" t="s">
        <v>325</v>
      </c>
      <c r="L908" s="13"/>
    </row>
    <row r="909" customFormat="false" ht="15" hidden="false" customHeight="false" outlineLevel="0" collapsed="false">
      <c r="A909" s="15" t="s">
        <v>280</v>
      </c>
      <c r="B909" s="11" t="str">
        <f aca="false">INDEX(PRODUTOS!$E$4:$E$63,MATCH($A909,PRODUTOS!$B$4:$B$63,0))</f>
        <v>Granulado Higiênico de Madeira Natural Dots para Pets - Pacote 10 kg</v>
      </c>
      <c r="C909" s="11" t="str">
        <f aca="false">INDEX(PRODUTOS!$H$4:$H$63,MATCH($A909,PRODUTOS!$B$4:$B$63,0))</f>
        <v>10 kg</v>
      </c>
      <c r="D909" s="11" t="s">
        <v>329</v>
      </c>
      <c r="E909" s="16" t="str">
        <f aca="false">$A909&amp;"."&amp;$D909&amp;".jpg"</f>
        <v>7908591300482.PT04.jpg</v>
      </c>
      <c r="F909" s="11" t="str">
        <f aca="false">IF(INDEX(PRODUTOS!$I$4:$I$63,MATCH($A909,PRODUTOS!$B$4:$B$63,0))="B",INDEX(MODELOS!$F$3:$F$19,MATCH($D909,MODELOS!$A$3:$A$19,0)),INDEX(MODELOS!$B$3:$B$19,MATCH($D909,MODELOS!$A$3:$A$19,0)))</f>
        <v>Galeria · posição 5</v>
      </c>
      <c r="G909" s="11" t="str">
        <f aca="false">IF(INDEX(PRODUTOS!$F$4:$F$63,MATCH($A909,PRODUTOS!$B$4:$B$63,0))="Ração",IF(INDEX(PRODUTOS!$I$4:$I$63,MATCH($A909,PRODUTOS!$B$4:$B$63,0))="B",INDEX(MODELOS!$G$3:$G$19,MATCH($D909,MODELOS!$A$3:$A$19,0)),INDEX(MODELOS!$C$3:$C$19,MATCH($D909,MODELOS!$A$3:$A$19,0))),IF(INDEX(PRODUTOS!$I$4:$I$63,MATCH($A909,PRODUTOS!$B$4:$B$63,0))="B",INDEX(MODELOS!$H$3:$H$19,MATCH($D909,MODELOS!$A$3:$A$19,0)),INDEX(MODELOS!$D$3:$D$19,MATCH($D909,MODELOS!$A$3:$A$19,0))))</f>
        <v>Modo de uso (como oferecer o petisco / como usar o produto)</v>
      </c>
      <c r="H909" s="11" t="str">
        <f aca="false">IF(INDEX(PRODUTOS!$I$4:$I$63,MATCH($A909,PRODUTOS!$B$4:$B$63,0))="B",INDEX(MODELOS!$I$3:$I$19,MATCH($D909,MODELOS!$A$3:$A$19,0)),INDEX(MODELOS!$E$3:$E$19,MATCH($D909,MODELOS!$A$3:$A$19,0)))</f>
        <v>2000 × 2000</v>
      </c>
      <c r="I909" s="11" t="str">
        <f aca="false">INDEX(MODELOS!$J$3:$J$19,MATCH($D909,MODELOS!$A$3:$A$19,0))</f>
        <v>SIM</v>
      </c>
      <c r="J909" s="11" t="str">
        <f aca="false">IF(LEFT($D909,2)&lt;&gt;"AP",IF($I909="SIM","SIM","RECOMENDADA"),IF(INDEX(PRODUTOS!$J$4:$J$63,MATCH($A909,PRODUTOS!$B$4:$B$63,0))&lt;&gt;"","NÃO (usa o A+ do EAN "&amp;INDEX(PRODUTOS!$J$4:$J$63,MATCH($A909,PRODUTOS!$B$4:$B$63,0))&amp;")",IF(AND(INDEX(PRODUTOS!$I$4:$I$63,MATCH($A909,PRODUTOS!$B$4:$B$63,0))="B",$D909="AP07"),"NÃO (modelo B)","SIM")))</f>
        <v>SIM</v>
      </c>
      <c r="K909" s="13" t="s">
        <v>325</v>
      </c>
      <c r="L909" s="13"/>
    </row>
    <row r="910" customFormat="false" ht="15" hidden="false" customHeight="false" outlineLevel="0" collapsed="false">
      <c r="A910" s="15" t="s">
        <v>280</v>
      </c>
      <c r="B910" s="11" t="str">
        <f aca="false">INDEX(PRODUTOS!$E$4:$E$63,MATCH($A910,PRODUTOS!$B$4:$B$63,0))</f>
        <v>Granulado Higiênico de Madeira Natural Dots para Pets - Pacote 10 kg</v>
      </c>
      <c r="C910" s="11" t="str">
        <f aca="false">INDEX(PRODUTOS!$H$4:$H$63,MATCH($A910,PRODUTOS!$B$4:$B$63,0))</f>
        <v>10 kg</v>
      </c>
      <c r="D910" s="11" t="s">
        <v>330</v>
      </c>
      <c r="E910" s="16" t="str">
        <f aca="false">$A910&amp;"."&amp;$D910&amp;".jpg"</f>
        <v>7908591300482.PT05.jpg</v>
      </c>
      <c r="F910" s="11" t="str">
        <f aca="false">IF(INDEX(PRODUTOS!$I$4:$I$63,MATCH($A910,PRODUTOS!$B$4:$B$63,0))="B",INDEX(MODELOS!$F$3:$F$19,MATCH($D910,MODELOS!$A$3:$A$19,0)),INDEX(MODELOS!$B$3:$B$19,MATCH($D910,MODELOS!$A$3:$A$19,0)))</f>
        <v>Galeria · posição 6</v>
      </c>
      <c r="G910" s="11" t="str">
        <f aca="false">IF(INDEX(PRODUTOS!$F$4:$F$63,MATCH($A910,PRODUTOS!$B$4:$B$63,0))="Ração",IF(INDEX(PRODUTOS!$I$4:$I$63,MATCH($A910,PRODUTOS!$B$4:$B$63,0))="B",INDEX(MODELOS!$G$3:$G$19,MATCH($D910,MODELOS!$A$3:$A$19,0)),INDEX(MODELOS!$C$3:$C$19,MATCH($D910,MODELOS!$A$3:$A$19,0))),IF(INDEX(PRODUTOS!$I$4:$I$63,MATCH($A910,PRODUTOS!$B$4:$B$63,0))="B",INDEX(MODELOS!$H$3:$H$19,MATCH($D910,MODELOS!$A$3:$A$19,0)),INDEX(MODELOS!$D$3:$D$19,MATCH($D910,MODELOS!$A$3:$A$19,0))))</f>
        <v>Quantidade por dia ou rendimento do pacote</v>
      </c>
      <c r="H910" s="11" t="str">
        <f aca="false">IF(INDEX(PRODUTOS!$I$4:$I$63,MATCH($A910,PRODUTOS!$B$4:$B$63,0))="B",INDEX(MODELOS!$I$3:$I$19,MATCH($D910,MODELOS!$A$3:$A$19,0)),INDEX(MODELOS!$E$3:$E$19,MATCH($D910,MODELOS!$A$3:$A$19,0)))</f>
        <v>2000 × 2000</v>
      </c>
      <c r="I910" s="11" t="str">
        <f aca="false">INDEX(MODELOS!$J$3:$J$19,MATCH($D910,MODELOS!$A$3:$A$19,0))</f>
        <v>Recomendada</v>
      </c>
      <c r="J910" s="11" t="str">
        <f aca="false">IF(LEFT($D910,2)&lt;&gt;"AP",IF($I910="SIM","SIM","RECOMENDADA"),IF(INDEX(PRODUTOS!$J$4:$J$63,MATCH($A910,PRODUTOS!$B$4:$B$63,0))&lt;&gt;"","NÃO (usa o A+ do EAN "&amp;INDEX(PRODUTOS!$J$4:$J$63,MATCH($A910,PRODUTOS!$B$4:$B$63,0))&amp;")",IF(AND(INDEX(PRODUTOS!$I$4:$I$63,MATCH($A910,PRODUTOS!$B$4:$B$63,0))="B",$D910="AP07"),"NÃO (modelo B)","SIM")))</f>
        <v>RECOMENDADA</v>
      </c>
      <c r="K910" s="13" t="s">
        <v>325</v>
      </c>
      <c r="L910" s="13"/>
    </row>
    <row r="911" customFormat="false" ht="15" hidden="false" customHeight="false" outlineLevel="0" collapsed="false">
      <c r="A911" s="15" t="s">
        <v>280</v>
      </c>
      <c r="B911" s="11" t="str">
        <f aca="false">INDEX(PRODUTOS!$E$4:$E$63,MATCH($A911,PRODUTOS!$B$4:$B$63,0))</f>
        <v>Granulado Higiênico de Madeira Natural Dots para Pets - Pacote 10 kg</v>
      </c>
      <c r="C911" s="11" t="str">
        <f aca="false">INDEX(PRODUTOS!$H$4:$H$63,MATCH($A911,PRODUTOS!$B$4:$B$63,0))</f>
        <v>10 kg</v>
      </c>
      <c r="D911" s="11" t="s">
        <v>331</v>
      </c>
      <c r="E911" s="16" t="str">
        <f aca="false">$A911&amp;"."&amp;$D911&amp;".jpg"</f>
        <v>7908591300482.PT06.jpg</v>
      </c>
      <c r="F911" s="11" t="str">
        <f aca="false">IF(INDEX(PRODUTOS!$I$4:$I$63,MATCH($A911,PRODUTOS!$B$4:$B$63,0))="B",INDEX(MODELOS!$F$3:$F$19,MATCH($D911,MODELOS!$A$3:$A$19,0)),INDEX(MODELOS!$B$3:$B$19,MATCH($D911,MODELOS!$A$3:$A$19,0)))</f>
        <v>Galeria · posição 7</v>
      </c>
      <c r="G911" s="11" t="str">
        <f aca="false">IF(INDEX(PRODUTOS!$F$4:$F$63,MATCH($A911,PRODUTOS!$B$4:$B$63,0))="Ração",IF(INDEX(PRODUTOS!$I$4:$I$63,MATCH($A911,PRODUTOS!$B$4:$B$63,0))="B",INDEX(MODELOS!$G$3:$G$19,MATCH($D911,MODELOS!$A$3:$A$19,0)),INDEX(MODELOS!$C$3:$C$19,MATCH($D911,MODELOS!$A$3:$A$19,0))),IF(INDEX(PRODUTOS!$I$4:$I$63,MATCH($A911,PRODUTOS!$B$4:$B$63,0))="B",INDEX(MODELOS!$H$3:$H$19,MATCH($D911,MODELOS!$A$3:$A$19,0)),INDEX(MODELOS!$D$3:$D$19,MATCH($D911,MODELOS!$A$3:$A$19,0))))</f>
        <v>Composição/níveis de garantia (petiscos) ou especificações (higiene)</v>
      </c>
      <c r="H911" s="11" t="str">
        <f aca="false">IF(INDEX(PRODUTOS!$I$4:$I$63,MATCH($A911,PRODUTOS!$B$4:$B$63,0))="B",INDEX(MODELOS!$I$3:$I$19,MATCH($D911,MODELOS!$A$3:$A$19,0)),INDEX(MODELOS!$E$3:$E$19,MATCH($D911,MODELOS!$A$3:$A$19,0)))</f>
        <v>2000 × 2000</v>
      </c>
      <c r="I911" s="11" t="str">
        <f aca="false">INDEX(MODELOS!$J$3:$J$19,MATCH($D911,MODELOS!$A$3:$A$19,0))</f>
        <v>SIM</v>
      </c>
      <c r="J911" s="11" t="str">
        <f aca="false">IF(LEFT($D911,2)&lt;&gt;"AP",IF($I911="SIM","SIM","RECOMENDADA"),IF(INDEX(PRODUTOS!$J$4:$J$63,MATCH($A911,PRODUTOS!$B$4:$B$63,0))&lt;&gt;"","NÃO (usa o A+ do EAN "&amp;INDEX(PRODUTOS!$J$4:$J$63,MATCH($A911,PRODUTOS!$B$4:$B$63,0))&amp;")",IF(AND(INDEX(PRODUTOS!$I$4:$I$63,MATCH($A911,PRODUTOS!$B$4:$B$63,0))="B",$D911="AP07"),"NÃO (modelo B)","SIM")))</f>
        <v>SIM</v>
      </c>
      <c r="K911" s="13" t="s">
        <v>325</v>
      </c>
      <c r="L911" s="13"/>
    </row>
    <row r="912" customFormat="false" ht="15" hidden="false" customHeight="false" outlineLevel="0" collapsed="false">
      <c r="A912" s="15" t="s">
        <v>280</v>
      </c>
      <c r="B912" s="11" t="str">
        <f aca="false">INDEX(PRODUTOS!$E$4:$E$63,MATCH($A912,PRODUTOS!$B$4:$B$63,0))</f>
        <v>Granulado Higiênico de Madeira Natural Dots para Pets - Pacote 10 kg</v>
      </c>
      <c r="C912" s="11" t="str">
        <f aca="false">INDEX(PRODUTOS!$H$4:$H$63,MATCH($A912,PRODUTOS!$B$4:$B$63,0))</f>
        <v>10 kg</v>
      </c>
      <c r="D912" s="11" t="s">
        <v>332</v>
      </c>
      <c r="E912" s="16" t="str">
        <f aca="false">$A912&amp;"."&amp;$D912&amp;".jpg"</f>
        <v>7908591300482.PT07.jpg</v>
      </c>
      <c r="F912" s="11" t="str">
        <f aca="false">IF(INDEX(PRODUTOS!$I$4:$I$63,MATCH($A912,PRODUTOS!$B$4:$B$63,0))="B",INDEX(MODELOS!$F$3:$F$19,MATCH($D912,MODELOS!$A$3:$A$19,0)),INDEX(MODELOS!$B$3:$B$19,MATCH($D912,MODELOS!$A$3:$A$19,0)))</f>
        <v>Galeria · posição 8</v>
      </c>
      <c r="G912" s="11" t="str">
        <f aca="false">IF(INDEX(PRODUTOS!$F$4:$F$63,MATCH($A912,PRODUTOS!$B$4:$B$63,0))="Ração",IF(INDEX(PRODUTOS!$I$4:$I$63,MATCH($A912,PRODUTOS!$B$4:$B$63,0))="B",INDEX(MODELOS!$G$3:$G$19,MATCH($D912,MODELOS!$A$3:$A$19,0)),INDEX(MODELOS!$C$3:$C$19,MATCH($D912,MODELOS!$A$3:$A$19,0))),IF(INDEX(PRODUTOS!$I$4:$I$63,MATCH($A912,PRODUTOS!$B$4:$B$63,0))="B",INDEX(MODELOS!$H$3:$H$19,MATCH($D912,MODELOS!$A$3:$A$19,0)),INDEX(MODELOS!$D$3:$D$19,MATCH($D912,MODELOS!$A$3:$A$19,0))))</f>
        <v>Emocional / momento de uso</v>
      </c>
      <c r="H912" s="11" t="str">
        <f aca="false">IF(INDEX(PRODUTOS!$I$4:$I$63,MATCH($A912,PRODUTOS!$B$4:$B$63,0))="B",INDEX(MODELOS!$I$3:$I$19,MATCH($D912,MODELOS!$A$3:$A$19,0)),INDEX(MODELOS!$E$3:$E$19,MATCH($D912,MODELOS!$A$3:$A$19,0)))</f>
        <v>2000 × 2000</v>
      </c>
      <c r="I912" s="11" t="str">
        <f aca="false">INDEX(MODELOS!$J$3:$J$19,MATCH($D912,MODELOS!$A$3:$A$19,0))</f>
        <v>Recomendada</v>
      </c>
      <c r="J912" s="11" t="str">
        <f aca="false">IF(LEFT($D912,2)&lt;&gt;"AP",IF($I912="SIM","SIM","RECOMENDADA"),IF(INDEX(PRODUTOS!$J$4:$J$63,MATCH($A912,PRODUTOS!$B$4:$B$63,0))&lt;&gt;"","NÃO (usa o A+ do EAN "&amp;INDEX(PRODUTOS!$J$4:$J$63,MATCH($A912,PRODUTOS!$B$4:$B$63,0))&amp;")",IF(AND(INDEX(PRODUTOS!$I$4:$I$63,MATCH($A912,PRODUTOS!$B$4:$B$63,0))="B",$D912="AP07"),"NÃO (modelo B)","SIM")))</f>
        <v>RECOMENDADA</v>
      </c>
      <c r="K912" s="13" t="s">
        <v>325</v>
      </c>
      <c r="L912" s="13"/>
    </row>
    <row r="913" customFormat="false" ht="15" hidden="false" customHeight="false" outlineLevel="0" collapsed="false">
      <c r="A913" s="15" t="s">
        <v>280</v>
      </c>
      <c r="B913" s="11" t="str">
        <f aca="false">INDEX(PRODUTOS!$E$4:$E$63,MATCH($A913,PRODUTOS!$B$4:$B$63,0))</f>
        <v>Granulado Higiênico de Madeira Natural Dots para Pets - Pacote 10 kg</v>
      </c>
      <c r="C913" s="11" t="str">
        <f aca="false">INDEX(PRODUTOS!$H$4:$H$63,MATCH($A913,PRODUTOS!$B$4:$B$63,0))</f>
        <v>10 kg</v>
      </c>
      <c r="D913" s="11" t="s">
        <v>333</v>
      </c>
      <c r="E913" s="16" t="str">
        <f aca="false">$A913&amp;"."&amp;$D913&amp;".jpg"</f>
        <v>7908591300482.PT08.jpg</v>
      </c>
      <c r="F913" s="11" t="str">
        <f aca="false">IF(INDEX(PRODUTOS!$I$4:$I$63,MATCH($A913,PRODUTOS!$B$4:$B$63,0))="B",INDEX(MODELOS!$F$3:$F$19,MATCH($D913,MODELOS!$A$3:$A$19,0)),INDEX(MODELOS!$B$3:$B$19,MATCH($D913,MODELOS!$A$3:$A$19,0)))</f>
        <v>Galeria · posição 9</v>
      </c>
      <c r="G913" s="11" t="str">
        <f aca="false">IF(INDEX(PRODUTOS!$F$4:$F$63,MATCH($A913,PRODUTOS!$B$4:$B$63,0))="Ração",IF(INDEX(PRODUTOS!$I$4:$I$63,MATCH($A913,PRODUTOS!$B$4:$B$63,0))="B",INDEX(MODELOS!$G$3:$G$19,MATCH($D913,MODELOS!$A$3:$A$19,0)),INDEX(MODELOS!$C$3:$C$19,MATCH($D913,MODELOS!$A$3:$A$19,0))),IF(INDEX(PRODUTOS!$I$4:$I$63,MATCH($A913,PRODUTOS!$B$4:$B$63,0))="B",INDEX(MODELOS!$H$3:$H$19,MATCH($D913,MODELOS!$A$3:$A$19,0)),INDEX(MODELOS!$D$3:$D$19,MATCH($D913,MODELOS!$A$3:$A$19,0))))</f>
        <v>Linha da marca ("conheça também")</v>
      </c>
      <c r="H913" s="11" t="str">
        <f aca="false">IF(INDEX(PRODUTOS!$I$4:$I$63,MATCH($A913,PRODUTOS!$B$4:$B$63,0))="B",INDEX(MODELOS!$I$3:$I$19,MATCH($D913,MODELOS!$A$3:$A$19,0)),INDEX(MODELOS!$E$3:$E$19,MATCH($D913,MODELOS!$A$3:$A$19,0)))</f>
        <v>2000 × 2000</v>
      </c>
      <c r="I913" s="11" t="str">
        <f aca="false">INDEX(MODELOS!$J$3:$J$19,MATCH($D913,MODELOS!$A$3:$A$19,0))</f>
        <v>Recomendada</v>
      </c>
      <c r="J913" s="11" t="str">
        <f aca="false">IF(LEFT($D913,2)&lt;&gt;"AP",IF($I913="SIM","SIM","RECOMENDADA"),IF(INDEX(PRODUTOS!$J$4:$J$63,MATCH($A913,PRODUTOS!$B$4:$B$63,0))&lt;&gt;"","NÃO (usa o A+ do EAN "&amp;INDEX(PRODUTOS!$J$4:$J$63,MATCH($A913,PRODUTOS!$B$4:$B$63,0))&amp;")",IF(AND(INDEX(PRODUTOS!$I$4:$I$63,MATCH($A913,PRODUTOS!$B$4:$B$63,0))="B",$D913="AP07"),"NÃO (modelo B)","SIM")))</f>
        <v>RECOMENDADA</v>
      </c>
      <c r="K913" s="13" t="s">
        <v>325</v>
      </c>
      <c r="L913" s="13"/>
    </row>
    <row r="914" customFormat="false" ht="15" hidden="false" customHeight="false" outlineLevel="0" collapsed="false">
      <c r="A914" s="15" t="s">
        <v>280</v>
      </c>
      <c r="B914" s="11" t="str">
        <f aca="false">INDEX(PRODUTOS!$E$4:$E$63,MATCH($A914,PRODUTOS!$B$4:$B$63,0))</f>
        <v>Granulado Higiênico de Madeira Natural Dots para Pets - Pacote 10 kg</v>
      </c>
      <c r="C914" s="11" t="str">
        <f aca="false">INDEX(PRODUTOS!$H$4:$H$63,MATCH($A914,PRODUTOS!$B$4:$B$63,0))</f>
        <v>10 kg</v>
      </c>
      <c r="D914" s="11" t="s">
        <v>334</v>
      </c>
      <c r="E914" s="16" t="str">
        <f aca="false">$A914&amp;"."&amp;$D914&amp;".jpg"</f>
        <v>7908591300482.AP01.jpg</v>
      </c>
      <c r="F914" s="11" t="str">
        <f aca="false">IF(INDEX(PRODUTOS!$I$4:$I$63,MATCH($A914,PRODUTOS!$B$4:$B$63,0))="B",INDEX(MODELOS!$F$3:$F$19,MATCH($D914,MODELOS!$A$3:$A$19,0)),INDEX(MODELOS!$B$3:$B$19,MATCH($D914,MODELOS!$A$3:$A$19,0)))</f>
        <v>A+ · Módulo 1 · Banner</v>
      </c>
      <c r="G914" s="11" t="str">
        <f aca="false">IF(INDEX(PRODUTOS!$F$4:$F$63,MATCH($A914,PRODUTOS!$B$4:$B$63,0))="Ração",IF(INDEX(PRODUTOS!$I$4:$I$63,MATCH($A914,PRODUTOS!$B$4:$B$63,0))="B",INDEX(MODELOS!$G$3:$G$19,MATCH($D914,MODELOS!$A$3:$A$19,0)),INDEX(MODELOS!$C$3:$C$19,MATCH($D914,MODELOS!$A$3:$A$19,0))),IF(INDEX(PRODUTOS!$I$4:$I$63,MATCH($A914,PRODUTOS!$B$4:$B$63,0))="B",INDEX(MODELOS!$H$3:$H$19,MATCH($D914,MODELOS!$A$3:$A$19,0)),INDEX(MODELOS!$D$3:$D$19,MATCH($D914,MODELOS!$A$3:$A$19,0))))</f>
        <v>Produto + pet, com o nome da linha</v>
      </c>
      <c r="H914" s="11" t="str">
        <f aca="false">IF(INDEX(PRODUTOS!$I$4:$I$63,MATCH($A914,PRODUTOS!$B$4:$B$63,0))="B",INDEX(MODELOS!$I$3:$I$19,MATCH($D914,MODELOS!$A$3:$A$19,0)),INDEX(MODELOS!$E$3:$E$19,MATCH($D914,MODELOS!$A$3:$A$19,0)))</f>
        <v>970 × 600</v>
      </c>
      <c r="I914" s="11" t="str">
        <f aca="false">INDEX(MODELOS!$J$3:$J$19,MATCH($D914,MODELOS!$A$3:$A$19,0))</f>
        <v>Conforme modelo</v>
      </c>
      <c r="J914" s="11" t="str">
        <f aca="false">IF(LEFT($D914,2)&lt;&gt;"AP",IF($I914="SIM","SIM","RECOMENDADA"),IF(INDEX(PRODUTOS!$J$4:$J$63,MATCH($A914,PRODUTOS!$B$4:$B$63,0))&lt;&gt;"","NÃO (usa o A+ do EAN "&amp;INDEX(PRODUTOS!$J$4:$J$63,MATCH($A914,PRODUTOS!$B$4:$B$63,0))&amp;")",IF(AND(INDEX(PRODUTOS!$I$4:$I$63,MATCH($A914,PRODUTOS!$B$4:$B$63,0))="B",$D914="AP07"),"NÃO (modelo B)","SIM")))</f>
        <v>NÃO (usa o A+ do EAN 7908591300239)</v>
      </c>
      <c r="K914" s="13" t="s">
        <v>325</v>
      </c>
      <c r="L914" s="13"/>
    </row>
    <row r="915" customFormat="false" ht="15" hidden="false" customHeight="false" outlineLevel="0" collapsed="false">
      <c r="A915" s="15" t="s">
        <v>280</v>
      </c>
      <c r="B915" s="11" t="str">
        <f aca="false">INDEX(PRODUTOS!$E$4:$E$63,MATCH($A915,PRODUTOS!$B$4:$B$63,0))</f>
        <v>Granulado Higiênico de Madeira Natural Dots para Pets - Pacote 10 kg</v>
      </c>
      <c r="C915" s="11" t="str">
        <f aca="false">INDEX(PRODUTOS!$H$4:$H$63,MATCH($A915,PRODUTOS!$B$4:$B$63,0))</f>
        <v>10 kg</v>
      </c>
      <c r="D915" s="11" t="s">
        <v>335</v>
      </c>
      <c r="E915" s="16" t="str">
        <f aca="false">$A915&amp;"."&amp;$D915&amp;".jpg"</f>
        <v>7908591300482.AP02.jpg</v>
      </c>
      <c r="F915" s="11" t="str">
        <f aca="false">IF(INDEX(PRODUTOS!$I$4:$I$63,MATCH($A915,PRODUTOS!$B$4:$B$63,0))="B",INDEX(MODELOS!$F$3:$F$19,MATCH($D915,MODELOS!$A$3:$A$19,0)),INDEX(MODELOS!$B$3:$B$19,MATCH($D915,MODELOS!$A$3:$A$19,0)))</f>
        <v>A+ · Módulo 2 · Texto sobreposto</v>
      </c>
      <c r="G915" s="11" t="str">
        <f aca="false">IF(INDEX(PRODUTOS!$F$4:$F$63,MATCH($A915,PRODUTOS!$B$4:$B$63,0))="Ração",IF(INDEX(PRODUTOS!$I$4:$I$63,MATCH($A915,PRODUTOS!$B$4:$B$63,0))="B",INDEX(MODELOS!$G$3:$G$19,MATCH($D915,MODELOS!$A$3:$A$19,0)),INDEX(MODELOS!$C$3:$C$19,MATCH($D915,MODELOS!$A$3:$A$19,0))),IF(INDEX(PRODUTOS!$I$4:$I$63,MATCH($A915,PRODUTOS!$B$4:$B$63,0))="B",INDEX(MODELOS!$H$3:$H$19,MATCH($D915,MODELOS!$A$3:$A$19,0)),INDEX(MODELOS!$D$3:$D$19,MATCH($D915,MODELOS!$A$3:$A$19,0))))</f>
        <v>Principal diferencial; deixar o lado direito limpo</v>
      </c>
      <c r="H915" s="11" t="str">
        <f aca="false">IF(INDEX(PRODUTOS!$I$4:$I$63,MATCH($A915,PRODUTOS!$B$4:$B$63,0))="B",INDEX(MODELOS!$I$3:$I$19,MATCH($D915,MODELOS!$A$3:$A$19,0)),INDEX(MODELOS!$E$3:$E$19,MATCH($D915,MODELOS!$A$3:$A$19,0)))</f>
        <v>970 × 300</v>
      </c>
      <c r="I915" s="11" t="str">
        <f aca="false">INDEX(MODELOS!$J$3:$J$19,MATCH($D915,MODELOS!$A$3:$A$19,0))</f>
        <v>Conforme modelo</v>
      </c>
      <c r="J915" s="11" t="str">
        <f aca="false">IF(LEFT($D915,2)&lt;&gt;"AP",IF($I915="SIM","SIM","RECOMENDADA"),IF(INDEX(PRODUTOS!$J$4:$J$63,MATCH($A915,PRODUTOS!$B$4:$B$63,0))&lt;&gt;"","NÃO (usa o A+ do EAN "&amp;INDEX(PRODUTOS!$J$4:$J$63,MATCH($A915,PRODUTOS!$B$4:$B$63,0))&amp;")",IF(AND(INDEX(PRODUTOS!$I$4:$I$63,MATCH($A915,PRODUTOS!$B$4:$B$63,0))="B",$D915="AP07"),"NÃO (modelo B)","SIM")))</f>
        <v>NÃO (usa o A+ do EAN 7908591300239)</v>
      </c>
      <c r="K915" s="13" t="s">
        <v>325</v>
      </c>
      <c r="L915" s="13"/>
    </row>
    <row r="916" customFormat="false" ht="15" hidden="false" customHeight="false" outlineLevel="0" collapsed="false">
      <c r="A916" s="15" t="s">
        <v>280</v>
      </c>
      <c r="B916" s="11" t="str">
        <f aca="false">INDEX(PRODUTOS!$E$4:$E$63,MATCH($A916,PRODUTOS!$B$4:$B$63,0))</f>
        <v>Granulado Higiênico de Madeira Natural Dots para Pets - Pacote 10 kg</v>
      </c>
      <c r="C916" s="11" t="str">
        <f aca="false">INDEX(PRODUTOS!$H$4:$H$63,MATCH($A916,PRODUTOS!$B$4:$B$63,0))</f>
        <v>10 kg</v>
      </c>
      <c r="D916" s="11" t="s">
        <v>336</v>
      </c>
      <c r="E916" s="16" t="str">
        <f aca="false">$A916&amp;"."&amp;$D916&amp;".jpg"</f>
        <v>7908591300482.AP03.jpg</v>
      </c>
      <c r="F916" s="11" t="str">
        <f aca="false">IF(INDEX(PRODUTOS!$I$4:$I$63,MATCH($A916,PRODUTOS!$B$4:$B$63,0))="B",INDEX(MODELOS!$F$3:$F$19,MATCH($D916,MODELOS!$A$3:$A$19,0)),INDEX(MODELOS!$B$3:$B$19,MATCH($D916,MODELOS!$A$3:$A$19,0)))</f>
        <v>A+ · Módulo 3 · Benefício 1 de 4</v>
      </c>
      <c r="G916" s="11" t="str">
        <f aca="false">IF(INDEX(PRODUTOS!$F$4:$F$63,MATCH($A916,PRODUTOS!$B$4:$B$63,0))="Ração",IF(INDEX(PRODUTOS!$I$4:$I$63,MATCH($A916,PRODUTOS!$B$4:$B$63,0))="B",INDEX(MODELOS!$G$3:$G$19,MATCH($D916,MODELOS!$A$3:$A$19,0)),INDEX(MODELOS!$C$3:$C$19,MATCH($D916,MODELOS!$A$3:$A$19,0))),IF(INDEX(PRODUTOS!$I$4:$I$63,MATCH($A916,PRODUTOS!$B$4:$B$63,0))="B",INDEX(MODELOS!$H$3:$H$19,MATCH($D916,MODELOS!$A$3:$A$19,0)),INDEX(MODELOS!$D$3:$D$19,MATCH($D916,MODELOS!$A$3:$A$19,0))))</f>
        <v>Foto/ilustração do benefício 1</v>
      </c>
      <c r="H916" s="11" t="str">
        <f aca="false">IF(INDEX(PRODUTOS!$I$4:$I$63,MATCH($A916,PRODUTOS!$B$4:$B$63,0))="B",INDEX(MODELOS!$I$3:$I$19,MATCH($D916,MODELOS!$A$3:$A$19,0)),INDEX(MODELOS!$E$3:$E$19,MATCH($D916,MODELOS!$A$3:$A$19,0)))</f>
        <v>220 × 200</v>
      </c>
      <c r="I916" s="11" t="str">
        <f aca="false">INDEX(MODELOS!$J$3:$J$19,MATCH($D916,MODELOS!$A$3:$A$19,0))</f>
        <v>Conforme modelo</v>
      </c>
      <c r="J916" s="11" t="str">
        <f aca="false">IF(LEFT($D916,2)&lt;&gt;"AP",IF($I916="SIM","SIM","RECOMENDADA"),IF(INDEX(PRODUTOS!$J$4:$J$63,MATCH($A916,PRODUTOS!$B$4:$B$63,0))&lt;&gt;"","NÃO (usa o A+ do EAN "&amp;INDEX(PRODUTOS!$J$4:$J$63,MATCH($A916,PRODUTOS!$B$4:$B$63,0))&amp;")",IF(AND(INDEX(PRODUTOS!$I$4:$I$63,MATCH($A916,PRODUTOS!$B$4:$B$63,0))="B",$D916="AP07"),"NÃO (modelo B)","SIM")))</f>
        <v>NÃO (usa o A+ do EAN 7908591300239)</v>
      </c>
      <c r="K916" s="13" t="s">
        <v>325</v>
      </c>
      <c r="L916" s="13"/>
    </row>
    <row r="917" customFormat="false" ht="15" hidden="false" customHeight="false" outlineLevel="0" collapsed="false">
      <c r="A917" s="15" t="s">
        <v>280</v>
      </c>
      <c r="B917" s="11" t="str">
        <f aca="false">INDEX(PRODUTOS!$E$4:$E$63,MATCH($A917,PRODUTOS!$B$4:$B$63,0))</f>
        <v>Granulado Higiênico de Madeira Natural Dots para Pets - Pacote 10 kg</v>
      </c>
      <c r="C917" s="11" t="str">
        <f aca="false">INDEX(PRODUTOS!$H$4:$H$63,MATCH($A917,PRODUTOS!$B$4:$B$63,0))</f>
        <v>10 kg</v>
      </c>
      <c r="D917" s="11" t="s">
        <v>337</v>
      </c>
      <c r="E917" s="16" t="str">
        <f aca="false">$A917&amp;"."&amp;$D917&amp;".jpg"</f>
        <v>7908591300482.AP04.jpg</v>
      </c>
      <c r="F917" s="11" t="str">
        <f aca="false">IF(INDEX(PRODUTOS!$I$4:$I$63,MATCH($A917,PRODUTOS!$B$4:$B$63,0))="B",INDEX(MODELOS!$F$3:$F$19,MATCH($D917,MODELOS!$A$3:$A$19,0)),INDEX(MODELOS!$B$3:$B$19,MATCH($D917,MODELOS!$A$3:$A$19,0)))</f>
        <v>A+ · Módulo 3 · Benefício 2 de 4</v>
      </c>
      <c r="G917" s="11" t="str">
        <f aca="false">IF(INDEX(PRODUTOS!$F$4:$F$63,MATCH($A917,PRODUTOS!$B$4:$B$63,0))="Ração",IF(INDEX(PRODUTOS!$I$4:$I$63,MATCH($A917,PRODUTOS!$B$4:$B$63,0))="B",INDEX(MODELOS!$G$3:$G$19,MATCH($D917,MODELOS!$A$3:$A$19,0)),INDEX(MODELOS!$C$3:$C$19,MATCH($D917,MODELOS!$A$3:$A$19,0))),IF(INDEX(PRODUTOS!$I$4:$I$63,MATCH($A917,PRODUTOS!$B$4:$B$63,0))="B",INDEX(MODELOS!$H$3:$H$19,MATCH($D917,MODELOS!$A$3:$A$19,0)),INDEX(MODELOS!$D$3:$D$19,MATCH($D917,MODELOS!$A$3:$A$19,0))))</f>
        <v>Foto/ilustração do benefício 2</v>
      </c>
      <c r="H917" s="11" t="str">
        <f aca="false">IF(INDEX(PRODUTOS!$I$4:$I$63,MATCH($A917,PRODUTOS!$B$4:$B$63,0))="B",INDEX(MODELOS!$I$3:$I$19,MATCH($D917,MODELOS!$A$3:$A$19,0)),INDEX(MODELOS!$E$3:$E$19,MATCH($D917,MODELOS!$A$3:$A$19,0)))</f>
        <v>220 × 200</v>
      </c>
      <c r="I917" s="11" t="str">
        <f aca="false">INDEX(MODELOS!$J$3:$J$19,MATCH($D917,MODELOS!$A$3:$A$19,0))</f>
        <v>Conforme modelo</v>
      </c>
      <c r="J917" s="11" t="str">
        <f aca="false">IF(LEFT($D917,2)&lt;&gt;"AP",IF($I917="SIM","SIM","RECOMENDADA"),IF(INDEX(PRODUTOS!$J$4:$J$63,MATCH($A917,PRODUTOS!$B$4:$B$63,0))&lt;&gt;"","NÃO (usa o A+ do EAN "&amp;INDEX(PRODUTOS!$J$4:$J$63,MATCH($A917,PRODUTOS!$B$4:$B$63,0))&amp;")",IF(AND(INDEX(PRODUTOS!$I$4:$I$63,MATCH($A917,PRODUTOS!$B$4:$B$63,0))="B",$D917="AP07"),"NÃO (modelo B)","SIM")))</f>
        <v>NÃO (usa o A+ do EAN 7908591300239)</v>
      </c>
      <c r="K917" s="13" t="s">
        <v>325</v>
      </c>
      <c r="L917" s="13"/>
    </row>
    <row r="918" customFormat="false" ht="15" hidden="false" customHeight="false" outlineLevel="0" collapsed="false">
      <c r="A918" s="15" t="s">
        <v>280</v>
      </c>
      <c r="B918" s="11" t="str">
        <f aca="false">INDEX(PRODUTOS!$E$4:$E$63,MATCH($A918,PRODUTOS!$B$4:$B$63,0))</f>
        <v>Granulado Higiênico de Madeira Natural Dots para Pets - Pacote 10 kg</v>
      </c>
      <c r="C918" s="11" t="str">
        <f aca="false">INDEX(PRODUTOS!$H$4:$H$63,MATCH($A918,PRODUTOS!$B$4:$B$63,0))</f>
        <v>10 kg</v>
      </c>
      <c r="D918" s="11" t="s">
        <v>338</v>
      </c>
      <c r="E918" s="16" t="str">
        <f aca="false">$A918&amp;"."&amp;$D918&amp;".jpg"</f>
        <v>7908591300482.AP05.jpg</v>
      </c>
      <c r="F918" s="11" t="str">
        <f aca="false">IF(INDEX(PRODUTOS!$I$4:$I$63,MATCH($A918,PRODUTOS!$B$4:$B$63,0))="B",INDEX(MODELOS!$F$3:$F$19,MATCH($D918,MODELOS!$A$3:$A$19,0)),INDEX(MODELOS!$B$3:$B$19,MATCH($D918,MODELOS!$A$3:$A$19,0)))</f>
        <v>A+ · Módulo 3 · Benefício 3 de 4</v>
      </c>
      <c r="G918" s="11" t="str">
        <f aca="false">IF(INDEX(PRODUTOS!$F$4:$F$63,MATCH($A918,PRODUTOS!$B$4:$B$63,0))="Ração",IF(INDEX(PRODUTOS!$I$4:$I$63,MATCH($A918,PRODUTOS!$B$4:$B$63,0))="B",INDEX(MODELOS!$G$3:$G$19,MATCH($D918,MODELOS!$A$3:$A$19,0)),INDEX(MODELOS!$C$3:$C$19,MATCH($D918,MODELOS!$A$3:$A$19,0))),IF(INDEX(PRODUTOS!$I$4:$I$63,MATCH($A918,PRODUTOS!$B$4:$B$63,0))="B",INDEX(MODELOS!$H$3:$H$19,MATCH($D918,MODELOS!$A$3:$A$19,0)),INDEX(MODELOS!$D$3:$D$19,MATCH($D918,MODELOS!$A$3:$A$19,0))))</f>
        <v>Foto/ilustração do benefício 3</v>
      </c>
      <c r="H918" s="11" t="str">
        <f aca="false">IF(INDEX(PRODUTOS!$I$4:$I$63,MATCH($A918,PRODUTOS!$B$4:$B$63,0))="B",INDEX(MODELOS!$I$3:$I$19,MATCH($D918,MODELOS!$A$3:$A$19,0)),INDEX(MODELOS!$E$3:$E$19,MATCH($D918,MODELOS!$A$3:$A$19,0)))</f>
        <v>220 × 200</v>
      </c>
      <c r="I918" s="11" t="str">
        <f aca="false">INDEX(MODELOS!$J$3:$J$19,MATCH($D918,MODELOS!$A$3:$A$19,0))</f>
        <v>Conforme modelo</v>
      </c>
      <c r="J918" s="11" t="str">
        <f aca="false">IF(LEFT($D918,2)&lt;&gt;"AP",IF($I918="SIM","SIM","RECOMENDADA"),IF(INDEX(PRODUTOS!$J$4:$J$63,MATCH($A918,PRODUTOS!$B$4:$B$63,0))&lt;&gt;"","NÃO (usa o A+ do EAN "&amp;INDEX(PRODUTOS!$J$4:$J$63,MATCH($A918,PRODUTOS!$B$4:$B$63,0))&amp;")",IF(AND(INDEX(PRODUTOS!$I$4:$I$63,MATCH($A918,PRODUTOS!$B$4:$B$63,0))="B",$D918="AP07"),"NÃO (modelo B)","SIM")))</f>
        <v>NÃO (usa o A+ do EAN 7908591300239)</v>
      </c>
      <c r="K918" s="13" t="s">
        <v>325</v>
      </c>
      <c r="L918" s="13"/>
    </row>
    <row r="919" customFormat="false" ht="15" hidden="false" customHeight="false" outlineLevel="0" collapsed="false">
      <c r="A919" s="15" t="s">
        <v>280</v>
      </c>
      <c r="B919" s="11" t="str">
        <f aca="false">INDEX(PRODUTOS!$E$4:$E$63,MATCH($A919,PRODUTOS!$B$4:$B$63,0))</f>
        <v>Granulado Higiênico de Madeira Natural Dots para Pets - Pacote 10 kg</v>
      </c>
      <c r="C919" s="11" t="str">
        <f aca="false">INDEX(PRODUTOS!$H$4:$H$63,MATCH($A919,PRODUTOS!$B$4:$B$63,0))</f>
        <v>10 kg</v>
      </c>
      <c r="D919" s="11" t="s">
        <v>339</v>
      </c>
      <c r="E919" s="16" t="str">
        <f aca="false">$A919&amp;"."&amp;$D919&amp;".jpg"</f>
        <v>7908591300482.AP06.jpg</v>
      </c>
      <c r="F919" s="11" t="str">
        <f aca="false">IF(INDEX(PRODUTOS!$I$4:$I$63,MATCH($A919,PRODUTOS!$B$4:$B$63,0))="B",INDEX(MODELOS!$F$3:$F$19,MATCH($D919,MODELOS!$A$3:$A$19,0)),INDEX(MODELOS!$B$3:$B$19,MATCH($D919,MODELOS!$A$3:$A$19,0)))</f>
        <v>A+ · Módulo 3 · Benefício 4 de 4</v>
      </c>
      <c r="G919" s="11" t="str">
        <f aca="false">IF(INDEX(PRODUTOS!$F$4:$F$63,MATCH($A919,PRODUTOS!$B$4:$B$63,0))="Ração",IF(INDEX(PRODUTOS!$I$4:$I$63,MATCH($A919,PRODUTOS!$B$4:$B$63,0))="B",INDEX(MODELOS!$G$3:$G$19,MATCH($D919,MODELOS!$A$3:$A$19,0)),INDEX(MODELOS!$C$3:$C$19,MATCH($D919,MODELOS!$A$3:$A$19,0))),IF(INDEX(PRODUTOS!$I$4:$I$63,MATCH($A919,PRODUTOS!$B$4:$B$63,0))="B",INDEX(MODELOS!$H$3:$H$19,MATCH($D919,MODELOS!$A$3:$A$19,0)),INDEX(MODELOS!$D$3:$D$19,MATCH($D919,MODELOS!$A$3:$A$19,0))))</f>
        <v>Foto/ilustração do benefício 4</v>
      </c>
      <c r="H919" s="11" t="str">
        <f aca="false">IF(INDEX(PRODUTOS!$I$4:$I$63,MATCH($A919,PRODUTOS!$B$4:$B$63,0))="B",INDEX(MODELOS!$I$3:$I$19,MATCH($D919,MODELOS!$A$3:$A$19,0)),INDEX(MODELOS!$E$3:$E$19,MATCH($D919,MODELOS!$A$3:$A$19,0)))</f>
        <v>220 × 200</v>
      </c>
      <c r="I919" s="11" t="str">
        <f aca="false">INDEX(MODELOS!$J$3:$J$19,MATCH($D919,MODELOS!$A$3:$A$19,0))</f>
        <v>Conforme modelo</v>
      </c>
      <c r="J919" s="11" t="str">
        <f aca="false">IF(LEFT($D919,2)&lt;&gt;"AP",IF($I919="SIM","SIM","RECOMENDADA"),IF(INDEX(PRODUTOS!$J$4:$J$63,MATCH($A919,PRODUTOS!$B$4:$B$63,0))&lt;&gt;"","NÃO (usa o A+ do EAN "&amp;INDEX(PRODUTOS!$J$4:$J$63,MATCH($A919,PRODUTOS!$B$4:$B$63,0))&amp;")",IF(AND(INDEX(PRODUTOS!$I$4:$I$63,MATCH($A919,PRODUTOS!$B$4:$B$63,0))="B",$D919="AP07"),"NÃO (modelo B)","SIM")))</f>
        <v>NÃO (usa o A+ do EAN 7908591300239)</v>
      </c>
      <c r="K919" s="13" t="s">
        <v>325</v>
      </c>
      <c r="L919" s="13"/>
    </row>
    <row r="920" customFormat="false" ht="15" hidden="false" customHeight="false" outlineLevel="0" collapsed="false">
      <c r="A920" s="15" t="s">
        <v>280</v>
      </c>
      <c r="B920" s="11" t="str">
        <f aca="false">INDEX(PRODUTOS!$E$4:$E$63,MATCH($A920,PRODUTOS!$B$4:$B$63,0))</f>
        <v>Granulado Higiênico de Madeira Natural Dots para Pets - Pacote 10 kg</v>
      </c>
      <c r="C920" s="11" t="str">
        <f aca="false">INDEX(PRODUTOS!$H$4:$H$63,MATCH($A920,PRODUTOS!$B$4:$B$63,0))</f>
        <v>10 kg</v>
      </c>
      <c r="D920" s="11" t="s">
        <v>340</v>
      </c>
      <c r="E920" s="16" t="str">
        <f aca="false">$A920&amp;"."&amp;$D920&amp;".jpg"</f>
        <v>7908591300482.AP07.jpg</v>
      </c>
      <c r="F920" s="11" t="str">
        <f aca="false">IF(INDEX(PRODUTOS!$I$4:$I$63,MATCH($A920,PRODUTOS!$B$4:$B$63,0))="B",INDEX(MODELOS!$F$3:$F$19,MATCH($D920,MODELOS!$A$3:$A$19,0)),INDEX(MODELOS!$B$3:$B$19,MATCH($D920,MODELOS!$A$3:$A$19,0)))</f>
        <v>A+ · Módulo 4 · Especificações</v>
      </c>
      <c r="G920" s="11" t="str">
        <f aca="false">IF(INDEX(PRODUTOS!$F$4:$F$63,MATCH($A920,PRODUTOS!$B$4:$B$63,0))="Ração",IF(INDEX(PRODUTOS!$I$4:$I$63,MATCH($A920,PRODUTOS!$B$4:$B$63,0))="B",INDEX(MODELOS!$G$3:$G$19,MATCH($D920,MODELOS!$A$3:$A$19,0)),INDEX(MODELOS!$C$3:$C$19,MATCH($D920,MODELOS!$A$3:$A$19,0))),IF(INDEX(PRODUTOS!$I$4:$I$63,MATCH($A920,PRODUTOS!$B$4:$B$63,0))="B",INDEX(MODELOS!$H$3:$H$19,MATCH($D920,MODELOS!$A$3:$A$19,0)),INDEX(MODELOS!$D$3:$D$19,MATCH($D920,MODELOS!$A$3:$A$19,0))))</f>
        <v>Produto em destaque</v>
      </c>
      <c r="H920" s="11" t="str">
        <f aca="false">IF(INDEX(PRODUTOS!$I$4:$I$63,MATCH($A920,PRODUTOS!$B$4:$B$63,0))="B",INDEX(MODELOS!$I$3:$I$19,MATCH($D920,MODELOS!$A$3:$A$19,0)),INDEX(MODELOS!$E$3:$E$19,MATCH($D920,MODELOS!$A$3:$A$19,0)))</f>
        <v>300 × 300</v>
      </c>
      <c r="I920" s="11" t="str">
        <f aca="false">INDEX(MODELOS!$J$3:$J$19,MATCH($D920,MODELOS!$A$3:$A$19,0))</f>
        <v>Conforme modelo</v>
      </c>
      <c r="J920" s="11" t="str">
        <f aca="false">IF(LEFT($D920,2)&lt;&gt;"AP",IF($I920="SIM","SIM","RECOMENDADA"),IF(INDEX(PRODUTOS!$J$4:$J$63,MATCH($A920,PRODUTOS!$B$4:$B$63,0))&lt;&gt;"","NÃO (usa o A+ do EAN "&amp;INDEX(PRODUTOS!$J$4:$J$63,MATCH($A920,PRODUTOS!$B$4:$B$63,0))&amp;")",IF(AND(INDEX(PRODUTOS!$I$4:$I$63,MATCH($A920,PRODUTOS!$B$4:$B$63,0))="B",$D920="AP07"),"NÃO (modelo B)","SIM")))</f>
        <v>NÃO (usa o A+ do EAN 7908591300239)</v>
      </c>
      <c r="K920" s="13" t="s">
        <v>325</v>
      </c>
      <c r="L920" s="13"/>
    </row>
    <row r="921" customFormat="false" ht="15" hidden="false" customHeight="false" outlineLevel="0" collapsed="false">
      <c r="A921" s="15" t="s">
        <v>280</v>
      </c>
      <c r="B921" s="11" t="str">
        <f aca="false">INDEX(PRODUTOS!$E$4:$E$63,MATCH($A921,PRODUTOS!$B$4:$B$63,0))</f>
        <v>Granulado Higiênico de Madeira Natural Dots para Pets - Pacote 10 kg</v>
      </c>
      <c r="C921" s="11" t="str">
        <f aca="false">INDEX(PRODUTOS!$H$4:$H$63,MATCH($A921,PRODUTOS!$B$4:$B$63,0))</f>
        <v>10 kg</v>
      </c>
      <c r="D921" s="11" t="s">
        <v>341</v>
      </c>
      <c r="E921" s="16" t="str">
        <f aca="false">$A921&amp;"."&amp;$D921&amp;".jpg"</f>
        <v>7908591300482.COMP.jpg</v>
      </c>
      <c r="F921" s="11" t="str">
        <f aca="false">IF(INDEX(PRODUTOS!$I$4:$I$63,MATCH($A921,PRODUTOS!$B$4:$B$63,0))="B",INDEX(MODELOS!$F$3:$F$19,MATCH($D921,MODELOS!$A$3:$A$19,0)),INDEX(MODELOS!$B$3:$B$19,MATCH($D921,MODELOS!$A$3:$A$19,0)))</f>
        <v>A+ · Tabela comparativa</v>
      </c>
      <c r="G921" s="11" t="str">
        <f aca="false">IF(INDEX(PRODUTOS!$F$4:$F$63,MATCH($A921,PRODUTOS!$B$4:$B$63,0))="Ração",IF(INDEX(PRODUTOS!$I$4:$I$63,MATCH($A921,PRODUTOS!$B$4:$B$63,0))="B",INDEX(MODELOS!$G$3:$G$19,MATCH($D921,MODELOS!$A$3:$A$19,0)),INDEX(MODELOS!$C$3:$C$19,MATCH($D921,MODELOS!$A$3:$A$19,0))),IF(INDEX(PRODUTOS!$I$4:$I$63,MATCH($A921,PRODUTOS!$B$4:$B$63,0))="B",INDEX(MODELOS!$H$3:$H$19,MATCH($D921,MODELOS!$A$3:$A$19,0)),INDEX(MODELOS!$D$3:$D$19,MATCH($D921,MODELOS!$A$3:$A$19,0))))</f>
        <v>Produto na vertical, sem fundo colorido</v>
      </c>
      <c r="H921" s="11" t="str">
        <f aca="false">IF(INDEX(PRODUTOS!$I$4:$I$63,MATCH($A921,PRODUTOS!$B$4:$B$63,0))="B",INDEX(MODELOS!$I$3:$I$19,MATCH($D921,MODELOS!$A$3:$A$19,0)),INDEX(MODELOS!$E$3:$E$19,MATCH($D921,MODELOS!$A$3:$A$19,0)))</f>
        <v>150 × 300</v>
      </c>
      <c r="I921" s="11" t="str">
        <f aca="false">INDEX(MODELOS!$J$3:$J$19,MATCH($D921,MODELOS!$A$3:$A$19,0))</f>
        <v>SIM</v>
      </c>
      <c r="J921" s="11" t="str">
        <f aca="false">IF(LEFT($D921,2)&lt;&gt;"AP",IF($I921="SIM","SIM","RECOMENDADA"),IF(INDEX(PRODUTOS!$J$4:$J$63,MATCH($A921,PRODUTOS!$B$4:$B$63,0))&lt;&gt;"","NÃO (usa o A+ do EAN "&amp;INDEX(PRODUTOS!$J$4:$J$63,MATCH($A921,PRODUTOS!$B$4:$B$63,0))&amp;")",IF(AND(INDEX(PRODUTOS!$I$4:$I$63,MATCH($A921,PRODUTOS!$B$4:$B$63,0))="B",$D921="AP07"),"NÃO (modelo B)","SIM")))</f>
        <v>SIM</v>
      </c>
      <c r="K921" s="13" t="s">
        <v>325</v>
      </c>
      <c r="L921" s="13"/>
    </row>
    <row r="922" customFormat="false" ht="15" hidden="false" customHeight="false" outlineLevel="0" collapsed="false">
      <c r="A922" s="15" t="s">
        <v>285</v>
      </c>
      <c r="B922" s="11" t="str">
        <f aca="false">INDEX(PRODUTOS!$E$4:$E$63,MATCH($A922,PRODUTOS!$B$4:$B$63,0))</f>
        <v>Granulado Higiênico de Madeira Natural Dots para Pets - Pacote 2 kg</v>
      </c>
      <c r="C922" s="11" t="str">
        <f aca="false">INDEX(PRODUTOS!$H$4:$H$63,MATCH($A922,PRODUTOS!$B$4:$B$63,0))</f>
        <v>2 kg</v>
      </c>
      <c r="D922" s="11" t="s">
        <v>324</v>
      </c>
      <c r="E922" s="16" t="str">
        <f aca="false">$A922&amp;"."&amp;$D922&amp;".jpg"</f>
        <v>7908591300024.MAIN.jpg</v>
      </c>
      <c r="F922" s="11" t="str">
        <f aca="false">IF(INDEX(PRODUTOS!$I$4:$I$63,MATCH($A922,PRODUTOS!$B$4:$B$63,0))="B",INDEX(MODELOS!$F$3:$F$19,MATCH($D922,MODELOS!$A$3:$A$19,0)),INDEX(MODELOS!$B$3:$B$19,MATCH($D922,MODELOS!$A$3:$A$19,0)))</f>
        <v>Capa (posição 1)</v>
      </c>
      <c r="G922" s="11" t="str">
        <f aca="false">IF(INDEX(PRODUTOS!$F$4:$F$63,MATCH($A922,PRODUTOS!$B$4:$B$63,0))="Ração",IF(INDEX(PRODUTOS!$I$4:$I$63,MATCH($A922,PRODUTOS!$B$4:$B$63,0))="B",INDEX(MODELOS!$G$3:$G$19,MATCH($D922,MODELOS!$A$3:$A$19,0)),INDEX(MODELOS!$C$3:$C$19,MATCH($D922,MODELOS!$A$3:$A$19,0))),IF(INDEX(PRODUTOS!$I$4:$I$63,MATCH($A922,PRODUTOS!$B$4:$B$63,0))="B",INDEX(MODELOS!$H$3:$H$19,MATCH($D922,MODELOS!$A$3:$A$19,0)),INDEX(MODELOS!$D$3:$D$19,MATCH($D922,MODELOS!$A$3:$A$19,0))))</f>
        <v>Embalagem de frente, fundo branco puro, 85% da área, nada adicionado</v>
      </c>
      <c r="H922" s="11" t="str">
        <f aca="false">IF(INDEX(PRODUTOS!$I$4:$I$63,MATCH($A922,PRODUTOS!$B$4:$B$63,0))="B",INDEX(MODELOS!$I$3:$I$19,MATCH($D922,MODELOS!$A$3:$A$19,0)),INDEX(MODELOS!$E$3:$E$19,MATCH($D922,MODELOS!$A$3:$A$19,0)))</f>
        <v>2000 × 2000</v>
      </c>
      <c r="I922" s="11" t="str">
        <f aca="false">INDEX(MODELOS!$J$3:$J$19,MATCH($D922,MODELOS!$A$3:$A$19,0))</f>
        <v>SIM</v>
      </c>
      <c r="J922" s="11" t="str">
        <f aca="false">IF(LEFT($D922,2)&lt;&gt;"AP",IF($I922="SIM","SIM","RECOMENDADA"),IF(INDEX(PRODUTOS!$J$4:$J$63,MATCH($A922,PRODUTOS!$B$4:$B$63,0))&lt;&gt;"","NÃO (usa o A+ do EAN "&amp;INDEX(PRODUTOS!$J$4:$J$63,MATCH($A922,PRODUTOS!$B$4:$B$63,0))&amp;")",IF(AND(INDEX(PRODUTOS!$I$4:$I$63,MATCH($A922,PRODUTOS!$B$4:$B$63,0))="B",$D922="AP07"),"NÃO (modelo B)","SIM")))</f>
        <v>SIM</v>
      </c>
      <c r="K922" s="13" t="s">
        <v>325</v>
      </c>
      <c r="L922" s="13"/>
    </row>
    <row r="923" customFormat="false" ht="15" hidden="false" customHeight="false" outlineLevel="0" collapsed="false">
      <c r="A923" s="15" t="s">
        <v>285</v>
      </c>
      <c r="B923" s="11" t="str">
        <f aca="false">INDEX(PRODUTOS!$E$4:$E$63,MATCH($A923,PRODUTOS!$B$4:$B$63,0))</f>
        <v>Granulado Higiênico de Madeira Natural Dots para Pets - Pacote 2 kg</v>
      </c>
      <c r="C923" s="11" t="str">
        <f aca="false">INDEX(PRODUTOS!$H$4:$H$63,MATCH($A923,PRODUTOS!$B$4:$B$63,0))</f>
        <v>2 kg</v>
      </c>
      <c r="D923" s="11" t="s">
        <v>326</v>
      </c>
      <c r="E923" s="16" t="str">
        <f aca="false">$A923&amp;"."&amp;$D923&amp;".jpg"</f>
        <v>7908591300024.PT01.jpg</v>
      </c>
      <c r="F923" s="11" t="str">
        <f aca="false">IF(INDEX(PRODUTOS!$I$4:$I$63,MATCH($A923,PRODUTOS!$B$4:$B$63,0))="B",INDEX(MODELOS!$F$3:$F$19,MATCH($D923,MODELOS!$A$3:$A$19,0)),INDEX(MODELOS!$B$3:$B$19,MATCH($D923,MODELOS!$A$3:$A$19,0)))</f>
        <v>Galeria · posição 2</v>
      </c>
      <c r="G923" s="11" t="str">
        <f aca="false">IF(INDEX(PRODUTOS!$F$4:$F$63,MATCH($A923,PRODUTOS!$B$4:$B$63,0))="Ração",IF(INDEX(PRODUTOS!$I$4:$I$63,MATCH($A923,PRODUTOS!$B$4:$B$63,0))="B",INDEX(MODELOS!$G$3:$G$19,MATCH($D923,MODELOS!$A$3:$A$19,0)),INDEX(MODELOS!$C$3:$C$19,MATCH($D923,MODELOS!$A$3:$A$19,0))),IF(INDEX(PRODUTOS!$I$4:$I$63,MATCH($A923,PRODUTOS!$B$4:$B$63,0))="B",INDEX(MODELOS!$H$3:$H$19,MATCH($D923,MODELOS!$A$3:$A$19,0)),INDEX(MODELOS!$D$3:$D$19,MATCH($D923,MODELOS!$A$3:$A$19,0))))</f>
        <v>Grande diferencial (ex.: natural, biodegradável, perfumado)</v>
      </c>
      <c r="H923" s="11" t="str">
        <f aca="false">IF(INDEX(PRODUTOS!$I$4:$I$63,MATCH($A923,PRODUTOS!$B$4:$B$63,0))="B",INDEX(MODELOS!$I$3:$I$19,MATCH($D923,MODELOS!$A$3:$A$19,0)),INDEX(MODELOS!$E$3:$E$19,MATCH($D923,MODELOS!$A$3:$A$19,0)))</f>
        <v>2000 × 2000</v>
      </c>
      <c r="I923" s="11" t="str">
        <f aca="false">INDEX(MODELOS!$J$3:$J$19,MATCH($D923,MODELOS!$A$3:$A$19,0))</f>
        <v>SIM</v>
      </c>
      <c r="J923" s="11" t="str">
        <f aca="false">IF(LEFT($D923,2)&lt;&gt;"AP",IF($I923="SIM","SIM","RECOMENDADA"),IF(INDEX(PRODUTOS!$J$4:$J$63,MATCH($A923,PRODUTOS!$B$4:$B$63,0))&lt;&gt;"","NÃO (usa o A+ do EAN "&amp;INDEX(PRODUTOS!$J$4:$J$63,MATCH($A923,PRODUTOS!$B$4:$B$63,0))&amp;")",IF(AND(INDEX(PRODUTOS!$I$4:$I$63,MATCH($A923,PRODUTOS!$B$4:$B$63,0))="B",$D923="AP07"),"NÃO (modelo B)","SIM")))</f>
        <v>SIM</v>
      </c>
      <c r="K923" s="13" t="s">
        <v>325</v>
      </c>
      <c r="L923" s="13"/>
    </row>
    <row r="924" customFormat="false" ht="15" hidden="false" customHeight="false" outlineLevel="0" collapsed="false">
      <c r="A924" s="15" t="s">
        <v>285</v>
      </c>
      <c r="B924" s="11" t="str">
        <f aca="false">INDEX(PRODUTOS!$E$4:$E$63,MATCH($A924,PRODUTOS!$B$4:$B$63,0))</f>
        <v>Granulado Higiênico de Madeira Natural Dots para Pets - Pacote 2 kg</v>
      </c>
      <c r="C924" s="11" t="str">
        <f aca="false">INDEX(PRODUTOS!$H$4:$H$63,MATCH($A924,PRODUTOS!$B$4:$B$63,0))</f>
        <v>2 kg</v>
      </c>
      <c r="D924" s="11" t="s">
        <v>327</v>
      </c>
      <c r="E924" s="16" t="str">
        <f aca="false">$A924&amp;"."&amp;$D924&amp;".jpg"</f>
        <v>7908591300024.PT02.jpg</v>
      </c>
      <c r="F924" s="11" t="str">
        <f aca="false">IF(INDEX(PRODUTOS!$I$4:$I$63,MATCH($A924,PRODUTOS!$B$4:$B$63,0))="B",INDEX(MODELOS!$F$3:$F$19,MATCH($D924,MODELOS!$A$3:$A$19,0)),INDEX(MODELOS!$B$3:$B$19,MATCH($D924,MODELOS!$A$3:$A$19,0)))</f>
        <v>Galeria · posição 3</v>
      </c>
      <c r="G924" s="11" t="str">
        <f aca="false">IF(INDEX(PRODUTOS!$F$4:$F$63,MATCH($A924,PRODUTOS!$B$4:$B$63,0))="Ração",IF(INDEX(PRODUTOS!$I$4:$I$63,MATCH($A924,PRODUTOS!$B$4:$B$63,0))="B",INDEX(MODELOS!$G$3:$G$19,MATCH($D924,MODELOS!$A$3:$A$19,0)),INDEX(MODELOS!$C$3:$C$19,MATCH($D924,MODELOS!$A$3:$A$19,0))),IF(INDEX(PRODUTOS!$I$4:$I$63,MATCH($A924,PRODUTOS!$B$4:$B$63,0))="B",INDEX(MODELOS!$H$3:$H$19,MATCH($D924,MODELOS!$A$3:$A$19,0)),INDEX(MODELOS!$D$3:$D$19,MATCH($D924,MODELOS!$A$3:$A$19,0))))</f>
        <v>Benefícios com ícones (4 a 6, impressos na embalagem)</v>
      </c>
      <c r="H924" s="11" t="str">
        <f aca="false">IF(INDEX(PRODUTOS!$I$4:$I$63,MATCH($A924,PRODUTOS!$B$4:$B$63,0))="B",INDEX(MODELOS!$I$3:$I$19,MATCH($D924,MODELOS!$A$3:$A$19,0)),INDEX(MODELOS!$E$3:$E$19,MATCH($D924,MODELOS!$A$3:$A$19,0)))</f>
        <v>2000 × 2000</v>
      </c>
      <c r="I924" s="11" t="str">
        <f aca="false">INDEX(MODELOS!$J$3:$J$19,MATCH($D924,MODELOS!$A$3:$A$19,0))</f>
        <v>SIM</v>
      </c>
      <c r="J924" s="11" t="str">
        <f aca="false">IF(LEFT($D924,2)&lt;&gt;"AP",IF($I924="SIM","SIM","RECOMENDADA"),IF(INDEX(PRODUTOS!$J$4:$J$63,MATCH($A924,PRODUTOS!$B$4:$B$63,0))&lt;&gt;"","NÃO (usa o A+ do EAN "&amp;INDEX(PRODUTOS!$J$4:$J$63,MATCH($A924,PRODUTOS!$B$4:$B$63,0))&amp;")",IF(AND(INDEX(PRODUTOS!$I$4:$I$63,MATCH($A924,PRODUTOS!$B$4:$B$63,0))="B",$D924="AP07"),"NÃO (modelo B)","SIM")))</f>
        <v>SIM</v>
      </c>
      <c r="K924" s="13" t="s">
        <v>325</v>
      </c>
      <c r="L924" s="13"/>
    </row>
    <row r="925" customFormat="false" ht="15" hidden="false" customHeight="false" outlineLevel="0" collapsed="false">
      <c r="A925" s="15" t="s">
        <v>285</v>
      </c>
      <c r="B925" s="11" t="str">
        <f aca="false">INDEX(PRODUTOS!$E$4:$E$63,MATCH($A925,PRODUTOS!$B$4:$B$63,0))</f>
        <v>Granulado Higiênico de Madeira Natural Dots para Pets - Pacote 2 kg</v>
      </c>
      <c r="C925" s="11" t="str">
        <f aca="false">INDEX(PRODUTOS!$H$4:$H$63,MATCH($A925,PRODUTOS!$B$4:$B$63,0))</f>
        <v>2 kg</v>
      </c>
      <c r="D925" s="11" t="s">
        <v>328</v>
      </c>
      <c r="E925" s="16" t="str">
        <f aca="false">$A925&amp;"."&amp;$D925&amp;".jpg"</f>
        <v>7908591300024.PT03.jpg</v>
      </c>
      <c r="F925" s="11" t="str">
        <f aca="false">IF(INDEX(PRODUTOS!$I$4:$I$63,MATCH($A925,PRODUTOS!$B$4:$B$63,0))="B",INDEX(MODELOS!$F$3:$F$19,MATCH($D925,MODELOS!$A$3:$A$19,0)),INDEX(MODELOS!$B$3:$B$19,MATCH($D925,MODELOS!$A$3:$A$19,0)))</f>
        <v>Galeria · posição 4</v>
      </c>
      <c r="G925" s="11" t="str">
        <f aca="false">IF(INDEX(PRODUTOS!$F$4:$F$63,MATCH($A925,PRODUTOS!$B$4:$B$63,0))="Ração",IF(INDEX(PRODUTOS!$I$4:$I$63,MATCH($A925,PRODUTOS!$B$4:$B$63,0))="B",INDEX(MODELOS!$G$3:$G$19,MATCH($D925,MODELOS!$A$3:$A$19,0)),INDEX(MODELOS!$C$3:$C$19,MATCH($D925,MODELOS!$A$3:$A$19,0))),IF(INDEX(PRODUTOS!$I$4:$I$63,MATCH($A925,PRODUTOS!$B$4:$B$63,0))="B",INDEX(MODELOS!$H$3:$H$19,MATCH($D925,MODELOS!$A$3:$A$19,0)),INDEX(MODELOS!$D$3:$D$19,MATCH($D925,MODELOS!$A$3:$A$19,0))))</f>
        <v>Detalhe e tamanho real (petisco, grânulo ou tapete aberto), com medidas</v>
      </c>
      <c r="H925" s="11" t="str">
        <f aca="false">IF(INDEX(PRODUTOS!$I$4:$I$63,MATCH($A925,PRODUTOS!$B$4:$B$63,0))="B",INDEX(MODELOS!$I$3:$I$19,MATCH($D925,MODELOS!$A$3:$A$19,0)),INDEX(MODELOS!$E$3:$E$19,MATCH($D925,MODELOS!$A$3:$A$19,0)))</f>
        <v>2000 × 2000</v>
      </c>
      <c r="I925" s="11" t="str">
        <f aca="false">INDEX(MODELOS!$J$3:$J$19,MATCH($D925,MODELOS!$A$3:$A$19,0))</f>
        <v>SIM</v>
      </c>
      <c r="J925" s="11" t="str">
        <f aca="false">IF(LEFT($D925,2)&lt;&gt;"AP",IF($I925="SIM","SIM","RECOMENDADA"),IF(INDEX(PRODUTOS!$J$4:$J$63,MATCH($A925,PRODUTOS!$B$4:$B$63,0))&lt;&gt;"","NÃO (usa o A+ do EAN "&amp;INDEX(PRODUTOS!$J$4:$J$63,MATCH($A925,PRODUTOS!$B$4:$B$63,0))&amp;")",IF(AND(INDEX(PRODUTOS!$I$4:$I$63,MATCH($A925,PRODUTOS!$B$4:$B$63,0))="B",$D925="AP07"),"NÃO (modelo B)","SIM")))</f>
        <v>SIM</v>
      </c>
      <c r="K925" s="13" t="s">
        <v>325</v>
      </c>
      <c r="L925" s="13"/>
    </row>
    <row r="926" customFormat="false" ht="15" hidden="false" customHeight="false" outlineLevel="0" collapsed="false">
      <c r="A926" s="15" t="s">
        <v>285</v>
      </c>
      <c r="B926" s="11" t="str">
        <f aca="false">INDEX(PRODUTOS!$E$4:$E$63,MATCH($A926,PRODUTOS!$B$4:$B$63,0))</f>
        <v>Granulado Higiênico de Madeira Natural Dots para Pets - Pacote 2 kg</v>
      </c>
      <c r="C926" s="11" t="str">
        <f aca="false">INDEX(PRODUTOS!$H$4:$H$63,MATCH($A926,PRODUTOS!$B$4:$B$63,0))</f>
        <v>2 kg</v>
      </c>
      <c r="D926" s="11" t="s">
        <v>329</v>
      </c>
      <c r="E926" s="16" t="str">
        <f aca="false">$A926&amp;"."&amp;$D926&amp;".jpg"</f>
        <v>7908591300024.PT04.jpg</v>
      </c>
      <c r="F926" s="11" t="str">
        <f aca="false">IF(INDEX(PRODUTOS!$I$4:$I$63,MATCH($A926,PRODUTOS!$B$4:$B$63,0))="B",INDEX(MODELOS!$F$3:$F$19,MATCH($D926,MODELOS!$A$3:$A$19,0)),INDEX(MODELOS!$B$3:$B$19,MATCH($D926,MODELOS!$A$3:$A$19,0)))</f>
        <v>Galeria · posição 5</v>
      </c>
      <c r="G926" s="11" t="str">
        <f aca="false">IF(INDEX(PRODUTOS!$F$4:$F$63,MATCH($A926,PRODUTOS!$B$4:$B$63,0))="Ração",IF(INDEX(PRODUTOS!$I$4:$I$63,MATCH($A926,PRODUTOS!$B$4:$B$63,0))="B",INDEX(MODELOS!$G$3:$G$19,MATCH($D926,MODELOS!$A$3:$A$19,0)),INDEX(MODELOS!$C$3:$C$19,MATCH($D926,MODELOS!$A$3:$A$19,0))),IF(INDEX(PRODUTOS!$I$4:$I$63,MATCH($A926,PRODUTOS!$B$4:$B$63,0))="B",INDEX(MODELOS!$H$3:$H$19,MATCH($D926,MODELOS!$A$3:$A$19,0)),INDEX(MODELOS!$D$3:$D$19,MATCH($D926,MODELOS!$A$3:$A$19,0))))</f>
        <v>Modo de uso (como oferecer o petisco / como usar o produto)</v>
      </c>
      <c r="H926" s="11" t="str">
        <f aca="false">IF(INDEX(PRODUTOS!$I$4:$I$63,MATCH($A926,PRODUTOS!$B$4:$B$63,0))="B",INDEX(MODELOS!$I$3:$I$19,MATCH($D926,MODELOS!$A$3:$A$19,0)),INDEX(MODELOS!$E$3:$E$19,MATCH($D926,MODELOS!$A$3:$A$19,0)))</f>
        <v>2000 × 2000</v>
      </c>
      <c r="I926" s="11" t="str">
        <f aca="false">INDEX(MODELOS!$J$3:$J$19,MATCH($D926,MODELOS!$A$3:$A$19,0))</f>
        <v>SIM</v>
      </c>
      <c r="J926" s="11" t="str">
        <f aca="false">IF(LEFT($D926,2)&lt;&gt;"AP",IF($I926="SIM","SIM","RECOMENDADA"),IF(INDEX(PRODUTOS!$J$4:$J$63,MATCH($A926,PRODUTOS!$B$4:$B$63,0))&lt;&gt;"","NÃO (usa o A+ do EAN "&amp;INDEX(PRODUTOS!$J$4:$J$63,MATCH($A926,PRODUTOS!$B$4:$B$63,0))&amp;")",IF(AND(INDEX(PRODUTOS!$I$4:$I$63,MATCH($A926,PRODUTOS!$B$4:$B$63,0))="B",$D926="AP07"),"NÃO (modelo B)","SIM")))</f>
        <v>SIM</v>
      </c>
      <c r="K926" s="13" t="s">
        <v>325</v>
      </c>
      <c r="L926" s="13"/>
    </row>
    <row r="927" customFormat="false" ht="15" hidden="false" customHeight="false" outlineLevel="0" collapsed="false">
      <c r="A927" s="15" t="s">
        <v>285</v>
      </c>
      <c r="B927" s="11" t="str">
        <f aca="false">INDEX(PRODUTOS!$E$4:$E$63,MATCH($A927,PRODUTOS!$B$4:$B$63,0))</f>
        <v>Granulado Higiênico de Madeira Natural Dots para Pets - Pacote 2 kg</v>
      </c>
      <c r="C927" s="11" t="str">
        <f aca="false">INDEX(PRODUTOS!$H$4:$H$63,MATCH($A927,PRODUTOS!$B$4:$B$63,0))</f>
        <v>2 kg</v>
      </c>
      <c r="D927" s="11" t="s">
        <v>330</v>
      </c>
      <c r="E927" s="16" t="str">
        <f aca="false">$A927&amp;"."&amp;$D927&amp;".jpg"</f>
        <v>7908591300024.PT05.jpg</v>
      </c>
      <c r="F927" s="11" t="str">
        <f aca="false">IF(INDEX(PRODUTOS!$I$4:$I$63,MATCH($A927,PRODUTOS!$B$4:$B$63,0))="B",INDEX(MODELOS!$F$3:$F$19,MATCH($D927,MODELOS!$A$3:$A$19,0)),INDEX(MODELOS!$B$3:$B$19,MATCH($D927,MODELOS!$A$3:$A$19,0)))</f>
        <v>Galeria · posição 6</v>
      </c>
      <c r="G927" s="11" t="str">
        <f aca="false">IF(INDEX(PRODUTOS!$F$4:$F$63,MATCH($A927,PRODUTOS!$B$4:$B$63,0))="Ração",IF(INDEX(PRODUTOS!$I$4:$I$63,MATCH($A927,PRODUTOS!$B$4:$B$63,0))="B",INDEX(MODELOS!$G$3:$G$19,MATCH($D927,MODELOS!$A$3:$A$19,0)),INDEX(MODELOS!$C$3:$C$19,MATCH($D927,MODELOS!$A$3:$A$19,0))),IF(INDEX(PRODUTOS!$I$4:$I$63,MATCH($A927,PRODUTOS!$B$4:$B$63,0))="B",INDEX(MODELOS!$H$3:$H$19,MATCH($D927,MODELOS!$A$3:$A$19,0)),INDEX(MODELOS!$D$3:$D$19,MATCH($D927,MODELOS!$A$3:$A$19,0))))</f>
        <v>Quantidade por dia ou rendimento do pacote</v>
      </c>
      <c r="H927" s="11" t="str">
        <f aca="false">IF(INDEX(PRODUTOS!$I$4:$I$63,MATCH($A927,PRODUTOS!$B$4:$B$63,0))="B",INDEX(MODELOS!$I$3:$I$19,MATCH($D927,MODELOS!$A$3:$A$19,0)),INDEX(MODELOS!$E$3:$E$19,MATCH($D927,MODELOS!$A$3:$A$19,0)))</f>
        <v>2000 × 2000</v>
      </c>
      <c r="I927" s="11" t="str">
        <f aca="false">INDEX(MODELOS!$J$3:$J$19,MATCH($D927,MODELOS!$A$3:$A$19,0))</f>
        <v>Recomendada</v>
      </c>
      <c r="J927" s="11" t="str">
        <f aca="false">IF(LEFT($D927,2)&lt;&gt;"AP",IF($I927="SIM","SIM","RECOMENDADA"),IF(INDEX(PRODUTOS!$J$4:$J$63,MATCH($A927,PRODUTOS!$B$4:$B$63,0))&lt;&gt;"","NÃO (usa o A+ do EAN "&amp;INDEX(PRODUTOS!$J$4:$J$63,MATCH($A927,PRODUTOS!$B$4:$B$63,0))&amp;")",IF(AND(INDEX(PRODUTOS!$I$4:$I$63,MATCH($A927,PRODUTOS!$B$4:$B$63,0))="B",$D927="AP07"),"NÃO (modelo B)","SIM")))</f>
        <v>RECOMENDADA</v>
      </c>
      <c r="K927" s="13" t="s">
        <v>325</v>
      </c>
      <c r="L927" s="13"/>
    </row>
    <row r="928" customFormat="false" ht="15" hidden="false" customHeight="false" outlineLevel="0" collapsed="false">
      <c r="A928" s="15" t="s">
        <v>285</v>
      </c>
      <c r="B928" s="11" t="str">
        <f aca="false">INDEX(PRODUTOS!$E$4:$E$63,MATCH($A928,PRODUTOS!$B$4:$B$63,0))</f>
        <v>Granulado Higiênico de Madeira Natural Dots para Pets - Pacote 2 kg</v>
      </c>
      <c r="C928" s="11" t="str">
        <f aca="false">INDEX(PRODUTOS!$H$4:$H$63,MATCH($A928,PRODUTOS!$B$4:$B$63,0))</f>
        <v>2 kg</v>
      </c>
      <c r="D928" s="11" t="s">
        <v>331</v>
      </c>
      <c r="E928" s="16" t="str">
        <f aca="false">$A928&amp;"."&amp;$D928&amp;".jpg"</f>
        <v>7908591300024.PT06.jpg</v>
      </c>
      <c r="F928" s="11" t="str">
        <f aca="false">IF(INDEX(PRODUTOS!$I$4:$I$63,MATCH($A928,PRODUTOS!$B$4:$B$63,0))="B",INDEX(MODELOS!$F$3:$F$19,MATCH($D928,MODELOS!$A$3:$A$19,0)),INDEX(MODELOS!$B$3:$B$19,MATCH($D928,MODELOS!$A$3:$A$19,0)))</f>
        <v>Galeria · posição 7</v>
      </c>
      <c r="G928" s="11" t="str">
        <f aca="false">IF(INDEX(PRODUTOS!$F$4:$F$63,MATCH($A928,PRODUTOS!$B$4:$B$63,0))="Ração",IF(INDEX(PRODUTOS!$I$4:$I$63,MATCH($A928,PRODUTOS!$B$4:$B$63,0))="B",INDEX(MODELOS!$G$3:$G$19,MATCH($D928,MODELOS!$A$3:$A$19,0)),INDEX(MODELOS!$C$3:$C$19,MATCH($D928,MODELOS!$A$3:$A$19,0))),IF(INDEX(PRODUTOS!$I$4:$I$63,MATCH($A928,PRODUTOS!$B$4:$B$63,0))="B",INDEX(MODELOS!$H$3:$H$19,MATCH($D928,MODELOS!$A$3:$A$19,0)),INDEX(MODELOS!$D$3:$D$19,MATCH($D928,MODELOS!$A$3:$A$19,0))))</f>
        <v>Composição/níveis de garantia (petiscos) ou especificações (higiene)</v>
      </c>
      <c r="H928" s="11" t="str">
        <f aca="false">IF(INDEX(PRODUTOS!$I$4:$I$63,MATCH($A928,PRODUTOS!$B$4:$B$63,0))="B",INDEX(MODELOS!$I$3:$I$19,MATCH($D928,MODELOS!$A$3:$A$19,0)),INDEX(MODELOS!$E$3:$E$19,MATCH($D928,MODELOS!$A$3:$A$19,0)))</f>
        <v>2000 × 2000</v>
      </c>
      <c r="I928" s="11" t="str">
        <f aca="false">INDEX(MODELOS!$J$3:$J$19,MATCH($D928,MODELOS!$A$3:$A$19,0))</f>
        <v>SIM</v>
      </c>
      <c r="J928" s="11" t="str">
        <f aca="false">IF(LEFT($D928,2)&lt;&gt;"AP",IF($I928="SIM","SIM","RECOMENDADA"),IF(INDEX(PRODUTOS!$J$4:$J$63,MATCH($A928,PRODUTOS!$B$4:$B$63,0))&lt;&gt;"","NÃO (usa o A+ do EAN "&amp;INDEX(PRODUTOS!$J$4:$J$63,MATCH($A928,PRODUTOS!$B$4:$B$63,0))&amp;")",IF(AND(INDEX(PRODUTOS!$I$4:$I$63,MATCH($A928,PRODUTOS!$B$4:$B$63,0))="B",$D928="AP07"),"NÃO (modelo B)","SIM")))</f>
        <v>SIM</v>
      </c>
      <c r="K928" s="13" t="s">
        <v>325</v>
      </c>
      <c r="L928" s="13"/>
    </row>
    <row r="929" customFormat="false" ht="15" hidden="false" customHeight="false" outlineLevel="0" collapsed="false">
      <c r="A929" s="15" t="s">
        <v>285</v>
      </c>
      <c r="B929" s="11" t="str">
        <f aca="false">INDEX(PRODUTOS!$E$4:$E$63,MATCH($A929,PRODUTOS!$B$4:$B$63,0))</f>
        <v>Granulado Higiênico de Madeira Natural Dots para Pets - Pacote 2 kg</v>
      </c>
      <c r="C929" s="11" t="str">
        <f aca="false">INDEX(PRODUTOS!$H$4:$H$63,MATCH($A929,PRODUTOS!$B$4:$B$63,0))</f>
        <v>2 kg</v>
      </c>
      <c r="D929" s="11" t="s">
        <v>332</v>
      </c>
      <c r="E929" s="16" t="str">
        <f aca="false">$A929&amp;"."&amp;$D929&amp;".jpg"</f>
        <v>7908591300024.PT07.jpg</v>
      </c>
      <c r="F929" s="11" t="str">
        <f aca="false">IF(INDEX(PRODUTOS!$I$4:$I$63,MATCH($A929,PRODUTOS!$B$4:$B$63,0))="B",INDEX(MODELOS!$F$3:$F$19,MATCH($D929,MODELOS!$A$3:$A$19,0)),INDEX(MODELOS!$B$3:$B$19,MATCH($D929,MODELOS!$A$3:$A$19,0)))</f>
        <v>Galeria · posição 8</v>
      </c>
      <c r="G929" s="11" t="str">
        <f aca="false">IF(INDEX(PRODUTOS!$F$4:$F$63,MATCH($A929,PRODUTOS!$B$4:$B$63,0))="Ração",IF(INDEX(PRODUTOS!$I$4:$I$63,MATCH($A929,PRODUTOS!$B$4:$B$63,0))="B",INDEX(MODELOS!$G$3:$G$19,MATCH($D929,MODELOS!$A$3:$A$19,0)),INDEX(MODELOS!$C$3:$C$19,MATCH($D929,MODELOS!$A$3:$A$19,0))),IF(INDEX(PRODUTOS!$I$4:$I$63,MATCH($A929,PRODUTOS!$B$4:$B$63,0))="B",INDEX(MODELOS!$H$3:$H$19,MATCH($D929,MODELOS!$A$3:$A$19,0)),INDEX(MODELOS!$D$3:$D$19,MATCH($D929,MODELOS!$A$3:$A$19,0))))</f>
        <v>Emocional / momento de uso</v>
      </c>
      <c r="H929" s="11" t="str">
        <f aca="false">IF(INDEX(PRODUTOS!$I$4:$I$63,MATCH($A929,PRODUTOS!$B$4:$B$63,0))="B",INDEX(MODELOS!$I$3:$I$19,MATCH($D929,MODELOS!$A$3:$A$19,0)),INDEX(MODELOS!$E$3:$E$19,MATCH($D929,MODELOS!$A$3:$A$19,0)))</f>
        <v>2000 × 2000</v>
      </c>
      <c r="I929" s="11" t="str">
        <f aca="false">INDEX(MODELOS!$J$3:$J$19,MATCH($D929,MODELOS!$A$3:$A$19,0))</f>
        <v>Recomendada</v>
      </c>
      <c r="J929" s="11" t="str">
        <f aca="false">IF(LEFT($D929,2)&lt;&gt;"AP",IF($I929="SIM","SIM","RECOMENDADA"),IF(INDEX(PRODUTOS!$J$4:$J$63,MATCH($A929,PRODUTOS!$B$4:$B$63,0))&lt;&gt;"","NÃO (usa o A+ do EAN "&amp;INDEX(PRODUTOS!$J$4:$J$63,MATCH($A929,PRODUTOS!$B$4:$B$63,0))&amp;")",IF(AND(INDEX(PRODUTOS!$I$4:$I$63,MATCH($A929,PRODUTOS!$B$4:$B$63,0))="B",$D929="AP07"),"NÃO (modelo B)","SIM")))</f>
        <v>RECOMENDADA</v>
      </c>
      <c r="K929" s="13" t="s">
        <v>325</v>
      </c>
      <c r="L929" s="13"/>
    </row>
    <row r="930" customFormat="false" ht="15" hidden="false" customHeight="false" outlineLevel="0" collapsed="false">
      <c r="A930" s="15" t="s">
        <v>285</v>
      </c>
      <c r="B930" s="11" t="str">
        <f aca="false">INDEX(PRODUTOS!$E$4:$E$63,MATCH($A930,PRODUTOS!$B$4:$B$63,0))</f>
        <v>Granulado Higiênico de Madeira Natural Dots para Pets - Pacote 2 kg</v>
      </c>
      <c r="C930" s="11" t="str">
        <f aca="false">INDEX(PRODUTOS!$H$4:$H$63,MATCH($A930,PRODUTOS!$B$4:$B$63,0))</f>
        <v>2 kg</v>
      </c>
      <c r="D930" s="11" t="s">
        <v>333</v>
      </c>
      <c r="E930" s="16" t="str">
        <f aca="false">$A930&amp;"."&amp;$D930&amp;".jpg"</f>
        <v>7908591300024.PT08.jpg</v>
      </c>
      <c r="F930" s="11" t="str">
        <f aca="false">IF(INDEX(PRODUTOS!$I$4:$I$63,MATCH($A930,PRODUTOS!$B$4:$B$63,0))="B",INDEX(MODELOS!$F$3:$F$19,MATCH($D930,MODELOS!$A$3:$A$19,0)),INDEX(MODELOS!$B$3:$B$19,MATCH($D930,MODELOS!$A$3:$A$19,0)))</f>
        <v>Galeria · posição 9</v>
      </c>
      <c r="G930" s="11" t="str">
        <f aca="false">IF(INDEX(PRODUTOS!$F$4:$F$63,MATCH($A930,PRODUTOS!$B$4:$B$63,0))="Ração",IF(INDEX(PRODUTOS!$I$4:$I$63,MATCH($A930,PRODUTOS!$B$4:$B$63,0))="B",INDEX(MODELOS!$G$3:$G$19,MATCH($D930,MODELOS!$A$3:$A$19,0)),INDEX(MODELOS!$C$3:$C$19,MATCH($D930,MODELOS!$A$3:$A$19,0))),IF(INDEX(PRODUTOS!$I$4:$I$63,MATCH($A930,PRODUTOS!$B$4:$B$63,0))="B",INDEX(MODELOS!$H$3:$H$19,MATCH($D930,MODELOS!$A$3:$A$19,0)),INDEX(MODELOS!$D$3:$D$19,MATCH($D930,MODELOS!$A$3:$A$19,0))))</f>
        <v>Linha da marca ("conheça também")</v>
      </c>
      <c r="H930" s="11" t="str">
        <f aca="false">IF(INDEX(PRODUTOS!$I$4:$I$63,MATCH($A930,PRODUTOS!$B$4:$B$63,0))="B",INDEX(MODELOS!$I$3:$I$19,MATCH($D930,MODELOS!$A$3:$A$19,0)),INDEX(MODELOS!$E$3:$E$19,MATCH($D930,MODELOS!$A$3:$A$19,0)))</f>
        <v>2000 × 2000</v>
      </c>
      <c r="I930" s="11" t="str">
        <f aca="false">INDEX(MODELOS!$J$3:$J$19,MATCH($D930,MODELOS!$A$3:$A$19,0))</f>
        <v>Recomendada</v>
      </c>
      <c r="J930" s="11" t="str">
        <f aca="false">IF(LEFT($D930,2)&lt;&gt;"AP",IF($I930="SIM","SIM","RECOMENDADA"),IF(INDEX(PRODUTOS!$J$4:$J$63,MATCH($A930,PRODUTOS!$B$4:$B$63,0))&lt;&gt;"","NÃO (usa o A+ do EAN "&amp;INDEX(PRODUTOS!$J$4:$J$63,MATCH($A930,PRODUTOS!$B$4:$B$63,0))&amp;")",IF(AND(INDEX(PRODUTOS!$I$4:$I$63,MATCH($A930,PRODUTOS!$B$4:$B$63,0))="B",$D930="AP07"),"NÃO (modelo B)","SIM")))</f>
        <v>RECOMENDADA</v>
      </c>
      <c r="K930" s="13" t="s">
        <v>325</v>
      </c>
      <c r="L930" s="13"/>
    </row>
    <row r="931" customFormat="false" ht="15" hidden="false" customHeight="false" outlineLevel="0" collapsed="false">
      <c r="A931" s="15" t="s">
        <v>285</v>
      </c>
      <c r="B931" s="11" t="str">
        <f aca="false">INDEX(PRODUTOS!$E$4:$E$63,MATCH($A931,PRODUTOS!$B$4:$B$63,0))</f>
        <v>Granulado Higiênico de Madeira Natural Dots para Pets - Pacote 2 kg</v>
      </c>
      <c r="C931" s="11" t="str">
        <f aca="false">INDEX(PRODUTOS!$H$4:$H$63,MATCH($A931,PRODUTOS!$B$4:$B$63,0))</f>
        <v>2 kg</v>
      </c>
      <c r="D931" s="11" t="s">
        <v>334</v>
      </c>
      <c r="E931" s="16" t="str">
        <f aca="false">$A931&amp;"."&amp;$D931&amp;".jpg"</f>
        <v>7908591300024.AP01.jpg</v>
      </c>
      <c r="F931" s="11" t="str">
        <f aca="false">IF(INDEX(PRODUTOS!$I$4:$I$63,MATCH($A931,PRODUTOS!$B$4:$B$63,0))="B",INDEX(MODELOS!$F$3:$F$19,MATCH($D931,MODELOS!$A$3:$A$19,0)),INDEX(MODELOS!$B$3:$B$19,MATCH($D931,MODELOS!$A$3:$A$19,0)))</f>
        <v>A+ · Módulo 1 · Banner</v>
      </c>
      <c r="G931" s="11" t="str">
        <f aca="false">IF(INDEX(PRODUTOS!$F$4:$F$63,MATCH($A931,PRODUTOS!$B$4:$B$63,0))="Ração",IF(INDEX(PRODUTOS!$I$4:$I$63,MATCH($A931,PRODUTOS!$B$4:$B$63,0))="B",INDEX(MODELOS!$G$3:$G$19,MATCH($D931,MODELOS!$A$3:$A$19,0)),INDEX(MODELOS!$C$3:$C$19,MATCH($D931,MODELOS!$A$3:$A$19,0))),IF(INDEX(PRODUTOS!$I$4:$I$63,MATCH($A931,PRODUTOS!$B$4:$B$63,0))="B",INDEX(MODELOS!$H$3:$H$19,MATCH($D931,MODELOS!$A$3:$A$19,0)),INDEX(MODELOS!$D$3:$D$19,MATCH($D931,MODELOS!$A$3:$A$19,0))))</f>
        <v>Produto + pet, com o nome da linha</v>
      </c>
      <c r="H931" s="11" t="str">
        <f aca="false">IF(INDEX(PRODUTOS!$I$4:$I$63,MATCH($A931,PRODUTOS!$B$4:$B$63,0))="B",INDEX(MODELOS!$I$3:$I$19,MATCH($D931,MODELOS!$A$3:$A$19,0)),INDEX(MODELOS!$E$3:$E$19,MATCH($D931,MODELOS!$A$3:$A$19,0)))</f>
        <v>970 × 600</v>
      </c>
      <c r="I931" s="11" t="str">
        <f aca="false">INDEX(MODELOS!$J$3:$J$19,MATCH($D931,MODELOS!$A$3:$A$19,0))</f>
        <v>Conforme modelo</v>
      </c>
      <c r="J931" s="11" t="str">
        <f aca="false">IF(LEFT($D931,2)&lt;&gt;"AP",IF($I931="SIM","SIM","RECOMENDADA"),IF(INDEX(PRODUTOS!$J$4:$J$63,MATCH($A931,PRODUTOS!$B$4:$B$63,0))&lt;&gt;"","NÃO (usa o A+ do EAN "&amp;INDEX(PRODUTOS!$J$4:$J$63,MATCH($A931,PRODUTOS!$B$4:$B$63,0))&amp;")",IF(AND(INDEX(PRODUTOS!$I$4:$I$63,MATCH($A931,PRODUTOS!$B$4:$B$63,0))="B",$D931="AP07"),"NÃO (modelo B)","SIM")))</f>
        <v>NÃO (usa o A+ do EAN 7908591300239)</v>
      </c>
      <c r="K931" s="13" t="s">
        <v>325</v>
      </c>
      <c r="L931" s="13"/>
    </row>
    <row r="932" customFormat="false" ht="15" hidden="false" customHeight="false" outlineLevel="0" collapsed="false">
      <c r="A932" s="15" t="s">
        <v>285</v>
      </c>
      <c r="B932" s="11" t="str">
        <f aca="false">INDEX(PRODUTOS!$E$4:$E$63,MATCH($A932,PRODUTOS!$B$4:$B$63,0))</f>
        <v>Granulado Higiênico de Madeira Natural Dots para Pets - Pacote 2 kg</v>
      </c>
      <c r="C932" s="11" t="str">
        <f aca="false">INDEX(PRODUTOS!$H$4:$H$63,MATCH($A932,PRODUTOS!$B$4:$B$63,0))</f>
        <v>2 kg</v>
      </c>
      <c r="D932" s="11" t="s">
        <v>335</v>
      </c>
      <c r="E932" s="16" t="str">
        <f aca="false">$A932&amp;"."&amp;$D932&amp;".jpg"</f>
        <v>7908591300024.AP02.jpg</v>
      </c>
      <c r="F932" s="11" t="str">
        <f aca="false">IF(INDEX(PRODUTOS!$I$4:$I$63,MATCH($A932,PRODUTOS!$B$4:$B$63,0))="B",INDEX(MODELOS!$F$3:$F$19,MATCH($D932,MODELOS!$A$3:$A$19,0)),INDEX(MODELOS!$B$3:$B$19,MATCH($D932,MODELOS!$A$3:$A$19,0)))</f>
        <v>A+ · Módulo 2 · Texto sobreposto</v>
      </c>
      <c r="G932" s="11" t="str">
        <f aca="false">IF(INDEX(PRODUTOS!$F$4:$F$63,MATCH($A932,PRODUTOS!$B$4:$B$63,0))="Ração",IF(INDEX(PRODUTOS!$I$4:$I$63,MATCH($A932,PRODUTOS!$B$4:$B$63,0))="B",INDEX(MODELOS!$G$3:$G$19,MATCH($D932,MODELOS!$A$3:$A$19,0)),INDEX(MODELOS!$C$3:$C$19,MATCH($D932,MODELOS!$A$3:$A$19,0))),IF(INDEX(PRODUTOS!$I$4:$I$63,MATCH($A932,PRODUTOS!$B$4:$B$63,0))="B",INDEX(MODELOS!$H$3:$H$19,MATCH($D932,MODELOS!$A$3:$A$19,0)),INDEX(MODELOS!$D$3:$D$19,MATCH($D932,MODELOS!$A$3:$A$19,0))))</f>
        <v>Principal diferencial; deixar o lado direito limpo</v>
      </c>
      <c r="H932" s="11" t="str">
        <f aca="false">IF(INDEX(PRODUTOS!$I$4:$I$63,MATCH($A932,PRODUTOS!$B$4:$B$63,0))="B",INDEX(MODELOS!$I$3:$I$19,MATCH($D932,MODELOS!$A$3:$A$19,0)),INDEX(MODELOS!$E$3:$E$19,MATCH($D932,MODELOS!$A$3:$A$19,0)))</f>
        <v>970 × 300</v>
      </c>
      <c r="I932" s="11" t="str">
        <f aca="false">INDEX(MODELOS!$J$3:$J$19,MATCH($D932,MODELOS!$A$3:$A$19,0))</f>
        <v>Conforme modelo</v>
      </c>
      <c r="J932" s="11" t="str">
        <f aca="false">IF(LEFT($D932,2)&lt;&gt;"AP",IF($I932="SIM","SIM","RECOMENDADA"),IF(INDEX(PRODUTOS!$J$4:$J$63,MATCH($A932,PRODUTOS!$B$4:$B$63,0))&lt;&gt;"","NÃO (usa o A+ do EAN "&amp;INDEX(PRODUTOS!$J$4:$J$63,MATCH($A932,PRODUTOS!$B$4:$B$63,0))&amp;")",IF(AND(INDEX(PRODUTOS!$I$4:$I$63,MATCH($A932,PRODUTOS!$B$4:$B$63,0))="B",$D932="AP07"),"NÃO (modelo B)","SIM")))</f>
        <v>NÃO (usa o A+ do EAN 7908591300239)</v>
      </c>
      <c r="K932" s="13" t="s">
        <v>325</v>
      </c>
      <c r="L932" s="13"/>
    </row>
    <row r="933" customFormat="false" ht="15" hidden="false" customHeight="false" outlineLevel="0" collapsed="false">
      <c r="A933" s="15" t="s">
        <v>285</v>
      </c>
      <c r="B933" s="11" t="str">
        <f aca="false">INDEX(PRODUTOS!$E$4:$E$63,MATCH($A933,PRODUTOS!$B$4:$B$63,0))</f>
        <v>Granulado Higiênico de Madeira Natural Dots para Pets - Pacote 2 kg</v>
      </c>
      <c r="C933" s="11" t="str">
        <f aca="false">INDEX(PRODUTOS!$H$4:$H$63,MATCH($A933,PRODUTOS!$B$4:$B$63,0))</f>
        <v>2 kg</v>
      </c>
      <c r="D933" s="11" t="s">
        <v>336</v>
      </c>
      <c r="E933" s="16" t="str">
        <f aca="false">$A933&amp;"."&amp;$D933&amp;".jpg"</f>
        <v>7908591300024.AP03.jpg</v>
      </c>
      <c r="F933" s="11" t="str">
        <f aca="false">IF(INDEX(PRODUTOS!$I$4:$I$63,MATCH($A933,PRODUTOS!$B$4:$B$63,0))="B",INDEX(MODELOS!$F$3:$F$19,MATCH($D933,MODELOS!$A$3:$A$19,0)),INDEX(MODELOS!$B$3:$B$19,MATCH($D933,MODELOS!$A$3:$A$19,0)))</f>
        <v>A+ · Módulo 3 · Benefício 1 de 4</v>
      </c>
      <c r="G933" s="11" t="str">
        <f aca="false">IF(INDEX(PRODUTOS!$F$4:$F$63,MATCH($A933,PRODUTOS!$B$4:$B$63,0))="Ração",IF(INDEX(PRODUTOS!$I$4:$I$63,MATCH($A933,PRODUTOS!$B$4:$B$63,0))="B",INDEX(MODELOS!$G$3:$G$19,MATCH($D933,MODELOS!$A$3:$A$19,0)),INDEX(MODELOS!$C$3:$C$19,MATCH($D933,MODELOS!$A$3:$A$19,0))),IF(INDEX(PRODUTOS!$I$4:$I$63,MATCH($A933,PRODUTOS!$B$4:$B$63,0))="B",INDEX(MODELOS!$H$3:$H$19,MATCH($D933,MODELOS!$A$3:$A$19,0)),INDEX(MODELOS!$D$3:$D$19,MATCH($D933,MODELOS!$A$3:$A$19,0))))</f>
        <v>Foto/ilustração do benefício 1</v>
      </c>
      <c r="H933" s="11" t="str">
        <f aca="false">IF(INDEX(PRODUTOS!$I$4:$I$63,MATCH($A933,PRODUTOS!$B$4:$B$63,0))="B",INDEX(MODELOS!$I$3:$I$19,MATCH($D933,MODELOS!$A$3:$A$19,0)),INDEX(MODELOS!$E$3:$E$19,MATCH($D933,MODELOS!$A$3:$A$19,0)))</f>
        <v>220 × 200</v>
      </c>
      <c r="I933" s="11" t="str">
        <f aca="false">INDEX(MODELOS!$J$3:$J$19,MATCH($D933,MODELOS!$A$3:$A$19,0))</f>
        <v>Conforme modelo</v>
      </c>
      <c r="J933" s="11" t="str">
        <f aca="false">IF(LEFT($D933,2)&lt;&gt;"AP",IF($I933="SIM","SIM","RECOMENDADA"),IF(INDEX(PRODUTOS!$J$4:$J$63,MATCH($A933,PRODUTOS!$B$4:$B$63,0))&lt;&gt;"","NÃO (usa o A+ do EAN "&amp;INDEX(PRODUTOS!$J$4:$J$63,MATCH($A933,PRODUTOS!$B$4:$B$63,0))&amp;")",IF(AND(INDEX(PRODUTOS!$I$4:$I$63,MATCH($A933,PRODUTOS!$B$4:$B$63,0))="B",$D933="AP07"),"NÃO (modelo B)","SIM")))</f>
        <v>NÃO (usa o A+ do EAN 7908591300239)</v>
      </c>
      <c r="K933" s="13" t="s">
        <v>325</v>
      </c>
      <c r="L933" s="13"/>
    </row>
    <row r="934" customFormat="false" ht="15" hidden="false" customHeight="false" outlineLevel="0" collapsed="false">
      <c r="A934" s="15" t="s">
        <v>285</v>
      </c>
      <c r="B934" s="11" t="str">
        <f aca="false">INDEX(PRODUTOS!$E$4:$E$63,MATCH($A934,PRODUTOS!$B$4:$B$63,0))</f>
        <v>Granulado Higiênico de Madeira Natural Dots para Pets - Pacote 2 kg</v>
      </c>
      <c r="C934" s="11" t="str">
        <f aca="false">INDEX(PRODUTOS!$H$4:$H$63,MATCH($A934,PRODUTOS!$B$4:$B$63,0))</f>
        <v>2 kg</v>
      </c>
      <c r="D934" s="11" t="s">
        <v>337</v>
      </c>
      <c r="E934" s="16" t="str">
        <f aca="false">$A934&amp;"."&amp;$D934&amp;".jpg"</f>
        <v>7908591300024.AP04.jpg</v>
      </c>
      <c r="F934" s="11" t="str">
        <f aca="false">IF(INDEX(PRODUTOS!$I$4:$I$63,MATCH($A934,PRODUTOS!$B$4:$B$63,0))="B",INDEX(MODELOS!$F$3:$F$19,MATCH($D934,MODELOS!$A$3:$A$19,0)),INDEX(MODELOS!$B$3:$B$19,MATCH($D934,MODELOS!$A$3:$A$19,0)))</f>
        <v>A+ · Módulo 3 · Benefício 2 de 4</v>
      </c>
      <c r="G934" s="11" t="str">
        <f aca="false">IF(INDEX(PRODUTOS!$F$4:$F$63,MATCH($A934,PRODUTOS!$B$4:$B$63,0))="Ração",IF(INDEX(PRODUTOS!$I$4:$I$63,MATCH($A934,PRODUTOS!$B$4:$B$63,0))="B",INDEX(MODELOS!$G$3:$G$19,MATCH($D934,MODELOS!$A$3:$A$19,0)),INDEX(MODELOS!$C$3:$C$19,MATCH($D934,MODELOS!$A$3:$A$19,0))),IF(INDEX(PRODUTOS!$I$4:$I$63,MATCH($A934,PRODUTOS!$B$4:$B$63,0))="B",INDEX(MODELOS!$H$3:$H$19,MATCH($D934,MODELOS!$A$3:$A$19,0)),INDEX(MODELOS!$D$3:$D$19,MATCH($D934,MODELOS!$A$3:$A$19,0))))</f>
        <v>Foto/ilustração do benefício 2</v>
      </c>
      <c r="H934" s="11" t="str">
        <f aca="false">IF(INDEX(PRODUTOS!$I$4:$I$63,MATCH($A934,PRODUTOS!$B$4:$B$63,0))="B",INDEX(MODELOS!$I$3:$I$19,MATCH($D934,MODELOS!$A$3:$A$19,0)),INDEX(MODELOS!$E$3:$E$19,MATCH($D934,MODELOS!$A$3:$A$19,0)))</f>
        <v>220 × 200</v>
      </c>
      <c r="I934" s="11" t="str">
        <f aca="false">INDEX(MODELOS!$J$3:$J$19,MATCH($D934,MODELOS!$A$3:$A$19,0))</f>
        <v>Conforme modelo</v>
      </c>
      <c r="J934" s="11" t="str">
        <f aca="false">IF(LEFT($D934,2)&lt;&gt;"AP",IF($I934="SIM","SIM","RECOMENDADA"),IF(INDEX(PRODUTOS!$J$4:$J$63,MATCH($A934,PRODUTOS!$B$4:$B$63,0))&lt;&gt;"","NÃO (usa o A+ do EAN "&amp;INDEX(PRODUTOS!$J$4:$J$63,MATCH($A934,PRODUTOS!$B$4:$B$63,0))&amp;")",IF(AND(INDEX(PRODUTOS!$I$4:$I$63,MATCH($A934,PRODUTOS!$B$4:$B$63,0))="B",$D934="AP07"),"NÃO (modelo B)","SIM")))</f>
        <v>NÃO (usa o A+ do EAN 7908591300239)</v>
      </c>
      <c r="K934" s="13" t="s">
        <v>325</v>
      </c>
      <c r="L934" s="13"/>
    </row>
    <row r="935" customFormat="false" ht="15" hidden="false" customHeight="false" outlineLevel="0" collapsed="false">
      <c r="A935" s="15" t="s">
        <v>285</v>
      </c>
      <c r="B935" s="11" t="str">
        <f aca="false">INDEX(PRODUTOS!$E$4:$E$63,MATCH($A935,PRODUTOS!$B$4:$B$63,0))</f>
        <v>Granulado Higiênico de Madeira Natural Dots para Pets - Pacote 2 kg</v>
      </c>
      <c r="C935" s="11" t="str">
        <f aca="false">INDEX(PRODUTOS!$H$4:$H$63,MATCH($A935,PRODUTOS!$B$4:$B$63,0))</f>
        <v>2 kg</v>
      </c>
      <c r="D935" s="11" t="s">
        <v>338</v>
      </c>
      <c r="E935" s="16" t="str">
        <f aca="false">$A935&amp;"."&amp;$D935&amp;".jpg"</f>
        <v>7908591300024.AP05.jpg</v>
      </c>
      <c r="F935" s="11" t="str">
        <f aca="false">IF(INDEX(PRODUTOS!$I$4:$I$63,MATCH($A935,PRODUTOS!$B$4:$B$63,0))="B",INDEX(MODELOS!$F$3:$F$19,MATCH($D935,MODELOS!$A$3:$A$19,0)),INDEX(MODELOS!$B$3:$B$19,MATCH($D935,MODELOS!$A$3:$A$19,0)))</f>
        <v>A+ · Módulo 3 · Benefício 3 de 4</v>
      </c>
      <c r="G935" s="11" t="str">
        <f aca="false">IF(INDEX(PRODUTOS!$F$4:$F$63,MATCH($A935,PRODUTOS!$B$4:$B$63,0))="Ração",IF(INDEX(PRODUTOS!$I$4:$I$63,MATCH($A935,PRODUTOS!$B$4:$B$63,0))="B",INDEX(MODELOS!$G$3:$G$19,MATCH($D935,MODELOS!$A$3:$A$19,0)),INDEX(MODELOS!$C$3:$C$19,MATCH($D935,MODELOS!$A$3:$A$19,0))),IF(INDEX(PRODUTOS!$I$4:$I$63,MATCH($A935,PRODUTOS!$B$4:$B$63,0))="B",INDEX(MODELOS!$H$3:$H$19,MATCH($D935,MODELOS!$A$3:$A$19,0)),INDEX(MODELOS!$D$3:$D$19,MATCH($D935,MODELOS!$A$3:$A$19,0))))</f>
        <v>Foto/ilustração do benefício 3</v>
      </c>
      <c r="H935" s="11" t="str">
        <f aca="false">IF(INDEX(PRODUTOS!$I$4:$I$63,MATCH($A935,PRODUTOS!$B$4:$B$63,0))="B",INDEX(MODELOS!$I$3:$I$19,MATCH($D935,MODELOS!$A$3:$A$19,0)),INDEX(MODELOS!$E$3:$E$19,MATCH($D935,MODELOS!$A$3:$A$19,0)))</f>
        <v>220 × 200</v>
      </c>
      <c r="I935" s="11" t="str">
        <f aca="false">INDEX(MODELOS!$J$3:$J$19,MATCH($D935,MODELOS!$A$3:$A$19,0))</f>
        <v>Conforme modelo</v>
      </c>
      <c r="J935" s="11" t="str">
        <f aca="false">IF(LEFT($D935,2)&lt;&gt;"AP",IF($I935="SIM","SIM","RECOMENDADA"),IF(INDEX(PRODUTOS!$J$4:$J$63,MATCH($A935,PRODUTOS!$B$4:$B$63,0))&lt;&gt;"","NÃO (usa o A+ do EAN "&amp;INDEX(PRODUTOS!$J$4:$J$63,MATCH($A935,PRODUTOS!$B$4:$B$63,0))&amp;")",IF(AND(INDEX(PRODUTOS!$I$4:$I$63,MATCH($A935,PRODUTOS!$B$4:$B$63,0))="B",$D935="AP07"),"NÃO (modelo B)","SIM")))</f>
        <v>NÃO (usa o A+ do EAN 7908591300239)</v>
      </c>
      <c r="K935" s="13" t="s">
        <v>325</v>
      </c>
      <c r="L935" s="13"/>
    </row>
    <row r="936" customFormat="false" ht="15" hidden="false" customHeight="false" outlineLevel="0" collapsed="false">
      <c r="A936" s="15" t="s">
        <v>285</v>
      </c>
      <c r="B936" s="11" t="str">
        <f aca="false">INDEX(PRODUTOS!$E$4:$E$63,MATCH($A936,PRODUTOS!$B$4:$B$63,0))</f>
        <v>Granulado Higiênico de Madeira Natural Dots para Pets - Pacote 2 kg</v>
      </c>
      <c r="C936" s="11" t="str">
        <f aca="false">INDEX(PRODUTOS!$H$4:$H$63,MATCH($A936,PRODUTOS!$B$4:$B$63,0))</f>
        <v>2 kg</v>
      </c>
      <c r="D936" s="11" t="s">
        <v>339</v>
      </c>
      <c r="E936" s="16" t="str">
        <f aca="false">$A936&amp;"."&amp;$D936&amp;".jpg"</f>
        <v>7908591300024.AP06.jpg</v>
      </c>
      <c r="F936" s="11" t="str">
        <f aca="false">IF(INDEX(PRODUTOS!$I$4:$I$63,MATCH($A936,PRODUTOS!$B$4:$B$63,0))="B",INDEX(MODELOS!$F$3:$F$19,MATCH($D936,MODELOS!$A$3:$A$19,0)),INDEX(MODELOS!$B$3:$B$19,MATCH($D936,MODELOS!$A$3:$A$19,0)))</f>
        <v>A+ · Módulo 3 · Benefício 4 de 4</v>
      </c>
      <c r="G936" s="11" t="str">
        <f aca="false">IF(INDEX(PRODUTOS!$F$4:$F$63,MATCH($A936,PRODUTOS!$B$4:$B$63,0))="Ração",IF(INDEX(PRODUTOS!$I$4:$I$63,MATCH($A936,PRODUTOS!$B$4:$B$63,0))="B",INDEX(MODELOS!$G$3:$G$19,MATCH($D936,MODELOS!$A$3:$A$19,0)),INDEX(MODELOS!$C$3:$C$19,MATCH($D936,MODELOS!$A$3:$A$19,0))),IF(INDEX(PRODUTOS!$I$4:$I$63,MATCH($A936,PRODUTOS!$B$4:$B$63,0))="B",INDEX(MODELOS!$H$3:$H$19,MATCH($D936,MODELOS!$A$3:$A$19,0)),INDEX(MODELOS!$D$3:$D$19,MATCH($D936,MODELOS!$A$3:$A$19,0))))</f>
        <v>Foto/ilustração do benefício 4</v>
      </c>
      <c r="H936" s="11" t="str">
        <f aca="false">IF(INDEX(PRODUTOS!$I$4:$I$63,MATCH($A936,PRODUTOS!$B$4:$B$63,0))="B",INDEX(MODELOS!$I$3:$I$19,MATCH($D936,MODELOS!$A$3:$A$19,0)),INDEX(MODELOS!$E$3:$E$19,MATCH($D936,MODELOS!$A$3:$A$19,0)))</f>
        <v>220 × 200</v>
      </c>
      <c r="I936" s="11" t="str">
        <f aca="false">INDEX(MODELOS!$J$3:$J$19,MATCH($D936,MODELOS!$A$3:$A$19,0))</f>
        <v>Conforme modelo</v>
      </c>
      <c r="J936" s="11" t="str">
        <f aca="false">IF(LEFT($D936,2)&lt;&gt;"AP",IF($I936="SIM","SIM","RECOMENDADA"),IF(INDEX(PRODUTOS!$J$4:$J$63,MATCH($A936,PRODUTOS!$B$4:$B$63,0))&lt;&gt;"","NÃO (usa o A+ do EAN "&amp;INDEX(PRODUTOS!$J$4:$J$63,MATCH($A936,PRODUTOS!$B$4:$B$63,0))&amp;")",IF(AND(INDEX(PRODUTOS!$I$4:$I$63,MATCH($A936,PRODUTOS!$B$4:$B$63,0))="B",$D936="AP07"),"NÃO (modelo B)","SIM")))</f>
        <v>NÃO (usa o A+ do EAN 7908591300239)</v>
      </c>
      <c r="K936" s="13" t="s">
        <v>325</v>
      </c>
      <c r="L936" s="13"/>
    </row>
    <row r="937" customFormat="false" ht="15" hidden="false" customHeight="false" outlineLevel="0" collapsed="false">
      <c r="A937" s="15" t="s">
        <v>285</v>
      </c>
      <c r="B937" s="11" t="str">
        <f aca="false">INDEX(PRODUTOS!$E$4:$E$63,MATCH($A937,PRODUTOS!$B$4:$B$63,0))</f>
        <v>Granulado Higiênico de Madeira Natural Dots para Pets - Pacote 2 kg</v>
      </c>
      <c r="C937" s="11" t="str">
        <f aca="false">INDEX(PRODUTOS!$H$4:$H$63,MATCH($A937,PRODUTOS!$B$4:$B$63,0))</f>
        <v>2 kg</v>
      </c>
      <c r="D937" s="11" t="s">
        <v>340</v>
      </c>
      <c r="E937" s="16" t="str">
        <f aca="false">$A937&amp;"."&amp;$D937&amp;".jpg"</f>
        <v>7908591300024.AP07.jpg</v>
      </c>
      <c r="F937" s="11" t="str">
        <f aca="false">IF(INDEX(PRODUTOS!$I$4:$I$63,MATCH($A937,PRODUTOS!$B$4:$B$63,0))="B",INDEX(MODELOS!$F$3:$F$19,MATCH($D937,MODELOS!$A$3:$A$19,0)),INDEX(MODELOS!$B$3:$B$19,MATCH($D937,MODELOS!$A$3:$A$19,0)))</f>
        <v>A+ · Módulo 4 · Especificações</v>
      </c>
      <c r="G937" s="11" t="str">
        <f aca="false">IF(INDEX(PRODUTOS!$F$4:$F$63,MATCH($A937,PRODUTOS!$B$4:$B$63,0))="Ração",IF(INDEX(PRODUTOS!$I$4:$I$63,MATCH($A937,PRODUTOS!$B$4:$B$63,0))="B",INDEX(MODELOS!$G$3:$G$19,MATCH($D937,MODELOS!$A$3:$A$19,0)),INDEX(MODELOS!$C$3:$C$19,MATCH($D937,MODELOS!$A$3:$A$19,0))),IF(INDEX(PRODUTOS!$I$4:$I$63,MATCH($A937,PRODUTOS!$B$4:$B$63,0))="B",INDEX(MODELOS!$H$3:$H$19,MATCH($D937,MODELOS!$A$3:$A$19,0)),INDEX(MODELOS!$D$3:$D$19,MATCH($D937,MODELOS!$A$3:$A$19,0))))</f>
        <v>Produto em destaque</v>
      </c>
      <c r="H937" s="11" t="str">
        <f aca="false">IF(INDEX(PRODUTOS!$I$4:$I$63,MATCH($A937,PRODUTOS!$B$4:$B$63,0))="B",INDEX(MODELOS!$I$3:$I$19,MATCH($D937,MODELOS!$A$3:$A$19,0)),INDEX(MODELOS!$E$3:$E$19,MATCH($D937,MODELOS!$A$3:$A$19,0)))</f>
        <v>300 × 300</v>
      </c>
      <c r="I937" s="11" t="str">
        <f aca="false">INDEX(MODELOS!$J$3:$J$19,MATCH($D937,MODELOS!$A$3:$A$19,0))</f>
        <v>Conforme modelo</v>
      </c>
      <c r="J937" s="11" t="str">
        <f aca="false">IF(LEFT($D937,2)&lt;&gt;"AP",IF($I937="SIM","SIM","RECOMENDADA"),IF(INDEX(PRODUTOS!$J$4:$J$63,MATCH($A937,PRODUTOS!$B$4:$B$63,0))&lt;&gt;"","NÃO (usa o A+ do EAN "&amp;INDEX(PRODUTOS!$J$4:$J$63,MATCH($A937,PRODUTOS!$B$4:$B$63,0))&amp;")",IF(AND(INDEX(PRODUTOS!$I$4:$I$63,MATCH($A937,PRODUTOS!$B$4:$B$63,0))="B",$D937="AP07"),"NÃO (modelo B)","SIM")))</f>
        <v>NÃO (usa o A+ do EAN 7908591300239)</v>
      </c>
      <c r="K937" s="13" t="s">
        <v>325</v>
      </c>
      <c r="L937" s="13"/>
    </row>
    <row r="938" customFormat="false" ht="15" hidden="false" customHeight="false" outlineLevel="0" collapsed="false">
      <c r="A938" s="15" t="s">
        <v>285</v>
      </c>
      <c r="B938" s="11" t="str">
        <f aca="false">INDEX(PRODUTOS!$E$4:$E$63,MATCH($A938,PRODUTOS!$B$4:$B$63,0))</f>
        <v>Granulado Higiênico de Madeira Natural Dots para Pets - Pacote 2 kg</v>
      </c>
      <c r="C938" s="11" t="str">
        <f aca="false">INDEX(PRODUTOS!$H$4:$H$63,MATCH($A938,PRODUTOS!$B$4:$B$63,0))</f>
        <v>2 kg</v>
      </c>
      <c r="D938" s="11" t="s">
        <v>341</v>
      </c>
      <c r="E938" s="16" t="str">
        <f aca="false">$A938&amp;"."&amp;$D938&amp;".jpg"</f>
        <v>7908591300024.COMP.jpg</v>
      </c>
      <c r="F938" s="11" t="str">
        <f aca="false">IF(INDEX(PRODUTOS!$I$4:$I$63,MATCH($A938,PRODUTOS!$B$4:$B$63,0))="B",INDEX(MODELOS!$F$3:$F$19,MATCH($D938,MODELOS!$A$3:$A$19,0)),INDEX(MODELOS!$B$3:$B$19,MATCH($D938,MODELOS!$A$3:$A$19,0)))</f>
        <v>A+ · Tabela comparativa</v>
      </c>
      <c r="G938" s="11" t="str">
        <f aca="false">IF(INDEX(PRODUTOS!$F$4:$F$63,MATCH($A938,PRODUTOS!$B$4:$B$63,0))="Ração",IF(INDEX(PRODUTOS!$I$4:$I$63,MATCH($A938,PRODUTOS!$B$4:$B$63,0))="B",INDEX(MODELOS!$G$3:$G$19,MATCH($D938,MODELOS!$A$3:$A$19,0)),INDEX(MODELOS!$C$3:$C$19,MATCH($D938,MODELOS!$A$3:$A$19,0))),IF(INDEX(PRODUTOS!$I$4:$I$63,MATCH($A938,PRODUTOS!$B$4:$B$63,0))="B",INDEX(MODELOS!$H$3:$H$19,MATCH($D938,MODELOS!$A$3:$A$19,0)),INDEX(MODELOS!$D$3:$D$19,MATCH($D938,MODELOS!$A$3:$A$19,0))))</f>
        <v>Produto na vertical, sem fundo colorido</v>
      </c>
      <c r="H938" s="11" t="str">
        <f aca="false">IF(INDEX(PRODUTOS!$I$4:$I$63,MATCH($A938,PRODUTOS!$B$4:$B$63,0))="B",INDEX(MODELOS!$I$3:$I$19,MATCH($D938,MODELOS!$A$3:$A$19,0)),INDEX(MODELOS!$E$3:$E$19,MATCH($D938,MODELOS!$A$3:$A$19,0)))</f>
        <v>150 × 300</v>
      </c>
      <c r="I938" s="11" t="str">
        <f aca="false">INDEX(MODELOS!$J$3:$J$19,MATCH($D938,MODELOS!$A$3:$A$19,0))</f>
        <v>SIM</v>
      </c>
      <c r="J938" s="11" t="str">
        <f aca="false">IF(LEFT($D938,2)&lt;&gt;"AP",IF($I938="SIM","SIM","RECOMENDADA"),IF(INDEX(PRODUTOS!$J$4:$J$63,MATCH($A938,PRODUTOS!$B$4:$B$63,0))&lt;&gt;"","NÃO (usa o A+ do EAN "&amp;INDEX(PRODUTOS!$J$4:$J$63,MATCH($A938,PRODUTOS!$B$4:$B$63,0))&amp;")",IF(AND(INDEX(PRODUTOS!$I$4:$I$63,MATCH($A938,PRODUTOS!$B$4:$B$63,0))="B",$D938="AP07"),"NÃO (modelo B)","SIM")))</f>
        <v>SIM</v>
      </c>
      <c r="K938" s="13" t="s">
        <v>325</v>
      </c>
      <c r="L938" s="13"/>
    </row>
    <row r="939" customFormat="false" ht="15" hidden="false" customHeight="false" outlineLevel="0" collapsed="false">
      <c r="A939" s="15" t="s">
        <v>290</v>
      </c>
      <c r="B939" s="11" t="str">
        <f aca="false">INDEX(PRODUTOS!$E$4:$E$63,MATCH($A939,PRODUTOS!$B$4:$B$63,0))</f>
        <v>Granulado Sanitário Natural Dots de Bentonita Perfumada - Pacote 4 kg</v>
      </c>
      <c r="C939" s="11" t="str">
        <f aca="false">INDEX(PRODUTOS!$H$4:$H$63,MATCH($A939,PRODUTOS!$B$4:$B$63,0))</f>
        <v>4 kg</v>
      </c>
      <c r="D939" s="11" t="s">
        <v>324</v>
      </c>
      <c r="E939" s="16" t="str">
        <f aca="false">$A939&amp;"."&amp;$D939&amp;".jpg"</f>
        <v>7898968541924.MAIN.jpg</v>
      </c>
      <c r="F939" s="11" t="str">
        <f aca="false">IF(INDEX(PRODUTOS!$I$4:$I$63,MATCH($A939,PRODUTOS!$B$4:$B$63,0))="B",INDEX(MODELOS!$F$3:$F$19,MATCH($D939,MODELOS!$A$3:$A$19,0)),INDEX(MODELOS!$B$3:$B$19,MATCH($D939,MODELOS!$A$3:$A$19,0)))</f>
        <v>Capa (posição 1)</v>
      </c>
      <c r="G939" s="11" t="str">
        <f aca="false">IF(INDEX(PRODUTOS!$F$4:$F$63,MATCH($A939,PRODUTOS!$B$4:$B$63,0))="Ração",IF(INDEX(PRODUTOS!$I$4:$I$63,MATCH($A939,PRODUTOS!$B$4:$B$63,0))="B",INDEX(MODELOS!$G$3:$G$19,MATCH($D939,MODELOS!$A$3:$A$19,0)),INDEX(MODELOS!$C$3:$C$19,MATCH($D939,MODELOS!$A$3:$A$19,0))),IF(INDEX(PRODUTOS!$I$4:$I$63,MATCH($A939,PRODUTOS!$B$4:$B$63,0))="B",INDEX(MODELOS!$H$3:$H$19,MATCH($D939,MODELOS!$A$3:$A$19,0)),INDEX(MODELOS!$D$3:$D$19,MATCH($D939,MODELOS!$A$3:$A$19,0))))</f>
        <v>Embalagem de frente, fundo branco puro, 85% da área, nada adicionado</v>
      </c>
      <c r="H939" s="11" t="str">
        <f aca="false">IF(INDEX(PRODUTOS!$I$4:$I$63,MATCH($A939,PRODUTOS!$B$4:$B$63,0))="B",INDEX(MODELOS!$I$3:$I$19,MATCH($D939,MODELOS!$A$3:$A$19,0)),INDEX(MODELOS!$E$3:$E$19,MATCH($D939,MODELOS!$A$3:$A$19,0)))</f>
        <v>2000 × 2000</v>
      </c>
      <c r="I939" s="11" t="str">
        <f aca="false">INDEX(MODELOS!$J$3:$J$19,MATCH($D939,MODELOS!$A$3:$A$19,0))</f>
        <v>SIM</v>
      </c>
      <c r="J939" s="11" t="str">
        <f aca="false">IF(LEFT($D939,2)&lt;&gt;"AP",IF($I939="SIM","SIM","RECOMENDADA"),IF(INDEX(PRODUTOS!$J$4:$J$63,MATCH($A939,PRODUTOS!$B$4:$B$63,0))&lt;&gt;"","NÃO (usa o A+ do EAN "&amp;INDEX(PRODUTOS!$J$4:$J$63,MATCH($A939,PRODUTOS!$B$4:$B$63,0))&amp;")",IF(AND(INDEX(PRODUTOS!$I$4:$I$63,MATCH($A939,PRODUTOS!$B$4:$B$63,0))="B",$D939="AP07"),"NÃO (modelo B)","SIM")))</f>
        <v>SIM</v>
      </c>
      <c r="K939" s="13" t="s">
        <v>325</v>
      </c>
      <c r="L939" s="13"/>
    </row>
    <row r="940" customFormat="false" ht="15" hidden="false" customHeight="false" outlineLevel="0" collapsed="false">
      <c r="A940" s="15" t="s">
        <v>290</v>
      </c>
      <c r="B940" s="11" t="str">
        <f aca="false">INDEX(PRODUTOS!$E$4:$E$63,MATCH($A940,PRODUTOS!$B$4:$B$63,0))</f>
        <v>Granulado Sanitário Natural Dots de Bentonita Perfumada - Pacote 4 kg</v>
      </c>
      <c r="C940" s="11" t="str">
        <f aca="false">INDEX(PRODUTOS!$H$4:$H$63,MATCH($A940,PRODUTOS!$B$4:$B$63,0))</f>
        <v>4 kg</v>
      </c>
      <c r="D940" s="11" t="s">
        <v>326</v>
      </c>
      <c r="E940" s="16" t="str">
        <f aca="false">$A940&amp;"."&amp;$D940&amp;".jpg"</f>
        <v>7898968541924.PT01.jpg</v>
      </c>
      <c r="F940" s="11" t="str">
        <f aca="false">IF(INDEX(PRODUTOS!$I$4:$I$63,MATCH($A940,PRODUTOS!$B$4:$B$63,0))="B",INDEX(MODELOS!$F$3:$F$19,MATCH($D940,MODELOS!$A$3:$A$19,0)),INDEX(MODELOS!$B$3:$B$19,MATCH($D940,MODELOS!$A$3:$A$19,0)))</f>
        <v>Galeria · posição 2</v>
      </c>
      <c r="G940" s="11" t="str">
        <f aca="false">IF(INDEX(PRODUTOS!$F$4:$F$63,MATCH($A940,PRODUTOS!$B$4:$B$63,0))="Ração",IF(INDEX(PRODUTOS!$I$4:$I$63,MATCH($A940,PRODUTOS!$B$4:$B$63,0))="B",INDEX(MODELOS!$G$3:$G$19,MATCH($D940,MODELOS!$A$3:$A$19,0)),INDEX(MODELOS!$C$3:$C$19,MATCH($D940,MODELOS!$A$3:$A$19,0))),IF(INDEX(PRODUTOS!$I$4:$I$63,MATCH($A940,PRODUTOS!$B$4:$B$63,0))="B",INDEX(MODELOS!$H$3:$H$19,MATCH($D940,MODELOS!$A$3:$A$19,0)),INDEX(MODELOS!$D$3:$D$19,MATCH($D940,MODELOS!$A$3:$A$19,0))))</f>
        <v>Grande diferencial (ex.: natural, biodegradável, perfumado)</v>
      </c>
      <c r="H940" s="11" t="str">
        <f aca="false">IF(INDEX(PRODUTOS!$I$4:$I$63,MATCH($A940,PRODUTOS!$B$4:$B$63,0))="B",INDEX(MODELOS!$I$3:$I$19,MATCH($D940,MODELOS!$A$3:$A$19,0)),INDEX(MODELOS!$E$3:$E$19,MATCH($D940,MODELOS!$A$3:$A$19,0)))</f>
        <v>2000 × 2000</v>
      </c>
      <c r="I940" s="11" t="str">
        <f aca="false">INDEX(MODELOS!$J$3:$J$19,MATCH($D940,MODELOS!$A$3:$A$19,0))</f>
        <v>SIM</v>
      </c>
      <c r="J940" s="11" t="str">
        <f aca="false">IF(LEFT($D940,2)&lt;&gt;"AP",IF($I940="SIM","SIM","RECOMENDADA"),IF(INDEX(PRODUTOS!$J$4:$J$63,MATCH($A940,PRODUTOS!$B$4:$B$63,0))&lt;&gt;"","NÃO (usa o A+ do EAN "&amp;INDEX(PRODUTOS!$J$4:$J$63,MATCH($A940,PRODUTOS!$B$4:$B$63,0))&amp;")",IF(AND(INDEX(PRODUTOS!$I$4:$I$63,MATCH($A940,PRODUTOS!$B$4:$B$63,0))="B",$D940="AP07"),"NÃO (modelo B)","SIM")))</f>
        <v>SIM</v>
      </c>
      <c r="K940" s="13" t="s">
        <v>325</v>
      </c>
      <c r="L940" s="13"/>
    </row>
    <row r="941" customFormat="false" ht="15" hidden="false" customHeight="false" outlineLevel="0" collapsed="false">
      <c r="A941" s="15" t="s">
        <v>290</v>
      </c>
      <c r="B941" s="11" t="str">
        <f aca="false">INDEX(PRODUTOS!$E$4:$E$63,MATCH($A941,PRODUTOS!$B$4:$B$63,0))</f>
        <v>Granulado Sanitário Natural Dots de Bentonita Perfumada - Pacote 4 kg</v>
      </c>
      <c r="C941" s="11" t="str">
        <f aca="false">INDEX(PRODUTOS!$H$4:$H$63,MATCH($A941,PRODUTOS!$B$4:$B$63,0))</f>
        <v>4 kg</v>
      </c>
      <c r="D941" s="11" t="s">
        <v>327</v>
      </c>
      <c r="E941" s="16" t="str">
        <f aca="false">$A941&amp;"."&amp;$D941&amp;".jpg"</f>
        <v>7898968541924.PT02.jpg</v>
      </c>
      <c r="F941" s="11" t="str">
        <f aca="false">IF(INDEX(PRODUTOS!$I$4:$I$63,MATCH($A941,PRODUTOS!$B$4:$B$63,0))="B",INDEX(MODELOS!$F$3:$F$19,MATCH($D941,MODELOS!$A$3:$A$19,0)),INDEX(MODELOS!$B$3:$B$19,MATCH($D941,MODELOS!$A$3:$A$19,0)))</f>
        <v>Galeria · posição 3</v>
      </c>
      <c r="G941" s="11" t="str">
        <f aca="false">IF(INDEX(PRODUTOS!$F$4:$F$63,MATCH($A941,PRODUTOS!$B$4:$B$63,0))="Ração",IF(INDEX(PRODUTOS!$I$4:$I$63,MATCH($A941,PRODUTOS!$B$4:$B$63,0))="B",INDEX(MODELOS!$G$3:$G$19,MATCH($D941,MODELOS!$A$3:$A$19,0)),INDEX(MODELOS!$C$3:$C$19,MATCH($D941,MODELOS!$A$3:$A$19,0))),IF(INDEX(PRODUTOS!$I$4:$I$63,MATCH($A941,PRODUTOS!$B$4:$B$63,0))="B",INDEX(MODELOS!$H$3:$H$19,MATCH($D941,MODELOS!$A$3:$A$19,0)),INDEX(MODELOS!$D$3:$D$19,MATCH($D941,MODELOS!$A$3:$A$19,0))))</f>
        <v>Benefícios com ícones (4 a 6, impressos na embalagem)</v>
      </c>
      <c r="H941" s="11" t="str">
        <f aca="false">IF(INDEX(PRODUTOS!$I$4:$I$63,MATCH($A941,PRODUTOS!$B$4:$B$63,0))="B",INDEX(MODELOS!$I$3:$I$19,MATCH($D941,MODELOS!$A$3:$A$19,0)),INDEX(MODELOS!$E$3:$E$19,MATCH($D941,MODELOS!$A$3:$A$19,0)))</f>
        <v>2000 × 2000</v>
      </c>
      <c r="I941" s="11" t="str">
        <f aca="false">INDEX(MODELOS!$J$3:$J$19,MATCH($D941,MODELOS!$A$3:$A$19,0))</f>
        <v>SIM</v>
      </c>
      <c r="J941" s="11" t="str">
        <f aca="false">IF(LEFT($D941,2)&lt;&gt;"AP",IF($I941="SIM","SIM","RECOMENDADA"),IF(INDEX(PRODUTOS!$J$4:$J$63,MATCH($A941,PRODUTOS!$B$4:$B$63,0))&lt;&gt;"","NÃO (usa o A+ do EAN "&amp;INDEX(PRODUTOS!$J$4:$J$63,MATCH($A941,PRODUTOS!$B$4:$B$63,0))&amp;")",IF(AND(INDEX(PRODUTOS!$I$4:$I$63,MATCH($A941,PRODUTOS!$B$4:$B$63,0))="B",$D941="AP07"),"NÃO (modelo B)","SIM")))</f>
        <v>SIM</v>
      </c>
      <c r="K941" s="13" t="s">
        <v>325</v>
      </c>
      <c r="L941" s="13"/>
    </row>
    <row r="942" customFormat="false" ht="15" hidden="false" customHeight="false" outlineLevel="0" collapsed="false">
      <c r="A942" s="15" t="s">
        <v>290</v>
      </c>
      <c r="B942" s="11" t="str">
        <f aca="false">INDEX(PRODUTOS!$E$4:$E$63,MATCH($A942,PRODUTOS!$B$4:$B$63,0))</f>
        <v>Granulado Sanitário Natural Dots de Bentonita Perfumada - Pacote 4 kg</v>
      </c>
      <c r="C942" s="11" t="str">
        <f aca="false">INDEX(PRODUTOS!$H$4:$H$63,MATCH($A942,PRODUTOS!$B$4:$B$63,0))</f>
        <v>4 kg</v>
      </c>
      <c r="D942" s="11" t="s">
        <v>328</v>
      </c>
      <c r="E942" s="16" t="str">
        <f aca="false">$A942&amp;"."&amp;$D942&amp;".jpg"</f>
        <v>7898968541924.PT03.jpg</v>
      </c>
      <c r="F942" s="11" t="str">
        <f aca="false">IF(INDEX(PRODUTOS!$I$4:$I$63,MATCH($A942,PRODUTOS!$B$4:$B$63,0))="B",INDEX(MODELOS!$F$3:$F$19,MATCH($D942,MODELOS!$A$3:$A$19,0)),INDEX(MODELOS!$B$3:$B$19,MATCH($D942,MODELOS!$A$3:$A$19,0)))</f>
        <v>Galeria · posição 4</v>
      </c>
      <c r="G942" s="11" t="str">
        <f aca="false">IF(INDEX(PRODUTOS!$F$4:$F$63,MATCH($A942,PRODUTOS!$B$4:$B$63,0))="Ração",IF(INDEX(PRODUTOS!$I$4:$I$63,MATCH($A942,PRODUTOS!$B$4:$B$63,0))="B",INDEX(MODELOS!$G$3:$G$19,MATCH($D942,MODELOS!$A$3:$A$19,0)),INDEX(MODELOS!$C$3:$C$19,MATCH($D942,MODELOS!$A$3:$A$19,0))),IF(INDEX(PRODUTOS!$I$4:$I$63,MATCH($A942,PRODUTOS!$B$4:$B$63,0))="B",INDEX(MODELOS!$H$3:$H$19,MATCH($D942,MODELOS!$A$3:$A$19,0)),INDEX(MODELOS!$D$3:$D$19,MATCH($D942,MODELOS!$A$3:$A$19,0))))</f>
        <v>Detalhe e tamanho real (petisco, grânulo ou tapete aberto), com medidas</v>
      </c>
      <c r="H942" s="11" t="str">
        <f aca="false">IF(INDEX(PRODUTOS!$I$4:$I$63,MATCH($A942,PRODUTOS!$B$4:$B$63,0))="B",INDEX(MODELOS!$I$3:$I$19,MATCH($D942,MODELOS!$A$3:$A$19,0)),INDEX(MODELOS!$E$3:$E$19,MATCH($D942,MODELOS!$A$3:$A$19,0)))</f>
        <v>2000 × 2000</v>
      </c>
      <c r="I942" s="11" t="str">
        <f aca="false">INDEX(MODELOS!$J$3:$J$19,MATCH($D942,MODELOS!$A$3:$A$19,0))</f>
        <v>SIM</v>
      </c>
      <c r="J942" s="11" t="str">
        <f aca="false">IF(LEFT($D942,2)&lt;&gt;"AP",IF($I942="SIM","SIM","RECOMENDADA"),IF(INDEX(PRODUTOS!$J$4:$J$63,MATCH($A942,PRODUTOS!$B$4:$B$63,0))&lt;&gt;"","NÃO (usa o A+ do EAN "&amp;INDEX(PRODUTOS!$J$4:$J$63,MATCH($A942,PRODUTOS!$B$4:$B$63,0))&amp;")",IF(AND(INDEX(PRODUTOS!$I$4:$I$63,MATCH($A942,PRODUTOS!$B$4:$B$63,0))="B",$D942="AP07"),"NÃO (modelo B)","SIM")))</f>
        <v>SIM</v>
      </c>
      <c r="K942" s="13" t="s">
        <v>325</v>
      </c>
      <c r="L942" s="13"/>
    </row>
    <row r="943" customFormat="false" ht="15" hidden="false" customHeight="false" outlineLevel="0" collapsed="false">
      <c r="A943" s="15" t="s">
        <v>290</v>
      </c>
      <c r="B943" s="11" t="str">
        <f aca="false">INDEX(PRODUTOS!$E$4:$E$63,MATCH($A943,PRODUTOS!$B$4:$B$63,0))</f>
        <v>Granulado Sanitário Natural Dots de Bentonita Perfumada - Pacote 4 kg</v>
      </c>
      <c r="C943" s="11" t="str">
        <f aca="false">INDEX(PRODUTOS!$H$4:$H$63,MATCH($A943,PRODUTOS!$B$4:$B$63,0))</f>
        <v>4 kg</v>
      </c>
      <c r="D943" s="11" t="s">
        <v>329</v>
      </c>
      <c r="E943" s="16" t="str">
        <f aca="false">$A943&amp;"."&amp;$D943&amp;".jpg"</f>
        <v>7898968541924.PT04.jpg</v>
      </c>
      <c r="F943" s="11" t="str">
        <f aca="false">IF(INDEX(PRODUTOS!$I$4:$I$63,MATCH($A943,PRODUTOS!$B$4:$B$63,0))="B",INDEX(MODELOS!$F$3:$F$19,MATCH($D943,MODELOS!$A$3:$A$19,0)),INDEX(MODELOS!$B$3:$B$19,MATCH($D943,MODELOS!$A$3:$A$19,0)))</f>
        <v>Galeria · posição 5</v>
      </c>
      <c r="G943" s="11" t="str">
        <f aca="false">IF(INDEX(PRODUTOS!$F$4:$F$63,MATCH($A943,PRODUTOS!$B$4:$B$63,0))="Ração",IF(INDEX(PRODUTOS!$I$4:$I$63,MATCH($A943,PRODUTOS!$B$4:$B$63,0))="B",INDEX(MODELOS!$G$3:$G$19,MATCH($D943,MODELOS!$A$3:$A$19,0)),INDEX(MODELOS!$C$3:$C$19,MATCH($D943,MODELOS!$A$3:$A$19,0))),IF(INDEX(PRODUTOS!$I$4:$I$63,MATCH($A943,PRODUTOS!$B$4:$B$63,0))="B",INDEX(MODELOS!$H$3:$H$19,MATCH($D943,MODELOS!$A$3:$A$19,0)),INDEX(MODELOS!$D$3:$D$19,MATCH($D943,MODELOS!$A$3:$A$19,0))))</f>
        <v>Modo de uso (como oferecer o petisco / como usar o produto)</v>
      </c>
      <c r="H943" s="11" t="str">
        <f aca="false">IF(INDEX(PRODUTOS!$I$4:$I$63,MATCH($A943,PRODUTOS!$B$4:$B$63,0))="B",INDEX(MODELOS!$I$3:$I$19,MATCH($D943,MODELOS!$A$3:$A$19,0)),INDEX(MODELOS!$E$3:$E$19,MATCH($D943,MODELOS!$A$3:$A$19,0)))</f>
        <v>2000 × 2000</v>
      </c>
      <c r="I943" s="11" t="str">
        <f aca="false">INDEX(MODELOS!$J$3:$J$19,MATCH($D943,MODELOS!$A$3:$A$19,0))</f>
        <v>SIM</v>
      </c>
      <c r="J943" s="11" t="str">
        <f aca="false">IF(LEFT($D943,2)&lt;&gt;"AP",IF($I943="SIM","SIM","RECOMENDADA"),IF(INDEX(PRODUTOS!$J$4:$J$63,MATCH($A943,PRODUTOS!$B$4:$B$63,0))&lt;&gt;"","NÃO (usa o A+ do EAN "&amp;INDEX(PRODUTOS!$J$4:$J$63,MATCH($A943,PRODUTOS!$B$4:$B$63,0))&amp;")",IF(AND(INDEX(PRODUTOS!$I$4:$I$63,MATCH($A943,PRODUTOS!$B$4:$B$63,0))="B",$D943="AP07"),"NÃO (modelo B)","SIM")))</f>
        <v>SIM</v>
      </c>
      <c r="K943" s="13" t="s">
        <v>325</v>
      </c>
      <c r="L943" s="13"/>
    </row>
    <row r="944" customFormat="false" ht="15" hidden="false" customHeight="false" outlineLevel="0" collapsed="false">
      <c r="A944" s="15" t="s">
        <v>290</v>
      </c>
      <c r="B944" s="11" t="str">
        <f aca="false">INDEX(PRODUTOS!$E$4:$E$63,MATCH($A944,PRODUTOS!$B$4:$B$63,0))</f>
        <v>Granulado Sanitário Natural Dots de Bentonita Perfumada - Pacote 4 kg</v>
      </c>
      <c r="C944" s="11" t="str">
        <f aca="false">INDEX(PRODUTOS!$H$4:$H$63,MATCH($A944,PRODUTOS!$B$4:$B$63,0))</f>
        <v>4 kg</v>
      </c>
      <c r="D944" s="11" t="s">
        <v>330</v>
      </c>
      <c r="E944" s="16" t="str">
        <f aca="false">$A944&amp;"."&amp;$D944&amp;".jpg"</f>
        <v>7898968541924.PT05.jpg</v>
      </c>
      <c r="F944" s="11" t="str">
        <f aca="false">IF(INDEX(PRODUTOS!$I$4:$I$63,MATCH($A944,PRODUTOS!$B$4:$B$63,0))="B",INDEX(MODELOS!$F$3:$F$19,MATCH($D944,MODELOS!$A$3:$A$19,0)),INDEX(MODELOS!$B$3:$B$19,MATCH($D944,MODELOS!$A$3:$A$19,0)))</f>
        <v>Galeria · posição 6</v>
      </c>
      <c r="G944" s="11" t="str">
        <f aca="false">IF(INDEX(PRODUTOS!$F$4:$F$63,MATCH($A944,PRODUTOS!$B$4:$B$63,0))="Ração",IF(INDEX(PRODUTOS!$I$4:$I$63,MATCH($A944,PRODUTOS!$B$4:$B$63,0))="B",INDEX(MODELOS!$G$3:$G$19,MATCH($D944,MODELOS!$A$3:$A$19,0)),INDEX(MODELOS!$C$3:$C$19,MATCH($D944,MODELOS!$A$3:$A$19,0))),IF(INDEX(PRODUTOS!$I$4:$I$63,MATCH($A944,PRODUTOS!$B$4:$B$63,0))="B",INDEX(MODELOS!$H$3:$H$19,MATCH($D944,MODELOS!$A$3:$A$19,0)),INDEX(MODELOS!$D$3:$D$19,MATCH($D944,MODELOS!$A$3:$A$19,0))))</f>
        <v>Quantidade por dia ou rendimento do pacote</v>
      </c>
      <c r="H944" s="11" t="str">
        <f aca="false">IF(INDEX(PRODUTOS!$I$4:$I$63,MATCH($A944,PRODUTOS!$B$4:$B$63,0))="B",INDEX(MODELOS!$I$3:$I$19,MATCH($D944,MODELOS!$A$3:$A$19,0)),INDEX(MODELOS!$E$3:$E$19,MATCH($D944,MODELOS!$A$3:$A$19,0)))</f>
        <v>2000 × 2000</v>
      </c>
      <c r="I944" s="11" t="str">
        <f aca="false">INDEX(MODELOS!$J$3:$J$19,MATCH($D944,MODELOS!$A$3:$A$19,0))</f>
        <v>Recomendada</v>
      </c>
      <c r="J944" s="11" t="str">
        <f aca="false">IF(LEFT($D944,2)&lt;&gt;"AP",IF($I944="SIM","SIM","RECOMENDADA"),IF(INDEX(PRODUTOS!$J$4:$J$63,MATCH($A944,PRODUTOS!$B$4:$B$63,0))&lt;&gt;"","NÃO (usa o A+ do EAN "&amp;INDEX(PRODUTOS!$J$4:$J$63,MATCH($A944,PRODUTOS!$B$4:$B$63,0))&amp;")",IF(AND(INDEX(PRODUTOS!$I$4:$I$63,MATCH($A944,PRODUTOS!$B$4:$B$63,0))="B",$D944="AP07"),"NÃO (modelo B)","SIM")))</f>
        <v>RECOMENDADA</v>
      </c>
      <c r="K944" s="13" t="s">
        <v>325</v>
      </c>
      <c r="L944" s="13"/>
    </row>
    <row r="945" customFormat="false" ht="15" hidden="false" customHeight="false" outlineLevel="0" collapsed="false">
      <c r="A945" s="15" t="s">
        <v>290</v>
      </c>
      <c r="B945" s="11" t="str">
        <f aca="false">INDEX(PRODUTOS!$E$4:$E$63,MATCH($A945,PRODUTOS!$B$4:$B$63,0))</f>
        <v>Granulado Sanitário Natural Dots de Bentonita Perfumada - Pacote 4 kg</v>
      </c>
      <c r="C945" s="11" t="str">
        <f aca="false">INDEX(PRODUTOS!$H$4:$H$63,MATCH($A945,PRODUTOS!$B$4:$B$63,0))</f>
        <v>4 kg</v>
      </c>
      <c r="D945" s="11" t="s">
        <v>331</v>
      </c>
      <c r="E945" s="16" t="str">
        <f aca="false">$A945&amp;"."&amp;$D945&amp;".jpg"</f>
        <v>7898968541924.PT06.jpg</v>
      </c>
      <c r="F945" s="11" t="str">
        <f aca="false">IF(INDEX(PRODUTOS!$I$4:$I$63,MATCH($A945,PRODUTOS!$B$4:$B$63,0))="B",INDEX(MODELOS!$F$3:$F$19,MATCH($D945,MODELOS!$A$3:$A$19,0)),INDEX(MODELOS!$B$3:$B$19,MATCH($D945,MODELOS!$A$3:$A$19,0)))</f>
        <v>Galeria · posição 7</v>
      </c>
      <c r="G945" s="11" t="str">
        <f aca="false">IF(INDEX(PRODUTOS!$F$4:$F$63,MATCH($A945,PRODUTOS!$B$4:$B$63,0))="Ração",IF(INDEX(PRODUTOS!$I$4:$I$63,MATCH($A945,PRODUTOS!$B$4:$B$63,0))="B",INDEX(MODELOS!$G$3:$G$19,MATCH($D945,MODELOS!$A$3:$A$19,0)),INDEX(MODELOS!$C$3:$C$19,MATCH($D945,MODELOS!$A$3:$A$19,0))),IF(INDEX(PRODUTOS!$I$4:$I$63,MATCH($A945,PRODUTOS!$B$4:$B$63,0))="B",INDEX(MODELOS!$H$3:$H$19,MATCH($D945,MODELOS!$A$3:$A$19,0)),INDEX(MODELOS!$D$3:$D$19,MATCH($D945,MODELOS!$A$3:$A$19,0))))</f>
        <v>Composição/níveis de garantia (petiscos) ou especificações (higiene)</v>
      </c>
      <c r="H945" s="11" t="str">
        <f aca="false">IF(INDEX(PRODUTOS!$I$4:$I$63,MATCH($A945,PRODUTOS!$B$4:$B$63,0))="B",INDEX(MODELOS!$I$3:$I$19,MATCH($D945,MODELOS!$A$3:$A$19,0)),INDEX(MODELOS!$E$3:$E$19,MATCH($D945,MODELOS!$A$3:$A$19,0)))</f>
        <v>2000 × 2000</v>
      </c>
      <c r="I945" s="11" t="str">
        <f aca="false">INDEX(MODELOS!$J$3:$J$19,MATCH($D945,MODELOS!$A$3:$A$19,0))</f>
        <v>SIM</v>
      </c>
      <c r="J945" s="11" t="str">
        <f aca="false">IF(LEFT($D945,2)&lt;&gt;"AP",IF($I945="SIM","SIM","RECOMENDADA"),IF(INDEX(PRODUTOS!$J$4:$J$63,MATCH($A945,PRODUTOS!$B$4:$B$63,0))&lt;&gt;"","NÃO (usa o A+ do EAN "&amp;INDEX(PRODUTOS!$J$4:$J$63,MATCH($A945,PRODUTOS!$B$4:$B$63,0))&amp;")",IF(AND(INDEX(PRODUTOS!$I$4:$I$63,MATCH($A945,PRODUTOS!$B$4:$B$63,0))="B",$D945="AP07"),"NÃO (modelo B)","SIM")))</f>
        <v>SIM</v>
      </c>
      <c r="K945" s="13" t="s">
        <v>325</v>
      </c>
      <c r="L945" s="13"/>
    </row>
    <row r="946" customFormat="false" ht="15" hidden="false" customHeight="false" outlineLevel="0" collapsed="false">
      <c r="A946" s="15" t="s">
        <v>290</v>
      </c>
      <c r="B946" s="11" t="str">
        <f aca="false">INDEX(PRODUTOS!$E$4:$E$63,MATCH($A946,PRODUTOS!$B$4:$B$63,0))</f>
        <v>Granulado Sanitário Natural Dots de Bentonita Perfumada - Pacote 4 kg</v>
      </c>
      <c r="C946" s="11" t="str">
        <f aca="false">INDEX(PRODUTOS!$H$4:$H$63,MATCH($A946,PRODUTOS!$B$4:$B$63,0))</f>
        <v>4 kg</v>
      </c>
      <c r="D946" s="11" t="s">
        <v>332</v>
      </c>
      <c r="E946" s="16" t="str">
        <f aca="false">$A946&amp;"."&amp;$D946&amp;".jpg"</f>
        <v>7898968541924.PT07.jpg</v>
      </c>
      <c r="F946" s="11" t="str">
        <f aca="false">IF(INDEX(PRODUTOS!$I$4:$I$63,MATCH($A946,PRODUTOS!$B$4:$B$63,0))="B",INDEX(MODELOS!$F$3:$F$19,MATCH($D946,MODELOS!$A$3:$A$19,0)),INDEX(MODELOS!$B$3:$B$19,MATCH($D946,MODELOS!$A$3:$A$19,0)))</f>
        <v>Galeria · posição 8</v>
      </c>
      <c r="G946" s="11" t="str">
        <f aca="false">IF(INDEX(PRODUTOS!$F$4:$F$63,MATCH($A946,PRODUTOS!$B$4:$B$63,0))="Ração",IF(INDEX(PRODUTOS!$I$4:$I$63,MATCH($A946,PRODUTOS!$B$4:$B$63,0))="B",INDEX(MODELOS!$G$3:$G$19,MATCH($D946,MODELOS!$A$3:$A$19,0)),INDEX(MODELOS!$C$3:$C$19,MATCH($D946,MODELOS!$A$3:$A$19,0))),IF(INDEX(PRODUTOS!$I$4:$I$63,MATCH($A946,PRODUTOS!$B$4:$B$63,0))="B",INDEX(MODELOS!$H$3:$H$19,MATCH($D946,MODELOS!$A$3:$A$19,0)),INDEX(MODELOS!$D$3:$D$19,MATCH($D946,MODELOS!$A$3:$A$19,0))))</f>
        <v>Emocional / momento de uso</v>
      </c>
      <c r="H946" s="11" t="str">
        <f aca="false">IF(INDEX(PRODUTOS!$I$4:$I$63,MATCH($A946,PRODUTOS!$B$4:$B$63,0))="B",INDEX(MODELOS!$I$3:$I$19,MATCH($D946,MODELOS!$A$3:$A$19,0)),INDEX(MODELOS!$E$3:$E$19,MATCH($D946,MODELOS!$A$3:$A$19,0)))</f>
        <v>2000 × 2000</v>
      </c>
      <c r="I946" s="11" t="str">
        <f aca="false">INDEX(MODELOS!$J$3:$J$19,MATCH($D946,MODELOS!$A$3:$A$19,0))</f>
        <v>Recomendada</v>
      </c>
      <c r="J946" s="11" t="str">
        <f aca="false">IF(LEFT($D946,2)&lt;&gt;"AP",IF($I946="SIM","SIM","RECOMENDADA"),IF(INDEX(PRODUTOS!$J$4:$J$63,MATCH($A946,PRODUTOS!$B$4:$B$63,0))&lt;&gt;"","NÃO (usa o A+ do EAN "&amp;INDEX(PRODUTOS!$J$4:$J$63,MATCH($A946,PRODUTOS!$B$4:$B$63,0))&amp;")",IF(AND(INDEX(PRODUTOS!$I$4:$I$63,MATCH($A946,PRODUTOS!$B$4:$B$63,0))="B",$D946="AP07"),"NÃO (modelo B)","SIM")))</f>
        <v>RECOMENDADA</v>
      </c>
      <c r="K946" s="13" t="s">
        <v>325</v>
      </c>
      <c r="L946" s="13"/>
    </row>
    <row r="947" customFormat="false" ht="15" hidden="false" customHeight="false" outlineLevel="0" collapsed="false">
      <c r="A947" s="15" t="s">
        <v>290</v>
      </c>
      <c r="B947" s="11" t="str">
        <f aca="false">INDEX(PRODUTOS!$E$4:$E$63,MATCH($A947,PRODUTOS!$B$4:$B$63,0))</f>
        <v>Granulado Sanitário Natural Dots de Bentonita Perfumada - Pacote 4 kg</v>
      </c>
      <c r="C947" s="11" t="str">
        <f aca="false">INDEX(PRODUTOS!$H$4:$H$63,MATCH($A947,PRODUTOS!$B$4:$B$63,0))</f>
        <v>4 kg</v>
      </c>
      <c r="D947" s="11" t="s">
        <v>333</v>
      </c>
      <c r="E947" s="16" t="str">
        <f aca="false">$A947&amp;"."&amp;$D947&amp;".jpg"</f>
        <v>7898968541924.PT08.jpg</v>
      </c>
      <c r="F947" s="11" t="str">
        <f aca="false">IF(INDEX(PRODUTOS!$I$4:$I$63,MATCH($A947,PRODUTOS!$B$4:$B$63,0))="B",INDEX(MODELOS!$F$3:$F$19,MATCH($D947,MODELOS!$A$3:$A$19,0)),INDEX(MODELOS!$B$3:$B$19,MATCH($D947,MODELOS!$A$3:$A$19,0)))</f>
        <v>Galeria · posição 9</v>
      </c>
      <c r="G947" s="11" t="str">
        <f aca="false">IF(INDEX(PRODUTOS!$F$4:$F$63,MATCH($A947,PRODUTOS!$B$4:$B$63,0))="Ração",IF(INDEX(PRODUTOS!$I$4:$I$63,MATCH($A947,PRODUTOS!$B$4:$B$63,0))="B",INDEX(MODELOS!$G$3:$G$19,MATCH($D947,MODELOS!$A$3:$A$19,0)),INDEX(MODELOS!$C$3:$C$19,MATCH($D947,MODELOS!$A$3:$A$19,0))),IF(INDEX(PRODUTOS!$I$4:$I$63,MATCH($A947,PRODUTOS!$B$4:$B$63,0))="B",INDEX(MODELOS!$H$3:$H$19,MATCH($D947,MODELOS!$A$3:$A$19,0)),INDEX(MODELOS!$D$3:$D$19,MATCH($D947,MODELOS!$A$3:$A$19,0))))</f>
        <v>Linha da marca ("conheça também")</v>
      </c>
      <c r="H947" s="11" t="str">
        <f aca="false">IF(INDEX(PRODUTOS!$I$4:$I$63,MATCH($A947,PRODUTOS!$B$4:$B$63,0))="B",INDEX(MODELOS!$I$3:$I$19,MATCH($D947,MODELOS!$A$3:$A$19,0)),INDEX(MODELOS!$E$3:$E$19,MATCH($D947,MODELOS!$A$3:$A$19,0)))</f>
        <v>2000 × 2000</v>
      </c>
      <c r="I947" s="11" t="str">
        <f aca="false">INDEX(MODELOS!$J$3:$J$19,MATCH($D947,MODELOS!$A$3:$A$19,0))</f>
        <v>Recomendada</v>
      </c>
      <c r="J947" s="11" t="str">
        <f aca="false">IF(LEFT($D947,2)&lt;&gt;"AP",IF($I947="SIM","SIM","RECOMENDADA"),IF(INDEX(PRODUTOS!$J$4:$J$63,MATCH($A947,PRODUTOS!$B$4:$B$63,0))&lt;&gt;"","NÃO (usa o A+ do EAN "&amp;INDEX(PRODUTOS!$J$4:$J$63,MATCH($A947,PRODUTOS!$B$4:$B$63,0))&amp;")",IF(AND(INDEX(PRODUTOS!$I$4:$I$63,MATCH($A947,PRODUTOS!$B$4:$B$63,0))="B",$D947="AP07"),"NÃO (modelo B)","SIM")))</f>
        <v>RECOMENDADA</v>
      </c>
      <c r="K947" s="13" t="s">
        <v>325</v>
      </c>
      <c r="L947" s="13"/>
    </row>
    <row r="948" customFormat="false" ht="15" hidden="false" customHeight="false" outlineLevel="0" collapsed="false">
      <c r="A948" s="15" t="s">
        <v>290</v>
      </c>
      <c r="B948" s="11" t="str">
        <f aca="false">INDEX(PRODUTOS!$E$4:$E$63,MATCH($A948,PRODUTOS!$B$4:$B$63,0))</f>
        <v>Granulado Sanitário Natural Dots de Bentonita Perfumada - Pacote 4 kg</v>
      </c>
      <c r="C948" s="11" t="str">
        <f aca="false">INDEX(PRODUTOS!$H$4:$H$63,MATCH($A948,PRODUTOS!$B$4:$B$63,0))</f>
        <v>4 kg</v>
      </c>
      <c r="D948" s="11" t="s">
        <v>334</v>
      </c>
      <c r="E948" s="16" t="str">
        <f aca="false">$A948&amp;"."&amp;$D948&amp;".jpg"</f>
        <v>7898968541924.AP01.jpg</v>
      </c>
      <c r="F948" s="11" t="str">
        <f aca="false">IF(INDEX(PRODUTOS!$I$4:$I$63,MATCH($A948,PRODUTOS!$B$4:$B$63,0))="B",INDEX(MODELOS!$F$3:$F$19,MATCH($D948,MODELOS!$A$3:$A$19,0)),INDEX(MODELOS!$B$3:$B$19,MATCH($D948,MODELOS!$A$3:$A$19,0)))</f>
        <v>A+ · Módulo 1 · Banner</v>
      </c>
      <c r="G948" s="11" t="str">
        <f aca="false">IF(INDEX(PRODUTOS!$F$4:$F$63,MATCH($A948,PRODUTOS!$B$4:$B$63,0))="Ração",IF(INDEX(PRODUTOS!$I$4:$I$63,MATCH($A948,PRODUTOS!$B$4:$B$63,0))="B",INDEX(MODELOS!$G$3:$G$19,MATCH($D948,MODELOS!$A$3:$A$19,0)),INDEX(MODELOS!$C$3:$C$19,MATCH($D948,MODELOS!$A$3:$A$19,0))),IF(INDEX(PRODUTOS!$I$4:$I$63,MATCH($A948,PRODUTOS!$B$4:$B$63,0))="B",INDEX(MODELOS!$H$3:$H$19,MATCH($D948,MODELOS!$A$3:$A$19,0)),INDEX(MODELOS!$D$3:$D$19,MATCH($D948,MODELOS!$A$3:$A$19,0))))</f>
        <v>Produto + pet, com o nome da linha</v>
      </c>
      <c r="H948" s="11" t="str">
        <f aca="false">IF(INDEX(PRODUTOS!$I$4:$I$63,MATCH($A948,PRODUTOS!$B$4:$B$63,0))="B",INDEX(MODELOS!$I$3:$I$19,MATCH($D948,MODELOS!$A$3:$A$19,0)),INDEX(MODELOS!$E$3:$E$19,MATCH($D948,MODELOS!$A$3:$A$19,0)))</f>
        <v>970 × 600</v>
      </c>
      <c r="I948" s="11" t="str">
        <f aca="false">INDEX(MODELOS!$J$3:$J$19,MATCH($D948,MODELOS!$A$3:$A$19,0))</f>
        <v>Conforme modelo</v>
      </c>
      <c r="J948" s="11" t="str">
        <f aca="false">IF(LEFT($D948,2)&lt;&gt;"AP",IF($I948="SIM","SIM","RECOMENDADA"),IF(INDEX(PRODUTOS!$J$4:$J$63,MATCH($A948,PRODUTOS!$B$4:$B$63,0))&lt;&gt;"","NÃO (usa o A+ do EAN "&amp;INDEX(PRODUTOS!$J$4:$J$63,MATCH($A948,PRODUTOS!$B$4:$B$63,0))&amp;")",IF(AND(INDEX(PRODUTOS!$I$4:$I$63,MATCH($A948,PRODUTOS!$B$4:$B$63,0))="B",$D948="AP07"),"NÃO (modelo B)","SIM")))</f>
        <v>SIM</v>
      </c>
      <c r="K948" s="13" t="s">
        <v>325</v>
      </c>
      <c r="L948" s="13"/>
    </row>
    <row r="949" customFormat="false" ht="15" hidden="false" customHeight="false" outlineLevel="0" collapsed="false">
      <c r="A949" s="15" t="s">
        <v>290</v>
      </c>
      <c r="B949" s="11" t="str">
        <f aca="false">INDEX(PRODUTOS!$E$4:$E$63,MATCH($A949,PRODUTOS!$B$4:$B$63,0))</f>
        <v>Granulado Sanitário Natural Dots de Bentonita Perfumada - Pacote 4 kg</v>
      </c>
      <c r="C949" s="11" t="str">
        <f aca="false">INDEX(PRODUTOS!$H$4:$H$63,MATCH($A949,PRODUTOS!$B$4:$B$63,0))</f>
        <v>4 kg</v>
      </c>
      <c r="D949" s="11" t="s">
        <v>335</v>
      </c>
      <c r="E949" s="16" t="str">
        <f aca="false">$A949&amp;"."&amp;$D949&amp;".jpg"</f>
        <v>7898968541924.AP02.jpg</v>
      </c>
      <c r="F949" s="11" t="str">
        <f aca="false">IF(INDEX(PRODUTOS!$I$4:$I$63,MATCH($A949,PRODUTOS!$B$4:$B$63,0))="B",INDEX(MODELOS!$F$3:$F$19,MATCH($D949,MODELOS!$A$3:$A$19,0)),INDEX(MODELOS!$B$3:$B$19,MATCH($D949,MODELOS!$A$3:$A$19,0)))</f>
        <v>A+ · Módulo 2 · Texto sobreposto</v>
      </c>
      <c r="G949" s="11" t="str">
        <f aca="false">IF(INDEX(PRODUTOS!$F$4:$F$63,MATCH($A949,PRODUTOS!$B$4:$B$63,0))="Ração",IF(INDEX(PRODUTOS!$I$4:$I$63,MATCH($A949,PRODUTOS!$B$4:$B$63,0))="B",INDEX(MODELOS!$G$3:$G$19,MATCH($D949,MODELOS!$A$3:$A$19,0)),INDEX(MODELOS!$C$3:$C$19,MATCH($D949,MODELOS!$A$3:$A$19,0))),IF(INDEX(PRODUTOS!$I$4:$I$63,MATCH($A949,PRODUTOS!$B$4:$B$63,0))="B",INDEX(MODELOS!$H$3:$H$19,MATCH($D949,MODELOS!$A$3:$A$19,0)),INDEX(MODELOS!$D$3:$D$19,MATCH($D949,MODELOS!$A$3:$A$19,0))))</f>
        <v>Principal diferencial; deixar o lado direito limpo</v>
      </c>
      <c r="H949" s="11" t="str">
        <f aca="false">IF(INDEX(PRODUTOS!$I$4:$I$63,MATCH($A949,PRODUTOS!$B$4:$B$63,0))="B",INDEX(MODELOS!$I$3:$I$19,MATCH($D949,MODELOS!$A$3:$A$19,0)),INDEX(MODELOS!$E$3:$E$19,MATCH($D949,MODELOS!$A$3:$A$19,0)))</f>
        <v>970 × 300</v>
      </c>
      <c r="I949" s="11" t="str">
        <f aca="false">INDEX(MODELOS!$J$3:$J$19,MATCH($D949,MODELOS!$A$3:$A$19,0))</f>
        <v>Conforme modelo</v>
      </c>
      <c r="J949" s="11" t="str">
        <f aca="false">IF(LEFT($D949,2)&lt;&gt;"AP",IF($I949="SIM","SIM","RECOMENDADA"),IF(INDEX(PRODUTOS!$J$4:$J$63,MATCH($A949,PRODUTOS!$B$4:$B$63,0))&lt;&gt;"","NÃO (usa o A+ do EAN "&amp;INDEX(PRODUTOS!$J$4:$J$63,MATCH($A949,PRODUTOS!$B$4:$B$63,0))&amp;")",IF(AND(INDEX(PRODUTOS!$I$4:$I$63,MATCH($A949,PRODUTOS!$B$4:$B$63,0))="B",$D949="AP07"),"NÃO (modelo B)","SIM")))</f>
        <v>SIM</v>
      </c>
      <c r="K949" s="13" t="s">
        <v>325</v>
      </c>
      <c r="L949" s="13"/>
    </row>
    <row r="950" customFormat="false" ht="15" hidden="false" customHeight="false" outlineLevel="0" collapsed="false">
      <c r="A950" s="15" t="s">
        <v>290</v>
      </c>
      <c r="B950" s="11" t="str">
        <f aca="false">INDEX(PRODUTOS!$E$4:$E$63,MATCH($A950,PRODUTOS!$B$4:$B$63,0))</f>
        <v>Granulado Sanitário Natural Dots de Bentonita Perfumada - Pacote 4 kg</v>
      </c>
      <c r="C950" s="11" t="str">
        <f aca="false">INDEX(PRODUTOS!$H$4:$H$63,MATCH($A950,PRODUTOS!$B$4:$B$63,0))</f>
        <v>4 kg</v>
      </c>
      <c r="D950" s="11" t="s">
        <v>336</v>
      </c>
      <c r="E950" s="16" t="str">
        <f aca="false">$A950&amp;"."&amp;$D950&amp;".jpg"</f>
        <v>7898968541924.AP03.jpg</v>
      </c>
      <c r="F950" s="11" t="str">
        <f aca="false">IF(INDEX(PRODUTOS!$I$4:$I$63,MATCH($A950,PRODUTOS!$B$4:$B$63,0))="B",INDEX(MODELOS!$F$3:$F$19,MATCH($D950,MODELOS!$A$3:$A$19,0)),INDEX(MODELOS!$B$3:$B$19,MATCH($D950,MODELOS!$A$3:$A$19,0)))</f>
        <v>A+ · Módulo 3 · Benefício 1 de 4</v>
      </c>
      <c r="G950" s="11" t="str">
        <f aca="false">IF(INDEX(PRODUTOS!$F$4:$F$63,MATCH($A950,PRODUTOS!$B$4:$B$63,0))="Ração",IF(INDEX(PRODUTOS!$I$4:$I$63,MATCH($A950,PRODUTOS!$B$4:$B$63,0))="B",INDEX(MODELOS!$G$3:$G$19,MATCH($D950,MODELOS!$A$3:$A$19,0)),INDEX(MODELOS!$C$3:$C$19,MATCH($D950,MODELOS!$A$3:$A$19,0))),IF(INDEX(PRODUTOS!$I$4:$I$63,MATCH($A950,PRODUTOS!$B$4:$B$63,0))="B",INDEX(MODELOS!$H$3:$H$19,MATCH($D950,MODELOS!$A$3:$A$19,0)),INDEX(MODELOS!$D$3:$D$19,MATCH($D950,MODELOS!$A$3:$A$19,0))))</f>
        <v>Foto/ilustração do benefício 1</v>
      </c>
      <c r="H950" s="11" t="str">
        <f aca="false">IF(INDEX(PRODUTOS!$I$4:$I$63,MATCH($A950,PRODUTOS!$B$4:$B$63,0))="B",INDEX(MODELOS!$I$3:$I$19,MATCH($D950,MODELOS!$A$3:$A$19,0)),INDEX(MODELOS!$E$3:$E$19,MATCH($D950,MODELOS!$A$3:$A$19,0)))</f>
        <v>220 × 200</v>
      </c>
      <c r="I950" s="11" t="str">
        <f aca="false">INDEX(MODELOS!$J$3:$J$19,MATCH($D950,MODELOS!$A$3:$A$19,0))</f>
        <v>Conforme modelo</v>
      </c>
      <c r="J950" s="11" t="str">
        <f aca="false">IF(LEFT($D950,2)&lt;&gt;"AP",IF($I950="SIM","SIM","RECOMENDADA"),IF(INDEX(PRODUTOS!$J$4:$J$63,MATCH($A950,PRODUTOS!$B$4:$B$63,0))&lt;&gt;"","NÃO (usa o A+ do EAN "&amp;INDEX(PRODUTOS!$J$4:$J$63,MATCH($A950,PRODUTOS!$B$4:$B$63,0))&amp;")",IF(AND(INDEX(PRODUTOS!$I$4:$I$63,MATCH($A950,PRODUTOS!$B$4:$B$63,0))="B",$D950="AP07"),"NÃO (modelo B)","SIM")))</f>
        <v>SIM</v>
      </c>
      <c r="K950" s="13" t="s">
        <v>325</v>
      </c>
      <c r="L950" s="13"/>
    </row>
    <row r="951" customFormat="false" ht="15" hidden="false" customHeight="false" outlineLevel="0" collapsed="false">
      <c r="A951" s="15" t="s">
        <v>290</v>
      </c>
      <c r="B951" s="11" t="str">
        <f aca="false">INDEX(PRODUTOS!$E$4:$E$63,MATCH($A951,PRODUTOS!$B$4:$B$63,0))</f>
        <v>Granulado Sanitário Natural Dots de Bentonita Perfumada - Pacote 4 kg</v>
      </c>
      <c r="C951" s="11" t="str">
        <f aca="false">INDEX(PRODUTOS!$H$4:$H$63,MATCH($A951,PRODUTOS!$B$4:$B$63,0))</f>
        <v>4 kg</v>
      </c>
      <c r="D951" s="11" t="s">
        <v>337</v>
      </c>
      <c r="E951" s="16" t="str">
        <f aca="false">$A951&amp;"."&amp;$D951&amp;".jpg"</f>
        <v>7898968541924.AP04.jpg</v>
      </c>
      <c r="F951" s="11" t="str">
        <f aca="false">IF(INDEX(PRODUTOS!$I$4:$I$63,MATCH($A951,PRODUTOS!$B$4:$B$63,0))="B",INDEX(MODELOS!$F$3:$F$19,MATCH($D951,MODELOS!$A$3:$A$19,0)),INDEX(MODELOS!$B$3:$B$19,MATCH($D951,MODELOS!$A$3:$A$19,0)))</f>
        <v>A+ · Módulo 3 · Benefício 2 de 4</v>
      </c>
      <c r="G951" s="11" t="str">
        <f aca="false">IF(INDEX(PRODUTOS!$F$4:$F$63,MATCH($A951,PRODUTOS!$B$4:$B$63,0))="Ração",IF(INDEX(PRODUTOS!$I$4:$I$63,MATCH($A951,PRODUTOS!$B$4:$B$63,0))="B",INDEX(MODELOS!$G$3:$G$19,MATCH($D951,MODELOS!$A$3:$A$19,0)),INDEX(MODELOS!$C$3:$C$19,MATCH($D951,MODELOS!$A$3:$A$19,0))),IF(INDEX(PRODUTOS!$I$4:$I$63,MATCH($A951,PRODUTOS!$B$4:$B$63,0))="B",INDEX(MODELOS!$H$3:$H$19,MATCH($D951,MODELOS!$A$3:$A$19,0)),INDEX(MODELOS!$D$3:$D$19,MATCH($D951,MODELOS!$A$3:$A$19,0))))</f>
        <v>Foto/ilustração do benefício 2</v>
      </c>
      <c r="H951" s="11" t="str">
        <f aca="false">IF(INDEX(PRODUTOS!$I$4:$I$63,MATCH($A951,PRODUTOS!$B$4:$B$63,0))="B",INDEX(MODELOS!$I$3:$I$19,MATCH($D951,MODELOS!$A$3:$A$19,0)),INDEX(MODELOS!$E$3:$E$19,MATCH($D951,MODELOS!$A$3:$A$19,0)))</f>
        <v>220 × 200</v>
      </c>
      <c r="I951" s="11" t="str">
        <f aca="false">INDEX(MODELOS!$J$3:$J$19,MATCH($D951,MODELOS!$A$3:$A$19,0))</f>
        <v>Conforme modelo</v>
      </c>
      <c r="J951" s="11" t="str">
        <f aca="false">IF(LEFT($D951,2)&lt;&gt;"AP",IF($I951="SIM","SIM","RECOMENDADA"),IF(INDEX(PRODUTOS!$J$4:$J$63,MATCH($A951,PRODUTOS!$B$4:$B$63,0))&lt;&gt;"","NÃO (usa o A+ do EAN "&amp;INDEX(PRODUTOS!$J$4:$J$63,MATCH($A951,PRODUTOS!$B$4:$B$63,0))&amp;")",IF(AND(INDEX(PRODUTOS!$I$4:$I$63,MATCH($A951,PRODUTOS!$B$4:$B$63,0))="B",$D951="AP07"),"NÃO (modelo B)","SIM")))</f>
        <v>SIM</v>
      </c>
      <c r="K951" s="13" t="s">
        <v>325</v>
      </c>
      <c r="L951" s="13"/>
    </row>
    <row r="952" customFormat="false" ht="15" hidden="false" customHeight="false" outlineLevel="0" collapsed="false">
      <c r="A952" s="15" t="s">
        <v>290</v>
      </c>
      <c r="B952" s="11" t="str">
        <f aca="false">INDEX(PRODUTOS!$E$4:$E$63,MATCH($A952,PRODUTOS!$B$4:$B$63,0))</f>
        <v>Granulado Sanitário Natural Dots de Bentonita Perfumada - Pacote 4 kg</v>
      </c>
      <c r="C952" s="11" t="str">
        <f aca="false">INDEX(PRODUTOS!$H$4:$H$63,MATCH($A952,PRODUTOS!$B$4:$B$63,0))</f>
        <v>4 kg</v>
      </c>
      <c r="D952" s="11" t="s">
        <v>338</v>
      </c>
      <c r="E952" s="16" t="str">
        <f aca="false">$A952&amp;"."&amp;$D952&amp;".jpg"</f>
        <v>7898968541924.AP05.jpg</v>
      </c>
      <c r="F952" s="11" t="str">
        <f aca="false">IF(INDEX(PRODUTOS!$I$4:$I$63,MATCH($A952,PRODUTOS!$B$4:$B$63,0))="B",INDEX(MODELOS!$F$3:$F$19,MATCH($D952,MODELOS!$A$3:$A$19,0)),INDEX(MODELOS!$B$3:$B$19,MATCH($D952,MODELOS!$A$3:$A$19,0)))</f>
        <v>A+ · Módulo 3 · Benefício 3 de 4</v>
      </c>
      <c r="G952" s="11" t="str">
        <f aca="false">IF(INDEX(PRODUTOS!$F$4:$F$63,MATCH($A952,PRODUTOS!$B$4:$B$63,0))="Ração",IF(INDEX(PRODUTOS!$I$4:$I$63,MATCH($A952,PRODUTOS!$B$4:$B$63,0))="B",INDEX(MODELOS!$G$3:$G$19,MATCH($D952,MODELOS!$A$3:$A$19,0)),INDEX(MODELOS!$C$3:$C$19,MATCH($D952,MODELOS!$A$3:$A$19,0))),IF(INDEX(PRODUTOS!$I$4:$I$63,MATCH($A952,PRODUTOS!$B$4:$B$63,0))="B",INDEX(MODELOS!$H$3:$H$19,MATCH($D952,MODELOS!$A$3:$A$19,0)),INDEX(MODELOS!$D$3:$D$19,MATCH($D952,MODELOS!$A$3:$A$19,0))))</f>
        <v>Foto/ilustração do benefício 3</v>
      </c>
      <c r="H952" s="11" t="str">
        <f aca="false">IF(INDEX(PRODUTOS!$I$4:$I$63,MATCH($A952,PRODUTOS!$B$4:$B$63,0))="B",INDEX(MODELOS!$I$3:$I$19,MATCH($D952,MODELOS!$A$3:$A$19,0)),INDEX(MODELOS!$E$3:$E$19,MATCH($D952,MODELOS!$A$3:$A$19,0)))</f>
        <v>220 × 200</v>
      </c>
      <c r="I952" s="11" t="str">
        <f aca="false">INDEX(MODELOS!$J$3:$J$19,MATCH($D952,MODELOS!$A$3:$A$19,0))</f>
        <v>Conforme modelo</v>
      </c>
      <c r="J952" s="11" t="str">
        <f aca="false">IF(LEFT($D952,2)&lt;&gt;"AP",IF($I952="SIM","SIM","RECOMENDADA"),IF(INDEX(PRODUTOS!$J$4:$J$63,MATCH($A952,PRODUTOS!$B$4:$B$63,0))&lt;&gt;"","NÃO (usa o A+ do EAN "&amp;INDEX(PRODUTOS!$J$4:$J$63,MATCH($A952,PRODUTOS!$B$4:$B$63,0))&amp;")",IF(AND(INDEX(PRODUTOS!$I$4:$I$63,MATCH($A952,PRODUTOS!$B$4:$B$63,0))="B",$D952="AP07"),"NÃO (modelo B)","SIM")))</f>
        <v>SIM</v>
      </c>
      <c r="K952" s="13" t="s">
        <v>325</v>
      </c>
      <c r="L952" s="13"/>
    </row>
    <row r="953" customFormat="false" ht="15" hidden="false" customHeight="false" outlineLevel="0" collapsed="false">
      <c r="A953" s="15" t="s">
        <v>290</v>
      </c>
      <c r="B953" s="11" t="str">
        <f aca="false">INDEX(PRODUTOS!$E$4:$E$63,MATCH($A953,PRODUTOS!$B$4:$B$63,0))</f>
        <v>Granulado Sanitário Natural Dots de Bentonita Perfumada - Pacote 4 kg</v>
      </c>
      <c r="C953" s="11" t="str">
        <f aca="false">INDEX(PRODUTOS!$H$4:$H$63,MATCH($A953,PRODUTOS!$B$4:$B$63,0))</f>
        <v>4 kg</v>
      </c>
      <c r="D953" s="11" t="s">
        <v>339</v>
      </c>
      <c r="E953" s="16" t="str">
        <f aca="false">$A953&amp;"."&amp;$D953&amp;".jpg"</f>
        <v>7898968541924.AP06.jpg</v>
      </c>
      <c r="F953" s="11" t="str">
        <f aca="false">IF(INDEX(PRODUTOS!$I$4:$I$63,MATCH($A953,PRODUTOS!$B$4:$B$63,0))="B",INDEX(MODELOS!$F$3:$F$19,MATCH($D953,MODELOS!$A$3:$A$19,0)),INDEX(MODELOS!$B$3:$B$19,MATCH($D953,MODELOS!$A$3:$A$19,0)))</f>
        <v>A+ · Módulo 3 · Benefício 4 de 4</v>
      </c>
      <c r="G953" s="11" t="str">
        <f aca="false">IF(INDEX(PRODUTOS!$F$4:$F$63,MATCH($A953,PRODUTOS!$B$4:$B$63,0))="Ração",IF(INDEX(PRODUTOS!$I$4:$I$63,MATCH($A953,PRODUTOS!$B$4:$B$63,0))="B",INDEX(MODELOS!$G$3:$G$19,MATCH($D953,MODELOS!$A$3:$A$19,0)),INDEX(MODELOS!$C$3:$C$19,MATCH($D953,MODELOS!$A$3:$A$19,0))),IF(INDEX(PRODUTOS!$I$4:$I$63,MATCH($A953,PRODUTOS!$B$4:$B$63,0))="B",INDEX(MODELOS!$H$3:$H$19,MATCH($D953,MODELOS!$A$3:$A$19,0)),INDEX(MODELOS!$D$3:$D$19,MATCH($D953,MODELOS!$A$3:$A$19,0))))</f>
        <v>Foto/ilustração do benefício 4</v>
      </c>
      <c r="H953" s="11" t="str">
        <f aca="false">IF(INDEX(PRODUTOS!$I$4:$I$63,MATCH($A953,PRODUTOS!$B$4:$B$63,0))="B",INDEX(MODELOS!$I$3:$I$19,MATCH($D953,MODELOS!$A$3:$A$19,0)),INDEX(MODELOS!$E$3:$E$19,MATCH($D953,MODELOS!$A$3:$A$19,0)))</f>
        <v>220 × 200</v>
      </c>
      <c r="I953" s="11" t="str">
        <f aca="false">INDEX(MODELOS!$J$3:$J$19,MATCH($D953,MODELOS!$A$3:$A$19,0))</f>
        <v>Conforme modelo</v>
      </c>
      <c r="J953" s="11" t="str">
        <f aca="false">IF(LEFT($D953,2)&lt;&gt;"AP",IF($I953="SIM","SIM","RECOMENDADA"),IF(INDEX(PRODUTOS!$J$4:$J$63,MATCH($A953,PRODUTOS!$B$4:$B$63,0))&lt;&gt;"","NÃO (usa o A+ do EAN "&amp;INDEX(PRODUTOS!$J$4:$J$63,MATCH($A953,PRODUTOS!$B$4:$B$63,0))&amp;")",IF(AND(INDEX(PRODUTOS!$I$4:$I$63,MATCH($A953,PRODUTOS!$B$4:$B$63,0))="B",$D953="AP07"),"NÃO (modelo B)","SIM")))</f>
        <v>SIM</v>
      </c>
      <c r="K953" s="13" t="s">
        <v>325</v>
      </c>
      <c r="L953" s="13"/>
    </row>
    <row r="954" customFormat="false" ht="15" hidden="false" customHeight="false" outlineLevel="0" collapsed="false">
      <c r="A954" s="15" t="s">
        <v>290</v>
      </c>
      <c r="B954" s="11" t="str">
        <f aca="false">INDEX(PRODUTOS!$E$4:$E$63,MATCH($A954,PRODUTOS!$B$4:$B$63,0))</f>
        <v>Granulado Sanitário Natural Dots de Bentonita Perfumada - Pacote 4 kg</v>
      </c>
      <c r="C954" s="11" t="str">
        <f aca="false">INDEX(PRODUTOS!$H$4:$H$63,MATCH($A954,PRODUTOS!$B$4:$B$63,0))</f>
        <v>4 kg</v>
      </c>
      <c r="D954" s="11" t="s">
        <v>340</v>
      </c>
      <c r="E954" s="16" t="str">
        <f aca="false">$A954&amp;"."&amp;$D954&amp;".jpg"</f>
        <v>7898968541924.AP07.jpg</v>
      </c>
      <c r="F954" s="11" t="str">
        <f aca="false">IF(INDEX(PRODUTOS!$I$4:$I$63,MATCH($A954,PRODUTOS!$B$4:$B$63,0))="B",INDEX(MODELOS!$F$3:$F$19,MATCH($D954,MODELOS!$A$3:$A$19,0)),INDEX(MODELOS!$B$3:$B$19,MATCH($D954,MODELOS!$A$3:$A$19,0)))</f>
        <v>A+ · Módulo 4 · Especificações</v>
      </c>
      <c r="G954" s="11" t="str">
        <f aca="false">IF(INDEX(PRODUTOS!$F$4:$F$63,MATCH($A954,PRODUTOS!$B$4:$B$63,0))="Ração",IF(INDEX(PRODUTOS!$I$4:$I$63,MATCH($A954,PRODUTOS!$B$4:$B$63,0))="B",INDEX(MODELOS!$G$3:$G$19,MATCH($D954,MODELOS!$A$3:$A$19,0)),INDEX(MODELOS!$C$3:$C$19,MATCH($D954,MODELOS!$A$3:$A$19,0))),IF(INDEX(PRODUTOS!$I$4:$I$63,MATCH($A954,PRODUTOS!$B$4:$B$63,0))="B",INDEX(MODELOS!$H$3:$H$19,MATCH($D954,MODELOS!$A$3:$A$19,0)),INDEX(MODELOS!$D$3:$D$19,MATCH($D954,MODELOS!$A$3:$A$19,0))))</f>
        <v>Produto em destaque</v>
      </c>
      <c r="H954" s="11" t="str">
        <f aca="false">IF(INDEX(PRODUTOS!$I$4:$I$63,MATCH($A954,PRODUTOS!$B$4:$B$63,0))="B",INDEX(MODELOS!$I$3:$I$19,MATCH($D954,MODELOS!$A$3:$A$19,0)),INDEX(MODELOS!$E$3:$E$19,MATCH($D954,MODELOS!$A$3:$A$19,0)))</f>
        <v>300 × 300</v>
      </c>
      <c r="I954" s="11" t="str">
        <f aca="false">INDEX(MODELOS!$J$3:$J$19,MATCH($D954,MODELOS!$A$3:$A$19,0))</f>
        <v>Conforme modelo</v>
      </c>
      <c r="J954" s="11" t="str">
        <f aca="false">IF(LEFT($D954,2)&lt;&gt;"AP",IF($I954="SIM","SIM","RECOMENDADA"),IF(INDEX(PRODUTOS!$J$4:$J$63,MATCH($A954,PRODUTOS!$B$4:$B$63,0))&lt;&gt;"","NÃO (usa o A+ do EAN "&amp;INDEX(PRODUTOS!$J$4:$J$63,MATCH($A954,PRODUTOS!$B$4:$B$63,0))&amp;")",IF(AND(INDEX(PRODUTOS!$I$4:$I$63,MATCH($A954,PRODUTOS!$B$4:$B$63,0))="B",$D954="AP07"),"NÃO (modelo B)","SIM")))</f>
        <v>SIM</v>
      </c>
      <c r="K954" s="13" t="s">
        <v>325</v>
      </c>
      <c r="L954" s="13"/>
    </row>
    <row r="955" customFormat="false" ht="15" hidden="false" customHeight="false" outlineLevel="0" collapsed="false">
      <c r="A955" s="15" t="s">
        <v>290</v>
      </c>
      <c r="B955" s="11" t="str">
        <f aca="false">INDEX(PRODUTOS!$E$4:$E$63,MATCH($A955,PRODUTOS!$B$4:$B$63,0))</f>
        <v>Granulado Sanitário Natural Dots de Bentonita Perfumada - Pacote 4 kg</v>
      </c>
      <c r="C955" s="11" t="str">
        <f aca="false">INDEX(PRODUTOS!$H$4:$H$63,MATCH($A955,PRODUTOS!$B$4:$B$63,0))</f>
        <v>4 kg</v>
      </c>
      <c r="D955" s="11" t="s">
        <v>341</v>
      </c>
      <c r="E955" s="16" t="str">
        <f aca="false">$A955&amp;"."&amp;$D955&amp;".jpg"</f>
        <v>7898968541924.COMP.jpg</v>
      </c>
      <c r="F955" s="11" t="str">
        <f aca="false">IF(INDEX(PRODUTOS!$I$4:$I$63,MATCH($A955,PRODUTOS!$B$4:$B$63,0))="B",INDEX(MODELOS!$F$3:$F$19,MATCH($D955,MODELOS!$A$3:$A$19,0)),INDEX(MODELOS!$B$3:$B$19,MATCH($D955,MODELOS!$A$3:$A$19,0)))</f>
        <v>A+ · Tabela comparativa</v>
      </c>
      <c r="G955" s="11" t="str">
        <f aca="false">IF(INDEX(PRODUTOS!$F$4:$F$63,MATCH($A955,PRODUTOS!$B$4:$B$63,0))="Ração",IF(INDEX(PRODUTOS!$I$4:$I$63,MATCH($A955,PRODUTOS!$B$4:$B$63,0))="B",INDEX(MODELOS!$G$3:$G$19,MATCH($D955,MODELOS!$A$3:$A$19,0)),INDEX(MODELOS!$C$3:$C$19,MATCH($D955,MODELOS!$A$3:$A$19,0))),IF(INDEX(PRODUTOS!$I$4:$I$63,MATCH($A955,PRODUTOS!$B$4:$B$63,0))="B",INDEX(MODELOS!$H$3:$H$19,MATCH($D955,MODELOS!$A$3:$A$19,0)),INDEX(MODELOS!$D$3:$D$19,MATCH($D955,MODELOS!$A$3:$A$19,0))))</f>
        <v>Produto na vertical, sem fundo colorido</v>
      </c>
      <c r="H955" s="11" t="str">
        <f aca="false">IF(INDEX(PRODUTOS!$I$4:$I$63,MATCH($A955,PRODUTOS!$B$4:$B$63,0))="B",INDEX(MODELOS!$I$3:$I$19,MATCH($D955,MODELOS!$A$3:$A$19,0)),INDEX(MODELOS!$E$3:$E$19,MATCH($D955,MODELOS!$A$3:$A$19,0)))</f>
        <v>150 × 300</v>
      </c>
      <c r="I955" s="11" t="str">
        <f aca="false">INDEX(MODELOS!$J$3:$J$19,MATCH($D955,MODELOS!$A$3:$A$19,0))</f>
        <v>SIM</v>
      </c>
      <c r="J955" s="11" t="str">
        <f aca="false">IF(LEFT($D955,2)&lt;&gt;"AP",IF($I955="SIM","SIM","RECOMENDADA"),IF(INDEX(PRODUTOS!$J$4:$J$63,MATCH($A955,PRODUTOS!$B$4:$B$63,0))&lt;&gt;"","NÃO (usa o A+ do EAN "&amp;INDEX(PRODUTOS!$J$4:$J$63,MATCH($A955,PRODUTOS!$B$4:$B$63,0))&amp;")",IF(AND(INDEX(PRODUTOS!$I$4:$I$63,MATCH($A955,PRODUTOS!$B$4:$B$63,0))="B",$D955="AP07"),"NÃO (modelo B)","SIM")))</f>
        <v>SIM</v>
      </c>
      <c r="K955" s="13" t="s">
        <v>325</v>
      </c>
      <c r="L955" s="13"/>
    </row>
    <row r="956" customFormat="false" ht="15" hidden="false" customHeight="false" outlineLevel="0" collapsed="false">
      <c r="A956" s="15" t="s">
        <v>295</v>
      </c>
      <c r="B956" s="11" t="str">
        <f aca="false">INDEX(PRODUTOS!$E$4:$E$63,MATCH($A956,PRODUTOS!$B$4:$B$63,0))</f>
        <v>Granulado Sanitário de Bentonita Natural Dots para Pets - Pacote 4 kg</v>
      </c>
      <c r="C956" s="11" t="str">
        <f aca="false">INDEX(PRODUTOS!$H$4:$H$63,MATCH($A956,PRODUTOS!$B$4:$B$63,0))</f>
        <v>4 kg</v>
      </c>
      <c r="D956" s="11" t="s">
        <v>324</v>
      </c>
      <c r="E956" s="16" t="str">
        <f aca="false">$A956&amp;"."&amp;$D956&amp;".jpg"</f>
        <v>7908591300185.MAIN.jpg</v>
      </c>
      <c r="F956" s="11" t="str">
        <f aca="false">IF(INDEX(PRODUTOS!$I$4:$I$63,MATCH($A956,PRODUTOS!$B$4:$B$63,0))="B",INDEX(MODELOS!$F$3:$F$19,MATCH($D956,MODELOS!$A$3:$A$19,0)),INDEX(MODELOS!$B$3:$B$19,MATCH($D956,MODELOS!$A$3:$A$19,0)))</f>
        <v>Capa (posição 1)</v>
      </c>
      <c r="G956" s="11" t="str">
        <f aca="false">IF(INDEX(PRODUTOS!$F$4:$F$63,MATCH($A956,PRODUTOS!$B$4:$B$63,0))="Ração",IF(INDEX(PRODUTOS!$I$4:$I$63,MATCH($A956,PRODUTOS!$B$4:$B$63,0))="B",INDEX(MODELOS!$G$3:$G$19,MATCH($D956,MODELOS!$A$3:$A$19,0)),INDEX(MODELOS!$C$3:$C$19,MATCH($D956,MODELOS!$A$3:$A$19,0))),IF(INDEX(PRODUTOS!$I$4:$I$63,MATCH($A956,PRODUTOS!$B$4:$B$63,0))="B",INDEX(MODELOS!$H$3:$H$19,MATCH($D956,MODELOS!$A$3:$A$19,0)),INDEX(MODELOS!$D$3:$D$19,MATCH($D956,MODELOS!$A$3:$A$19,0))))</f>
        <v>Embalagem de frente, fundo branco puro, 85% da área, nada adicionado</v>
      </c>
      <c r="H956" s="11" t="str">
        <f aca="false">IF(INDEX(PRODUTOS!$I$4:$I$63,MATCH($A956,PRODUTOS!$B$4:$B$63,0))="B",INDEX(MODELOS!$I$3:$I$19,MATCH($D956,MODELOS!$A$3:$A$19,0)),INDEX(MODELOS!$E$3:$E$19,MATCH($D956,MODELOS!$A$3:$A$19,0)))</f>
        <v>2000 × 2000</v>
      </c>
      <c r="I956" s="11" t="str">
        <f aca="false">INDEX(MODELOS!$J$3:$J$19,MATCH($D956,MODELOS!$A$3:$A$19,0))</f>
        <v>SIM</v>
      </c>
      <c r="J956" s="11" t="str">
        <f aca="false">IF(LEFT($D956,2)&lt;&gt;"AP",IF($I956="SIM","SIM","RECOMENDADA"),IF(INDEX(PRODUTOS!$J$4:$J$63,MATCH($A956,PRODUTOS!$B$4:$B$63,0))&lt;&gt;"","NÃO (usa o A+ do EAN "&amp;INDEX(PRODUTOS!$J$4:$J$63,MATCH($A956,PRODUTOS!$B$4:$B$63,0))&amp;")",IF(AND(INDEX(PRODUTOS!$I$4:$I$63,MATCH($A956,PRODUTOS!$B$4:$B$63,0))="B",$D956="AP07"),"NÃO (modelo B)","SIM")))</f>
        <v>SIM</v>
      </c>
      <c r="K956" s="13" t="s">
        <v>325</v>
      </c>
      <c r="L956" s="13"/>
    </row>
    <row r="957" customFormat="false" ht="15" hidden="false" customHeight="false" outlineLevel="0" collapsed="false">
      <c r="A957" s="15" t="s">
        <v>295</v>
      </c>
      <c r="B957" s="11" t="str">
        <f aca="false">INDEX(PRODUTOS!$E$4:$E$63,MATCH($A957,PRODUTOS!$B$4:$B$63,0))</f>
        <v>Granulado Sanitário de Bentonita Natural Dots para Pets - Pacote 4 kg</v>
      </c>
      <c r="C957" s="11" t="str">
        <f aca="false">INDEX(PRODUTOS!$H$4:$H$63,MATCH($A957,PRODUTOS!$B$4:$B$63,0))</f>
        <v>4 kg</v>
      </c>
      <c r="D957" s="11" t="s">
        <v>326</v>
      </c>
      <c r="E957" s="16" t="str">
        <f aca="false">$A957&amp;"."&amp;$D957&amp;".jpg"</f>
        <v>7908591300185.PT01.jpg</v>
      </c>
      <c r="F957" s="11" t="str">
        <f aca="false">IF(INDEX(PRODUTOS!$I$4:$I$63,MATCH($A957,PRODUTOS!$B$4:$B$63,0))="B",INDEX(MODELOS!$F$3:$F$19,MATCH($D957,MODELOS!$A$3:$A$19,0)),INDEX(MODELOS!$B$3:$B$19,MATCH($D957,MODELOS!$A$3:$A$19,0)))</f>
        <v>Galeria · posição 2</v>
      </c>
      <c r="G957" s="11" t="str">
        <f aca="false">IF(INDEX(PRODUTOS!$F$4:$F$63,MATCH($A957,PRODUTOS!$B$4:$B$63,0))="Ração",IF(INDEX(PRODUTOS!$I$4:$I$63,MATCH($A957,PRODUTOS!$B$4:$B$63,0))="B",INDEX(MODELOS!$G$3:$G$19,MATCH($D957,MODELOS!$A$3:$A$19,0)),INDEX(MODELOS!$C$3:$C$19,MATCH($D957,MODELOS!$A$3:$A$19,0))),IF(INDEX(PRODUTOS!$I$4:$I$63,MATCH($A957,PRODUTOS!$B$4:$B$63,0))="B",INDEX(MODELOS!$H$3:$H$19,MATCH($D957,MODELOS!$A$3:$A$19,0)),INDEX(MODELOS!$D$3:$D$19,MATCH($D957,MODELOS!$A$3:$A$19,0))))</f>
        <v>Grande diferencial (ex.: natural, biodegradável, perfumado)</v>
      </c>
      <c r="H957" s="11" t="str">
        <f aca="false">IF(INDEX(PRODUTOS!$I$4:$I$63,MATCH($A957,PRODUTOS!$B$4:$B$63,0))="B",INDEX(MODELOS!$I$3:$I$19,MATCH($D957,MODELOS!$A$3:$A$19,0)),INDEX(MODELOS!$E$3:$E$19,MATCH($D957,MODELOS!$A$3:$A$19,0)))</f>
        <v>2000 × 2000</v>
      </c>
      <c r="I957" s="11" t="str">
        <f aca="false">INDEX(MODELOS!$J$3:$J$19,MATCH($D957,MODELOS!$A$3:$A$19,0))</f>
        <v>SIM</v>
      </c>
      <c r="J957" s="11" t="str">
        <f aca="false">IF(LEFT($D957,2)&lt;&gt;"AP",IF($I957="SIM","SIM","RECOMENDADA"),IF(INDEX(PRODUTOS!$J$4:$J$63,MATCH($A957,PRODUTOS!$B$4:$B$63,0))&lt;&gt;"","NÃO (usa o A+ do EAN "&amp;INDEX(PRODUTOS!$J$4:$J$63,MATCH($A957,PRODUTOS!$B$4:$B$63,0))&amp;")",IF(AND(INDEX(PRODUTOS!$I$4:$I$63,MATCH($A957,PRODUTOS!$B$4:$B$63,0))="B",$D957="AP07"),"NÃO (modelo B)","SIM")))</f>
        <v>SIM</v>
      </c>
      <c r="K957" s="13" t="s">
        <v>325</v>
      </c>
      <c r="L957" s="13"/>
    </row>
    <row r="958" customFormat="false" ht="15" hidden="false" customHeight="false" outlineLevel="0" collapsed="false">
      <c r="A958" s="15" t="s">
        <v>295</v>
      </c>
      <c r="B958" s="11" t="str">
        <f aca="false">INDEX(PRODUTOS!$E$4:$E$63,MATCH($A958,PRODUTOS!$B$4:$B$63,0))</f>
        <v>Granulado Sanitário de Bentonita Natural Dots para Pets - Pacote 4 kg</v>
      </c>
      <c r="C958" s="11" t="str">
        <f aca="false">INDEX(PRODUTOS!$H$4:$H$63,MATCH($A958,PRODUTOS!$B$4:$B$63,0))</f>
        <v>4 kg</v>
      </c>
      <c r="D958" s="11" t="s">
        <v>327</v>
      </c>
      <c r="E958" s="16" t="str">
        <f aca="false">$A958&amp;"."&amp;$D958&amp;".jpg"</f>
        <v>7908591300185.PT02.jpg</v>
      </c>
      <c r="F958" s="11" t="str">
        <f aca="false">IF(INDEX(PRODUTOS!$I$4:$I$63,MATCH($A958,PRODUTOS!$B$4:$B$63,0))="B",INDEX(MODELOS!$F$3:$F$19,MATCH($D958,MODELOS!$A$3:$A$19,0)),INDEX(MODELOS!$B$3:$B$19,MATCH($D958,MODELOS!$A$3:$A$19,0)))</f>
        <v>Galeria · posição 3</v>
      </c>
      <c r="G958" s="11" t="str">
        <f aca="false">IF(INDEX(PRODUTOS!$F$4:$F$63,MATCH($A958,PRODUTOS!$B$4:$B$63,0))="Ração",IF(INDEX(PRODUTOS!$I$4:$I$63,MATCH($A958,PRODUTOS!$B$4:$B$63,0))="B",INDEX(MODELOS!$G$3:$G$19,MATCH($D958,MODELOS!$A$3:$A$19,0)),INDEX(MODELOS!$C$3:$C$19,MATCH($D958,MODELOS!$A$3:$A$19,0))),IF(INDEX(PRODUTOS!$I$4:$I$63,MATCH($A958,PRODUTOS!$B$4:$B$63,0))="B",INDEX(MODELOS!$H$3:$H$19,MATCH($D958,MODELOS!$A$3:$A$19,0)),INDEX(MODELOS!$D$3:$D$19,MATCH($D958,MODELOS!$A$3:$A$19,0))))</f>
        <v>Benefícios com ícones (4 a 6, impressos na embalagem)</v>
      </c>
      <c r="H958" s="11" t="str">
        <f aca="false">IF(INDEX(PRODUTOS!$I$4:$I$63,MATCH($A958,PRODUTOS!$B$4:$B$63,0))="B",INDEX(MODELOS!$I$3:$I$19,MATCH($D958,MODELOS!$A$3:$A$19,0)),INDEX(MODELOS!$E$3:$E$19,MATCH($D958,MODELOS!$A$3:$A$19,0)))</f>
        <v>2000 × 2000</v>
      </c>
      <c r="I958" s="11" t="str">
        <f aca="false">INDEX(MODELOS!$J$3:$J$19,MATCH($D958,MODELOS!$A$3:$A$19,0))</f>
        <v>SIM</v>
      </c>
      <c r="J958" s="11" t="str">
        <f aca="false">IF(LEFT($D958,2)&lt;&gt;"AP",IF($I958="SIM","SIM","RECOMENDADA"),IF(INDEX(PRODUTOS!$J$4:$J$63,MATCH($A958,PRODUTOS!$B$4:$B$63,0))&lt;&gt;"","NÃO (usa o A+ do EAN "&amp;INDEX(PRODUTOS!$J$4:$J$63,MATCH($A958,PRODUTOS!$B$4:$B$63,0))&amp;")",IF(AND(INDEX(PRODUTOS!$I$4:$I$63,MATCH($A958,PRODUTOS!$B$4:$B$63,0))="B",$D958="AP07"),"NÃO (modelo B)","SIM")))</f>
        <v>SIM</v>
      </c>
      <c r="K958" s="13" t="s">
        <v>325</v>
      </c>
      <c r="L958" s="13"/>
    </row>
    <row r="959" customFormat="false" ht="15" hidden="false" customHeight="false" outlineLevel="0" collapsed="false">
      <c r="A959" s="15" t="s">
        <v>295</v>
      </c>
      <c r="B959" s="11" t="str">
        <f aca="false">INDEX(PRODUTOS!$E$4:$E$63,MATCH($A959,PRODUTOS!$B$4:$B$63,0))</f>
        <v>Granulado Sanitário de Bentonita Natural Dots para Pets - Pacote 4 kg</v>
      </c>
      <c r="C959" s="11" t="str">
        <f aca="false">INDEX(PRODUTOS!$H$4:$H$63,MATCH($A959,PRODUTOS!$B$4:$B$63,0))</f>
        <v>4 kg</v>
      </c>
      <c r="D959" s="11" t="s">
        <v>328</v>
      </c>
      <c r="E959" s="16" t="str">
        <f aca="false">$A959&amp;"."&amp;$D959&amp;".jpg"</f>
        <v>7908591300185.PT03.jpg</v>
      </c>
      <c r="F959" s="11" t="str">
        <f aca="false">IF(INDEX(PRODUTOS!$I$4:$I$63,MATCH($A959,PRODUTOS!$B$4:$B$63,0))="B",INDEX(MODELOS!$F$3:$F$19,MATCH($D959,MODELOS!$A$3:$A$19,0)),INDEX(MODELOS!$B$3:$B$19,MATCH($D959,MODELOS!$A$3:$A$19,0)))</f>
        <v>Galeria · posição 4</v>
      </c>
      <c r="G959" s="11" t="str">
        <f aca="false">IF(INDEX(PRODUTOS!$F$4:$F$63,MATCH($A959,PRODUTOS!$B$4:$B$63,0))="Ração",IF(INDEX(PRODUTOS!$I$4:$I$63,MATCH($A959,PRODUTOS!$B$4:$B$63,0))="B",INDEX(MODELOS!$G$3:$G$19,MATCH($D959,MODELOS!$A$3:$A$19,0)),INDEX(MODELOS!$C$3:$C$19,MATCH($D959,MODELOS!$A$3:$A$19,0))),IF(INDEX(PRODUTOS!$I$4:$I$63,MATCH($A959,PRODUTOS!$B$4:$B$63,0))="B",INDEX(MODELOS!$H$3:$H$19,MATCH($D959,MODELOS!$A$3:$A$19,0)),INDEX(MODELOS!$D$3:$D$19,MATCH($D959,MODELOS!$A$3:$A$19,0))))</f>
        <v>Detalhe e tamanho real (petisco, grânulo ou tapete aberto), com medidas</v>
      </c>
      <c r="H959" s="11" t="str">
        <f aca="false">IF(INDEX(PRODUTOS!$I$4:$I$63,MATCH($A959,PRODUTOS!$B$4:$B$63,0))="B",INDEX(MODELOS!$I$3:$I$19,MATCH($D959,MODELOS!$A$3:$A$19,0)),INDEX(MODELOS!$E$3:$E$19,MATCH($D959,MODELOS!$A$3:$A$19,0)))</f>
        <v>2000 × 2000</v>
      </c>
      <c r="I959" s="11" t="str">
        <f aca="false">INDEX(MODELOS!$J$3:$J$19,MATCH($D959,MODELOS!$A$3:$A$19,0))</f>
        <v>SIM</v>
      </c>
      <c r="J959" s="11" t="str">
        <f aca="false">IF(LEFT($D959,2)&lt;&gt;"AP",IF($I959="SIM","SIM","RECOMENDADA"),IF(INDEX(PRODUTOS!$J$4:$J$63,MATCH($A959,PRODUTOS!$B$4:$B$63,0))&lt;&gt;"","NÃO (usa o A+ do EAN "&amp;INDEX(PRODUTOS!$J$4:$J$63,MATCH($A959,PRODUTOS!$B$4:$B$63,0))&amp;")",IF(AND(INDEX(PRODUTOS!$I$4:$I$63,MATCH($A959,PRODUTOS!$B$4:$B$63,0))="B",$D959="AP07"),"NÃO (modelo B)","SIM")))</f>
        <v>SIM</v>
      </c>
      <c r="K959" s="13" t="s">
        <v>325</v>
      </c>
      <c r="L959" s="13"/>
    </row>
    <row r="960" customFormat="false" ht="15" hidden="false" customHeight="false" outlineLevel="0" collapsed="false">
      <c r="A960" s="15" t="s">
        <v>295</v>
      </c>
      <c r="B960" s="11" t="str">
        <f aca="false">INDEX(PRODUTOS!$E$4:$E$63,MATCH($A960,PRODUTOS!$B$4:$B$63,0))</f>
        <v>Granulado Sanitário de Bentonita Natural Dots para Pets - Pacote 4 kg</v>
      </c>
      <c r="C960" s="11" t="str">
        <f aca="false">INDEX(PRODUTOS!$H$4:$H$63,MATCH($A960,PRODUTOS!$B$4:$B$63,0))</f>
        <v>4 kg</v>
      </c>
      <c r="D960" s="11" t="s">
        <v>329</v>
      </c>
      <c r="E960" s="16" t="str">
        <f aca="false">$A960&amp;"."&amp;$D960&amp;".jpg"</f>
        <v>7908591300185.PT04.jpg</v>
      </c>
      <c r="F960" s="11" t="str">
        <f aca="false">IF(INDEX(PRODUTOS!$I$4:$I$63,MATCH($A960,PRODUTOS!$B$4:$B$63,0))="B",INDEX(MODELOS!$F$3:$F$19,MATCH($D960,MODELOS!$A$3:$A$19,0)),INDEX(MODELOS!$B$3:$B$19,MATCH($D960,MODELOS!$A$3:$A$19,0)))</f>
        <v>Galeria · posição 5</v>
      </c>
      <c r="G960" s="11" t="str">
        <f aca="false">IF(INDEX(PRODUTOS!$F$4:$F$63,MATCH($A960,PRODUTOS!$B$4:$B$63,0))="Ração",IF(INDEX(PRODUTOS!$I$4:$I$63,MATCH($A960,PRODUTOS!$B$4:$B$63,0))="B",INDEX(MODELOS!$G$3:$G$19,MATCH($D960,MODELOS!$A$3:$A$19,0)),INDEX(MODELOS!$C$3:$C$19,MATCH($D960,MODELOS!$A$3:$A$19,0))),IF(INDEX(PRODUTOS!$I$4:$I$63,MATCH($A960,PRODUTOS!$B$4:$B$63,0))="B",INDEX(MODELOS!$H$3:$H$19,MATCH($D960,MODELOS!$A$3:$A$19,0)),INDEX(MODELOS!$D$3:$D$19,MATCH($D960,MODELOS!$A$3:$A$19,0))))</f>
        <v>Modo de uso (como oferecer o petisco / como usar o produto)</v>
      </c>
      <c r="H960" s="11" t="str">
        <f aca="false">IF(INDEX(PRODUTOS!$I$4:$I$63,MATCH($A960,PRODUTOS!$B$4:$B$63,0))="B",INDEX(MODELOS!$I$3:$I$19,MATCH($D960,MODELOS!$A$3:$A$19,0)),INDEX(MODELOS!$E$3:$E$19,MATCH($D960,MODELOS!$A$3:$A$19,0)))</f>
        <v>2000 × 2000</v>
      </c>
      <c r="I960" s="11" t="str">
        <f aca="false">INDEX(MODELOS!$J$3:$J$19,MATCH($D960,MODELOS!$A$3:$A$19,0))</f>
        <v>SIM</v>
      </c>
      <c r="J960" s="11" t="str">
        <f aca="false">IF(LEFT($D960,2)&lt;&gt;"AP",IF($I960="SIM","SIM","RECOMENDADA"),IF(INDEX(PRODUTOS!$J$4:$J$63,MATCH($A960,PRODUTOS!$B$4:$B$63,0))&lt;&gt;"","NÃO (usa o A+ do EAN "&amp;INDEX(PRODUTOS!$J$4:$J$63,MATCH($A960,PRODUTOS!$B$4:$B$63,0))&amp;")",IF(AND(INDEX(PRODUTOS!$I$4:$I$63,MATCH($A960,PRODUTOS!$B$4:$B$63,0))="B",$D960="AP07"),"NÃO (modelo B)","SIM")))</f>
        <v>SIM</v>
      </c>
      <c r="K960" s="13" t="s">
        <v>325</v>
      </c>
      <c r="L960" s="13"/>
    </row>
    <row r="961" customFormat="false" ht="15" hidden="false" customHeight="false" outlineLevel="0" collapsed="false">
      <c r="A961" s="15" t="s">
        <v>295</v>
      </c>
      <c r="B961" s="11" t="str">
        <f aca="false">INDEX(PRODUTOS!$E$4:$E$63,MATCH($A961,PRODUTOS!$B$4:$B$63,0))</f>
        <v>Granulado Sanitário de Bentonita Natural Dots para Pets - Pacote 4 kg</v>
      </c>
      <c r="C961" s="11" t="str">
        <f aca="false">INDEX(PRODUTOS!$H$4:$H$63,MATCH($A961,PRODUTOS!$B$4:$B$63,0))</f>
        <v>4 kg</v>
      </c>
      <c r="D961" s="11" t="s">
        <v>330</v>
      </c>
      <c r="E961" s="16" t="str">
        <f aca="false">$A961&amp;"."&amp;$D961&amp;".jpg"</f>
        <v>7908591300185.PT05.jpg</v>
      </c>
      <c r="F961" s="11" t="str">
        <f aca="false">IF(INDEX(PRODUTOS!$I$4:$I$63,MATCH($A961,PRODUTOS!$B$4:$B$63,0))="B",INDEX(MODELOS!$F$3:$F$19,MATCH($D961,MODELOS!$A$3:$A$19,0)),INDEX(MODELOS!$B$3:$B$19,MATCH($D961,MODELOS!$A$3:$A$19,0)))</f>
        <v>Galeria · posição 6</v>
      </c>
      <c r="G961" s="11" t="str">
        <f aca="false">IF(INDEX(PRODUTOS!$F$4:$F$63,MATCH($A961,PRODUTOS!$B$4:$B$63,0))="Ração",IF(INDEX(PRODUTOS!$I$4:$I$63,MATCH($A961,PRODUTOS!$B$4:$B$63,0))="B",INDEX(MODELOS!$G$3:$G$19,MATCH($D961,MODELOS!$A$3:$A$19,0)),INDEX(MODELOS!$C$3:$C$19,MATCH($D961,MODELOS!$A$3:$A$19,0))),IF(INDEX(PRODUTOS!$I$4:$I$63,MATCH($A961,PRODUTOS!$B$4:$B$63,0))="B",INDEX(MODELOS!$H$3:$H$19,MATCH($D961,MODELOS!$A$3:$A$19,0)),INDEX(MODELOS!$D$3:$D$19,MATCH($D961,MODELOS!$A$3:$A$19,0))))</f>
        <v>Quantidade por dia ou rendimento do pacote</v>
      </c>
      <c r="H961" s="11" t="str">
        <f aca="false">IF(INDEX(PRODUTOS!$I$4:$I$63,MATCH($A961,PRODUTOS!$B$4:$B$63,0))="B",INDEX(MODELOS!$I$3:$I$19,MATCH($D961,MODELOS!$A$3:$A$19,0)),INDEX(MODELOS!$E$3:$E$19,MATCH($D961,MODELOS!$A$3:$A$19,0)))</f>
        <v>2000 × 2000</v>
      </c>
      <c r="I961" s="11" t="str">
        <f aca="false">INDEX(MODELOS!$J$3:$J$19,MATCH($D961,MODELOS!$A$3:$A$19,0))</f>
        <v>Recomendada</v>
      </c>
      <c r="J961" s="11" t="str">
        <f aca="false">IF(LEFT($D961,2)&lt;&gt;"AP",IF($I961="SIM","SIM","RECOMENDADA"),IF(INDEX(PRODUTOS!$J$4:$J$63,MATCH($A961,PRODUTOS!$B$4:$B$63,0))&lt;&gt;"","NÃO (usa o A+ do EAN "&amp;INDEX(PRODUTOS!$J$4:$J$63,MATCH($A961,PRODUTOS!$B$4:$B$63,0))&amp;")",IF(AND(INDEX(PRODUTOS!$I$4:$I$63,MATCH($A961,PRODUTOS!$B$4:$B$63,0))="B",$D961="AP07"),"NÃO (modelo B)","SIM")))</f>
        <v>RECOMENDADA</v>
      </c>
      <c r="K961" s="13" t="s">
        <v>325</v>
      </c>
      <c r="L961" s="13"/>
    </row>
    <row r="962" customFormat="false" ht="15" hidden="false" customHeight="false" outlineLevel="0" collapsed="false">
      <c r="A962" s="15" t="s">
        <v>295</v>
      </c>
      <c r="B962" s="11" t="str">
        <f aca="false">INDEX(PRODUTOS!$E$4:$E$63,MATCH($A962,PRODUTOS!$B$4:$B$63,0))</f>
        <v>Granulado Sanitário de Bentonita Natural Dots para Pets - Pacote 4 kg</v>
      </c>
      <c r="C962" s="11" t="str">
        <f aca="false">INDEX(PRODUTOS!$H$4:$H$63,MATCH($A962,PRODUTOS!$B$4:$B$63,0))</f>
        <v>4 kg</v>
      </c>
      <c r="D962" s="11" t="s">
        <v>331</v>
      </c>
      <c r="E962" s="16" t="str">
        <f aca="false">$A962&amp;"."&amp;$D962&amp;".jpg"</f>
        <v>7908591300185.PT06.jpg</v>
      </c>
      <c r="F962" s="11" t="str">
        <f aca="false">IF(INDEX(PRODUTOS!$I$4:$I$63,MATCH($A962,PRODUTOS!$B$4:$B$63,0))="B",INDEX(MODELOS!$F$3:$F$19,MATCH($D962,MODELOS!$A$3:$A$19,0)),INDEX(MODELOS!$B$3:$B$19,MATCH($D962,MODELOS!$A$3:$A$19,0)))</f>
        <v>Galeria · posição 7</v>
      </c>
      <c r="G962" s="11" t="str">
        <f aca="false">IF(INDEX(PRODUTOS!$F$4:$F$63,MATCH($A962,PRODUTOS!$B$4:$B$63,0))="Ração",IF(INDEX(PRODUTOS!$I$4:$I$63,MATCH($A962,PRODUTOS!$B$4:$B$63,0))="B",INDEX(MODELOS!$G$3:$G$19,MATCH($D962,MODELOS!$A$3:$A$19,0)),INDEX(MODELOS!$C$3:$C$19,MATCH($D962,MODELOS!$A$3:$A$19,0))),IF(INDEX(PRODUTOS!$I$4:$I$63,MATCH($A962,PRODUTOS!$B$4:$B$63,0))="B",INDEX(MODELOS!$H$3:$H$19,MATCH($D962,MODELOS!$A$3:$A$19,0)),INDEX(MODELOS!$D$3:$D$19,MATCH($D962,MODELOS!$A$3:$A$19,0))))</f>
        <v>Composição/níveis de garantia (petiscos) ou especificações (higiene)</v>
      </c>
      <c r="H962" s="11" t="str">
        <f aca="false">IF(INDEX(PRODUTOS!$I$4:$I$63,MATCH($A962,PRODUTOS!$B$4:$B$63,0))="B",INDEX(MODELOS!$I$3:$I$19,MATCH($D962,MODELOS!$A$3:$A$19,0)),INDEX(MODELOS!$E$3:$E$19,MATCH($D962,MODELOS!$A$3:$A$19,0)))</f>
        <v>2000 × 2000</v>
      </c>
      <c r="I962" s="11" t="str">
        <f aca="false">INDEX(MODELOS!$J$3:$J$19,MATCH($D962,MODELOS!$A$3:$A$19,0))</f>
        <v>SIM</v>
      </c>
      <c r="J962" s="11" t="str">
        <f aca="false">IF(LEFT($D962,2)&lt;&gt;"AP",IF($I962="SIM","SIM","RECOMENDADA"),IF(INDEX(PRODUTOS!$J$4:$J$63,MATCH($A962,PRODUTOS!$B$4:$B$63,0))&lt;&gt;"","NÃO (usa o A+ do EAN "&amp;INDEX(PRODUTOS!$J$4:$J$63,MATCH($A962,PRODUTOS!$B$4:$B$63,0))&amp;")",IF(AND(INDEX(PRODUTOS!$I$4:$I$63,MATCH($A962,PRODUTOS!$B$4:$B$63,0))="B",$D962="AP07"),"NÃO (modelo B)","SIM")))</f>
        <v>SIM</v>
      </c>
      <c r="K962" s="13" t="s">
        <v>325</v>
      </c>
      <c r="L962" s="13"/>
    </row>
    <row r="963" customFormat="false" ht="15" hidden="false" customHeight="false" outlineLevel="0" collapsed="false">
      <c r="A963" s="15" t="s">
        <v>295</v>
      </c>
      <c r="B963" s="11" t="str">
        <f aca="false">INDEX(PRODUTOS!$E$4:$E$63,MATCH($A963,PRODUTOS!$B$4:$B$63,0))</f>
        <v>Granulado Sanitário de Bentonita Natural Dots para Pets - Pacote 4 kg</v>
      </c>
      <c r="C963" s="11" t="str">
        <f aca="false">INDEX(PRODUTOS!$H$4:$H$63,MATCH($A963,PRODUTOS!$B$4:$B$63,0))</f>
        <v>4 kg</v>
      </c>
      <c r="D963" s="11" t="s">
        <v>332</v>
      </c>
      <c r="E963" s="16" t="str">
        <f aca="false">$A963&amp;"."&amp;$D963&amp;".jpg"</f>
        <v>7908591300185.PT07.jpg</v>
      </c>
      <c r="F963" s="11" t="str">
        <f aca="false">IF(INDEX(PRODUTOS!$I$4:$I$63,MATCH($A963,PRODUTOS!$B$4:$B$63,0))="B",INDEX(MODELOS!$F$3:$F$19,MATCH($D963,MODELOS!$A$3:$A$19,0)),INDEX(MODELOS!$B$3:$B$19,MATCH($D963,MODELOS!$A$3:$A$19,0)))</f>
        <v>Galeria · posição 8</v>
      </c>
      <c r="G963" s="11" t="str">
        <f aca="false">IF(INDEX(PRODUTOS!$F$4:$F$63,MATCH($A963,PRODUTOS!$B$4:$B$63,0))="Ração",IF(INDEX(PRODUTOS!$I$4:$I$63,MATCH($A963,PRODUTOS!$B$4:$B$63,0))="B",INDEX(MODELOS!$G$3:$G$19,MATCH($D963,MODELOS!$A$3:$A$19,0)),INDEX(MODELOS!$C$3:$C$19,MATCH($D963,MODELOS!$A$3:$A$19,0))),IF(INDEX(PRODUTOS!$I$4:$I$63,MATCH($A963,PRODUTOS!$B$4:$B$63,0))="B",INDEX(MODELOS!$H$3:$H$19,MATCH($D963,MODELOS!$A$3:$A$19,0)),INDEX(MODELOS!$D$3:$D$19,MATCH($D963,MODELOS!$A$3:$A$19,0))))</f>
        <v>Emocional / momento de uso</v>
      </c>
      <c r="H963" s="11" t="str">
        <f aca="false">IF(INDEX(PRODUTOS!$I$4:$I$63,MATCH($A963,PRODUTOS!$B$4:$B$63,0))="B",INDEX(MODELOS!$I$3:$I$19,MATCH($D963,MODELOS!$A$3:$A$19,0)),INDEX(MODELOS!$E$3:$E$19,MATCH($D963,MODELOS!$A$3:$A$19,0)))</f>
        <v>2000 × 2000</v>
      </c>
      <c r="I963" s="11" t="str">
        <f aca="false">INDEX(MODELOS!$J$3:$J$19,MATCH($D963,MODELOS!$A$3:$A$19,0))</f>
        <v>Recomendada</v>
      </c>
      <c r="J963" s="11" t="str">
        <f aca="false">IF(LEFT($D963,2)&lt;&gt;"AP",IF($I963="SIM","SIM","RECOMENDADA"),IF(INDEX(PRODUTOS!$J$4:$J$63,MATCH($A963,PRODUTOS!$B$4:$B$63,0))&lt;&gt;"","NÃO (usa o A+ do EAN "&amp;INDEX(PRODUTOS!$J$4:$J$63,MATCH($A963,PRODUTOS!$B$4:$B$63,0))&amp;")",IF(AND(INDEX(PRODUTOS!$I$4:$I$63,MATCH($A963,PRODUTOS!$B$4:$B$63,0))="B",$D963="AP07"),"NÃO (modelo B)","SIM")))</f>
        <v>RECOMENDADA</v>
      </c>
      <c r="K963" s="13" t="s">
        <v>325</v>
      </c>
      <c r="L963" s="13"/>
    </row>
    <row r="964" customFormat="false" ht="15" hidden="false" customHeight="false" outlineLevel="0" collapsed="false">
      <c r="A964" s="15" t="s">
        <v>295</v>
      </c>
      <c r="B964" s="11" t="str">
        <f aca="false">INDEX(PRODUTOS!$E$4:$E$63,MATCH($A964,PRODUTOS!$B$4:$B$63,0))</f>
        <v>Granulado Sanitário de Bentonita Natural Dots para Pets - Pacote 4 kg</v>
      </c>
      <c r="C964" s="11" t="str">
        <f aca="false">INDEX(PRODUTOS!$H$4:$H$63,MATCH($A964,PRODUTOS!$B$4:$B$63,0))</f>
        <v>4 kg</v>
      </c>
      <c r="D964" s="11" t="s">
        <v>333</v>
      </c>
      <c r="E964" s="16" t="str">
        <f aca="false">$A964&amp;"."&amp;$D964&amp;".jpg"</f>
        <v>7908591300185.PT08.jpg</v>
      </c>
      <c r="F964" s="11" t="str">
        <f aca="false">IF(INDEX(PRODUTOS!$I$4:$I$63,MATCH($A964,PRODUTOS!$B$4:$B$63,0))="B",INDEX(MODELOS!$F$3:$F$19,MATCH($D964,MODELOS!$A$3:$A$19,0)),INDEX(MODELOS!$B$3:$B$19,MATCH($D964,MODELOS!$A$3:$A$19,0)))</f>
        <v>Galeria · posição 9</v>
      </c>
      <c r="G964" s="11" t="str">
        <f aca="false">IF(INDEX(PRODUTOS!$F$4:$F$63,MATCH($A964,PRODUTOS!$B$4:$B$63,0))="Ração",IF(INDEX(PRODUTOS!$I$4:$I$63,MATCH($A964,PRODUTOS!$B$4:$B$63,0))="B",INDEX(MODELOS!$G$3:$G$19,MATCH($D964,MODELOS!$A$3:$A$19,0)),INDEX(MODELOS!$C$3:$C$19,MATCH($D964,MODELOS!$A$3:$A$19,0))),IF(INDEX(PRODUTOS!$I$4:$I$63,MATCH($A964,PRODUTOS!$B$4:$B$63,0))="B",INDEX(MODELOS!$H$3:$H$19,MATCH($D964,MODELOS!$A$3:$A$19,0)),INDEX(MODELOS!$D$3:$D$19,MATCH($D964,MODELOS!$A$3:$A$19,0))))</f>
        <v>Linha da marca ("conheça também")</v>
      </c>
      <c r="H964" s="11" t="str">
        <f aca="false">IF(INDEX(PRODUTOS!$I$4:$I$63,MATCH($A964,PRODUTOS!$B$4:$B$63,0))="B",INDEX(MODELOS!$I$3:$I$19,MATCH($D964,MODELOS!$A$3:$A$19,0)),INDEX(MODELOS!$E$3:$E$19,MATCH($D964,MODELOS!$A$3:$A$19,0)))</f>
        <v>2000 × 2000</v>
      </c>
      <c r="I964" s="11" t="str">
        <f aca="false">INDEX(MODELOS!$J$3:$J$19,MATCH($D964,MODELOS!$A$3:$A$19,0))</f>
        <v>Recomendada</v>
      </c>
      <c r="J964" s="11" t="str">
        <f aca="false">IF(LEFT($D964,2)&lt;&gt;"AP",IF($I964="SIM","SIM","RECOMENDADA"),IF(INDEX(PRODUTOS!$J$4:$J$63,MATCH($A964,PRODUTOS!$B$4:$B$63,0))&lt;&gt;"","NÃO (usa o A+ do EAN "&amp;INDEX(PRODUTOS!$J$4:$J$63,MATCH($A964,PRODUTOS!$B$4:$B$63,0))&amp;")",IF(AND(INDEX(PRODUTOS!$I$4:$I$63,MATCH($A964,PRODUTOS!$B$4:$B$63,0))="B",$D964="AP07"),"NÃO (modelo B)","SIM")))</f>
        <v>RECOMENDADA</v>
      </c>
      <c r="K964" s="13" t="s">
        <v>325</v>
      </c>
      <c r="L964" s="13"/>
    </row>
    <row r="965" customFormat="false" ht="15" hidden="false" customHeight="false" outlineLevel="0" collapsed="false">
      <c r="A965" s="15" t="s">
        <v>295</v>
      </c>
      <c r="B965" s="11" t="str">
        <f aca="false">INDEX(PRODUTOS!$E$4:$E$63,MATCH($A965,PRODUTOS!$B$4:$B$63,0))</f>
        <v>Granulado Sanitário de Bentonita Natural Dots para Pets - Pacote 4 kg</v>
      </c>
      <c r="C965" s="11" t="str">
        <f aca="false">INDEX(PRODUTOS!$H$4:$H$63,MATCH($A965,PRODUTOS!$B$4:$B$63,0))</f>
        <v>4 kg</v>
      </c>
      <c r="D965" s="11" t="s">
        <v>334</v>
      </c>
      <c r="E965" s="16" t="str">
        <f aca="false">$A965&amp;"."&amp;$D965&amp;".jpg"</f>
        <v>7908591300185.AP01.jpg</v>
      </c>
      <c r="F965" s="11" t="str">
        <f aca="false">IF(INDEX(PRODUTOS!$I$4:$I$63,MATCH($A965,PRODUTOS!$B$4:$B$63,0))="B",INDEX(MODELOS!$F$3:$F$19,MATCH($D965,MODELOS!$A$3:$A$19,0)),INDEX(MODELOS!$B$3:$B$19,MATCH($D965,MODELOS!$A$3:$A$19,0)))</f>
        <v>A+ · Módulo 1 · Banner</v>
      </c>
      <c r="G965" s="11" t="str">
        <f aca="false">IF(INDEX(PRODUTOS!$F$4:$F$63,MATCH($A965,PRODUTOS!$B$4:$B$63,0))="Ração",IF(INDEX(PRODUTOS!$I$4:$I$63,MATCH($A965,PRODUTOS!$B$4:$B$63,0))="B",INDEX(MODELOS!$G$3:$G$19,MATCH($D965,MODELOS!$A$3:$A$19,0)),INDEX(MODELOS!$C$3:$C$19,MATCH($D965,MODELOS!$A$3:$A$19,0))),IF(INDEX(PRODUTOS!$I$4:$I$63,MATCH($A965,PRODUTOS!$B$4:$B$63,0))="B",INDEX(MODELOS!$H$3:$H$19,MATCH($D965,MODELOS!$A$3:$A$19,0)),INDEX(MODELOS!$D$3:$D$19,MATCH($D965,MODELOS!$A$3:$A$19,0))))</f>
        <v>Produto + pet, com o nome da linha</v>
      </c>
      <c r="H965" s="11" t="str">
        <f aca="false">IF(INDEX(PRODUTOS!$I$4:$I$63,MATCH($A965,PRODUTOS!$B$4:$B$63,0))="B",INDEX(MODELOS!$I$3:$I$19,MATCH($D965,MODELOS!$A$3:$A$19,0)),INDEX(MODELOS!$E$3:$E$19,MATCH($D965,MODELOS!$A$3:$A$19,0)))</f>
        <v>970 × 600</v>
      </c>
      <c r="I965" s="11" t="str">
        <f aca="false">INDEX(MODELOS!$J$3:$J$19,MATCH($D965,MODELOS!$A$3:$A$19,0))</f>
        <v>Conforme modelo</v>
      </c>
      <c r="J965" s="11" t="str">
        <f aca="false">IF(LEFT($D965,2)&lt;&gt;"AP",IF($I965="SIM","SIM","RECOMENDADA"),IF(INDEX(PRODUTOS!$J$4:$J$63,MATCH($A965,PRODUTOS!$B$4:$B$63,0))&lt;&gt;"","NÃO (usa o A+ do EAN "&amp;INDEX(PRODUTOS!$J$4:$J$63,MATCH($A965,PRODUTOS!$B$4:$B$63,0))&amp;")",IF(AND(INDEX(PRODUTOS!$I$4:$I$63,MATCH($A965,PRODUTOS!$B$4:$B$63,0))="B",$D965="AP07"),"NÃO (modelo B)","SIM")))</f>
        <v>SIM</v>
      </c>
      <c r="K965" s="13" t="s">
        <v>325</v>
      </c>
      <c r="L965" s="13"/>
    </row>
    <row r="966" customFormat="false" ht="15" hidden="false" customHeight="false" outlineLevel="0" collapsed="false">
      <c r="A966" s="15" t="s">
        <v>295</v>
      </c>
      <c r="B966" s="11" t="str">
        <f aca="false">INDEX(PRODUTOS!$E$4:$E$63,MATCH($A966,PRODUTOS!$B$4:$B$63,0))</f>
        <v>Granulado Sanitário de Bentonita Natural Dots para Pets - Pacote 4 kg</v>
      </c>
      <c r="C966" s="11" t="str">
        <f aca="false">INDEX(PRODUTOS!$H$4:$H$63,MATCH($A966,PRODUTOS!$B$4:$B$63,0))</f>
        <v>4 kg</v>
      </c>
      <c r="D966" s="11" t="s">
        <v>335</v>
      </c>
      <c r="E966" s="16" t="str">
        <f aca="false">$A966&amp;"."&amp;$D966&amp;".jpg"</f>
        <v>7908591300185.AP02.jpg</v>
      </c>
      <c r="F966" s="11" t="str">
        <f aca="false">IF(INDEX(PRODUTOS!$I$4:$I$63,MATCH($A966,PRODUTOS!$B$4:$B$63,0))="B",INDEX(MODELOS!$F$3:$F$19,MATCH($D966,MODELOS!$A$3:$A$19,0)),INDEX(MODELOS!$B$3:$B$19,MATCH($D966,MODELOS!$A$3:$A$19,0)))</f>
        <v>A+ · Módulo 2 · Texto sobreposto</v>
      </c>
      <c r="G966" s="11" t="str">
        <f aca="false">IF(INDEX(PRODUTOS!$F$4:$F$63,MATCH($A966,PRODUTOS!$B$4:$B$63,0))="Ração",IF(INDEX(PRODUTOS!$I$4:$I$63,MATCH($A966,PRODUTOS!$B$4:$B$63,0))="B",INDEX(MODELOS!$G$3:$G$19,MATCH($D966,MODELOS!$A$3:$A$19,0)),INDEX(MODELOS!$C$3:$C$19,MATCH($D966,MODELOS!$A$3:$A$19,0))),IF(INDEX(PRODUTOS!$I$4:$I$63,MATCH($A966,PRODUTOS!$B$4:$B$63,0))="B",INDEX(MODELOS!$H$3:$H$19,MATCH($D966,MODELOS!$A$3:$A$19,0)),INDEX(MODELOS!$D$3:$D$19,MATCH($D966,MODELOS!$A$3:$A$19,0))))</f>
        <v>Principal diferencial; deixar o lado direito limpo</v>
      </c>
      <c r="H966" s="11" t="str">
        <f aca="false">IF(INDEX(PRODUTOS!$I$4:$I$63,MATCH($A966,PRODUTOS!$B$4:$B$63,0))="B",INDEX(MODELOS!$I$3:$I$19,MATCH($D966,MODELOS!$A$3:$A$19,0)),INDEX(MODELOS!$E$3:$E$19,MATCH($D966,MODELOS!$A$3:$A$19,0)))</f>
        <v>970 × 300</v>
      </c>
      <c r="I966" s="11" t="str">
        <f aca="false">INDEX(MODELOS!$J$3:$J$19,MATCH($D966,MODELOS!$A$3:$A$19,0))</f>
        <v>Conforme modelo</v>
      </c>
      <c r="J966" s="11" t="str">
        <f aca="false">IF(LEFT($D966,2)&lt;&gt;"AP",IF($I966="SIM","SIM","RECOMENDADA"),IF(INDEX(PRODUTOS!$J$4:$J$63,MATCH($A966,PRODUTOS!$B$4:$B$63,0))&lt;&gt;"","NÃO (usa o A+ do EAN "&amp;INDEX(PRODUTOS!$J$4:$J$63,MATCH($A966,PRODUTOS!$B$4:$B$63,0))&amp;")",IF(AND(INDEX(PRODUTOS!$I$4:$I$63,MATCH($A966,PRODUTOS!$B$4:$B$63,0))="B",$D966="AP07"),"NÃO (modelo B)","SIM")))</f>
        <v>SIM</v>
      </c>
      <c r="K966" s="13" t="s">
        <v>325</v>
      </c>
      <c r="L966" s="13"/>
    </row>
    <row r="967" customFormat="false" ht="15" hidden="false" customHeight="false" outlineLevel="0" collapsed="false">
      <c r="A967" s="15" t="s">
        <v>295</v>
      </c>
      <c r="B967" s="11" t="str">
        <f aca="false">INDEX(PRODUTOS!$E$4:$E$63,MATCH($A967,PRODUTOS!$B$4:$B$63,0))</f>
        <v>Granulado Sanitário de Bentonita Natural Dots para Pets - Pacote 4 kg</v>
      </c>
      <c r="C967" s="11" t="str">
        <f aca="false">INDEX(PRODUTOS!$H$4:$H$63,MATCH($A967,PRODUTOS!$B$4:$B$63,0))</f>
        <v>4 kg</v>
      </c>
      <c r="D967" s="11" t="s">
        <v>336</v>
      </c>
      <c r="E967" s="16" t="str">
        <f aca="false">$A967&amp;"."&amp;$D967&amp;".jpg"</f>
        <v>7908591300185.AP03.jpg</v>
      </c>
      <c r="F967" s="11" t="str">
        <f aca="false">IF(INDEX(PRODUTOS!$I$4:$I$63,MATCH($A967,PRODUTOS!$B$4:$B$63,0))="B",INDEX(MODELOS!$F$3:$F$19,MATCH($D967,MODELOS!$A$3:$A$19,0)),INDEX(MODELOS!$B$3:$B$19,MATCH($D967,MODELOS!$A$3:$A$19,0)))</f>
        <v>A+ · Módulo 3 · Benefício 1 de 4</v>
      </c>
      <c r="G967" s="11" t="str">
        <f aca="false">IF(INDEX(PRODUTOS!$F$4:$F$63,MATCH($A967,PRODUTOS!$B$4:$B$63,0))="Ração",IF(INDEX(PRODUTOS!$I$4:$I$63,MATCH($A967,PRODUTOS!$B$4:$B$63,0))="B",INDEX(MODELOS!$G$3:$G$19,MATCH($D967,MODELOS!$A$3:$A$19,0)),INDEX(MODELOS!$C$3:$C$19,MATCH($D967,MODELOS!$A$3:$A$19,0))),IF(INDEX(PRODUTOS!$I$4:$I$63,MATCH($A967,PRODUTOS!$B$4:$B$63,0))="B",INDEX(MODELOS!$H$3:$H$19,MATCH($D967,MODELOS!$A$3:$A$19,0)),INDEX(MODELOS!$D$3:$D$19,MATCH($D967,MODELOS!$A$3:$A$19,0))))</f>
        <v>Foto/ilustração do benefício 1</v>
      </c>
      <c r="H967" s="11" t="str">
        <f aca="false">IF(INDEX(PRODUTOS!$I$4:$I$63,MATCH($A967,PRODUTOS!$B$4:$B$63,0))="B",INDEX(MODELOS!$I$3:$I$19,MATCH($D967,MODELOS!$A$3:$A$19,0)),INDEX(MODELOS!$E$3:$E$19,MATCH($D967,MODELOS!$A$3:$A$19,0)))</f>
        <v>220 × 200</v>
      </c>
      <c r="I967" s="11" t="str">
        <f aca="false">INDEX(MODELOS!$J$3:$J$19,MATCH($D967,MODELOS!$A$3:$A$19,0))</f>
        <v>Conforme modelo</v>
      </c>
      <c r="J967" s="11" t="str">
        <f aca="false">IF(LEFT($D967,2)&lt;&gt;"AP",IF($I967="SIM","SIM","RECOMENDADA"),IF(INDEX(PRODUTOS!$J$4:$J$63,MATCH($A967,PRODUTOS!$B$4:$B$63,0))&lt;&gt;"","NÃO (usa o A+ do EAN "&amp;INDEX(PRODUTOS!$J$4:$J$63,MATCH($A967,PRODUTOS!$B$4:$B$63,0))&amp;")",IF(AND(INDEX(PRODUTOS!$I$4:$I$63,MATCH($A967,PRODUTOS!$B$4:$B$63,0))="B",$D967="AP07"),"NÃO (modelo B)","SIM")))</f>
        <v>SIM</v>
      </c>
      <c r="K967" s="13" t="s">
        <v>325</v>
      </c>
      <c r="L967" s="13"/>
    </row>
    <row r="968" customFormat="false" ht="15" hidden="false" customHeight="false" outlineLevel="0" collapsed="false">
      <c r="A968" s="15" t="s">
        <v>295</v>
      </c>
      <c r="B968" s="11" t="str">
        <f aca="false">INDEX(PRODUTOS!$E$4:$E$63,MATCH($A968,PRODUTOS!$B$4:$B$63,0))</f>
        <v>Granulado Sanitário de Bentonita Natural Dots para Pets - Pacote 4 kg</v>
      </c>
      <c r="C968" s="11" t="str">
        <f aca="false">INDEX(PRODUTOS!$H$4:$H$63,MATCH($A968,PRODUTOS!$B$4:$B$63,0))</f>
        <v>4 kg</v>
      </c>
      <c r="D968" s="11" t="s">
        <v>337</v>
      </c>
      <c r="E968" s="16" t="str">
        <f aca="false">$A968&amp;"."&amp;$D968&amp;".jpg"</f>
        <v>7908591300185.AP04.jpg</v>
      </c>
      <c r="F968" s="11" t="str">
        <f aca="false">IF(INDEX(PRODUTOS!$I$4:$I$63,MATCH($A968,PRODUTOS!$B$4:$B$63,0))="B",INDEX(MODELOS!$F$3:$F$19,MATCH($D968,MODELOS!$A$3:$A$19,0)),INDEX(MODELOS!$B$3:$B$19,MATCH($D968,MODELOS!$A$3:$A$19,0)))</f>
        <v>A+ · Módulo 3 · Benefício 2 de 4</v>
      </c>
      <c r="G968" s="11" t="str">
        <f aca="false">IF(INDEX(PRODUTOS!$F$4:$F$63,MATCH($A968,PRODUTOS!$B$4:$B$63,0))="Ração",IF(INDEX(PRODUTOS!$I$4:$I$63,MATCH($A968,PRODUTOS!$B$4:$B$63,0))="B",INDEX(MODELOS!$G$3:$G$19,MATCH($D968,MODELOS!$A$3:$A$19,0)),INDEX(MODELOS!$C$3:$C$19,MATCH($D968,MODELOS!$A$3:$A$19,0))),IF(INDEX(PRODUTOS!$I$4:$I$63,MATCH($A968,PRODUTOS!$B$4:$B$63,0))="B",INDEX(MODELOS!$H$3:$H$19,MATCH($D968,MODELOS!$A$3:$A$19,0)),INDEX(MODELOS!$D$3:$D$19,MATCH($D968,MODELOS!$A$3:$A$19,0))))</f>
        <v>Foto/ilustração do benefício 2</v>
      </c>
      <c r="H968" s="11" t="str">
        <f aca="false">IF(INDEX(PRODUTOS!$I$4:$I$63,MATCH($A968,PRODUTOS!$B$4:$B$63,0))="B",INDEX(MODELOS!$I$3:$I$19,MATCH($D968,MODELOS!$A$3:$A$19,0)),INDEX(MODELOS!$E$3:$E$19,MATCH($D968,MODELOS!$A$3:$A$19,0)))</f>
        <v>220 × 200</v>
      </c>
      <c r="I968" s="11" t="str">
        <f aca="false">INDEX(MODELOS!$J$3:$J$19,MATCH($D968,MODELOS!$A$3:$A$19,0))</f>
        <v>Conforme modelo</v>
      </c>
      <c r="J968" s="11" t="str">
        <f aca="false">IF(LEFT($D968,2)&lt;&gt;"AP",IF($I968="SIM","SIM","RECOMENDADA"),IF(INDEX(PRODUTOS!$J$4:$J$63,MATCH($A968,PRODUTOS!$B$4:$B$63,0))&lt;&gt;"","NÃO (usa o A+ do EAN "&amp;INDEX(PRODUTOS!$J$4:$J$63,MATCH($A968,PRODUTOS!$B$4:$B$63,0))&amp;")",IF(AND(INDEX(PRODUTOS!$I$4:$I$63,MATCH($A968,PRODUTOS!$B$4:$B$63,0))="B",$D968="AP07"),"NÃO (modelo B)","SIM")))</f>
        <v>SIM</v>
      </c>
      <c r="K968" s="13" t="s">
        <v>325</v>
      </c>
      <c r="L968" s="13"/>
    </row>
    <row r="969" customFormat="false" ht="15" hidden="false" customHeight="false" outlineLevel="0" collapsed="false">
      <c r="A969" s="15" t="s">
        <v>295</v>
      </c>
      <c r="B969" s="11" t="str">
        <f aca="false">INDEX(PRODUTOS!$E$4:$E$63,MATCH($A969,PRODUTOS!$B$4:$B$63,0))</f>
        <v>Granulado Sanitário de Bentonita Natural Dots para Pets - Pacote 4 kg</v>
      </c>
      <c r="C969" s="11" t="str">
        <f aca="false">INDEX(PRODUTOS!$H$4:$H$63,MATCH($A969,PRODUTOS!$B$4:$B$63,0))</f>
        <v>4 kg</v>
      </c>
      <c r="D969" s="11" t="s">
        <v>338</v>
      </c>
      <c r="E969" s="16" t="str">
        <f aca="false">$A969&amp;"."&amp;$D969&amp;".jpg"</f>
        <v>7908591300185.AP05.jpg</v>
      </c>
      <c r="F969" s="11" t="str">
        <f aca="false">IF(INDEX(PRODUTOS!$I$4:$I$63,MATCH($A969,PRODUTOS!$B$4:$B$63,0))="B",INDEX(MODELOS!$F$3:$F$19,MATCH($D969,MODELOS!$A$3:$A$19,0)),INDEX(MODELOS!$B$3:$B$19,MATCH($D969,MODELOS!$A$3:$A$19,0)))</f>
        <v>A+ · Módulo 3 · Benefício 3 de 4</v>
      </c>
      <c r="G969" s="11" t="str">
        <f aca="false">IF(INDEX(PRODUTOS!$F$4:$F$63,MATCH($A969,PRODUTOS!$B$4:$B$63,0))="Ração",IF(INDEX(PRODUTOS!$I$4:$I$63,MATCH($A969,PRODUTOS!$B$4:$B$63,0))="B",INDEX(MODELOS!$G$3:$G$19,MATCH($D969,MODELOS!$A$3:$A$19,0)),INDEX(MODELOS!$C$3:$C$19,MATCH($D969,MODELOS!$A$3:$A$19,0))),IF(INDEX(PRODUTOS!$I$4:$I$63,MATCH($A969,PRODUTOS!$B$4:$B$63,0))="B",INDEX(MODELOS!$H$3:$H$19,MATCH($D969,MODELOS!$A$3:$A$19,0)),INDEX(MODELOS!$D$3:$D$19,MATCH($D969,MODELOS!$A$3:$A$19,0))))</f>
        <v>Foto/ilustração do benefício 3</v>
      </c>
      <c r="H969" s="11" t="str">
        <f aca="false">IF(INDEX(PRODUTOS!$I$4:$I$63,MATCH($A969,PRODUTOS!$B$4:$B$63,0))="B",INDEX(MODELOS!$I$3:$I$19,MATCH($D969,MODELOS!$A$3:$A$19,0)),INDEX(MODELOS!$E$3:$E$19,MATCH($D969,MODELOS!$A$3:$A$19,0)))</f>
        <v>220 × 200</v>
      </c>
      <c r="I969" s="11" t="str">
        <f aca="false">INDEX(MODELOS!$J$3:$J$19,MATCH($D969,MODELOS!$A$3:$A$19,0))</f>
        <v>Conforme modelo</v>
      </c>
      <c r="J969" s="11" t="str">
        <f aca="false">IF(LEFT($D969,2)&lt;&gt;"AP",IF($I969="SIM","SIM","RECOMENDADA"),IF(INDEX(PRODUTOS!$J$4:$J$63,MATCH($A969,PRODUTOS!$B$4:$B$63,0))&lt;&gt;"","NÃO (usa o A+ do EAN "&amp;INDEX(PRODUTOS!$J$4:$J$63,MATCH($A969,PRODUTOS!$B$4:$B$63,0))&amp;")",IF(AND(INDEX(PRODUTOS!$I$4:$I$63,MATCH($A969,PRODUTOS!$B$4:$B$63,0))="B",$D969="AP07"),"NÃO (modelo B)","SIM")))</f>
        <v>SIM</v>
      </c>
      <c r="K969" s="13" t="s">
        <v>325</v>
      </c>
      <c r="L969" s="13"/>
    </row>
    <row r="970" customFormat="false" ht="15" hidden="false" customHeight="false" outlineLevel="0" collapsed="false">
      <c r="A970" s="15" t="s">
        <v>295</v>
      </c>
      <c r="B970" s="11" t="str">
        <f aca="false">INDEX(PRODUTOS!$E$4:$E$63,MATCH($A970,PRODUTOS!$B$4:$B$63,0))</f>
        <v>Granulado Sanitário de Bentonita Natural Dots para Pets - Pacote 4 kg</v>
      </c>
      <c r="C970" s="11" t="str">
        <f aca="false">INDEX(PRODUTOS!$H$4:$H$63,MATCH($A970,PRODUTOS!$B$4:$B$63,0))</f>
        <v>4 kg</v>
      </c>
      <c r="D970" s="11" t="s">
        <v>339</v>
      </c>
      <c r="E970" s="16" t="str">
        <f aca="false">$A970&amp;"."&amp;$D970&amp;".jpg"</f>
        <v>7908591300185.AP06.jpg</v>
      </c>
      <c r="F970" s="11" t="str">
        <f aca="false">IF(INDEX(PRODUTOS!$I$4:$I$63,MATCH($A970,PRODUTOS!$B$4:$B$63,0))="B",INDEX(MODELOS!$F$3:$F$19,MATCH($D970,MODELOS!$A$3:$A$19,0)),INDEX(MODELOS!$B$3:$B$19,MATCH($D970,MODELOS!$A$3:$A$19,0)))</f>
        <v>A+ · Módulo 3 · Benefício 4 de 4</v>
      </c>
      <c r="G970" s="11" t="str">
        <f aca="false">IF(INDEX(PRODUTOS!$F$4:$F$63,MATCH($A970,PRODUTOS!$B$4:$B$63,0))="Ração",IF(INDEX(PRODUTOS!$I$4:$I$63,MATCH($A970,PRODUTOS!$B$4:$B$63,0))="B",INDEX(MODELOS!$G$3:$G$19,MATCH($D970,MODELOS!$A$3:$A$19,0)),INDEX(MODELOS!$C$3:$C$19,MATCH($D970,MODELOS!$A$3:$A$19,0))),IF(INDEX(PRODUTOS!$I$4:$I$63,MATCH($A970,PRODUTOS!$B$4:$B$63,0))="B",INDEX(MODELOS!$H$3:$H$19,MATCH($D970,MODELOS!$A$3:$A$19,0)),INDEX(MODELOS!$D$3:$D$19,MATCH($D970,MODELOS!$A$3:$A$19,0))))</f>
        <v>Foto/ilustração do benefício 4</v>
      </c>
      <c r="H970" s="11" t="str">
        <f aca="false">IF(INDEX(PRODUTOS!$I$4:$I$63,MATCH($A970,PRODUTOS!$B$4:$B$63,0))="B",INDEX(MODELOS!$I$3:$I$19,MATCH($D970,MODELOS!$A$3:$A$19,0)),INDEX(MODELOS!$E$3:$E$19,MATCH($D970,MODELOS!$A$3:$A$19,0)))</f>
        <v>220 × 200</v>
      </c>
      <c r="I970" s="11" t="str">
        <f aca="false">INDEX(MODELOS!$J$3:$J$19,MATCH($D970,MODELOS!$A$3:$A$19,0))</f>
        <v>Conforme modelo</v>
      </c>
      <c r="J970" s="11" t="str">
        <f aca="false">IF(LEFT($D970,2)&lt;&gt;"AP",IF($I970="SIM","SIM","RECOMENDADA"),IF(INDEX(PRODUTOS!$J$4:$J$63,MATCH($A970,PRODUTOS!$B$4:$B$63,0))&lt;&gt;"","NÃO (usa o A+ do EAN "&amp;INDEX(PRODUTOS!$J$4:$J$63,MATCH($A970,PRODUTOS!$B$4:$B$63,0))&amp;")",IF(AND(INDEX(PRODUTOS!$I$4:$I$63,MATCH($A970,PRODUTOS!$B$4:$B$63,0))="B",$D970="AP07"),"NÃO (modelo B)","SIM")))</f>
        <v>SIM</v>
      </c>
      <c r="K970" s="13" t="s">
        <v>325</v>
      </c>
      <c r="L970" s="13"/>
    </row>
    <row r="971" customFormat="false" ht="15" hidden="false" customHeight="false" outlineLevel="0" collapsed="false">
      <c r="A971" s="15" t="s">
        <v>295</v>
      </c>
      <c r="B971" s="11" t="str">
        <f aca="false">INDEX(PRODUTOS!$E$4:$E$63,MATCH($A971,PRODUTOS!$B$4:$B$63,0))</f>
        <v>Granulado Sanitário de Bentonita Natural Dots para Pets - Pacote 4 kg</v>
      </c>
      <c r="C971" s="11" t="str">
        <f aca="false">INDEX(PRODUTOS!$H$4:$H$63,MATCH($A971,PRODUTOS!$B$4:$B$63,0))</f>
        <v>4 kg</v>
      </c>
      <c r="D971" s="11" t="s">
        <v>340</v>
      </c>
      <c r="E971" s="16" t="str">
        <f aca="false">$A971&amp;"."&amp;$D971&amp;".jpg"</f>
        <v>7908591300185.AP07.jpg</v>
      </c>
      <c r="F971" s="11" t="str">
        <f aca="false">IF(INDEX(PRODUTOS!$I$4:$I$63,MATCH($A971,PRODUTOS!$B$4:$B$63,0))="B",INDEX(MODELOS!$F$3:$F$19,MATCH($D971,MODELOS!$A$3:$A$19,0)),INDEX(MODELOS!$B$3:$B$19,MATCH($D971,MODELOS!$A$3:$A$19,0)))</f>
        <v>A+ · Módulo 4 · Especificações</v>
      </c>
      <c r="G971" s="11" t="str">
        <f aca="false">IF(INDEX(PRODUTOS!$F$4:$F$63,MATCH($A971,PRODUTOS!$B$4:$B$63,0))="Ração",IF(INDEX(PRODUTOS!$I$4:$I$63,MATCH($A971,PRODUTOS!$B$4:$B$63,0))="B",INDEX(MODELOS!$G$3:$G$19,MATCH($D971,MODELOS!$A$3:$A$19,0)),INDEX(MODELOS!$C$3:$C$19,MATCH($D971,MODELOS!$A$3:$A$19,0))),IF(INDEX(PRODUTOS!$I$4:$I$63,MATCH($A971,PRODUTOS!$B$4:$B$63,0))="B",INDEX(MODELOS!$H$3:$H$19,MATCH($D971,MODELOS!$A$3:$A$19,0)),INDEX(MODELOS!$D$3:$D$19,MATCH($D971,MODELOS!$A$3:$A$19,0))))</f>
        <v>Produto em destaque</v>
      </c>
      <c r="H971" s="11" t="str">
        <f aca="false">IF(INDEX(PRODUTOS!$I$4:$I$63,MATCH($A971,PRODUTOS!$B$4:$B$63,0))="B",INDEX(MODELOS!$I$3:$I$19,MATCH($D971,MODELOS!$A$3:$A$19,0)),INDEX(MODELOS!$E$3:$E$19,MATCH($D971,MODELOS!$A$3:$A$19,0)))</f>
        <v>300 × 300</v>
      </c>
      <c r="I971" s="11" t="str">
        <f aca="false">INDEX(MODELOS!$J$3:$J$19,MATCH($D971,MODELOS!$A$3:$A$19,0))</f>
        <v>Conforme modelo</v>
      </c>
      <c r="J971" s="11" t="str">
        <f aca="false">IF(LEFT($D971,2)&lt;&gt;"AP",IF($I971="SIM","SIM","RECOMENDADA"),IF(INDEX(PRODUTOS!$J$4:$J$63,MATCH($A971,PRODUTOS!$B$4:$B$63,0))&lt;&gt;"","NÃO (usa o A+ do EAN "&amp;INDEX(PRODUTOS!$J$4:$J$63,MATCH($A971,PRODUTOS!$B$4:$B$63,0))&amp;")",IF(AND(INDEX(PRODUTOS!$I$4:$I$63,MATCH($A971,PRODUTOS!$B$4:$B$63,0))="B",$D971="AP07"),"NÃO (modelo B)","SIM")))</f>
        <v>SIM</v>
      </c>
      <c r="K971" s="13" t="s">
        <v>325</v>
      </c>
      <c r="L971" s="13"/>
    </row>
    <row r="972" customFormat="false" ht="15" hidden="false" customHeight="false" outlineLevel="0" collapsed="false">
      <c r="A972" s="15" t="s">
        <v>295</v>
      </c>
      <c r="B972" s="11" t="str">
        <f aca="false">INDEX(PRODUTOS!$E$4:$E$63,MATCH($A972,PRODUTOS!$B$4:$B$63,0))</f>
        <v>Granulado Sanitário de Bentonita Natural Dots para Pets - Pacote 4 kg</v>
      </c>
      <c r="C972" s="11" t="str">
        <f aca="false">INDEX(PRODUTOS!$H$4:$H$63,MATCH($A972,PRODUTOS!$B$4:$B$63,0))</f>
        <v>4 kg</v>
      </c>
      <c r="D972" s="11" t="s">
        <v>341</v>
      </c>
      <c r="E972" s="16" t="str">
        <f aca="false">$A972&amp;"."&amp;$D972&amp;".jpg"</f>
        <v>7908591300185.COMP.jpg</v>
      </c>
      <c r="F972" s="11" t="str">
        <f aca="false">IF(INDEX(PRODUTOS!$I$4:$I$63,MATCH($A972,PRODUTOS!$B$4:$B$63,0))="B",INDEX(MODELOS!$F$3:$F$19,MATCH($D972,MODELOS!$A$3:$A$19,0)),INDEX(MODELOS!$B$3:$B$19,MATCH($D972,MODELOS!$A$3:$A$19,0)))</f>
        <v>A+ · Tabela comparativa</v>
      </c>
      <c r="G972" s="11" t="str">
        <f aca="false">IF(INDEX(PRODUTOS!$F$4:$F$63,MATCH($A972,PRODUTOS!$B$4:$B$63,0))="Ração",IF(INDEX(PRODUTOS!$I$4:$I$63,MATCH($A972,PRODUTOS!$B$4:$B$63,0))="B",INDEX(MODELOS!$G$3:$G$19,MATCH($D972,MODELOS!$A$3:$A$19,0)),INDEX(MODELOS!$C$3:$C$19,MATCH($D972,MODELOS!$A$3:$A$19,0))),IF(INDEX(PRODUTOS!$I$4:$I$63,MATCH($A972,PRODUTOS!$B$4:$B$63,0))="B",INDEX(MODELOS!$H$3:$H$19,MATCH($D972,MODELOS!$A$3:$A$19,0)),INDEX(MODELOS!$D$3:$D$19,MATCH($D972,MODELOS!$A$3:$A$19,0))))</f>
        <v>Produto na vertical, sem fundo colorido</v>
      </c>
      <c r="H972" s="11" t="str">
        <f aca="false">IF(INDEX(PRODUTOS!$I$4:$I$63,MATCH($A972,PRODUTOS!$B$4:$B$63,0))="B",INDEX(MODELOS!$I$3:$I$19,MATCH($D972,MODELOS!$A$3:$A$19,0)),INDEX(MODELOS!$E$3:$E$19,MATCH($D972,MODELOS!$A$3:$A$19,0)))</f>
        <v>150 × 300</v>
      </c>
      <c r="I972" s="11" t="str">
        <f aca="false">INDEX(MODELOS!$J$3:$J$19,MATCH($D972,MODELOS!$A$3:$A$19,0))</f>
        <v>SIM</v>
      </c>
      <c r="J972" s="11" t="str">
        <f aca="false">IF(LEFT($D972,2)&lt;&gt;"AP",IF($I972="SIM","SIM","RECOMENDADA"),IF(INDEX(PRODUTOS!$J$4:$J$63,MATCH($A972,PRODUTOS!$B$4:$B$63,0))&lt;&gt;"","NÃO (usa o A+ do EAN "&amp;INDEX(PRODUTOS!$J$4:$J$63,MATCH($A972,PRODUTOS!$B$4:$B$63,0))&amp;")",IF(AND(INDEX(PRODUTOS!$I$4:$I$63,MATCH($A972,PRODUTOS!$B$4:$B$63,0))="B",$D972="AP07"),"NÃO (modelo B)","SIM")))</f>
        <v>SIM</v>
      </c>
      <c r="K972" s="13" t="s">
        <v>325</v>
      </c>
      <c r="L972" s="13"/>
    </row>
    <row r="973" customFormat="false" ht="15" hidden="false" customHeight="false" outlineLevel="0" collapsed="false">
      <c r="A973" s="15" t="s">
        <v>299</v>
      </c>
      <c r="B973" s="11" t="str">
        <f aca="false">INDEX(PRODUTOS!$E$4:$E$63,MATCH($A973,PRODUTOS!$B$4:$B$63,0))</f>
        <v>Kit Porta Cata Caca Natural Dots com 4 Refis Biodegradáveis</v>
      </c>
      <c r="C973" s="11" t="n">
        <f aca="false">INDEX(PRODUTOS!$H$4:$H$63,MATCH($A973,PRODUTOS!$B$4:$B$63,0))</f>
        <v>0</v>
      </c>
      <c r="D973" s="11" t="s">
        <v>324</v>
      </c>
      <c r="E973" s="16" t="str">
        <f aca="false">$A973&amp;"."&amp;$D973&amp;".jpg"</f>
        <v>7908591300840.MAIN.jpg</v>
      </c>
      <c r="F973" s="11" t="str">
        <f aca="false">IF(INDEX(PRODUTOS!$I$4:$I$63,MATCH($A973,PRODUTOS!$B$4:$B$63,0))="B",INDEX(MODELOS!$F$3:$F$19,MATCH($D973,MODELOS!$A$3:$A$19,0)),INDEX(MODELOS!$B$3:$B$19,MATCH($D973,MODELOS!$A$3:$A$19,0)))</f>
        <v>Capa (posição 1)</v>
      </c>
      <c r="G973" s="11" t="str">
        <f aca="false">IF(INDEX(PRODUTOS!$F$4:$F$63,MATCH($A973,PRODUTOS!$B$4:$B$63,0))="Ração",IF(INDEX(PRODUTOS!$I$4:$I$63,MATCH($A973,PRODUTOS!$B$4:$B$63,0))="B",INDEX(MODELOS!$G$3:$G$19,MATCH($D973,MODELOS!$A$3:$A$19,0)),INDEX(MODELOS!$C$3:$C$19,MATCH($D973,MODELOS!$A$3:$A$19,0))),IF(INDEX(PRODUTOS!$I$4:$I$63,MATCH($A973,PRODUTOS!$B$4:$B$63,0))="B",INDEX(MODELOS!$H$3:$H$19,MATCH($D973,MODELOS!$A$3:$A$19,0)),INDEX(MODELOS!$D$3:$D$19,MATCH($D973,MODELOS!$A$3:$A$19,0))))</f>
        <v>Embalagem de frente, fundo branco puro, 85% da área, nada adicionado</v>
      </c>
      <c r="H973" s="11" t="str">
        <f aca="false">IF(INDEX(PRODUTOS!$I$4:$I$63,MATCH($A973,PRODUTOS!$B$4:$B$63,0))="B",INDEX(MODELOS!$I$3:$I$19,MATCH($D973,MODELOS!$A$3:$A$19,0)),INDEX(MODELOS!$E$3:$E$19,MATCH($D973,MODELOS!$A$3:$A$19,0)))</f>
        <v>2000 × 2000</v>
      </c>
      <c r="I973" s="11" t="str">
        <f aca="false">INDEX(MODELOS!$J$3:$J$19,MATCH($D973,MODELOS!$A$3:$A$19,0))</f>
        <v>SIM</v>
      </c>
      <c r="J973" s="11" t="str">
        <f aca="false">IF(LEFT($D973,2)&lt;&gt;"AP",IF($I973="SIM","SIM","RECOMENDADA"),IF(INDEX(PRODUTOS!$J$4:$J$63,MATCH($A973,PRODUTOS!$B$4:$B$63,0))&lt;&gt;"","NÃO (usa o A+ do EAN "&amp;INDEX(PRODUTOS!$J$4:$J$63,MATCH($A973,PRODUTOS!$B$4:$B$63,0))&amp;")",IF(AND(INDEX(PRODUTOS!$I$4:$I$63,MATCH($A973,PRODUTOS!$B$4:$B$63,0))="B",$D973="AP07"),"NÃO (modelo B)","SIM")))</f>
        <v>SIM</v>
      </c>
      <c r="K973" s="13" t="s">
        <v>325</v>
      </c>
      <c r="L973" s="13"/>
    </row>
    <row r="974" customFormat="false" ht="15" hidden="false" customHeight="false" outlineLevel="0" collapsed="false">
      <c r="A974" s="15" t="s">
        <v>299</v>
      </c>
      <c r="B974" s="11" t="str">
        <f aca="false">INDEX(PRODUTOS!$E$4:$E$63,MATCH($A974,PRODUTOS!$B$4:$B$63,0))</f>
        <v>Kit Porta Cata Caca Natural Dots com 4 Refis Biodegradáveis</v>
      </c>
      <c r="C974" s="11" t="n">
        <f aca="false">INDEX(PRODUTOS!$H$4:$H$63,MATCH($A974,PRODUTOS!$B$4:$B$63,0))</f>
        <v>0</v>
      </c>
      <c r="D974" s="11" t="s">
        <v>326</v>
      </c>
      <c r="E974" s="16" t="str">
        <f aca="false">$A974&amp;"."&amp;$D974&amp;".jpg"</f>
        <v>7908591300840.PT01.jpg</v>
      </c>
      <c r="F974" s="11" t="str">
        <f aca="false">IF(INDEX(PRODUTOS!$I$4:$I$63,MATCH($A974,PRODUTOS!$B$4:$B$63,0))="B",INDEX(MODELOS!$F$3:$F$19,MATCH($D974,MODELOS!$A$3:$A$19,0)),INDEX(MODELOS!$B$3:$B$19,MATCH($D974,MODELOS!$A$3:$A$19,0)))</f>
        <v>Galeria · posição 2</v>
      </c>
      <c r="G974" s="11" t="str">
        <f aca="false">IF(INDEX(PRODUTOS!$F$4:$F$63,MATCH($A974,PRODUTOS!$B$4:$B$63,0))="Ração",IF(INDEX(PRODUTOS!$I$4:$I$63,MATCH($A974,PRODUTOS!$B$4:$B$63,0))="B",INDEX(MODELOS!$G$3:$G$19,MATCH($D974,MODELOS!$A$3:$A$19,0)),INDEX(MODELOS!$C$3:$C$19,MATCH($D974,MODELOS!$A$3:$A$19,0))),IF(INDEX(PRODUTOS!$I$4:$I$63,MATCH($A974,PRODUTOS!$B$4:$B$63,0))="B",INDEX(MODELOS!$H$3:$H$19,MATCH($D974,MODELOS!$A$3:$A$19,0)),INDEX(MODELOS!$D$3:$D$19,MATCH($D974,MODELOS!$A$3:$A$19,0))))</f>
        <v>Grande diferencial (ex.: natural, biodegradável, perfumado)</v>
      </c>
      <c r="H974" s="11" t="str">
        <f aca="false">IF(INDEX(PRODUTOS!$I$4:$I$63,MATCH($A974,PRODUTOS!$B$4:$B$63,0))="B",INDEX(MODELOS!$I$3:$I$19,MATCH($D974,MODELOS!$A$3:$A$19,0)),INDEX(MODELOS!$E$3:$E$19,MATCH($D974,MODELOS!$A$3:$A$19,0)))</f>
        <v>2000 × 2000</v>
      </c>
      <c r="I974" s="11" t="str">
        <f aca="false">INDEX(MODELOS!$J$3:$J$19,MATCH($D974,MODELOS!$A$3:$A$19,0))</f>
        <v>SIM</v>
      </c>
      <c r="J974" s="11" t="str">
        <f aca="false">IF(LEFT($D974,2)&lt;&gt;"AP",IF($I974="SIM","SIM","RECOMENDADA"),IF(INDEX(PRODUTOS!$J$4:$J$63,MATCH($A974,PRODUTOS!$B$4:$B$63,0))&lt;&gt;"","NÃO (usa o A+ do EAN "&amp;INDEX(PRODUTOS!$J$4:$J$63,MATCH($A974,PRODUTOS!$B$4:$B$63,0))&amp;")",IF(AND(INDEX(PRODUTOS!$I$4:$I$63,MATCH($A974,PRODUTOS!$B$4:$B$63,0))="B",$D974="AP07"),"NÃO (modelo B)","SIM")))</f>
        <v>SIM</v>
      </c>
      <c r="K974" s="13" t="s">
        <v>325</v>
      </c>
      <c r="L974" s="13"/>
    </row>
    <row r="975" customFormat="false" ht="15" hidden="false" customHeight="false" outlineLevel="0" collapsed="false">
      <c r="A975" s="15" t="s">
        <v>299</v>
      </c>
      <c r="B975" s="11" t="str">
        <f aca="false">INDEX(PRODUTOS!$E$4:$E$63,MATCH($A975,PRODUTOS!$B$4:$B$63,0))</f>
        <v>Kit Porta Cata Caca Natural Dots com 4 Refis Biodegradáveis</v>
      </c>
      <c r="C975" s="11" t="n">
        <f aca="false">INDEX(PRODUTOS!$H$4:$H$63,MATCH($A975,PRODUTOS!$B$4:$B$63,0))</f>
        <v>0</v>
      </c>
      <c r="D975" s="11" t="s">
        <v>327</v>
      </c>
      <c r="E975" s="16" t="str">
        <f aca="false">$A975&amp;"."&amp;$D975&amp;".jpg"</f>
        <v>7908591300840.PT02.jpg</v>
      </c>
      <c r="F975" s="11" t="str">
        <f aca="false">IF(INDEX(PRODUTOS!$I$4:$I$63,MATCH($A975,PRODUTOS!$B$4:$B$63,0))="B",INDEX(MODELOS!$F$3:$F$19,MATCH($D975,MODELOS!$A$3:$A$19,0)),INDEX(MODELOS!$B$3:$B$19,MATCH($D975,MODELOS!$A$3:$A$19,0)))</f>
        <v>Galeria · posição 3</v>
      </c>
      <c r="G975" s="11" t="str">
        <f aca="false">IF(INDEX(PRODUTOS!$F$4:$F$63,MATCH($A975,PRODUTOS!$B$4:$B$63,0))="Ração",IF(INDEX(PRODUTOS!$I$4:$I$63,MATCH($A975,PRODUTOS!$B$4:$B$63,0))="B",INDEX(MODELOS!$G$3:$G$19,MATCH($D975,MODELOS!$A$3:$A$19,0)),INDEX(MODELOS!$C$3:$C$19,MATCH($D975,MODELOS!$A$3:$A$19,0))),IF(INDEX(PRODUTOS!$I$4:$I$63,MATCH($A975,PRODUTOS!$B$4:$B$63,0))="B",INDEX(MODELOS!$H$3:$H$19,MATCH($D975,MODELOS!$A$3:$A$19,0)),INDEX(MODELOS!$D$3:$D$19,MATCH($D975,MODELOS!$A$3:$A$19,0))))</f>
        <v>Benefícios com ícones (4 a 6, impressos na embalagem)</v>
      </c>
      <c r="H975" s="11" t="str">
        <f aca="false">IF(INDEX(PRODUTOS!$I$4:$I$63,MATCH($A975,PRODUTOS!$B$4:$B$63,0))="B",INDEX(MODELOS!$I$3:$I$19,MATCH($D975,MODELOS!$A$3:$A$19,0)),INDEX(MODELOS!$E$3:$E$19,MATCH($D975,MODELOS!$A$3:$A$19,0)))</f>
        <v>2000 × 2000</v>
      </c>
      <c r="I975" s="11" t="str">
        <f aca="false">INDEX(MODELOS!$J$3:$J$19,MATCH($D975,MODELOS!$A$3:$A$19,0))</f>
        <v>SIM</v>
      </c>
      <c r="J975" s="11" t="str">
        <f aca="false">IF(LEFT($D975,2)&lt;&gt;"AP",IF($I975="SIM","SIM","RECOMENDADA"),IF(INDEX(PRODUTOS!$J$4:$J$63,MATCH($A975,PRODUTOS!$B$4:$B$63,0))&lt;&gt;"","NÃO (usa o A+ do EAN "&amp;INDEX(PRODUTOS!$J$4:$J$63,MATCH($A975,PRODUTOS!$B$4:$B$63,0))&amp;")",IF(AND(INDEX(PRODUTOS!$I$4:$I$63,MATCH($A975,PRODUTOS!$B$4:$B$63,0))="B",$D975="AP07"),"NÃO (modelo B)","SIM")))</f>
        <v>SIM</v>
      </c>
      <c r="K975" s="13" t="s">
        <v>325</v>
      </c>
      <c r="L975" s="13"/>
    </row>
    <row r="976" customFormat="false" ht="15" hidden="false" customHeight="false" outlineLevel="0" collapsed="false">
      <c r="A976" s="15" t="s">
        <v>299</v>
      </c>
      <c r="B976" s="11" t="str">
        <f aca="false">INDEX(PRODUTOS!$E$4:$E$63,MATCH($A976,PRODUTOS!$B$4:$B$63,0))</f>
        <v>Kit Porta Cata Caca Natural Dots com 4 Refis Biodegradáveis</v>
      </c>
      <c r="C976" s="11" t="n">
        <f aca="false">INDEX(PRODUTOS!$H$4:$H$63,MATCH($A976,PRODUTOS!$B$4:$B$63,0))</f>
        <v>0</v>
      </c>
      <c r="D976" s="11" t="s">
        <v>328</v>
      </c>
      <c r="E976" s="16" t="str">
        <f aca="false">$A976&amp;"."&amp;$D976&amp;".jpg"</f>
        <v>7908591300840.PT03.jpg</v>
      </c>
      <c r="F976" s="11" t="str">
        <f aca="false">IF(INDEX(PRODUTOS!$I$4:$I$63,MATCH($A976,PRODUTOS!$B$4:$B$63,0))="B",INDEX(MODELOS!$F$3:$F$19,MATCH($D976,MODELOS!$A$3:$A$19,0)),INDEX(MODELOS!$B$3:$B$19,MATCH($D976,MODELOS!$A$3:$A$19,0)))</f>
        <v>Galeria · posição 4</v>
      </c>
      <c r="G976" s="11" t="str">
        <f aca="false">IF(INDEX(PRODUTOS!$F$4:$F$63,MATCH($A976,PRODUTOS!$B$4:$B$63,0))="Ração",IF(INDEX(PRODUTOS!$I$4:$I$63,MATCH($A976,PRODUTOS!$B$4:$B$63,0))="B",INDEX(MODELOS!$G$3:$G$19,MATCH($D976,MODELOS!$A$3:$A$19,0)),INDEX(MODELOS!$C$3:$C$19,MATCH($D976,MODELOS!$A$3:$A$19,0))),IF(INDEX(PRODUTOS!$I$4:$I$63,MATCH($A976,PRODUTOS!$B$4:$B$63,0))="B",INDEX(MODELOS!$H$3:$H$19,MATCH($D976,MODELOS!$A$3:$A$19,0)),INDEX(MODELOS!$D$3:$D$19,MATCH($D976,MODELOS!$A$3:$A$19,0))))</f>
        <v>Detalhe e tamanho real (petisco, grânulo ou tapete aberto), com medidas</v>
      </c>
      <c r="H976" s="11" t="str">
        <f aca="false">IF(INDEX(PRODUTOS!$I$4:$I$63,MATCH($A976,PRODUTOS!$B$4:$B$63,0))="B",INDEX(MODELOS!$I$3:$I$19,MATCH($D976,MODELOS!$A$3:$A$19,0)),INDEX(MODELOS!$E$3:$E$19,MATCH($D976,MODELOS!$A$3:$A$19,0)))</f>
        <v>2000 × 2000</v>
      </c>
      <c r="I976" s="11" t="str">
        <f aca="false">INDEX(MODELOS!$J$3:$J$19,MATCH($D976,MODELOS!$A$3:$A$19,0))</f>
        <v>SIM</v>
      </c>
      <c r="J976" s="11" t="str">
        <f aca="false">IF(LEFT($D976,2)&lt;&gt;"AP",IF($I976="SIM","SIM","RECOMENDADA"),IF(INDEX(PRODUTOS!$J$4:$J$63,MATCH($A976,PRODUTOS!$B$4:$B$63,0))&lt;&gt;"","NÃO (usa o A+ do EAN "&amp;INDEX(PRODUTOS!$J$4:$J$63,MATCH($A976,PRODUTOS!$B$4:$B$63,0))&amp;")",IF(AND(INDEX(PRODUTOS!$I$4:$I$63,MATCH($A976,PRODUTOS!$B$4:$B$63,0))="B",$D976="AP07"),"NÃO (modelo B)","SIM")))</f>
        <v>SIM</v>
      </c>
      <c r="K976" s="13" t="s">
        <v>325</v>
      </c>
      <c r="L976" s="13"/>
    </row>
    <row r="977" customFormat="false" ht="15" hidden="false" customHeight="false" outlineLevel="0" collapsed="false">
      <c r="A977" s="15" t="s">
        <v>299</v>
      </c>
      <c r="B977" s="11" t="str">
        <f aca="false">INDEX(PRODUTOS!$E$4:$E$63,MATCH($A977,PRODUTOS!$B$4:$B$63,0))</f>
        <v>Kit Porta Cata Caca Natural Dots com 4 Refis Biodegradáveis</v>
      </c>
      <c r="C977" s="11" t="n">
        <f aca="false">INDEX(PRODUTOS!$H$4:$H$63,MATCH($A977,PRODUTOS!$B$4:$B$63,0))</f>
        <v>0</v>
      </c>
      <c r="D977" s="11" t="s">
        <v>329</v>
      </c>
      <c r="E977" s="16" t="str">
        <f aca="false">$A977&amp;"."&amp;$D977&amp;".jpg"</f>
        <v>7908591300840.PT04.jpg</v>
      </c>
      <c r="F977" s="11" t="str">
        <f aca="false">IF(INDEX(PRODUTOS!$I$4:$I$63,MATCH($A977,PRODUTOS!$B$4:$B$63,0))="B",INDEX(MODELOS!$F$3:$F$19,MATCH($D977,MODELOS!$A$3:$A$19,0)),INDEX(MODELOS!$B$3:$B$19,MATCH($D977,MODELOS!$A$3:$A$19,0)))</f>
        <v>Galeria · posição 5</v>
      </c>
      <c r="G977" s="11" t="str">
        <f aca="false">IF(INDEX(PRODUTOS!$F$4:$F$63,MATCH($A977,PRODUTOS!$B$4:$B$63,0))="Ração",IF(INDEX(PRODUTOS!$I$4:$I$63,MATCH($A977,PRODUTOS!$B$4:$B$63,0))="B",INDEX(MODELOS!$G$3:$G$19,MATCH($D977,MODELOS!$A$3:$A$19,0)),INDEX(MODELOS!$C$3:$C$19,MATCH($D977,MODELOS!$A$3:$A$19,0))),IF(INDEX(PRODUTOS!$I$4:$I$63,MATCH($A977,PRODUTOS!$B$4:$B$63,0))="B",INDEX(MODELOS!$H$3:$H$19,MATCH($D977,MODELOS!$A$3:$A$19,0)),INDEX(MODELOS!$D$3:$D$19,MATCH($D977,MODELOS!$A$3:$A$19,0))))</f>
        <v>Modo de uso (como oferecer o petisco / como usar o produto)</v>
      </c>
      <c r="H977" s="11" t="str">
        <f aca="false">IF(INDEX(PRODUTOS!$I$4:$I$63,MATCH($A977,PRODUTOS!$B$4:$B$63,0))="B",INDEX(MODELOS!$I$3:$I$19,MATCH($D977,MODELOS!$A$3:$A$19,0)),INDEX(MODELOS!$E$3:$E$19,MATCH($D977,MODELOS!$A$3:$A$19,0)))</f>
        <v>2000 × 2000</v>
      </c>
      <c r="I977" s="11" t="str">
        <f aca="false">INDEX(MODELOS!$J$3:$J$19,MATCH($D977,MODELOS!$A$3:$A$19,0))</f>
        <v>SIM</v>
      </c>
      <c r="J977" s="11" t="str">
        <f aca="false">IF(LEFT($D977,2)&lt;&gt;"AP",IF($I977="SIM","SIM","RECOMENDADA"),IF(INDEX(PRODUTOS!$J$4:$J$63,MATCH($A977,PRODUTOS!$B$4:$B$63,0))&lt;&gt;"","NÃO (usa o A+ do EAN "&amp;INDEX(PRODUTOS!$J$4:$J$63,MATCH($A977,PRODUTOS!$B$4:$B$63,0))&amp;")",IF(AND(INDEX(PRODUTOS!$I$4:$I$63,MATCH($A977,PRODUTOS!$B$4:$B$63,0))="B",$D977="AP07"),"NÃO (modelo B)","SIM")))</f>
        <v>SIM</v>
      </c>
      <c r="K977" s="13" t="s">
        <v>325</v>
      </c>
      <c r="L977" s="13"/>
    </row>
    <row r="978" customFormat="false" ht="15" hidden="false" customHeight="false" outlineLevel="0" collapsed="false">
      <c r="A978" s="15" t="s">
        <v>299</v>
      </c>
      <c r="B978" s="11" t="str">
        <f aca="false">INDEX(PRODUTOS!$E$4:$E$63,MATCH($A978,PRODUTOS!$B$4:$B$63,0))</f>
        <v>Kit Porta Cata Caca Natural Dots com 4 Refis Biodegradáveis</v>
      </c>
      <c r="C978" s="11" t="n">
        <f aca="false">INDEX(PRODUTOS!$H$4:$H$63,MATCH($A978,PRODUTOS!$B$4:$B$63,0))</f>
        <v>0</v>
      </c>
      <c r="D978" s="11" t="s">
        <v>330</v>
      </c>
      <c r="E978" s="16" t="str">
        <f aca="false">$A978&amp;"."&amp;$D978&amp;".jpg"</f>
        <v>7908591300840.PT05.jpg</v>
      </c>
      <c r="F978" s="11" t="str">
        <f aca="false">IF(INDEX(PRODUTOS!$I$4:$I$63,MATCH($A978,PRODUTOS!$B$4:$B$63,0))="B",INDEX(MODELOS!$F$3:$F$19,MATCH($D978,MODELOS!$A$3:$A$19,0)),INDEX(MODELOS!$B$3:$B$19,MATCH($D978,MODELOS!$A$3:$A$19,0)))</f>
        <v>Galeria · posição 6</v>
      </c>
      <c r="G978" s="11" t="str">
        <f aca="false">IF(INDEX(PRODUTOS!$F$4:$F$63,MATCH($A978,PRODUTOS!$B$4:$B$63,0))="Ração",IF(INDEX(PRODUTOS!$I$4:$I$63,MATCH($A978,PRODUTOS!$B$4:$B$63,0))="B",INDEX(MODELOS!$G$3:$G$19,MATCH($D978,MODELOS!$A$3:$A$19,0)),INDEX(MODELOS!$C$3:$C$19,MATCH($D978,MODELOS!$A$3:$A$19,0))),IF(INDEX(PRODUTOS!$I$4:$I$63,MATCH($A978,PRODUTOS!$B$4:$B$63,0))="B",INDEX(MODELOS!$H$3:$H$19,MATCH($D978,MODELOS!$A$3:$A$19,0)),INDEX(MODELOS!$D$3:$D$19,MATCH($D978,MODELOS!$A$3:$A$19,0))))</f>
        <v>Quantidade por dia ou rendimento do pacote</v>
      </c>
      <c r="H978" s="11" t="str">
        <f aca="false">IF(INDEX(PRODUTOS!$I$4:$I$63,MATCH($A978,PRODUTOS!$B$4:$B$63,0))="B",INDEX(MODELOS!$I$3:$I$19,MATCH($D978,MODELOS!$A$3:$A$19,0)),INDEX(MODELOS!$E$3:$E$19,MATCH($D978,MODELOS!$A$3:$A$19,0)))</f>
        <v>2000 × 2000</v>
      </c>
      <c r="I978" s="11" t="str">
        <f aca="false">INDEX(MODELOS!$J$3:$J$19,MATCH($D978,MODELOS!$A$3:$A$19,0))</f>
        <v>Recomendada</v>
      </c>
      <c r="J978" s="11" t="str">
        <f aca="false">IF(LEFT($D978,2)&lt;&gt;"AP",IF($I978="SIM","SIM","RECOMENDADA"),IF(INDEX(PRODUTOS!$J$4:$J$63,MATCH($A978,PRODUTOS!$B$4:$B$63,0))&lt;&gt;"","NÃO (usa o A+ do EAN "&amp;INDEX(PRODUTOS!$J$4:$J$63,MATCH($A978,PRODUTOS!$B$4:$B$63,0))&amp;")",IF(AND(INDEX(PRODUTOS!$I$4:$I$63,MATCH($A978,PRODUTOS!$B$4:$B$63,0))="B",$D978="AP07"),"NÃO (modelo B)","SIM")))</f>
        <v>RECOMENDADA</v>
      </c>
      <c r="K978" s="13" t="s">
        <v>325</v>
      </c>
      <c r="L978" s="13"/>
    </row>
    <row r="979" customFormat="false" ht="15" hidden="false" customHeight="false" outlineLevel="0" collapsed="false">
      <c r="A979" s="15" t="s">
        <v>299</v>
      </c>
      <c r="B979" s="11" t="str">
        <f aca="false">INDEX(PRODUTOS!$E$4:$E$63,MATCH($A979,PRODUTOS!$B$4:$B$63,0))</f>
        <v>Kit Porta Cata Caca Natural Dots com 4 Refis Biodegradáveis</v>
      </c>
      <c r="C979" s="11" t="n">
        <f aca="false">INDEX(PRODUTOS!$H$4:$H$63,MATCH($A979,PRODUTOS!$B$4:$B$63,0))</f>
        <v>0</v>
      </c>
      <c r="D979" s="11" t="s">
        <v>331</v>
      </c>
      <c r="E979" s="16" t="str">
        <f aca="false">$A979&amp;"."&amp;$D979&amp;".jpg"</f>
        <v>7908591300840.PT06.jpg</v>
      </c>
      <c r="F979" s="11" t="str">
        <f aca="false">IF(INDEX(PRODUTOS!$I$4:$I$63,MATCH($A979,PRODUTOS!$B$4:$B$63,0))="B",INDEX(MODELOS!$F$3:$F$19,MATCH($D979,MODELOS!$A$3:$A$19,0)),INDEX(MODELOS!$B$3:$B$19,MATCH($D979,MODELOS!$A$3:$A$19,0)))</f>
        <v>Galeria · posição 7</v>
      </c>
      <c r="G979" s="11" t="str">
        <f aca="false">IF(INDEX(PRODUTOS!$F$4:$F$63,MATCH($A979,PRODUTOS!$B$4:$B$63,0))="Ração",IF(INDEX(PRODUTOS!$I$4:$I$63,MATCH($A979,PRODUTOS!$B$4:$B$63,0))="B",INDEX(MODELOS!$G$3:$G$19,MATCH($D979,MODELOS!$A$3:$A$19,0)),INDEX(MODELOS!$C$3:$C$19,MATCH($D979,MODELOS!$A$3:$A$19,0))),IF(INDEX(PRODUTOS!$I$4:$I$63,MATCH($A979,PRODUTOS!$B$4:$B$63,0))="B",INDEX(MODELOS!$H$3:$H$19,MATCH($D979,MODELOS!$A$3:$A$19,0)),INDEX(MODELOS!$D$3:$D$19,MATCH($D979,MODELOS!$A$3:$A$19,0))))</f>
        <v>Composição/níveis de garantia (petiscos) ou especificações (higiene)</v>
      </c>
      <c r="H979" s="11" t="str">
        <f aca="false">IF(INDEX(PRODUTOS!$I$4:$I$63,MATCH($A979,PRODUTOS!$B$4:$B$63,0))="B",INDEX(MODELOS!$I$3:$I$19,MATCH($D979,MODELOS!$A$3:$A$19,0)),INDEX(MODELOS!$E$3:$E$19,MATCH($D979,MODELOS!$A$3:$A$19,0)))</f>
        <v>2000 × 2000</v>
      </c>
      <c r="I979" s="11" t="str">
        <f aca="false">INDEX(MODELOS!$J$3:$J$19,MATCH($D979,MODELOS!$A$3:$A$19,0))</f>
        <v>SIM</v>
      </c>
      <c r="J979" s="11" t="str">
        <f aca="false">IF(LEFT($D979,2)&lt;&gt;"AP",IF($I979="SIM","SIM","RECOMENDADA"),IF(INDEX(PRODUTOS!$J$4:$J$63,MATCH($A979,PRODUTOS!$B$4:$B$63,0))&lt;&gt;"","NÃO (usa o A+ do EAN "&amp;INDEX(PRODUTOS!$J$4:$J$63,MATCH($A979,PRODUTOS!$B$4:$B$63,0))&amp;")",IF(AND(INDEX(PRODUTOS!$I$4:$I$63,MATCH($A979,PRODUTOS!$B$4:$B$63,0))="B",$D979="AP07"),"NÃO (modelo B)","SIM")))</f>
        <v>SIM</v>
      </c>
      <c r="K979" s="13" t="s">
        <v>325</v>
      </c>
      <c r="L979" s="13"/>
    </row>
    <row r="980" customFormat="false" ht="15" hidden="false" customHeight="false" outlineLevel="0" collapsed="false">
      <c r="A980" s="15" t="s">
        <v>299</v>
      </c>
      <c r="B980" s="11" t="str">
        <f aca="false">INDEX(PRODUTOS!$E$4:$E$63,MATCH($A980,PRODUTOS!$B$4:$B$63,0))</f>
        <v>Kit Porta Cata Caca Natural Dots com 4 Refis Biodegradáveis</v>
      </c>
      <c r="C980" s="11" t="n">
        <f aca="false">INDEX(PRODUTOS!$H$4:$H$63,MATCH($A980,PRODUTOS!$B$4:$B$63,0))</f>
        <v>0</v>
      </c>
      <c r="D980" s="11" t="s">
        <v>332</v>
      </c>
      <c r="E980" s="16" t="str">
        <f aca="false">$A980&amp;"."&amp;$D980&amp;".jpg"</f>
        <v>7908591300840.PT07.jpg</v>
      </c>
      <c r="F980" s="11" t="str">
        <f aca="false">IF(INDEX(PRODUTOS!$I$4:$I$63,MATCH($A980,PRODUTOS!$B$4:$B$63,0))="B",INDEX(MODELOS!$F$3:$F$19,MATCH($D980,MODELOS!$A$3:$A$19,0)),INDEX(MODELOS!$B$3:$B$19,MATCH($D980,MODELOS!$A$3:$A$19,0)))</f>
        <v>Galeria · posição 8</v>
      </c>
      <c r="G980" s="11" t="str">
        <f aca="false">IF(INDEX(PRODUTOS!$F$4:$F$63,MATCH($A980,PRODUTOS!$B$4:$B$63,0))="Ração",IF(INDEX(PRODUTOS!$I$4:$I$63,MATCH($A980,PRODUTOS!$B$4:$B$63,0))="B",INDEX(MODELOS!$G$3:$G$19,MATCH($D980,MODELOS!$A$3:$A$19,0)),INDEX(MODELOS!$C$3:$C$19,MATCH($D980,MODELOS!$A$3:$A$19,0))),IF(INDEX(PRODUTOS!$I$4:$I$63,MATCH($A980,PRODUTOS!$B$4:$B$63,0))="B",INDEX(MODELOS!$H$3:$H$19,MATCH($D980,MODELOS!$A$3:$A$19,0)),INDEX(MODELOS!$D$3:$D$19,MATCH($D980,MODELOS!$A$3:$A$19,0))))</f>
        <v>Emocional / momento de uso</v>
      </c>
      <c r="H980" s="11" t="str">
        <f aca="false">IF(INDEX(PRODUTOS!$I$4:$I$63,MATCH($A980,PRODUTOS!$B$4:$B$63,0))="B",INDEX(MODELOS!$I$3:$I$19,MATCH($D980,MODELOS!$A$3:$A$19,0)),INDEX(MODELOS!$E$3:$E$19,MATCH($D980,MODELOS!$A$3:$A$19,0)))</f>
        <v>2000 × 2000</v>
      </c>
      <c r="I980" s="11" t="str">
        <f aca="false">INDEX(MODELOS!$J$3:$J$19,MATCH($D980,MODELOS!$A$3:$A$19,0))</f>
        <v>Recomendada</v>
      </c>
      <c r="J980" s="11" t="str">
        <f aca="false">IF(LEFT($D980,2)&lt;&gt;"AP",IF($I980="SIM","SIM","RECOMENDADA"),IF(INDEX(PRODUTOS!$J$4:$J$63,MATCH($A980,PRODUTOS!$B$4:$B$63,0))&lt;&gt;"","NÃO (usa o A+ do EAN "&amp;INDEX(PRODUTOS!$J$4:$J$63,MATCH($A980,PRODUTOS!$B$4:$B$63,0))&amp;")",IF(AND(INDEX(PRODUTOS!$I$4:$I$63,MATCH($A980,PRODUTOS!$B$4:$B$63,0))="B",$D980="AP07"),"NÃO (modelo B)","SIM")))</f>
        <v>RECOMENDADA</v>
      </c>
      <c r="K980" s="13" t="s">
        <v>325</v>
      </c>
      <c r="L980" s="13"/>
    </row>
    <row r="981" customFormat="false" ht="15" hidden="false" customHeight="false" outlineLevel="0" collapsed="false">
      <c r="A981" s="15" t="s">
        <v>299</v>
      </c>
      <c r="B981" s="11" t="str">
        <f aca="false">INDEX(PRODUTOS!$E$4:$E$63,MATCH($A981,PRODUTOS!$B$4:$B$63,0))</f>
        <v>Kit Porta Cata Caca Natural Dots com 4 Refis Biodegradáveis</v>
      </c>
      <c r="C981" s="11" t="n">
        <f aca="false">INDEX(PRODUTOS!$H$4:$H$63,MATCH($A981,PRODUTOS!$B$4:$B$63,0))</f>
        <v>0</v>
      </c>
      <c r="D981" s="11" t="s">
        <v>333</v>
      </c>
      <c r="E981" s="16" t="str">
        <f aca="false">$A981&amp;"."&amp;$D981&amp;".jpg"</f>
        <v>7908591300840.PT08.jpg</v>
      </c>
      <c r="F981" s="11" t="str">
        <f aca="false">IF(INDEX(PRODUTOS!$I$4:$I$63,MATCH($A981,PRODUTOS!$B$4:$B$63,0))="B",INDEX(MODELOS!$F$3:$F$19,MATCH($D981,MODELOS!$A$3:$A$19,0)),INDEX(MODELOS!$B$3:$B$19,MATCH($D981,MODELOS!$A$3:$A$19,0)))</f>
        <v>Galeria · posição 9</v>
      </c>
      <c r="G981" s="11" t="str">
        <f aca="false">IF(INDEX(PRODUTOS!$F$4:$F$63,MATCH($A981,PRODUTOS!$B$4:$B$63,0))="Ração",IF(INDEX(PRODUTOS!$I$4:$I$63,MATCH($A981,PRODUTOS!$B$4:$B$63,0))="B",INDEX(MODELOS!$G$3:$G$19,MATCH($D981,MODELOS!$A$3:$A$19,0)),INDEX(MODELOS!$C$3:$C$19,MATCH($D981,MODELOS!$A$3:$A$19,0))),IF(INDEX(PRODUTOS!$I$4:$I$63,MATCH($A981,PRODUTOS!$B$4:$B$63,0))="B",INDEX(MODELOS!$H$3:$H$19,MATCH($D981,MODELOS!$A$3:$A$19,0)),INDEX(MODELOS!$D$3:$D$19,MATCH($D981,MODELOS!$A$3:$A$19,0))))</f>
        <v>Linha da marca ("conheça também")</v>
      </c>
      <c r="H981" s="11" t="str">
        <f aca="false">IF(INDEX(PRODUTOS!$I$4:$I$63,MATCH($A981,PRODUTOS!$B$4:$B$63,0))="B",INDEX(MODELOS!$I$3:$I$19,MATCH($D981,MODELOS!$A$3:$A$19,0)),INDEX(MODELOS!$E$3:$E$19,MATCH($D981,MODELOS!$A$3:$A$19,0)))</f>
        <v>2000 × 2000</v>
      </c>
      <c r="I981" s="11" t="str">
        <f aca="false">INDEX(MODELOS!$J$3:$J$19,MATCH($D981,MODELOS!$A$3:$A$19,0))</f>
        <v>Recomendada</v>
      </c>
      <c r="J981" s="11" t="str">
        <f aca="false">IF(LEFT($D981,2)&lt;&gt;"AP",IF($I981="SIM","SIM","RECOMENDADA"),IF(INDEX(PRODUTOS!$J$4:$J$63,MATCH($A981,PRODUTOS!$B$4:$B$63,0))&lt;&gt;"","NÃO (usa o A+ do EAN "&amp;INDEX(PRODUTOS!$J$4:$J$63,MATCH($A981,PRODUTOS!$B$4:$B$63,0))&amp;")",IF(AND(INDEX(PRODUTOS!$I$4:$I$63,MATCH($A981,PRODUTOS!$B$4:$B$63,0))="B",$D981="AP07"),"NÃO (modelo B)","SIM")))</f>
        <v>RECOMENDADA</v>
      </c>
      <c r="K981" s="13" t="s">
        <v>325</v>
      </c>
      <c r="L981" s="13"/>
    </row>
    <row r="982" customFormat="false" ht="15" hidden="false" customHeight="false" outlineLevel="0" collapsed="false">
      <c r="A982" s="15" t="s">
        <v>299</v>
      </c>
      <c r="B982" s="11" t="str">
        <f aca="false">INDEX(PRODUTOS!$E$4:$E$63,MATCH($A982,PRODUTOS!$B$4:$B$63,0))</f>
        <v>Kit Porta Cata Caca Natural Dots com 4 Refis Biodegradáveis</v>
      </c>
      <c r="C982" s="11" t="n">
        <f aca="false">INDEX(PRODUTOS!$H$4:$H$63,MATCH($A982,PRODUTOS!$B$4:$B$63,0))</f>
        <v>0</v>
      </c>
      <c r="D982" s="11" t="s">
        <v>334</v>
      </c>
      <c r="E982" s="16" t="str">
        <f aca="false">$A982&amp;"."&amp;$D982&amp;".jpg"</f>
        <v>7908591300840.AP01.jpg</v>
      </c>
      <c r="F982" s="11" t="str">
        <f aca="false">IF(INDEX(PRODUTOS!$I$4:$I$63,MATCH($A982,PRODUTOS!$B$4:$B$63,0))="B",INDEX(MODELOS!$F$3:$F$19,MATCH($D982,MODELOS!$A$3:$A$19,0)),INDEX(MODELOS!$B$3:$B$19,MATCH($D982,MODELOS!$A$3:$A$19,0)))</f>
        <v>A+ · Módulo 1 · Banner</v>
      </c>
      <c r="G982" s="11" t="str">
        <f aca="false">IF(INDEX(PRODUTOS!$F$4:$F$63,MATCH($A982,PRODUTOS!$B$4:$B$63,0))="Ração",IF(INDEX(PRODUTOS!$I$4:$I$63,MATCH($A982,PRODUTOS!$B$4:$B$63,0))="B",INDEX(MODELOS!$G$3:$G$19,MATCH($D982,MODELOS!$A$3:$A$19,0)),INDEX(MODELOS!$C$3:$C$19,MATCH($D982,MODELOS!$A$3:$A$19,0))),IF(INDEX(PRODUTOS!$I$4:$I$63,MATCH($A982,PRODUTOS!$B$4:$B$63,0))="B",INDEX(MODELOS!$H$3:$H$19,MATCH($D982,MODELOS!$A$3:$A$19,0)),INDEX(MODELOS!$D$3:$D$19,MATCH($D982,MODELOS!$A$3:$A$19,0))))</f>
        <v>Produto + pet, com o nome da linha</v>
      </c>
      <c r="H982" s="11" t="str">
        <f aca="false">IF(INDEX(PRODUTOS!$I$4:$I$63,MATCH($A982,PRODUTOS!$B$4:$B$63,0))="B",INDEX(MODELOS!$I$3:$I$19,MATCH($D982,MODELOS!$A$3:$A$19,0)),INDEX(MODELOS!$E$3:$E$19,MATCH($D982,MODELOS!$A$3:$A$19,0)))</f>
        <v>970 × 600</v>
      </c>
      <c r="I982" s="11" t="str">
        <f aca="false">INDEX(MODELOS!$J$3:$J$19,MATCH($D982,MODELOS!$A$3:$A$19,0))</f>
        <v>Conforme modelo</v>
      </c>
      <c r="J982" s="11" t="str">
        <f aca="false">IF(LEFT($D982,2)&lt;&gt;"AP",IF($I982="SIM","SIM","RECOMENDADA"),IF(INDEX(PRODUTOS!$J$4:$J$63,MATCH($A982,PRODUTOS!$B$4:$B$63,0))&lt;&gt;"","NÃO (usa o A+ do EAN "&amp;INDEX(PRODUTOS!$J$4:$J$63,MATCH($A982,PRODUTOS!$B$4:$B$63,0))&amp;")",IF(AND(INDEX(PRODUTOS!$I$4:$I$63,MATCH($A982,PRODUTOS!$B$4:$B$63,0))="B",$D982="AP07"),"NÃO (modelo B)","SIM")))</f>
        <v>SIM</v>
      </c>
      <c r="K982" s="13" t="s">
        <v>325</v>
      </c>
      <c r="L982" s="13"/>
    </row>
    <row r="983" customFormat="false" ht="15" hidden="false" customHeight="false" outlineLevel="0" collapsed="false">
      <c r="A983" s="15" t="s">
        <v>299</v>
      </c>
      <c r="B983" s="11" t="str">
        <f aca="false">INDEX(PRODUTOS!$E$4:$E$63,MATCH($A983,PRODUTOS!$B$4:$B$63,0))</f>
        <v>Kit Porta Cata Caca Natural Dots com 4 Refis Biodegradáveis</v>
      </c>
      <c r="C983" s="11" t="n">
        <f aca="false">INDEX(PRODUTOS!$H$4:$H$63,MATCH($A983,PRODUTOS!$B$4:$B$63,0))</f>
        <v>0</v>
      </c>
      <c r="D983" s="11" t="s">
        <v>335</v>
      </c>
      <c r="E983" s="16" t="str">
        <f aca="false">$A983&amp;"."&amp;$D983&amp;".jpg"</f>
        <v>7908591300840.AP02.jpg</v>
      </c>
      <c r="F983" s="11" t="str">
        <f aca="false">IF(INDEX(PRODUTOS!$I$4:$I$63,MATCH($A983,PRODUTOS!$B$4:$B$63,0))="B",INDEX(MODELOS!$F$3:$F$19,MATCH($D983,MODELOS!$A$3:$A$19,0)),INDEX(MODELOS!$B$3:$B$19,MATCH($D983,MODELOS!$A$3:$A$19,0)))</f>
        <v>A+ · Módulo 2 · Texto sobreposto</v>
      </c>
      <c r="G983" s="11" t="str">
        <f aca="false">IF(INDEX(PRODUTOS!$F$4:$F$63,MATCH($A983,PRODUTOS!$B$4:$B$63,0))="Ração",IF(INDEX(PRODUTOS!$I$4:$I$63,MATCH($A983,PRODUTOS!$B$4:$B$63,0))="B",INDEX(MODELOS!$G$3:$G$19,MATCH($D983,MODELOS!$A$3:$A$19,0)),INDEX(MODELOS!$C$3:$C$19,MATCH($D983,MODELOS!$A$3:$A$19,0))),IF(INDEX(PRODUTOS!$I$4:$I$63,MATCH($A983,PRODUTOS!$B$4:$B$63,0))="B",INDEX(MODELOS!$H$3:$H$19,MATCH($D983,MODELOS!$A$3:$A$19,0)),INDEX(MODELOS!$D$3:$D$19,MATCH($D983,MODELOS!$A$3:$A$19,0))))</f>
        <v>Principal diferencial; deixar o lado direito limpo</v>
      </c>
      <c r="H983" s="11" t="str">
        <f aca="false">IF(INDEX(PRODUTOS!$I$4:$I$63,MATCH($A983,PRODUTOS!$B$4:$B$63,0))="B",INDEX(MODELOS!$I$3:$I$19,MATCH($D983,MODELOS!$A$3:$A$19,0)),INDEX(MODELOS!$E$3:$E$19,MATCH($D983,MODELOS!$A$3:$A$19,0)))</f>
        <v>970 × 300</v>
      </c>
      <c r="I983" s="11" t="str">
        <f aca="false">INDEX(MODELOS!$J$3:$J$19,MATCH($D983,MODELOS!$A$3:$A$19,0))</f>
        <v>Conforme modelo</v>
      </c>
      <c r="J983" s="11" t="str">
        <f aca="false">IF(LEFT($D983,2)&lt;&gt;"AP",IF($I983="SIM","SIM","RECOMENDADA"),IF(INDEX(PRODUTOS!$J$4:$J$63,MATCH($A983,PRODUTOS!$B$4:$B$63,0))&lt;&gt;"","NÃO (usa o A+ do EAN "&amp;INDEX(PRODUTOS!$J$4:$J$63,MATCH($A983,PRODUTOS!$B$4:$B$63,0))&amp;")",IF(AND(INDEX(PRODUTOS!$I$4:$I$63,MATCH($A983,PRODUTOS!$B$4:$B$63,0))="B",$D983="AP07"),"NÃO (modelo B)","SIM")))</f>
        <v>SIM</v>
      </c>
      <c r="K983" s="13" t="s">
        <v>325</v>
      </c>
      <c r="L983" s="13"/>
    </row>
    <row r="984" customFormat="false" ht="15" hidden="false" customHeight="false" outlineLevel="0" collapsed="false">
      <c r="A984" s="15" t="s">
        <v>299</v>
      </c>
      <c r="B984" s="11" t="str">
        <f aca="false">INDEX(PRODUTOS!$E$4:$E$63,MATCH($A984,PRODUTOS!$B$4:$B$63,0))</f>
        <v>Kit Porta Cata Caca Natural Dots com 4 Refis Biodegradáveis</v>
      </c>
      <c r="C984" s="11" t="n">
        <f aca="false">INDEX(PRODUTOS!$H$4:$H$63,MATCH($A984,PRODUTOS!$B$4:$B$63,0))</f>
        <v>0</v>
      </c>
      <c r="D984" s="11" t="s">
        <v>336</v>
      </c>
      <c r="E984" s="16" t="str">
        <f aca="false">$A984&amp;"."&amp;$D984&amp;".jpg"</f>
        <v>7908591300840.AP03.jpg</v>
      </c>
      <c r="F984" s="11" t="str">
        <f aca="false">IF(INDEX(PRODUTOS!$I$4:$I$63,MATCH($A984,PRODUTOS!$B$4:$B$63,0))="B",INDEX(MODELOS!$F$3:$F$19,MATCH($D984,MODELOS!$A$3:$A$19,0)),INDEX(MODELOS!$B$3:$B$19,MATCH($D984,MODELOS!$A$3:$A$19,0)))</f>
        <v>A+ · Módulo 3 · Benefício 1 de 4</v>
      </c>
      <c r="G984" s="11" t="str">
        <f aca="false">IF(INDEX(PRODUTOS!$F$4:$F$63,MATCH($A984,PRODUTOS!$B$4:$B$63,0))="Ração",IF(INDEX(PRODUTOS!$I$4:$I$63,MATCH($A984,PRODUTOS!$B$4:$B$63,0))="B",INDEX(MODELOS!$G$3:$G$19,MATCH($D984,MODELOS!$A$3:$A$19,0)),INDEX(MODELOS!$C$3:$C$19,MATCH($D984,MODELOS!$A$3:$A$19,0))),IF(INDEX(PRODUTOS!$I$4:$I$63,MATCH($A984,PRODUTOS!$B$4:$B$63,0))="B",INDEX(MODELOS!$H$3:$H$19,MATCH($D984,MODELOS!$A$3:$A$19,0)),INDEX(MODELOS!$D$3:$D$19,MATCH($D984,MODELOS!$A$3:$A$19,0))))</f>
        <v>Foto/ilustração do benefício 1</v>
      </c>
      <c r="H984" s="11" t="str">
        <f aca="false">IF(INDEX(PRODUTOS!$I$4:$I$63,MATCH($A984,PRODUTOS!$B$4:$B$63,0))="B",INDEX(MODELOS!$I$3:$I$19,MATCH($D984,MODELOS!$A$3:$A$19,0)),INDEX(MODELOS!$E$3:$E$19,MATCH($D984,MODELOS!$A$3:$A$19,0)))</f>
        <v>220 × 200</v>
      </c>
      <c r="I984" s="11" t="str">
        <f aca="false">INDEX(MODELOS!$J$3:$J$19,MATCH($D984,MODELOS!$A$3:$A$19,0))</f>
        <v>Conforme modelo</v>
      </c>
      <c r="J984" s="11" t="str">
        <f aca="false">IF(LEFT($D984,2)&lt;&gt;"AP",IF($I984="SIM","SIM","RECOMENDADA"),IF(INDEX(PRODUTOS!$J$4:$J$63,MATCH($A984,PRODUTOS!$B$4:$B$63,0))&lt;&gt;"","NÃO (usa o A+ do EAN "&amp;INDEX(PRODUTOS!$J$4:$J$63,MATCH($A984,PRODUTOS!$B$4:$B$63,0))&amp;")",IF(AND(INDEX(PRODUTOS!$I$4:$I$63,MATCH($A984,PRODUTOS!$B$4:$B$63,0))="B",$D984="AP07"),"NÃO (modelo B)","SIM")))</f>
        <v>SIM</v>
      </c>
      <c r="K984" s="13" t="s">
        <v>325</v>
      </c>
      <c r="L984" s="13"/>
    </row>
    <row r="985" customFormat="false" ht="15" hidden="false" customHeight="false" outlineLevel="0" collapsed="false">
      <c r="A985" s="15" t="s">
        <v>299</v>
      </c>
      <c r="B985" s="11" t="str">
        <f aca="false">INDEX(PRODUTOS!$E$4:$E$63,MATCH($A985,PRODUTOS!$B$4:$B$63,0))</f>
        <v>Kit Porta Cata Caca Natural Dots com 4 Refis Biodegradáveis</v>
      </c>
      <c r="C985" s="11" t="n">
        <f aca="false">INDEX(PRODUTOS!$H$4:$H$63,MATCH($A985,PRODUTOS!$B$4:$B$63,0))</f>
        <v>0</v>
      </c>
      <c r="D985" s="11" t="s">
        <v>337</v>
      </c>
      <c r="E985" s="16" t="str">
        <f aca="false">$A985&amp;"."&amp;$D985&amp;".jpg"</f>
        <v>7908591300840.AP04.jpg</v>
      </c>
      <c r="F985" s="11" t="str">
        <f aca="false">IF(INDEX(PRODUTOS!$I$4:$I$63,MATCH($A985,PRODUTOS!$B$4:$B$63,0))="B",INDEX(MODELOS!$F$3:$F$19,MATCH($D985,MODELOS!$A$3:$A$19,0)),INDEX(MODELOS!$B$3:$B$19,MATCH($D985,MODELOS!$A$3:$A$19,0)))</f>
        <v>A+ · Módulo 3 · Benefício 2 de 4</v>
      </c>
      <c r="G985" s="11" t="str">
        <f aca="false">IF(INDEX(PRODUTOS!$F$4:$F$63,MATCH($A985,PRODUTOS!$B$4:$B$63,0))="Ração",IF(INDEX(PRODUTOS!$I$4:$I$63,MATCH($A985,PRODUTOS!$B$4:$B$63,0))="B",INDEX(MODELOS!$G$3:$G$19,MATCH($D985,MODELOS!$A$3:$A$19,0)),INDEX(MODELOS!$C$3:$C$19,MATCH($D985,MODELOS!$A$3:$A$19,0))),IF(INDEX(PRODUTOS!$I$4:$I$63,MATCH($A985,PRODUTOS!$B$4:$B$63,0))="B",INDEX(MODELOS!$H$3:$H$19,MATCH($D985,MODELOS!$A$3:$A$19,0)),INDEX(MODELOS!$D$3:$D$19,MATCH($D985,MODELOS!$A$3:$A$19,0))))</f>
        <v>Foto/ilustração do benefício 2</v>
      </c>
      <c r="H985" s="11" t="str">
        <f aca="false">IF(INDEX(PRODUTOS!$I$4:$I$63,MATCH($A985,PRODUTOS!$B$4:$B$63,0))="B",INDEX(MODELOS!$I$3:$I$19,MATCH($D985,MODELOS!$A$3:$A$19,0)),INDEX(MODELOS!$E$3:$E$19,MATCH($D985,MODELOS!$A$3:$A$19,0)))</f>
        <v>220 × 200</v>
      </c>
      <c r="I985" s="11" t="str">
        <f aca="false">INDEX(MODELOS!$J$3:$J$19,MATCH($D985,MODELOS!$A$3:$A$19,0))</f>
        <v>Conforme modelo</v>
      </c>
      <c r="J985" s="11" t="str">
        <f aca="false">IF(LEFT($D985,2)&lt;&gt;"AP",IF($I985="SIM","SIM","RECOMENDADA"),IF(INDEX(PRODUTOS!$J$4:$J$63,MATCH($A985,PRODUTOS!$B$4:$B$63,0))&lt;&gt;"","NÃO (usa o A+ do EAN "&amp;INDEX(PRODUTOS!$J$4:$J$63,MATCH($A985,PRODUTOS!$B$4:$B$63,0))&amp;")",IF(AND(INDEX(PRODUTOS!$I$4:$I$63,MATCH($A985,PRODUTOS!$B$4:$B$63,0))="B",$D985="AP07"),"NÃO (modelo B)","SIM")))</f>
        <v>SIM</v>
      </c>
      <c r="K985" s="13" t="s">
        <v>325</v>
      </c>
      <c r="L985" s="13"/>
    </row>
    <row r="986" customFormat="false" ht="15" hidden="false" customHeight="false" outlineLevel="0" collapsed="false">
      <c r="A986" s="15" t="s">
        <v>299</v>
      </c>
      <c r="B986" s="11" t="str">
        <f aca="false">INDEX(PRODUTOS!$E$4:$E$63,MATCH($A986,PRODUTOS!$B$4:$B$63,0))</f>
        <v>Kit Porta Cata Caca Natural Dots com 4 Refis Biodegradáveis</v>
      </c>
      <c r="C986" s="11" t="n">
        <f aca="false">INDEX(PRODUTOS!$H$4:$H$63,MATCH($A986,PRODUTOS!$B$4:$B$63,0))</f>
        <v>0</v>
      </c>
      <c r="D986" s="11" t="s">
        <v>338</v>
      </c>
      <c r="E986" s="16" t="str">
        <f aca="false">$A986&amp;"."&amp;$D986&amp;".jpg"</f>
        <v>7908591300840.AP05.jpg</v>
      </c>
      <c r="F986" s="11" t="str">
        <f aca="false">IF(INDEX(PRODUTOS!$I$4:$I$63,MATCH($A986,PRODUTOS!$B$4:$B$63,0))="B",INDEX(MODELOS!$F$3:$F$19,MATCH($D986,MODELOS!$A$3:$A$19,0)),INDEX(MODELOS!$B$3:$B$19,MATCH($D986,MODELOS!$A$3:$A$19,0)))</f>
        <v>A+ · Módulo 3 · Benefício 3 de 4</v>
      </c>
      <c r="G986" s="11" t="str">
        <f aca="false">IF(INDEX(PRODUTOS!$F$4:$F$63,MATCH($A986,PRODUTOS!$B$4:$B$63,0))="Ração",IF(INDEX(PRODUTOS!$I$4:$I$63,MATCH($A986,PRODUTOS!$B$4:$B$63,0))="B",INDEX(MODELOS!$G$3:$G$19,MATCH($D986,MODELOS!$A$3:$A$19,0)),INDEX(MODELOS!$C$3:$C$19,MATCH($D986,MODELOS!$A$3:$A$19,0))),IF(INDEX(PRODUTOS!$I$4:$I$63,MATCH($A986,PRODUTOS!$B$4:$B$63,0))="B",INDEX(MODELOS!$H$3:$H$19,MATCH($D986,MODELOS!$A$3:$A$19,0)),INDEX(MODELOS!$D$3:$D$19,MATCH($D986,MODELOS!$A$3:$A$19,0))))</f>
        <v>Foto/ilustração do benefício 3</v>
      </c>
      <c r="H986" s="11" t="str">
        <f aca="false">IF(INDEX(PRODUTOS!$I$4:$I$63,MATCH($A986,PRODUTOS!$B$4:$B$63,0))="B",INDEX(MODELOS!$I$3:$I$19,MATCH($D986,MODELOS!$A$3:$A$19,0)),INDEX(MODELOS!$E$3:$E$19,MATCH($D986,MODELOS!$A$3:$A$19,0)))</f>
        <v>220 × 200</v>
      </c>
      <c r="I986" s="11" t="str">
        <f aca="false">INDEX(MODELOS!$J$3:$J$19,MATCH($D986,MODELOS!$A$3:$A$19,0))</f>
        <v>Conforme modelo</v>
      </c>
      <c r="J986" s="11" t="str">
        <f aca="false">IF(LEFT($D986,2)&lt;&gt;"AP",IF($I986="SIM","SIM","RECOMENDADA"),IF(INDEX(PRODUTOS!$J$4:$J$63,MATCH($A986,PRODUTOS!$B$4:$B$63,0))&lt;&gt;"","NÃO (usa o A+ do EAN "&amp;INDEX(PRODUTOS!$J$4:$J$63,MATCH($A986,PRODUTOS!$B$4:$B$63,0))&amp;")",IF(AND(INDEX(PRODUTOS!$I$4:$I$63,MATCH($A986,PRODUTOS!$B$4:$B$63,0))="B",$D986="AP07"),"NÃO (modelo B)","SIM")))</f>
        <v>SIM</v>
      </c>
      <c r="K986" s="13" t="s">
        <v>325</v>
      </c>
      <c r="L986" s="13"/>
    </row>
    <row r="987" customFormat="false" ht="15" hidden="false" customHeight="false" outlineLevel="0" collapsed="false">
      <c r="A987" s="15" t="s">
        <v>299</v>
      </c>
      <c r="B987" s="11" t="str">
        <f aca="false">INDEX(PRODUTOS!$E$4:$E$63,MATCH($A987,PRODUTOS!$B$4:$B$63,0))</f>
        <v>Kit Porta Cata Caca Natural Dots com 4 Refis Biodegradáveis</v>
      </c>
      <c r="C987" s="11" t="n">
        <f aca="false">INDEX(PRODUTOS!$H$4:$H$63,MATCH($A987,PRODUTOS!$B$4:$B$63,0))</f>
        <v>0</v>
      </c>
      <c r="D987" s="11" t="s">
        <v>339</v>
      </c>
      <c r="E987" s="16" t="str">
        <f aca="false">$A987&amp;"."&amp;$D987&amp;".jpg"</f>
        <v>7908591300840.AP06.jpg</v>
      </c>
      <c r="F987" s="11" t="str">
        <f aca="false">IF(INDEX(PRODUTOS!$I$4:$I$63,MATCH($A987,PRODUTOS!$B$4:$B$63,0))="B",INDEX(MODELOS!$F$3:$F$19,MATCH($D987,MODELOS!$A$3:$A$19,0)),INDEX(MODELOS!$B$3:$B$19,MATCH($D987,MODELOS!$A$3:$A$19,0)))</f>
        <v>A+ · Módulo 3 · Benefício 4 de 4</v>
      </c>
      <c r="G987" s="11" t="str">
        <f aca="false">IF(INDEX(PRODUTOS!$F$4:$F$63,MATCH($A987,PRODUTOS!$B$4:$B$63,0))="Ração",IF(INDEX(PRODUTOS!$I$4:$I$63,MATCH($A987,PRODUTOS!$B$4:$B$63,0))="B",INDEX(MODELOS!$G$3:$G$19,MATCH($D987,MODELOS!$A$3:$A$19,0)),INDEX(MODELOS!$C$3:$C$19,MATCH($D987,MODELOS!$A$3:$A$19,0))),IF(INDEX(PRODUTOS!$I$4:$I$63,MATCH($A987,PRODUTOS!$B$4:$B$63,0))="B",INDEX(MODELOS!$H$3:$H$19,MATCH($D987,MODELOS!$A$3:$A$19,0)),INDEX(MODELOS!$D$3:$D$19,MATCH($D987,MODELOS!$A$3:$A$19,0))))</f>
        <v>Foto/ilustração do benefício 4</v>
      </c>
      <c r="H987" s="11" t="str">
        <f aca="false">IF(INDEX(PRODUTOS!$I$4:$I$63,MATCH($A987,PRODUTOS!$B$4:$B$63,0))="B",INDEX(MODELOS!$I$3:$I$19,MATCH($D987,MODELOS!$A$3:$A$19,0)),INDEX(MODELOS!$E$3:$E$19,MATCH($D987,MODELOS!$A$3:$A$19,0)))</f>
        <v>220 × 200</v>
      </c>
      <c r="I987" s="11" t="str">
        <f aca="false">INDEX(MODELOS!$J$3:$J$19,MATCH($D987,MODELOS!$A$3:$A$19,0))</f>
        <v>Conforme modelo</v>
      </c>
      <c r="J987" s="11" t="str">
        <f aca="false">IF(LEFT($D987,2)&lt;&gt;"AP",IF($I987="SIM","SIM","RECOMENDADA"),IF(INDEX(PRODUTOS!$J$4:$J$63,MATCH($A987,PRODUTOS!$B$4:$B$63,0))&lt;&gt;"","NÃO (usa o A+ do EAN "&amp;INDEX(PRODUTOS!$J$4:$J$63,MATCH($A987,PRODUTOS!$B$4:$B$63,0))&amp;")",IF(AND(INDEX(PRODUTOS!$I$4:$I$63,MATCH($A987,PRODUTOS!$B$4:$B$63,0))="B",$D987="AP07"),"NÃO (modelo B)","SIM")))</f>
        <v>SIM</v>
      </c>
      <c r="K987" s="13" t="s">
        <v>325</v>
      </c>
      <c r="L987" s="13"/>
    </row>
    <row r="988" customFormat="false" ht="15" hidden="false" customHeight="false" outlineLevel="0" collapsed="false">
      <c r="A988" s="15" t="s">
        <v>299</v>
      </c>
      <c r="B988" s="11" t="str">
        <f aca="false">INDEX(PRODUTOS!$E$4:$E$63,MATCH($A988,PRODUTOS!$B$4:$B$63,0))</f>
        <v>Kit Porta Cata Caca Natural Dots com 4 Refis Biodegradáveis</v>
      </c>
      <c r="C988" s="11" t="n">
        <f aca="false">INDEX(PRODUTOS!$H$4:$H$63,MATCH($A988,PRODUTOS!$B$4:$B$63,0))</f>
        <v>0</v>
      </c>
      <c r="D988" s="11" t="s">
        <v>340</v>
      </c>
      <c r="E988" s="16" t="str">
        <f aca="false">$A988&amp;"."&amp;$D988&amp;".jpg"</f>
        <v>7908591300840.AP07.jpg</v>
      </c>
      <c r="F988" s="11" t="str">
        <f aca="false">IF(INDEX(PRODUTOS!$I$4:$I$63,MATCH($A988,PRODUTOS!$B$4:$B$63,0))="B",INDEX(MODELOS!$F$3:$F$19,MATCH($D988,MODELOS!$A$3:$A$19,0)),INDEX(MODELOS!$B$3:$B$19,MATCH($D988,MODELOS!$A$3:$A$19,0)))</f>
        <v>A+ · Módulo 4 · Especificações</v>
      </c>
      <c r="G988" s="11" t="str">
        <f aca="false">IF(INDEX(PRODUTOS!$F$4:$F$63,MATCH($A988,PRODUTOS!$B$4:$B$63,0))="Ração",IF(INDEX(PRODUTOS!$I$4:$I$63,MATCH($A988,PRODUTOS!$B$4:$B$63,0))="B",INDEX(MODELOS!$G$3:$G$19,MATCH($D988,MODELOS!$A$3:$A$19,0)),INDEX(MODELOS!$C$3:$C$19,MATCH($D988,MODELOS!$A$3:$A$19,0))),IF(INDEX(PRODUTOS!$I$4:$I$63,MATCH($A988,PRODUTOS!$B$4:$B$63,0))="B",INDEX(MODELOS!$H$3:$H$19,MATCH($D988,MODELOS!$A$3:$A$19,0)),INDEX(MODELOS!$D$3:$D$19,MATCH($D988,MODELOS!$A$3:$A$19,0))))</f>
        <v>Produto em destaque</v>
      </c>
      <c r="H988" s="11" t="str">
        <f aca="false">IF(INDEX(PRODUTOS!$I$4:$I$63,MATCH($A988,PRODUTOS!$B$4:$B$63,0))="B",INDEX(MODELOS!$I$3:$I$19,MATCH($D988,MODELOS!$A$3:$A$19,0)),INDEX(MODELOS!$E$3:$E$19,MATCH($D988,MODELOS!$A$3:$A$19,0)))</f>
        <v>300 × 300</v>
      </c>
      <c r="I988" s="11" t="str">
        <f aca="false">INDEX(MODELOS!$J$3:$J$19,MATCH($D988,MODELOS!$A$3:$A$19,0))</f>
        <v>Conforme modelo</v>
      </c>
      <c r="J988" s="11" t="str">
        <f aca="false">IF(LEFT($D988,2)&lt;&gt;"AP",IF($I988="SIM","SIM","RECOMENDADA"),IF(INDEX(PRODUTOS!$J$4:$J$63,MATCH($A988,PRODUTOS!$B$4:$B$63,0))&lt;&gt;"","NÃO (usa o A+ do EAN "&amp;INDEX(PRODUTOS!$J$4:$J$63,MATCH($A988,PRODUTOS!$B$4:$B$63,0))&amp;")",IF(AND(INDEX(PRODUTOS!$I$4:$I$63,MATCH($A988,PRODUTOS!$B$4:$B$63,0))="B",$D988="AP07"),"NÃO (modelo B)","SIM")))</f>
        <v>SIM</v>
      </c>
      <c r="K988" s="13" t="s">
        <v>325</v>
      </c>
      <c r="L988" s="13"/>
    </row>
    <row r="989" customFormat="false" ht="15" hidden="false" customHeight="false" outlineLevel="0" collapsed="false">
      <c r="A989" s="15" t="s">
        <v>299</v>
      </c>
      <c r="B989" s="11" t="str">
        <f aca="false">INDEX(PRODUTOS!$E$4:$E$63,MATCH($A989,PRODUTOS!$B$4:$B$63,0))</f>
        <v>Kit Porta Cata Caca Natural Dots com 4 Refis Biodegradáveis</v>
      </c>
      <c r="C989" s="11" t="n">
        <f aca="false">INDEX(PRODUTOS!$H$4:$H$63,MATCH($A989,PRODUTOS!$B$4:$B$63,0))</f>
        <v>0</v>
      </c>
      <c r="D989" s="11" t="s">
        <v>341</v>
      </c>
      <c r="E989" s="16" t="str">
        <f aca="false">$A989&amp;"."&amp;$D989&amp;".jpg"</f>
        <v>7908591300840.COMP.jpg</v>
      </c>
      <c r="F989" s="11" t="str">
        <f aca="false">IF(INDEX(PRODUTOS!$I$4:$I$63,MATCH($A989,PRODUTOS!$B$4:$B$63,0))="B",INDEX(MODELOS!$F$3:$F$19,MATCH($D989,MODELOS!$A$3:$A$19,0)),INDEX(MODELOS!$B$3:$B$19,MATCH($D989,MODELOS!$A$3:$A$19,0)))</f>
        <v>A+ · Tabela comparativa</v>
      </c>
      <c r="G989" s="11" t="str">
        <f aca="false">IF(INDEX(PRODUTOS!$F$4:$F$63,MATCH($A989,PRODUTOS!$B$4:$B$63,0))="Ração",IF(INDEX(PRODUTOS!$I$4:$I$63,MATCH($A989,PRODUTOS!$B$4:$B$63,0))="B",INDEX(MODELOS!$G$3:$G$19,MATCH($D989,MODELOS!$A$3:$A$19,0)),INDEX(MODELOS!$C$3:$C$19,MATCH($D989,MODELOS!$A$3:$A$19,0))),IF(INDEX(PRODUTOS!$I$4:$I$63,MATCH($A989,PRODUTOS!$B$4:$B$63,0))="B",INDEX(MODELOS!$H$3:$H$19,MATCH($D989,MODELOS!$A$3:$A$19,0)),INDEX(MODELOS!$D$3:$D$19,MATCH($D989,MODELOS!$A$3:$A$19,0))))</f>
        <v>Produto na vertical, sem fundo colorido</v>
      </c>
      <c r="H989" s="11" t="str">
        <f aca="false">IF(INDEX(PRODUTOS!$I$4:$I$63,MATCH($A989,PRODUTOS!$B$4:$B$63,0))="B",INDEX(MODELOS!$I$3:$I$19,MATCH($D989,MODELOS!$A$3:$A$19,0)),INDEX(MODELOS!$E$3:$E$19,MATCH($D989,MODELOS!$A$3:$A$19,0)))</f>
        <v>150 × 300</v>
      </c>
      <c r="I989" s="11" t="str">
        <f aca="false">INDEX(MODELOS!$J$3:$J$19,MATCH($D989,MODELOS!$A$3:$A$19,0))</f>
        <v>SIM</v>
      </c>
      <c r="J989" s="11" t="str">
        <f aca="false">IF(LEFT($D989,2)&lt;&gt;"AP",IF($I989="SIM","SIM","RECOMENDADA"),IF(INDEX(PRODUTOS!$J$4:$J$63,MATCH($A989,PRODUTOS!$B$4:$B$63,0))&lt;&gt;"","NÃO (usa o A+ do EAN "&amp;INDEX(PRODUTOS!$J$4:$J$63,MATCH($A989,PRODUTOS!$B$4:$B$63,0))&amp;")",IF(AND(INDEX(PRODUTOS!$I$4:$I$63,MATCH($A989,PRODUTOS!$B$4:$B$63,0))="B",$D989="AP07"),"NÃO (modelo B)","SIM")))</f>
        <v>SIM</v>
      </c>
      <c r="K989" s="13" t="s">
        <v>325</v>
      </c>
      <c r="L989" s="13"/>
    </row>
    <row r="990" customFormat="false" ht="15" hidden="false" customHeight="false" outlineLevel="0" collapsed="false">
      <c r="A990" s="15" t="s">
        <v>303</v>
      </c>
      <c r="B990" s="11" t="str">
        <f aca="false">INDEX(PRODUTOS!$E$4:$E$63,MATCH($A990,PRODUTOS!$B$4:$B$63,0))</f>
        <v>Refil Cata Caca Biodegradável Natural Dots com 3 Unidades</v>
      </c>
      <c r="C990" s="11" t="str">
        <f aca="false">INDEX(PRODUTOS!$H$4:$H$63,MATCH($A990,PRODUTOS!$B$4:$B$63,0))</f>
        <v>3 un.</v>
      </c>
      <c r="D990" s="11" t="s">
        <v>324</v>
      </c>
      <c r="E990" s="16" t="str">
        <f aca="false">$A990&amp;"."&amp;$D990&amp;".jpg"</f>
        <v>7908591300857.MAIN.jpg</v>
      </c>
      <c r="F990" s="11" t="str">
        <f aca="false">IF(INDEX(PRODUTOS!$I$4:$I$63,MATCH($A990,PRODUTOS!$B$4:$B$63,0))="B",INDEX(MODELOS!$F$3:$F$19,MATCH($D990,MODELOS!$A$3:$A$19,0)),INDEX(MODELOS!$B$3:$B$19,MATCH($D990,MODELOS!$A$3:$A$19,0)))</f>
        <v>Capa (posição 1)</v>
      </c>
      <c r="G990" s="11" t="str">
        <f aca="false">IF(INDEX(PRODUTOS!$F$4:$F$63,MATCH($A990,PRODUTOS!$B$4:$B$63,0))="Ração",IF(INDEX(PRODUTOS!$I$4:$I$63,MATCH($A990,PRODUTOS!$B$4:$B$63,0))="B",INDEX(MODELOS!$G$3:$G$19,MATCH($D990,MODELOS!$A$3:$A$19,0)),INDEX(MODELOS!$C$3:$C$19,MATCH($D990,MODELOS!$A$3:$A$19,0))),IF(INDEX(PRODUTOS!$I$4:$I$63,MATCH($A990,PRODUTOS!$B$4:$B$63,0))="B",INDEX(MODELOS!$H$3:$H$19,MATCH($D990,MODELOS!$A$3:$A$19,0)),INDEX(MODELOS!$D$3:$D$19,MATCH($D990,MODELOS!$A$3:$A$19,0))))</f>
        <v>Embalagem de frente, fundo branco puro, 85% da área, nada adicionado</v>
      </c>
      <c r="H990" s="11" t="str">
        <f aca="false">IF(INDEX(PRODUTOS!$I$4:$I$63,MATCH($A990,PRODUTOS!$B$4:$B$63,0))="B",INDEX(MODELOS!$I$3:$I$19,MATCH($D990,MODELOS!$A$3:$A$19,0)),INDEX(MODELOS!$E$3:$E$19,MATCH($D990,MODELOS!$A$3:$A$19,0)))</f>
        <v>2000 × 2000</v>
      </c>
      <c r="I990" s="11" t="str">
        <f aca="false">INDEX(MODELOS!$J$3:$J$19,MATCH($D990,MODELOS!$A$3:$A$19,0))</f>
        <v>SIM</v>
      </c>
      <c r="J990" s="11" t="str">
        <f aca="false">IF(LEFT($D990,2)&lt;&gt;"AP",IF($I990="SIM","SIM","RECOMENDADA"),IF(INDEX(PRODUTOS!$J$4:$J$63,MATCH($A990,PRODUTOS!$B$4:$B$63,0))&lt;&gt;"","NÃO (usa o A+ do EAN "&amp;INDEX(PRODUTOS!$J$4:$J$63,MATCH($A990,PRODUTOS!$B$4:$B$63,0))&amp;")",IF(AND(INDEX(PRODUTOS!$I$4:$I$63,MATCH($A990,PRODUTOS!$B$4:$B$63,0))="B",$D990="AP07"),"NÃO (modelo B)","SIM")))</f>
        <v>SIM</v>
      </c>
      <c r="K990" s="13" t="s">
        <v>325</v>
      </c>
      <c r="L990" s="13"/>
    </row>
    <row r="991" customFormat="false" ht="15" hidden="false" customHeight="false" outlineLevel="0" collapsed="false">
      <c r="A991" s="15" t="s">
        <v>303</v>
      </c>
      <c r="B991" s="11" t="str">
        <f aca="false">INDEX(PRODUTOS!$E$4:$E$63,MATCH($A991,PRODUTOS!$B$4:$B$63,0))</f>
        <v>Refil Cata Caca Biodegradável Natural Dots com 3 Unidades</v>
      </c>
      <c r="C991" s="11" t="str">
        <f aca="false">INDEX(PRODUTOS!$H$4:$H$63,MATCH($A991,PRODUTOS!$B$4:$B$63,0))</f>
        <v>3 un.</v>
      </c>
      <c r="D991" s="11" t="s">
        <v>326</v>
      </c>
      <c r="E991" s="16" t="str">
        <f aca="false">$A991&amp;"."&amp;$D991&amp;".jpg"</f>
        <v>7908591300857.PT01.jpg</v>
      </c>
      <c r="F991" s="11" t="str">
        <f aca="false">IF(INDEX(PRODUTOS!$I$4:$I$63,MATCH($A991,PRODUTOS!$B$4:$B$63,0))="B",INDEX(MODELOS!$F$3:$F$19,MATCH($D991,MODELOS!$A$3:$A$19,0)),INDEX(MODELOS!$B$3:$B$19,MATCH($D991,MODELOS!$A$3:$A$19,0)))</f>
        <v>Galeria · posição 2</v>
      </c>
      <c r="G991" s="11" t="str">
        <f aca="false">IF(INDEX(PRODUTOS!$F$4:$F$63,MATCH($A991,PRODUTOS!$B$4:$B$63,0))="Ração",IF(INDEX(PRODUTOS!$I$4:$I$63,MATCH($A991,PRODUTOS!$B$4:$B$63,0))="B",INDEX(MODELOS!$G$3:$G$19,MATCH($D991,MODELOS!$A$3:$A$19,0)),INDEX(MODELOS!$C$3:$C$19,MATCH($D991,MODELOS!$A$3:$A$19,0))),IF(INDEX(PRODUTOS!$I$4:$I$63,MATCH($A991,PRODUTOS!$B$4:$B$63,0))="B",INDEX(MODELOS!$H$3:$H$19,MATCH($D991,MODELOS!$A$3:$A$19,0)),INDEX(MODELOS!$D$3:$D$19,MATCH($D991,MODELOS!$A$3:$A$19,0))))</f>
        <v>Grande diferencial (ex.: natural, biodegradável, perfumado)</v>
      </c>
      <c r="H991" s="11" t="str">
        <f aca="false">IF(INDEX(PRODUTOS!$I$4:$I$63,MATCH($A991,PRODUTOS!$B$4:$B$63,0))="B",INDEX(MODELOS!$I$3:$I$19,MATCH($D991,MODELOS!$A$3:$A$19,0)),INDEX(MODELOS!$E$3:$E$19,MATCH($D991,MODELOS!$A$3:$A$19,0)))</f>
        <v>2000 × 2000</v>
      </c>
      <c r="I991" s="11" t="str">
        <f aca="false">INDEX(MODELOS!$J$3:$J$19,MATCH($D991,MODELOS!$A$3:$A$19,0))</f>
        <v>SIM</v>
      </c>
      <c r="J991" s="11" t="str">
        <f aca="false">IF(LEFT($D991,2)&lt;&gt;"AP",IF($I991="SIM","SIM","RECOMENDADA"),IF(INDEX(PRODUTOS!$J$4:$J$63,MATCH($A991,PRODUTOS!$B$4:$B$63,0))&lt;&gt;"","NÃO (usa o A+ do EAN "&amp;INDEX(PRODUTOS!$J$4:$J$63,MATCH($A991,PRODUTOS!$B$4:$B$63,0))&amp;")",IF(AND(INDEX(PRODUTOS!$I$4:$I$63,MATCH($A991,PRODUTOS!$B$4:$B$63,0))="B",$D991="AP07"),"NÃO (modelo B)","SIM")))</f>
        <v>SIM</v>
      </c>
      <c r="K991" s="13" t="s">
        <v>325</v>
      </c>
      <c r="L991" s="13"/>
    </row>
    <row r="992" customFormat="false" ht="15" hidden="false" customHeight="false" outlineLevel="0" collapsed="false">
      <c r="A992" s="15" t="s">
        <v>303</v>
      </c>
      <c r="B992" s="11" t="str">
        <f aca="false">INDEX(PRODUTOS!$E$4:$E$63,MATCH($A992,PRODUTOS!$B$4:$B$63,0))</f>
        <v>Refil Cata Caca Biodegradável Natural Dots com 3 Unidades</v>
      </c>
      <c r="C992" s="11" t="str">
        <f aca="false">INDEX(PRODUTOS!$H$4:$H$63,MATCH($A992,PRODUTOS!$B$4:$B$63,0))</f>
        <v>3 un.</v>
      </c>
      <c r="D992" s="11" t="s">
        <v>327</v>
      </c>
      <c r="E992" s="16" t="str">
        <f aca="false">$A992&amp;"."&amp;$D992&amp;".jpg"</f>
        <v>7908591300857.PT02.jpg</v>
      </c>
      <c r="F992" s="11" t="str">
        <f aca="false">IF(INDEX(PRODUTOS!$I$4:$I$63,MATCH($A992,PRODUTOS!$B$4:$B$63,0))="B",INDEX(MODELOS!$F$3:$F$19,MATCH($D992,MODELOS!$A$3:$A$19,0)),INDEX(MODELOS!$B$3:$B$19,MATCH($D992,MODELOS!$A$3:$A$19,0)))</f>
        <v>Galeria · posição 3</v>
      </c>
      <c r="G992" s="11" t="str">
        <f aca="false">IF(INDEX(PRODUTOS!$F$4:$F$63,MATCH($A992,PRODUTOS!$B$4:$B$63,0))="Ração",IF(INDEX(PRODUTOS!$I$4:$I$63,MATCH($A992,PRODUTOS!$B$4:$B$63,0))="B",INDEX(MODELOS!$G$3:$G$19,MATCH($D992,MODELOS!$A$3:$A$19,0)),INDEX(MODELOS!$C$3:$C$19,MATCH($D992,MODELOS!$A$3:$A$19,0))),IF(INDEX(PRODUTOS!$I$4:$I$63,MATCH($A992,PRODUTOS!$B$4:$B$63,0))="B",INDEX(MODELOS!$H$3:$H$19,MATCH($D992,MODELOS!$A$3:$A$19,0)),INDEX(MODELOS!$D$3:$D$19,MATCH($D992,MODELOS!$A$3:$A$19,0))))</f>
        <v>Benefícios com ícones (4 a 6, impressos na embalagem)</v>
      </c>
      <c r="H992" s="11" t="str">
        <f aca="false">IF(INDEX(PRODUTOS!$I$4:$I$63,MATCH($A992,PRODUTOS!$B$4:$B$63,0))="B",INDEX(MODELOS!$I$3:$I$19,MATCH($D992,MODELOS!$A$3:$A$19,0)),INDEX(MODELOS!$E$3:$E$19,MATCH($D992,MODELOS!$A$3:$A$19,0)))</f>
        <v>2000 × 2000</v>
      </c>
      <c r="I992" s="11" t="str">
        <f aca="false">INDEX(MODELOS!$J$3:$J$19,MATCH($D992,MODELOS!$A$3:$A$19,0))</f>
        <v>SIM</v>
      </c>
      <c r="J992" s="11" t="str">
        <f aca="false">IF(LEFT($D992,2)&lt;&gt;"AP",IF($I992="SIM","SIM","RECOMENDADA"),IF(INDEX(PRODUTOS!$J$4:$J$63,MATCH($A992,PRODUTOS!$B$4:$B$63,0))&lt;&gt;"","NÃO (usa o A+ do EAN "&amp;INDEX(PRODUTOS!$J$4:$J$63,MATCH($A992,PRODUTOS!$B$4:$B$63,0))&amp;")",IF(AND(INDEX(PRODUTOS!$I$4:$I$63,MATCH($A992,PRODUTOS!$B$4:$B$63,0))="B",$D992="AP07"),"NÃO (modelo B)","SIM")))</f>
        <v>SIM</v>
      </c>
      <c r="K992" s="13" t="s">
        <v>325</v>
      </c>
      <c r="L992" s="13"/>
    </row>
    <row r="993" customFormat="false" ht="15" hidden="false" customHeight="false" outlineLevel="0" collapsed="false">
      <c r="A993" s="15" t="s">
        <v>303</v>
      </c>
      <c r="B993" s="11" t="str">
        <f aca="false">INDEX(PRODUTOS!$E$4:$E$63,MATCH($A993,PRODUTOS!$B$4:$B$63,0))</f>
        <v>Refil Cata Caca Biodegradável Natural Dots com 3 Unidades</v>
      </c>
      <c r="C993" s="11" t="str">
        <f aca="false">INDEX(PRODUTOS!$H$4:$H$63,MATCH($A993,PRODUTOS!$B$4:$B$63,0))</f>
        <v>3 un.</v>
      </c>
      <c r="D993" s="11" t="s">
        <v>328</v>
      </c>
      <c r="E993" s="16" t="str">
        <f aca="false">$A993&amp;"."&amp;$D993&amp;".jpg"</f>
        <v>7908591300857.PT03.jpg</v>
      </c>
      <c r="F993" s="11" t="str">
        <f aca="false">IF(INDEX(PRODUTOS!$I$4:$I$63,MATCH($A993,PRODUTOS!$B$4:$B$63,0))="B",INDEX(MODELOS!$F$3:$F$19,MATCH($D993,MODELOS!$A$3:$A$19,0)),INDEX(MODELOS!$B$3:$B$19,MATCH($D993,MODELOS!$A$3:$A$19,0)))</f>
        <v>Galeria · posição 4</v>
      </c>
      <c r="G993" s="11" t="str">
        <f aca="false">IF(INDEX(PRODUTOS!$F$4:$F$63,MATCH($A993,PRODUTOS!$B$4:$B$63,0))="Ração",IF(INDEX(PRODUTOS!$I$4:$I$63,MATCH($A993,PRODUTOS!$B$4:$B$63,0))="B",INDEX(MODELOS!$G$3:$G$19,MATCH($D993,MODELOS!$A$3:$A$19,0)),INDEX(MODELOS!$C$3:$C$19,MATCH($D993,MODELOS!$A$3:$A$19,0))),IF(INDEX(PRODUTOS!$I$4:$I$63,MATCH($A993,PRODUTOS!$B$4:$B$63,0))="B",INDEX(MODELOS!$H$3:$H$19,MATCH($D993,MODELOS!$A$3:$A$19,0)),INDEX(MODELOS!$D$3:$D$19,MATCH($D993,MODELOS!$A$3:$A$19,0))))</f>
        <v>Detalhe e tamanho real (petisco, grânulo ou tapete aberto), com medidas</v>
      </c>
      <c r="H993" s="11" t="str">
        <f aca="false">IF(INDEX(PRODUTOS!$I$4:$I$63,MATCH($A993,PRODUTOS!$B$4:$B$63,0))="B",INDEX(MODELOS!$I$3:$I$19,MATCH($D993,MODELOS!$A$3:$A$19,0)),INDEX(MODELOS!$E$3:$E$19,MATCH($D993,MODELOS!$A$3:$A$19,0)))</f>
        <v>2000 × 2000</v>
      </c>
      <c r="I993" s="11" t="str">
        <f aca="false">INDEX(MODELOS!$J$3:$J$19,MATCH($D993,MODELOS!$A$3:$A$19,0))</f>
        <v>SIM</v>
      </c>
      <c r="J993" s="11" t="str">
        <f aca="false">IF(LEFT($D993,2)&lt;&gt;"AP",IF($I993="SIM","SIM","RECOMENDADA"),IF(INDEX(PRODUTOS!$J$4:$J$63,MATCH($A993,PRODUTOS!$B$4:$B$63,0))&lt;&gt;"","NÃO (usa o A+ do EAN "&amp;INDEX(PRODUTOS!$J$4:$J$63,MATCH($A993,PRODUTOS!$B$4:$B$63,0))&amp;")",IF(AND(INDEX(PRODUTOS!$I$4:$I$63,MATCH($A993,PRODUTOS!$B$4:$B$63,0))="B",$D993="AP07"),"NÃO (modelo B)","SIM")))</f>
        <v>SIM</v>
      </c>
      <c r="K993" s="13" t="s">
        <v>325</v>
      </c>
      <c r="L993" s="13"/>
    </row>
    <row r="994" customFormat="false" ht="15" hidden="false" customHeight="false" outlineLevel="0" collapsed="false">
      <c r="A994" s="15" t="s">
        <v>303</v>
      </c>
      <c r="B994" s="11" t="str">
        <f aca="false">INDEX(PRODUTOS!$E$4:$E$63,MATCH($A994,PRODUTOS!$B$4:$B$63,0))</f>
        <v>Refil Cata Caca Biodegradável Natural Dots com 3 Unidades</v>
      </c>
      <c r="C994" s="11" t="str">
        <f aca="false">INDEX(PRODUTOS!$H$4:$H$63,MATCH($A994,PRODUTOS!$B$4:$B$63,0))</f>
        <v>3 un.</v>
      </c>
      <c r="D994" s="11" t="s">
        <v>329</v>
      </c>
      <c r="E994" s="16" t="str">
        <f aca="false">$A994&amp;"."&amp;$D994&amp;".jpg"</f>
        <v>7908591300857.PT04.jpg</v>
      </c>
      <c r="F994" s="11" t="str">
        <f aca="false">IF(INDEX(PRODUTOS!$I$4:$I$63,MATCH($A994,PRODUTOS!$B$4:$B$63,0))="B",INDEX(MODELOS!$F$3:$F$19,MATCH($D994,MODELOS!$A$3:$A$19,0)),INDEX(MODELOS!$B$3:$B$19,MATCH($D994,MODELOS!$A$3:$A$19,0)))</f>
        <v>Galeria · posição 5</v>
      </c>
      <c r="G994" s="11" t="str">
        <f aca="false">IF(INDEX(PRODUTOS!$F$4:$F$63,MATCH($A994,PRODUTOS!$B$4:$B$63,0))="Ração",IF(INDEX(PRODUTOS!$I$4:$I$63,MATCH($A994,PRODUTOS!$B$4:$B$63,0))="B",INDEX(MODELOS!$G$3:$G$19,MATCH($D994,MODELOS!$A$3:$A$19,0)),INDEX(MODELOS!$C$3:$C$19,MATCH($D994,MODELOS!$A$3:$A$19,0))),IF(INDEX(PRODUTOS!$I$4:$I$63,MATCH($A994,PRODUTOS!$B$4:$B$63,0))="B",INDEX(MODELOS!$H$3:$H$19,MATCH($D994,MODELOS!$A$3:$A$19,0)),INDEX(MODELOS!$D$3:$D$19,MATCH($D994,MODELOS!$A$3:$A$19,0))))</f>
        <v>Modo de uso (como oferecer o petisco / como usar o produto)</v>
      </c>
      <c r="H994" s="11" t="str">
        <f aca="false">IF(INDEX(PRODUTOS!$I$4:$I$63,MATCH($A994,PRODUTOS!$B$4:$B$63,0))="B",INDEX(MODELOS!$I$3:$I$19,MATCH($D994,MODELOS!$A$3:$A$19,0)),INDEX(MODELOS!$E$3:$E$19,MATCH($D994,MODELOS!$A$3:$A$19,0)))</f>
        <v>2000 × 2000</v>
      </c>
      <c r="I994" s="11" t="str">
        <f aca="false">INDEX(MODELOS!$J$3:$J$19,MATCH($D994,MODELOS!$A$3:$A$19,0))</f>
        <v>SIM</v>
      </c>
      <c r="J994" s="11" t="str">
        <f aca="false">IF(LEFT($D994,2)&lt;&gt;"AP",IF($I994="SIM","SIM","RECOMENDADA"),IF(INDEX(PRODUTOS!$J$4:$J$63,MATCH($A994,PRODUTOS!$B$4:$B$63,0))&lt;&gt;"","NÃO (usa o A+ do EAN "&amp;INDEX(PRODUTOS!$J$4:$J$63,MATCH($A994,PRODUTOS!$B$4:$B$63,0))&amp;")",IF(AND(INDEX(PRODUTOS!$I$4:$I$63,MATCH($A994,PRODUTOS!$B$4:$B$63,0))="B",$D994="AP07"),"NÃO (modelo B)","SIM")))</f>
        <v>SIM</v>
      </c>
      <c r="K994" s="13" t="s">
        <v>325</v>
      </c>
      <c r="L994" s="13"/>
    </row>
    <row r="995" customFormat="false" ht="15" hidden="false" customHeight="false" outlineLevel="0" collapsed="false">
      <c r="A995" s="15" t="s">
        <v>303</v>
      </c>
      <c r="B995" s="11" t="str">
        <f aca="false">INDEX(PRODUTOS!$E$4:$E$63,MATCH($A995,PRODUTOS!$B$4:$B$63,0))</f>
        <v>Refil Cata Caca Biodegradável Natural Dots com 3 Unidades</v>
      </c>
      <c r="C995" s="11" t="str">
        <f aca="false">INDEX(PRODUTOS!$H$4:$H$63,MATCH($A995,PRODUTOS!$B$4:$B$63,0))</f>
        <v>3 un.</v>
      </c>
      <c r="D995" s="11" t="s">
        <v>330</v>
      </c>
      <c r="E995" s="16" t="str">
        <f aca="false">$A995&amp;"."&amp;$D995&amp;".jpg"</f>
        <v>7908591300857.PT05.jpg</v>
      </c>
      <c r="F995" s="11" t="str">
        <f aca="false">IF(INDEX(PRODUTOS!$I$4:$I$63,MATCH($A995,PRODUTOS!$B$4:$B$63,0))="B",INDEX(MODELOS!$F$3:$F$19,MATCH($D995,MODELOS!$A$3:$A$19,0)),INDEX(MODELOS!$B$3:$B$19,MATCH($D995,MODELOS!$A$3:$A$19,0)))</f>
        <v>Galeria · posição 6</v>
      </c>
      <c r="G995" s="11" t="str">
        <f aca="false">IF(INDEX(PRODUTOS!$F$4:$F$63,MATCH($A995,PRODUTOS!$B$4:$B$63,0))="Ração",IF(INDEX(PRODUTOS!$I$4:$I$63,MATCH($A995,PRODUTOS!$B$4:$B$63,0))="B",INDEX(MODELOS!$G$3:$G$19,MATCH($D995,MODELOS!$A$3:$A$19,0)),INDEX(MODELOS!$C$3:$C$19,MATCH($D995,MODELOS!$A$3:$A$19,0))),IF(INDEX(PRODUTOS!$I$4:$I$63,MATCH($A995,PRODUTOS!$B$4:$B$63,0))="B",INDEX(MODELOS!$H$3:$H$19,MATCH($D995,MODELOS!$A$3:$A$19,0)),INDEX(MODELOS!$D$3:$D$19,MATCH($D995,MODELOS!$A$3:$A$19,0))))</f>
        <v>Quantidade por dia ou rendimento do pacote</v>
      </c>
      <c r="H995" s="11" t="str">
        <f aca="false">IF(INDEX(PRODUTOS!$I$4:$I$63,MATCH($A995,PRODUTOS!$B$4:$B$63,0))="B",INDEX(MODELOS!$I$3:$I$19,MATCH($D995,MODELOS!$A$3:$A$19,0)),INDEX(MODELOS!$E$3:$E$19,MATCH($D995,MODELOS!$A$3:$A$19,0)))</f>
        <v>2000 × 2000</v>
      </c>
      <c r="I995" s="11" t="str">
        <f aca="false">INDEX(MODELOS!$J$3:$J$19,MATCH($D995,MODELOS!$A$3:$A$19,0))</f>
        <v>Recomendada</v>
      </c>
      <c r="J995" s="11" t="str">
        <f aca="false">IF(LEFT($D995,2)&lt;&gt;"AP",IF($I995="SIM","SIM","RECOMENDADA"),IF(INDEX(PRODUTOS!$J$4:$J$63,MATCH($A995,PRODUTOS!$B$4:$B$63,0))&lt;&gt;"","NÃO (usa o A+ do EAN "&amp;INDEX(PRODUTOS!$J$4:$J$63,MATCH($A995,PRODUTOS!$B$4:$B$63,0))&amp;")",IF(AND(INDEX(PRODUTOS!$I$4:$I$63,MATCH($A995,PRODUTOS!$B$4:$B$63,0))="B",$D995="AP07"),"NÃO (modelo B)","SIM")))</f>
        <v>RECOMENDADA</v>
      </c>
      <c r="K995" s="13" t="s">
        <v>325</v>
      </c>
      <c r="L995" s="13"/>
    </row>
    <row r="996" customFormat="false" ht="15" hidden="false" customHeight="false" outlineLevel="0" collapsed="false">
      <c r="A996" s="15" t="s">
        <v>303</v>
      </c>
      <c r="B996" s="11" t="str">
        <f aca="false">INDEX(PRODUTOS!$E$4:$E$63,MATCH($A996,PRODUTOS!$B$4:$B$63,0))</f>
        <v>Refil Cata Caca Biodegradável Natural Dots com 3 Unidades</v>
      </c>
      <c r="C996" s="11" t="str">
        <f aca="false">INDEX(PRODUTOS!$H$4:$H$63,MATCH($A996,PRODUTOS!$B$4:$B$63,0))</f>
        <v>3 un.</v>
      </c>
      <c r="D996" s="11" t="s">
        <v>331</v>
      </c>
      <c r="E996" s="16" t="str">
        <f aca="false">$A996&amp;"."&amp;$D996&amp;".jpg"</f>
        <v>7908591300857.PT06.jpg</v>
      </c>
      <c r="F996" s="11" t="str">
        <f aca="false">IF(INDEX(PRODUTOS!$I$4:$I$63,MATCH($A996,PRODUTOS!$B$4:$B$63,0))="B",INDEX(MODELOS!$F$3:$F$19,MATCH($D996,MODELOS!$A$3:$A$19,0)),INDEX(MODELOS!$B$3:$B$19,MATCH($D996,MODELOS!$A$3:$A$19,0)))</f>
        <v>Galeria · posição 7</v>
      </c>
      <c r="G996" s="11" t="str">
        <f aca="false">IF(INDEX(PRODUTOS!$F$4:$F$63,MATCH($A996,PRODUTOS!$B$4:$B$63,0))="Ração",IF(INDEX(PRODUTOS!$I$4:$I$63,MATCH($A996,PRODUTOS!$B$4:$B$63,0))="B",INDEX(MODELOS!$G$3:$G$19,MATCH($D996,MODELOS!$A$3:$A$19,0)),INDEX(MODELOS!$C$3:$C$19,MATCH($D996,MODELOS!$A$3:$A$19,0))),IF(INDEX(PRODUTOS!$I$4:$I$63,MATCH($A996,PRODUTOS!$B$4:$B$63,0))="B",INDEX(MODELOS!$H$3:$H$19,MATCH($D996,MODELOS!$A$3:$A$19,0)),INDEX(MODELOS!$D$3:$D$19,MATCH($D996,MODELOS!$A$3:$A$19,0))))</f>
        <v>Composição/níveis de garantia (petiscos) ou especificações (higiene)</v>
      </c>
      <c r="H996" s="11" t="str">
        <f aca="false">IF(INDEX(PRODUTOS!$I$4:$I$63,MATCH($A996,PRODUTOS!$B$4:$B$63,0))="B",INDEX(MODELOS!$I$3:$I$19,MATCH($D996,MODELOS!$A$3:$A$19,0)),INDEX(MODELOS!$E$3:$E$19,MATCH($D996,MODELOS!$A$3:$A$19,0)))</f>
        <v>2000 × 2000</v>
      </c>
      <c r="I996" s="11" t="str">
        <f aca="false">INDEX(MODELOS!$J$3:$J$19,MATCH($D996,MODELOS!$A$3:$A$19,0))</f>
        <v>SIM</v>
      </c>
      <c r="J996" s="11" t="str">
        <f aca="false">IF(LEFT($D996,2)&lt;&gt;"AP",IF($I996="SIM","SIM","RECOMENDADA"),IF(INDEX(PRODUTOS!$J$4:$J$63,MATCH($A996,PRODUTOS!$B$4:$B$63,0))&lt;&gt;"","NÃO (usa o A+ do EAN "&amp;INDEX(PRODUTOS!$J$4:$J$63,MATCH($A996,PRODUTOS!$B$4:$B$63,0))&amp;")",IF(AND(INDEX(PRODUTOS!$I$4:$I$63,MATCH($A996,PRODUTOS!$B$4:$B$63,0))="B",$D996="AP07"),"NÃO (modelo B)","SIM")))</f>
        <v>SIM</v>
      </c>
      <c r="K996" s="13" t="s">
        <v>325</v>
      </c>
      <c r="L996" s="13"/>
    </row>
    <row r="997" customFormat="false" ht="15" hidden="false" customHeight="false" outlineLevel="0" collapsed="false">
      <c r="A997" s="15" t="s">
        <v>303</v>
      </c>
      <c r="B997" s="11" t="str">
        <f aca="false">INDEX(PRODUTOS!$E$4:$E$63,MATCH($A997,PRODUTOS!$B$4:$B$63,0))</f>
        <v>Refil Cata Caca Biodegradável Natural Dots com 3 Unidades</v>
      </c>
      <c r="C997" s="11" t="str">
        <f aca="false">INDEX(PRODUTOS!$H$4:$H$63,MATCH($A997,PRODUTOS!$B$4:$B$63,0))</f>
        <v>3 un.</v>
      </c>
      <c r="D997" s="11" t="s">
        <v>332</v>
      </c>
      <c r="E997" s="16" t="str">
        <f aca="false">$A997&amp;"."&amp;$D997&amp;".jpg"</f>
        <v>7908591300857.PT07.jpg</v>
      </c>
      <c r="F997" s="11" t="str">
        <f aca="false">IF(INDEX(PRODUTOS!$I$4:$I$63,MATCH($A997,PRODUTOS!$B$4:$B$63,0))="B",INDEX(MODELOS!$F$3:$F$19,MATCH($D997,MODELOS!$A$3:$A$19,0)),INDEX(MODELOS!$B$3:$B$19,MATCH($D997,MODELOS!$A$3:$A$19,0)))</f>
        <v>Galeria · posição 8</v>
      </c>
      <c r="G997" s="11" t="str">
        <f aca="false">IF(INDEX(PRODUTOS!$F$4:$F$63,MATCH($A997,PRODUTOS!$B$4:$B$63,0))="Ração",IF(INDEX(PRODUTOS!$I$4:$I$63,MATCH($A997,PRODUTOS!$B$4:$B$63,0))="B",INDEX(MODELOS!$G$3:$G$19,MATCH($D997,MODELOS!$A$3:$A$19,0)),INDEX(MODELOS!$C$3:$C$19,MATCH($D997,MODELOS!$A$3:$A$19,0))),IF(INDEX(PRODUTOS!$I$4:$I$63,MATCH($A997,PRODUTOS!$B$4:$B$63,0))="B",INDEX(MODELOS!$H$3:$H$19,MATCH($D997,MODELOS!$A$3:$A$19,0)),INDEX(MODELOS!$D$3:$D$19,MATCH($D997,MODELOS!$A$3:$A$19,0))))</f>
        <v>Emocional / momento de uso</v>
      </c>
      <c r="H997" s="11" t="str">
        <f aca="false">IF(INDEX(PRODUTOS!$I$4:$I$63,MATCH($A997,PRODUTOS!$B$4:$B$63,0))="B",INDEX(MODELOS!$I$3:$I$19,MATCH($D997,MODELOS!$A$3:$A$19,0)),INDEX(MODELOS!$E$3:$E$19,MATCH($D997,MODELOS!$A$3:$A$19,0)))</f>
        <v>2000 × 2000</v>
      </c>
      <c r="I997" s="11" t="str">
        <f aca="false">INDEX(MODELOS!$J$3:$J$19,MATCH($D997,MODELOS!$A$3:$A$19,0))</f>
        <v>Recomendada</v>
      </c>
      <c r="J997" s="11" t="str">
        <f aca="false">IF(LEFT($D997,2)&lt;&gt;"AP",IF($I997="SIM","SIM","RECOMENDADA"),IF(INDEX(PRODUTOS!$J$4:$J$63,MATCH($A997,PRODUTOS!$B$4:$B$63,0))&lt;&gt;"","NÃO (usa o A+ do EAN "&amp;INDEX(PRODUTOS!$J$4:$J$63,MATCH($A997,PRODUTOS!$B$4:$B$63,0))&amp;")",IF(AND(INDEX(PRODUTOS!$I$4:$I$63,MATCH($A997,PRODUTOS!$B$4:$B$63,0))="B",$D997="AP07"),"NÃO (modelo B)","SIM")))</f>
        <v>RECOMENDADA</v>
      </c>
      <c r="K997" s="13" t="s">
        <v>325</v>
      </c>
      <c r="L997" s="13"/>
    </row>
    <row r="998" customFormat="false" ht="15" hidden="false" customHeight="false" outlineLevel="0" collapsed="false">
      <c r="A998" s="15" t="s">
        <v>303</v>
      </c>
      <c r="B998" s="11" t="str">
        <f aca="false">INDEX(PRODUTOS!$E$4:$E$63,MATCH($A998,PRODUTOS!$B$4:$B$63,0))</f>
        <v>Refil Cata Caca Biodegradável Natural Dots com 3 Unidades</v>
      </c>
      <c r="C998" s="11" t="str">
        <f aca="false">INDEX(PRODUTOS!$H$4:$H$63,MATCH($A998,PRODUTOS!$B$4:$B$63,0))</f>
        <v>3 un.</v>
      </c>
      <c r="D998" s="11" t="s">
        <v>333</v>
      </c>
      <c r="E998" s="16" t="str">
        <f aca="false">$A998&amp;"."&amp;$D998&amp;".jpg"</f>
        <v>7908591300857.PT08.jpg</v>
      </c>
      <c r="F998" s="11" t="str">
        <f aca="false">IF(INDEX(PRODUTOS!$I$4:$I$63,MATCH($A998,PRODUTOS!$B$4:$B$63,0))="B",INDEX(MODELOS!$F$3:$F$19,MATCH($D998,MODELOS!$A$3:$A$19,0)),INDEX(MODELOS!$B$3:$B$19,MATCH($D998,MODELOS!$A$3:$A$19,0)))</f>
        <v>Galeria · posição 9</v>
      </c>
      <c r="G998" s="11" t="str">
        <f aca="false">IF(INDEX(PRODUTOS!$F$4:$F$63,MATCH($A998,PRODUTOS!$B$4:$B$63,0))="Ração",IF(INDEX(PRODUTOS!$I$4:$I$63,MATCH($A998,PRODUTOS!$B$4:$B$63,0))="B",INDEX(MODELOS!$G$3:$G$19,MATCH($D998,MODELOS!$A$3:$A$19,0)),INDEX(MODELOS!$C$3:$C$19,MATCH($D998,MODELOS!$A$3:$A$19,0))),IF(INDEX(PRODUTOS!$I$4:$I$63,MATCH($A998,PRODUTOS!$B$4:$B$63,0))="B",INDEX(MODELOS!$H$3:$H$19,MATCH($D998,MODELOS!$A$3:$A$19,0)),INDEX(MODELOS!$D$3:$D$19,MATCH($D998,MODELOS!$A$3:$A$19,0))))</f>
        <v>Linha da marca ("conheça também")</v>
      </c>
      <c r="H998" s="11" t="str">
        <f aca="false">IF(INDEX(PRODUTOS!$I$4:$I$63,MATCH($A998,PRODUTOS!$B$4:$B$63,0))="B",INDEX(MODELOS!$I$3:$I$19,MATCH($D998,MODELOS!$A$3:$A$19,0)),INDEX(MODELOS!$E$3:$E$19,MATCH($D998,MODELOS!$A$3:$A$19,0)))</f>
        <v>2000 × 2000</v>
      </c>
      <c r="I998" s="11" t="str">
        <f aca="false">INDEX(MODELOS!$J$3:$J$19,MATCH($D998,MODELOS!$A$3:$A$19,0))</f>
        <v>Recomendada</v>
      </c>
      <c r="J998" s="11" t="str">
        <f aca="false">IF(LEFT($D998,2)&lt;&gt;"AP",IF($I998="SIM","SIM","RECOMENDADA"),IF(INDEX(PRODUTOS!$J$4:$J$63,MATCH($A998,PRODUTOS!$B$4:$B$63,0))&lt;&gt;"","NÃO (usa o A+ do EAN "&amp;INDEX(PRODUTOS!$J$4:$J$63,MATCH($A998,PRODUTOS!$B$4:$B$63,0))&amp;")",IF(AND(INDEX(PRODUTOS!$I$4:$I$63,MATCH($A998,PRODUTOS!$B$4:$B$63,0))="B",$D998="AP07"),"NÃO (modelo B)","SIM")))</f>
        <v>RECOMENDADA</v>
      </c>
      <c r="K998" s="13" t="s">
        <v>325</v>
      </c>
      <c r="L998" s="13"/>
    </row>
    <row r="999" customFormat="false" ht="15" hidden="false" customHeight="false" outlineLevel="0" collapsed="false">
      <c r="A999" s="15" t="s">
        <v>303</v>
      </c>
      <c r="B999" s="11" t="str">
        <f aca="false">INDEX(PRODUTOS!$E$4:$E$63,MATCH($A999,PRODUTOS!$B$4:$B$63,0))</f>
        <v>Refil Cata Caca Biodegradável Natural Dots com 3 Unidades</v>
      </c>
      <c r="C999" s="11" t="str">
        <f aca="false">INDEX(PRODUTOS!$H$4:$H$63,MATCH($A999,PRODUTOS!$B$4:$B$63,0))</f>
        <v>3 un.</v>
      </c>
      <c r="D999" s="11" t="s">
        <v>334</v>
      </c>
      <c r="E999" s="16" t="str">
        <f aca="false">$A999&amp;"."&amp;$D999&amp;".jpg"</f>
        <v>7908591300857.AP01.jpg</v>
      </c>
      <c r="F999" s="11" t="str">
        <f aca="false">IF(INDEX(PRODUTOS!$I$4:$I$63,MATCH($A999,PRODUTOS!$B$4:$B$63,0))="B",INDEX(MODELOS!$F$3:$F$19,MATCH($D999,MODELOS!$A$3:$A$19,0)),INDEX(MODELOS!$B$3:$B$19,MATCH($D999,MODELOS!$A$3:$A$19,0)))</f>
        <v>A+ · Módulo 1 · Banner</v>
      </c>
      <c r="G999" s="11" t="str">
        <f aca="false">IF(INDEX(PRODUTOS!$F$4:$F$63,MATCH($A999,PRODUTOS!$B$4:$B$63,0))="Ração",IF(INDEX(PRODUTOS!$I$4:$I$63,MATCH($A999,PRODUTOS!$B$4:$B$63,0))="B",INDEX(MODELOS!$G$3:$G$19,MATCH($D999,MODELOS!$A$3:$A$19,0)),INDEX(MODELOS!$C$3:$C$19,MATCH($D999,MODELOS!$A$3:$A$19,0))),IF(INDEX(PRODUTOS!$I$4:$I$63,MATCH($A999,PRODUTOS!$B$4:$B$63,0))="B",INDEX(MODELOS!$H$3:$H$19,MATCH($D999,MODELOS!$A$3:$A$19,0)),INDEX(MODELOS!$D$3:$D$19,MATCH($D999,MODELOS!$A$3:$A$19,0))))</f>
        <v>Produto + pet, com o nome da linha</v>
      </c>
      <c r="H999" s="11" t="str">
        <f aca="false">IF(INDEX(PRODUTOS!$I$4:$I$63,MATCH($A999,PRODUTOS!$B$4:$B$63,0))="B",INDEX(MODELOS!$I$3:$I$19,MATCH($D999,MODELOS!$A$3:$A$19,0)),INDEX(MODELOS!$E$3:$E$19,MATCH($D999,MODELOS!$A$3:$A$19,0)))</f>
        <v>970 × 600</v>
      </c>
      <c r="I999" s="11" t="str">
        <f aca="false">INDEX(MODELOS!$J$3:$J$19,MATCH($D999,MODELOS!$A$3:$A$19,0))</f>
        <v>Conforme modelo</v>
      </c>
      <c r="J999" s="11" t="str">
        <f aca="false">IF(LEFT($D999,2)&lt;&gt;"AP",IF($I999="SIM","SIM","RECOMENDADA"),IF(INDEX(PRODUTOS!$J$4:$J$63,MATCH($A999,PRODUTOS!$B$4:$B$63,0))&lt;&gt;"","NÃO (usa o A+ do EAN "&amp;INDEX(PRODUTOS!$J$4:$J$63,MATCH($A999,PRODUTOS!$B$4:$B$63,0))&amp;")",IF(AND(INDEX(PRODUTOS!$I$4:$I$63,MATCH($A999,PRODUTOS!$B$4:$B$63,0))="B",$D999="AP07"),"NÃO (modelo B)","SIM")))</f>
        <v>SIM</v>
      </c>
      <c r="K999" s="13" t="s">
        <v>325</v>
      </c>
      <c r="L999" s="13"/>
    </row>
    <row r="1000" customFormat="false" ht="15" hidden="false" customHeight="false" outlineLevel="0" collapsed="false">
      <c r="A1000" s="15" t="s">
        <v>303</v>
      </c>
      <c r="B1000" s="11" t="str">
        <f aca="false">INDEX(PRODUTOS!$E$4:$E$63,MATCH($A1000,PRODUTOS!$B$4:$B$63,0))</f>
        <v>Refil Cata Caca Biodegradável Natural Dots com 3 Unidades</v>
      </c>
      <c r="C1000" s="11" t="str">
        <f aca="false">INDEX(PRODUTOS!$H$4:$H$63,MATCH($A1000,PRODUTOS!$B$4:$B$63,0))</f>
        <v>3 un.</v>
      </c>
      <c r="D1000" s="11" t="s">
        <v>335</v>
      </c>
      <c r="E1000" s="16" t="str">
        <f aca="false">$A1000&amp;"."&amp;$D1000&amp;".jpg"</f>
        <v>7908591300857.AP02.jpg</v>
      </c>
      <c r="F1000" s="11" t="str">
        <f aca="false">IF(INDEX(PRODUTOS!$I$4:$I$63,MATCH($A1000,PRODUTOS!$B$4:$B$63,0))="B",INDEX(MODELOS!$F$3:$F$19,MATCH($D1000,MODELOS!$A$3:$A$19,0)),INDEX(MODELOS!$B$3:$B$19,MATCH($D1000,MODELOS!$A$3:$A$19,0)))</f>
        <v>A+ · Módulo 2 · Texto sobreposto</v>
      </c>
      <c r="G1000" s="11" t="str">
        <f aca="false">IF(INDEX(PRODUTOS!$F$4:$F$63,MATCH($A1000,PRODUTOS!$B$4:$B$63,0))="Ração",IF(INDEX(PRODUTOS!$I$4:$I$63,MATCH($A1000,PRODUTOS!$B$4:$B$63,0))="B",INDEX(MODELOS!$G$3:$G$19,MATCH($D1000,MODELOS!$A$3:$A$19,0)),INDEX(MODELOS!$C$3:$C$19,MATCH($D1000,MODELOS!$A$3:$A$19,0))),IF(INDEX(PRODUTOS!$I$4:$I$63,MATCH($A1000,PRODUTOS!$B$4:$B$63,0))="B",INDEX(MODELOS!$H$3:$H$19,MATCH($D1000,MODELOS!$A$3:$A$19,0)),INDEX(MODELOS!$D$3:$D$19,MATCH($D1000,MODELOS!$A$3:$A$19,0))))</f>
        <v>Principal diferencial; deixar o lado direito limpo</v>
      </c>
      <c r="H1000" s="11" t="str">
        <f aca="false">IF(INDEX(PRODUTOS!$I$4:$I$63,MATCH($A1000,PRODUTOS!$B$4:$B$63,0))="B",INDEX(MODELOS!$I$3:$I$19,MATCH($D1000,MODELOS!$A$3:$A$19,0)),INDEX(MODELOS!$E$3:$E$19,MATCH($D1000,MODELOS!$A$3:$A$19,0)))</f>
        <v>970 × 300</v>
      </c>
      <c r="I1000" s="11" t="str">
        <f aca="false">INDEX(MODELOS!$J$3:$J$19,MATCH($D1000,MODELOS!$A$3:$A$19,0))</f>
        <v>Conforme modelo</v>
      </c>
      <c r="J1000" s="11" t="str">
        <f aca="false">IF(LEFT($D1000,2)&lt;&gt;"AP",IF($I1000="SIM","SIM","RECOMENDADA"),IF(INDEX(PRODUTOS!$J$4:$J$63,MATCH($A1000,PRODUTOS!$B$4:$B$63,0))&lt;&gt;"","NÃO (usa o A+ do EAN "&amp;INDEX(PRODUTOS!$J$4:$J$63,MATCH($A1000,PRODUTOS!$B$4:$B$63,0))&amp;")",IF(AND(INDEX(PRODUTOS!$I$4:$I$63,MATCH($A1000,PRODUTOS!$B$4:$B$63,0))="B",$D1000="AP07"),"NÃO (modelo B)","SIM")))</f>
        <v>SIM</v>
      </c>
      <c r="K1000" s="13" t="s">
        <v>325</v>
      </c>
      <c r="L1000" s="13"/>
    </row>
    <row r="1001" customFormat="false" ht="15" hidden="false" customHeight="false" outlineLevel="0" collapsed="false">
      <c r="A1001" s="15" t="s">
        <v>303</v>
      </c>
      <c r="B1001" s="11" t="str">
        <f aca="false">INDEX(PRODUTOS!$E$4:$E$63,MATCH($A1001,PRODUTOS!$B$4:$B$63,0))</f>
        <v>Refil Cata Caca Biodegradável Natural Dots com 3 Unidades</v>
      </c>
      <c r="C1001" s="11" t="str">
        <f aca="false">INDEX(PRODUTOS!$H$4:$H$63,MATCH($A1001,PRODUTOS!$B$4:$B$63,0))</f>
        <v>3 un.</v>
      </c>
      <c r="D1001" s="11" t="s">
        <v>336</v>
      </c>
      <c r="E1001" s="16" t="str">
        <f aca="false">$A1001&amp;"."&amp;$D1001&amp;".jpg"</f>
        <v>7908591300857.AP03.jpg</v>
      </c>
      <c r="F1001" s="11" t="str">
        <f aca="false">IF(INDEX(PRODUTOS!$I$4:$I$63,MATCH($A1001,PRODUTOS!$B$4:$B$63,0))="B",INDEX(MODELOS!$F$3:$F$19,MATCH($D1001,MODELOS!$A$3:$A$19,0)),INDEX(MODELOS!$B$3:$B$19,MATCH($D1001,MODELOS!$A$3:$A$19,0)))</f>
        <v>A+ · Módulo 3 · Benefício 1 de 4</v>
      </c>
      <c r="G1001" s="11" t="str">
        <f aca="false">IF(INDEX(PRODUTOS!$F$4:$F$63,MATCH($A1001,PRODUTOS!$B$4:$B$63,0))="Ração",IF(INDEX(PRODUTOS!$I$4:$I$63,MATCH($A1001,PRODUTOS!$B$4:$B$63,0))="B",INDEX(MODELOS!$G$3:$G$19,MATCH($D1001,MODELOS!$A$3:$A$19,0)),INDEX(MODELOS!$C$3:$C$19,MATCH($D1001,MODELOS!$A$3:$A$19,0))),IF(INDEX(PRODUTOS!$I$4:$I$63,MATCH($A1001,PRODUTOS!$B$4:$B$63,0))="B",INDEX(MODELOS!$H$3:$H$19,MATCH($D1001,MODELOS!$A$3:$A$19,0)),INDEX(MODELOS!$D$3:$D$19,MATCH($D1001,MODELOS!$A$3:$A$19,0))))</f>
        <v>Foto/ilustração do benefício 1</v>
      </c>
      <c r="H1001" s="11" t="str">
        <f aca="false">IF(INDEX(PRODUTOS!$I$4:$I$63,MATCH($A1001,PRODUTOS!$B$4:$B$63,0))="B",INDEX(MODELOS!$I$3:$I$19,MATCH($D1001,MODELOS!$A$3:$A$19,0)),INDEX(MODELOS!$E$3:$E$19,MATCH($D1001,MODELOS!$A$3:$A$19,0)))</f>
        <v>220 × 200</v>
      </c>
      <c r="I1001" s="11" t="str">
        <f aca="false">INDEX(MODELOS!$J$3:$J$19,MATCH($D1001,MODELOS!$A$3:$A$19,0))</f>
        <v>Conforme modelo</v>
      </c>
      <c r="J1001" s="11" t="str">
        <f aca="false">IF(LEFT($D1001,2)&lt;&gt;"AP",IF($I1001="SIM","SIM","RECOMENDADA"),IF(INDEX(PRODUTOS!$J$4:$J$63,MATCH($A1001,PRODUTOS!$B$4:$B$63,0))&lt;&gt;"","NÃO (usa o A+ do EAN "&amp;INDEX(PRODUTOS!$J$4:$J$63,MATCH($A1001,PRODUTOS!$B$4:$B$63,0))&amp;")",IF(AND(INDEX(PRODUTOS!$I$4:$I$63,MATCH($A1001,PRODUTOS!$B$4:$B$63,0))="B",$D1001="AP07"),"NÃO (modelo B)","SIM")))</f>
        <v>SIM</v>
      </c>
      <c r="K1001" s="13" t="s">
        <v>325</v>
      </c>
      <c r="L1001" s="13"/>
    </row>
    <row r="1002" customFormat="false" ht="15" hidden="false" customHeight="false" outlineLevel="0" collapsed="false">
      <c r="A1002" s="15" t="s">
        <v>303</v>
      </c>
      <c r="B1002" s="11" t="str">
        <f aca="false">INDEX(PRODUTOS!$E$4:$E$63,MATCH($A1002,PRODUTOS!$B$4:$B$63,0))</f>
        <v>Refil Cata Caca Biodegradável Natural Dots com 3 Unidades</v>
      </c>
      <c r="C1002" s="11" t="str">
        <f aca="false">INDEX(PRODUTOS!$H$4:$H$63,MATCH($A1002,PRODUTOS!$B$4:$B$63,0))</f>
        <v>3 un.</v>
      </c>
      <c r="D1002" s="11" t="s">
        <v>337</v>
      </c>
      <c r="E1002" s="16" t="str">
        <f aca="false">$A1002&amp;"."&amp;$D1002&amp;".jpg"</f>
        <v>7908591300857.AP04.jpg</v>
      </c>
      <c r="F1002" s="11" t="str">
        <f aca="false">IF(INDEX(PRODUTOS!$I$4:$I$63,MATCH($A1002,PRODUTOS!$B$4:$B$63,0))="B",INDEX(MODELOS!$F$3:$F$19,MATCH($D1002,MODELOS!$A$3:$A$19,0)),INDEX(MODELOS!$B$3:$B$19,MATCH($D1002,MODELOS!$A$3:$A$19,0)))</f>
        <v>A+ · Módulo 3 · Benefício 2 de 4</v>
      </c>
      <c r="G1002" s="11" t="str">
        <f aca="false">IF(INDEX(PRODUTOS!$F$4:$F$63,MATCH($A1002,PRODUTOS!$B$4:$B$63,0))="Ração",IF(INDEX(PRODUTOS!$I$4:$I$63,MATCH($A1002,PRODUTOS!$B$4:$B$63,0))="B",INDEX(MODELOS!$G$3:$G$19,MATCH($D1002,MODELOS!$A$3:$A$19,0)),INDEX(MODELOS!$C$3:$C$19,MATCH($D1002,MODELOS!$A$3:$A$19,0))),IF(INDEX(PRODUTOS!$I$4:$I$63,MATCH($A1002,PRODUTOS!$B$4:$B$63,0))="B",INDEX(MODELOS!$H$3:$H$19,MATCH($D1002,MODELOS!$A$3:$A$19,0)),INDEX(MODELOS!$D$3:$D$19,MATCH($D1002,MODELOS!$A$3:$A$19,0))))</f>
        <v>Foto/ilustração do benefício 2</v>
      </c>
      <c r="H1002" s="11" t="str">
        <f aca="false">IF(INDEX(PRODUTOS!$I$4:$I$63,MATCH($A1002,PRODUTOS!$B$4:$B$63,0))="B",INDEX(MODELOS!$I$3:$I$19,MATCH($D1002,MODELOS!$A$3:$A$19,0)),INDEX(MODELOS!$E$3:$E$19,MATCH($D1002,MODELOS!$A$3:$A$19,0)))</f>
        <v>220 × 200</v>
      </c>
      <c r="I1002" s="11" t="str">
        <f aca="false">INDEX(MODELOS!$J$3:$J$19,MATCH($D1002,MODELOS!$A$3:$A$19,0))</f>
        <v>Conforme modelo</v>
      </c>
      <c r="J1002" s="11" t="str">
        <f aca="false">IF(LEFT($D1002,2)&lt;&gt;"AP",IF($I1002="SIM","SIM","RECOMENDADA"),IF(INDEX(PRODUTOS!$J$4:$J$63,MATCH($A1002,PRODUTOS!$B$4:$B$63,0))&lt;&gt;"","NÃO (usa o A+ do EAN "&amp;INDEX(PRODUTOS!$J$4:$J$63,MATCH($A1002,PRODUTOS!$B$4:$B$63,0))&amp;")",IF(AND(INDEX(PRODUTOS!$I$4:$I$63,MATCH($A1002,PRODUTOS!$B$4:$B$63,0))="B",$D1002="AP07"),"NÃO (modelo B)","SIM")))</f>
        <v>SIM</v>
      </c>
      <c r="K1002" s="13" t="s">
        <v>325</v>
      </c>
      <c r="L1002" s="13"/>
    </row>
    <row r="1003" customFormat="false" ht="15" hidden="false" customHeight="false" outlineLevel="0" collapsed="false">
      <c r="A1003" s="15" t="s">
        <v>303</v>
      </c>
      <c r="B1003" s="11" t="str">
        <f aca="false">INDEX(PRODUTOS!$E$4:$E$63,MATCH($A1003,PRODUTOS!$B$4:$B$63,0))</f>
        <v>Refil Cata Caca Biodegradável Natural Dots com 3 Unidades</v>
      </c>
      <c r="C1003" s="11" t="str">
        <f aca="false">INDEX(PRODUTOS!$H$4:$H$63,MATCH($A1003,PRODUTOS!$B$4:$B$63,0))</f>
        <v>3 un.</v>
      </c>
      <c r="D1003" s="11" t="s">
        <v>338</v>
      </c>
      <c r="E1003" s="16" t="str">
        <f aca="false">$A1003&amp;"."&amp;$D1003&amp;".jpg"</f>
        <v>7908591300857.AP05.jpg</v>
      </c>
      <c r="F1003" s="11" t="str">
        <f aca="false">IF(INDEX(PRODUTOS!$I$4:$I$63,MATCH($A1003,PRODUTOS!$B$4:$B$63,0))="B",INDEX(MODELOS!$F$3:$F$19,MATCH($D1003,MODELOS!$A$3:$A$19,0)),INDEX(MODELOS!$B$3:$B$19,MATCH($D1003,MODELOS!$A$3:$A$19,0)))</f>
        <v>A+ · Módulo 3 · Benefício 3 de 4</v>
      </c>
      <c r="G1003" s="11" t="str">
        <f aca="false">IF(INDEX(PRODUTOS!$F$4:$F$63,MATCH($A1003,PRODUTOS!$B$4:$B$63,0))="Ração",IF(INDEX(PRODUTOS!$I$4:$I$63,MATCH($A1003,PRODUTOS!$B$4:$B$63,0))="B",INDEX(MODELOS!$G$3:$G$19,MATCH($D1003,MODELOS!$A$3:$A$19,0)),INDEX(MODELOS!$C$3:$C$19,MATCH($D1003,MODELOS!$A$3:$A$19,0))),IF(INDEX(PRODUTOS!$I$4:$I$63,MATCH($A1003,PRODUTOS!$B$4:$B$63,0))="B",INDEX(MODELOS!$H$3:$H$19,MATCH($D1003,MODELOS!$A$3:$A$19,0)),INDEX(MODELOS!$D$3:$D$19,MATCH($D1003,MODELOS!$A$3:$A$19,0))))</f>
        <v>Foto/ilustração do benefício 3</v>
      </c>
      <c r="H1003" s="11" t="str">
        <f aca="false">IF(INDEX(PRODUTOS!$I$4:$I$63,MATCH($A1003,PRODUTOS!$B$4:$B$63,0))="B",INDEX(MODELOS!$I$3:$I$19,MATCH($D1003,MODELOS!$A$3:$A$19,0)),INDEX(MODELOS!$E$3:$E$19,MATCH($D1003,MODELOS!$A$3:$A$19,0)))</f>
        <v>220 × 200</v>
      </c>
      <c r="I1003" s="11" t="str">
        <f aca="false">INDEX(MODELOS!$J$3:$J$19,MATCH($D1003,MODELOS!$A$3:$A$19,0))</f>
        <v>Conforme modelo</v>
      </c>
      <c r="J1003" s="11" t="str">
        <f aca="false">IF(LEFT($D1003,2)&lt;&gt;"AP",IF($I1003="SIM","SIM","RECOMENDADA"),IF(INDEX(PRODUTOS!$J$4:$J$63,MATCH($A1003,PRODUTOS!$B$4:$B$63,0))&lt;&gt;"","NÃO (usa o A+ do EAN "&amp;INDEX(PRODUTOS!$J$4:$J$63,MATCH($A1003,PRODUTOS!$B$4:$B$63,0))&amp;")",IF(AND(INDEX(PRODUTOS!$I$4:$I$63,MATCH($A1003,PRODUTOS!$B$4:$B$63,0))="B",$D1003="AP07"),"NÃO (modelo B)","SIM")))</f>
        <v>SIM</v>
      </c>
      <c r="K1003" s="13" t="s">
        <v>325</v>
      </c>
      <c r="L1003" s="13"/>
    </row>
    <row r="1004" customFormat="false" ht="15" hidden="false" customHeight="false" outlineLevel="0" collapsed="false">
      <c r="A1004" s="15" t="s">
        <v>303</v>
      </c>
      <c r="B1004" s="11" t="str">
        <f aca="false">INDEX(PRODUTOS!$E$4:$E$63,MATCH($A1004,PRODUTOS!$B$4:$B$63,0))</f>
        <v>Refil Cata Caca Biodegradável Natural Dots com 3 Unidades</v>
      </c>
      <c r="C1004" s="11" t="str">
        <f aca="false">INDEX(PRODUTOS!$H$4:$H$63,MATCH($A1004,PRODUTOS!$B$4:$B$63,0))</f>
        <v>3 un.</v>
      </c>
      <c r="D1004" s="11" t="s">
        <v>339</v>
      </c>
      <c r="E1004" s="16" t="str">
        <f aca="false">$A1004&amp;"."&amp;$D1004&amp;".jpg"</f>
        <v>7908591300857.AP06.jpg</v>
      </c>
      <c r="F1004" s="11" t="str">
        <f aca="false">IF(INDEX(PRODUTOS!$I$4:$I$63,MATCH($A1004,PRODUTOS!$B$4:$B$63,0))="B",INDEX(MODELOS!$F$3:$F$19,MATCH($D1004,MODELOS!$A$3:$A$19,0)),INDEX(MODELOS!$B$3:$B$19,MATCH($D1004,MODELOS!$A$3:$A$19,0)))</f>
        <v>A+ · Módulo 3 · Benefício 4 de 4</v>
      </c>
      <c r="G1004" s="11" t="str">
        <f aca="false">IF(INDEX(PRODUTOS!$F$4:$F$63,MATCH($A1004,PRODUTOS!$B$4:$B$63,0))="Ração",IF(INDEX(PRODUTOS!$I$4:$I$63,MATCH($A1004,PRODUTOS!$B$4:$B$63,0))="B",INDEX(MODELOS!$G$3:$G$19,MATCH($D1004,MODELOS!$A$3:$A$19,0)),INDEX(MODELOS!$C$3:$C$19,MATCH($D1004,MODELOS!$A$3:$A$19,0))),IF(INDEX(PRODUTOS!$I$4:$I$63,MATCH($A1004,PRODUTOS!$B$4:$B$63,0))="B",INDEX(MODELOS!$H$3:$H$19,MATCH($D1004,MODELOS!$A$3:$A$19,0)),INDEX(MODELOS!$D$3:$D$19,MATCH($D1004,MODELOS!$A$3:$A$19,0))))</f>
        <v>Foto/ilustração do benefício 4</v>
      </c>
      <c r="H1004" s="11" t="str">
        <f aca="false">IF(INDEX(PRODUTOS!$I$4:$I$63,MATCH($A1004,PRODUTOS!$B$4:$B$63,0))="B",INDEX(MODELOS!$I$3:$I$19,MATCH($D1004,MODELOS!$A$3:$A$19,0)),INDEX(MODELOS!$E$3:$E$19,MATCH($D1004,MODELOS!$A$3:$A$19,0)))</f>
        <v>220 × 200</v>
      </c>
      <c r="I1004" s="11" t="str">
        <f aca="false">INDEX(MODELOS!$J$3:$J$19,MATCH($D1004,MODELOS!$A$3:$A$19,0))</f>
        <v>Conforme modelo</v>
      </c>
      <c r="J1004" s="11" t="str">
        <f aca="false">IF(LEFT($D1004,2)&lt;&gt;"AP",IF($I1004="SIM","SIM","RECOMENDADA"),IF(INDEX(PRODUTOS!$J$4:$J$63,MATCH($A1004,PRODUTOS!$B$4:$B$63,0))&lt;&gt;"","NÃO (usa o A+ do EAN "&amp;INDEX(PRODUTOS!$J$4:$J$63,MATCH($A1004,PRODUTOS!$B$4:$B$63,0))&amp;")",IF(AND(INDEX(PRODUTOS!$I$4:$I$63,MATCH($A1004,PRODUTOS!$B$4:$B$63,0))="B",$D1004="AP07"),"NÃO (modelo B)","SIM")))</f>
        <v>SIM</v>
      </c>
      <c r="K1004" s="13" t="s">
        <v>325</v>
      </c>
      <c r="L1004" s="13"/>
    </row>
    <row r="1005" customFormat="false" ht="15" hidden="false" customHeight="false" outlineLevel="0" collapsed="false">
      <c r="A1005" s="15" t="s">
        <v>303</v>
      </c>
      <c r="B1005" s="11" t="str">
        <f aca="false">INDEX(PRODUTOS!$E$4:$E$63,MATCH($A1005,PRODUTOS!$B$4:$B$63,0))</f>
        <v>Refil Cata Caca Biodegradável Natural Dots com 3 Unidades</v>
      </c>
      <c r="C1005" s="11" t="str">
        <f aca="false">INDEX(PRODUTOS!$H$4:$H$63,MATCH($A1005,PRODUTOS!$B$4:$B$63,0))</f>
        <v>3 un.</v>
      </c>
      <c r="D1005" s="11" t="s">
        <v>340</v>
      </c>
      <c r="E1005" s="16" t="str">
        <f aca="false">$A1005&amp;"."&amp;$D1005&amp;".jpg"</f>
        <v>7908591300857.AP07.jpg</v>
      </c>
      <c r="F1005" s="11" t="str">
        <f aca="false">IF(INDEX(PRODUTOS!$I$4:$I$63,MATCH($A1005,PRODUTOS!$B$4:$B$63,0))="B",INDEX(MODELOS!$F$3:$F$19,MATCH($D1005,MODELOS!$A$3:$A$19,0)),INDEX(MODELOS!$B$3:$B$19,MATCH($D1005,MODELOS!$A$3:$A$19,0)))</f>
        <v>A+ · Módulo 4 · Especificações</v>
      </c>
      <c r="G1005" s="11" t="str">
        <f aca="false">IF(INDEX(PRODUTOS!$F$4:$F$63,MATCH($A1005,PRODUTOS!$B$4:$B$63,0))="Ração",IF(INDEX(PRODUTOS!$I$4:$I$63,MATCH($A1005,PRODUTOS!$B$4:$B$63,0))="B",INDEX(MODELOS!$G$3:$G$19,MATCH($D1005,MODELOS!$A$3:$A$19,0)),INDEX(MODELOS!$C$3:$C$19,MATCH($D1005,MODELOS!$A$3:$A$19,0))),IF(INDEX(PRODUTOS!$I$4:$I$63,MATCH($A1005,PRODUTOS!$B$4:$B$63,0))="B",INDEX(MODELOS!$H$3:$H$19,MATCH($D1005,MODELOS!$A$3:$A$19,0)),INDEX(MODELOS!$D$3:$D$19,MATCH($D1005,MODELOS!$A$3:$A$19,0))))</f>
        <v>Produto em destaque</v>
      </c>
      <c r="H1005" s="11" t="str">
        <f aca="false">IF(INDEX(PRODUTOS!$I$4:$I$63,MATCH($A1005,PRODUTOS!$B$4:$B$63,0))="B",INDEX(MODELOS!$I$3:$I$19,MATCH($D1005,MODELOS!$A$3:$A$19,0)),INDEX(MODELOS!$E$3:$E$19,MATCH($D1005,MODELOS!$A$3:$A$19,0)))</f>
        <v>300 × 300</v>
      </c>
      <c r="I1005" s="11" t="str">
        <f aca="false">INDEX(MODELOS!$J$3:$J$19,MATCH($D1005,MODELOS!$A$3:$A$19,0))</f>
        <v>Conforme modelo</v>
      </c>
      <c r="J1005" s="11" t="str">
        <f aca="false">IF(LEFT($D1005,2)&lt;&gt;"AP",IF($I1005="SIM","SIM","RECOMENDADA"),IF(INDEX(PRODUTOS!$J$4:$J$63,MATCH($A1005,PRODUTOS!$B$4:$B$63,0))&lt;&gt;"","NÃO (usa o A+ do EAN "&amp;INDEX(PRODUTOS!$J$4:$J$63,MATCH($A1005,PRODUTOS!$B$4:$B$63,0))&amp;")",IF(AND(INDEX(PRODUTOS!$I$4:$I$63,MATCH($A1005,PRODUTOS!$B$4:$B$63,0))="B",$D1005="AP07"),"NÃO (modelo B)","SIM")))</f>
        <v>SIM</v>
      </c>
      <c r="K1005" s="13" t="s">
        <v>325</v>
      </c>
      <c r="L1005" s="13"/>
    </row>
    <row r="1006" customFormat="false" ht="15" hidden="false" customHeight="false" outlineLevel="0" collapsed="false">
      <c r="A1006" s="15" t="s">
        <v>303</v>
      </c>
      <c r="B1006" s="11" t="str">
        <f aca="false">INDEX(PRODUTOS!$E$4:$E$63,MATCH($A1006,PRODUTOS!$B$4:$B$63,0))</f>
        <v>Refil Cata Caca Biodegradável Natural Dots com 3 Unidades</v>
      </c>
      <c r="C1006" s="11" t="str">
        <f aca="false">INDEX(PRODUTOS!$H$4:$H$63,MATCH($A1006,PRODUTOS!$B$4:$B$63,0))</f>
        <v>3 un.</v>
      </c>
      <c r="D1006" s="11" t="s">
        <v>341</v>
      </c>
      <c r="E1006" s="16" t="str">
        <f aca="false">$A1006&amp;"."&amp;$D1006&amp;".jpg"</f>
        <v>7908591300857.COMP.jpg</v>
      </c>
      <c r="F1006" s="11" t="str">
        <f aca="false">IF(INDEX(PRODUTOS!$I$4:$I$63,MATCH($A1006,PRODUTOS!$B$4:$B$63,0))="B",INDEX(MODELOS!$F$3:$F$19,MATCH($D1006,MODELOS!$A$3:$A$19,0)),INDEX(MODELOS!$B$3:$B$19,MATCH($D1006,MODELOS!$A$3:$A$19,0)))</f>
        <v>A+ · Tabela comparativa</v>
      </c>
      <c r="G1006" s="11" t="str">
        <f aca="false">IF(INDEX(PRODUTOS!$F$4:$F$63,MATCH($A1006,PRODUTOS!$B$4:$B$63,0))="Ração",IF(INDEX(PRODUTOS!$I$4:$I$63,MATCH($A1006,PRODUTOS!$B$4:$B$63,0))="B",INDEX(MODELOS!$G$3:$G$19,MATCH($D1006,MODELOS!$A$3:$A$19,0)),INDEX(MODELOS!$C$3:$C$19,MATCH($D1006,MODELOS!$A$3:$A$19,0))),IF(INDEX(PRODUTOS!$I$4:$I$63,MATCH($A1006,PRODUTOS!$B$4:$B$63,0))="B",INDEX(MODELOS!$H$3:$H$19,MATCH($D1006,MODELOS!$A$3:$A$19,0)),INDEX(MODELOS!$D$3:$D$19,MATCH($D1006,MODELOS!$A$3:$A$19,0))))</f>
        <v>Produto na vertical, sem fundo colorido</v>
      </c>
      <c r="H1006" s="11" t="str">
        <f aca="false">IF(INDEX(PRODUTOS!$I$4:$I$63,MATCH($A1006,PRODUTOS!$B$4:$B$63,0))="B",INDEX(MODELOS!$I$3:$I$19,MATCH($D1006,MODELOS!$A$3:$A$19,0)),INDEX(MODELOS!$E$3:$E$19,MATCH($D1006,MODELOS!$A$3:$A$19,0)))</f>
        <v>150 × 300</v>
      </c>
      <c r="I1006" s="11" t="str">
        <f aca="false">INDEX(MODELOS!$J$3:$J$19,MATCH($D1006,MODELOS!$A$3:$A$19,0))</f>
        <v>SIM</v>
      </c>
      <c r="J1006" s="11" t="str">
        <f aca="false">IF(LEFT($D1006,2)&lt;&gt;"AP",IF($I1006="SIM","SIM","RECOMENDADA"),IF(INDEX(PRODUTOS!$J$4:$J$63,MATCH($A1006,PRODUTOS!$B$4:$B$63,0))&lt;&gt;"","NÃO (usa o A+ do EAN "&amp;INDEX(PRODUTOS!$J$4:$J$63,MATCH($A1006,PRODUTOS!$B$4:$B$63,0))&amp;")",IF(AND(INDEX(PRODUTOS!$I$4:$I$63,MATCH($A1006,PRODUTOS!$B$4:$B$63,0))="B",$D1006="AP07"),"NÃO (modelo B)","SIM")))</f>
        <v>SIM</v>
      </c>
      <c r="K1006" s="13" t="s">
        <v>325</v>
      </c>
      <c r="L1006" s="13"/>
    </row>
    <row r="1007" customFormat="false" ht="15" hidden="false" customHeight="false" outlineLevel="0" collapsed="false">
      <c r="A1007" s="15" t="s">
        <v>308</v>
      </c>
      <c r="B1007" s="11" t="str">
        <f aca="false">INDEX(PRODUTOS!$E$4:$E$63,MATCH($A1007,PRODUTOS!$B$4:$B$63,0))</f>
        <v>Tapete Higiênico Natural Dots Super Premium 80 x 60 cm com 7 Unidades</v>
      </c>
      <c r="C1007" s="11" t="str">
        <f aca="false">INDEX(PRODUTOS!$H$4:$H$63,MATCH($A1007,PRODUTOS!$B$4:$B$63,0))</f>
        <v>7 un.</v>
      </c>
      <c r="D1007" s="11" t="s">
        <v>324</v>
      </c>
      <c r="E1007" s="16" t="str">
        <f aca="false">$A1007&amp;"."&amp;$D1007&amp;".jpg"</f>
        <v>7898968541979.MAIN.jpg</v>
      </c>
      <c r="F1007" s="11" t="str">
        <f aca="false">IF(INDEX(PRODUTOS!$I$4:$I$63,MATCH($A1007,PRODUTOS!$B$4:$B$63,0))="B",INDEX(MODELOS!$F$3:$F$19,MATCH($D1007,MODELOS!$A$3:$A$19,0)),INDEX(MODELOS!$B$3:$B$19,MATCH($D1007,MODELOS!$A$3:$A$19,0)))</f>
        <v>Capa (posição 1)</v>
      </c>
      <c r="G1007" s="11" t="str">
        <f aca="false">IF(INDEX(PRODUTOS!$F$4:$F$63,MATCH($A1007,PRODUTOS!$B$4:$B$63,0))="Ração",IF(INDEX(PRODUTOS!$I$4:$I$63,MATCH($A1007,PRODUTOS!$B$4:$B$63,0))="B",INDEX(MODELOS!$G$3:$G$19,MATCH($D1007,MODELOS!$A$3:$A$19,0)),INDEX(MODELOS!$C$3:$C$19,MATCH($D1007,MODELOS!$A$3:$A$19,0))),IF(INDEX(PRODUTOS!$I$4:$I$63,MATCH($A1007,PRODUTOS!$B$4:$B$63,0))="B",INDEX(MODELOS!$H$3:$H$19,MATCH($D1007,MODELOS!$A$3:$A$19,0)),INDEX(MODELOS!$D$3:$D$19,MATCH($D1007,MODELOS!$A$3:$A$19,0))))</f>
        <v>Embalagem de frente, fundo branco puro, 85% da área, nada adicionado</v>
      </c>
      <c r="H1007" s="11" t="str">
        <f aca="false">IF(INDEX(PRODUTOS!$I$4:$I$63,MATCH($A1007,PRODUTOS!$B$4:$B$63,0))="B",INDEX(MODELOS!$I$3:$I$19,MATCH($D1007,MODELOS!$A$3:$A$19,0)),INDEX(MODELOS!$E$3:$E$19,MATCH($D1007,MODELOS!$A$3:$A$19,0)))</f>
        <v>2000 × 2000</v>
      </c>
      <c r="I1007" s="11" t="str">
        <f aca="false">INDEX(MODELOS!$J$3:$J$19,MATCH($D1007,MODELOS!$A$3:$A$19,0))</f>
        <v>SIM</v>
      </c>
      <c r="J1007" s="11" t="str">
        <f aca="false">IF(LEFT($D1007,2)&lt;&gt;"AP",IF($I1007="SIM","SIM","RECOMENDADA"),IF(INDEX(PRODUTOS!$J$4:$J$63,MATCH($A1007,PRODUTOS!$B$4:$B$63,0))&lt;&gt;"","NÃO (usa o A+ do EAN "&amp;INDEX(PRODUTOS!$J$4:$J$63,MATCH($A1007,PRODUTOS!$B$4:$B$63,0))&amp;")",IF(AND(INDEX(PRODUTOS!$I$4:$I$63,MATCH($A1007,PRODUTOS!$B$4:$B$63,0))="B",$D1007="AP07"),"NÃO (modelo B)","SIM")))</f>
        <v>SIM</v>
      </c>
      <c r="K1007" s="13" t="s">
        <v>325</v>
      </c>
      <c r="L1007" s="13"/>
    </row>
    <row r="1008" customFormat="false" ht="15" hidden="false" customHeight="false" outlineLevel="0" collapsed="false">
      <c r="A1008" s="15" t="s">
        <v>308</v>
      </c>
      <c r="B1008" s="11" t="str">
        <f aca="false">INDEX(PRODUTOS!$E$4:$E$63,MATCH($A1008,PRODUTOS!$B$4:$B$63,0))</f>
        <v>Tapete Higiênico Natural Dots Super Premium 80 x 60 cm com 7 Unidades</v>
      </c>
      <c r="C1008" s="11" t="str">
        <f aca="false">INDEX(PRODUTOS!$H$4:$H$63,MATCH($A1008,PRODUTOS!$B$4:$B$63,0))</f>
        <v>7 un.</v>
      </c>
      <c r="D1008" s="11" t="s">
        <v>326</v>
      </c>
      <c r="E1008" s="16" t="str">
        <f aca="false">$A1008&amp;"."&amp;$D1008&amp;".jpg"</f>
        <v>7898968541979.PT01.jpg</v>
      </c>
      <c r="F1008" s="11" t="str">
        <f aca="false">IF(INDEX(PRODUTOS!$I$4:$I$63,MATCH($A1008,PRODUTOS!$B$4:$B$63,0))="B",INDEX(MODELOS!$F$3:$F$19,MATCH($D1008,MODELOS!$A$3:$A$19,0)),INDEX(MODELOS!$B$3:$B$19,MATCH($D1008,MODELOS!$A$3:$A$19,0)))</f>
        <v>Galeria · posição 2</v>
      </c>
      <c r="G1008" s="11" t="str">
        <f aca="false">IF(INDEX(PRODUTOS!$F$4:$F$63,MATCH($A1008,PRODUTOS!$B$4:$B$63,0))="Ração",IF(INDEX(PRODUTOS!$I$4:$I$63,MATCH($A1008,PRODUTOS!$B$4:$B$63,0))="B",INDEX(MODELOS!$G$3:$G$19,MATCH($D1008,MODELOS!$A$3:$A$19,0)),INDEX(MODELOS!$C$3:$C$19,MATCH($D1008,MODELOS!$A$3:$A$19,0))),IF(INDEX(PRODUTOS!$I$4:$I$63,MATCH($A1008,PRODUTOS!$B$4:$B$63,0))="B",INDEX(MODELOS!$H$3:$H$19,MATCH($D1008,MODELOS!$A$3:$A$19,0)),INDEX(MODELOS!$D$3:$D$19,MATCH($D1008,MODELOS!$A$3:$A$19,0))))</f>
        <v>Grande diferencial (ex.: natural, biodegradável, perfumado)</v>
      </c>
      <c r="H1008" s="11" t="str">
        <f aca="false">IF(INDEX(PRODUTOS!$I$4:$I$63,MATCH($A1008,PRODUTOS!$B$4:$B$63,0))="B",INDEX(MODELOS!$I$3:$I$19,MATCH($D1008,MODELOS!$A$3:$A$19,0)),INDEX(MODELOS!$E$3:$E$19,MATCH($D1008,MODELOS!$A$3:$A$19,0)))</f>
        <v>2000 × 2000</v>
      </c>
      <c r="I1008" s="11" t="str">
        <f aca="false">INDEX(MODELOS!$J$3:$J$19,MATCH($D1008,MODELOS!$A$3:$A$19,0))</f>
        <v>SIM</v>
      </c>
      <c r="J1008" s="11" t="str">
        <f aca="false">IF(LEFT($D1008,2)&lt;&gt;"AP",IF($I1008="SIM","SIM","RECOMENDADA"),IF(INDEX(PRODUTOS!$J$4:$J$63,MATCH($A1008,PRODUTOS!$B$4:$B$63,0))&lt;&gt;"","NÃO (usa o A+ do EAN "&amp;INDEX(PRODUTOS!$J$4:$J$63,MATCH($A1008,PRODUTOS!$B$4:$B$63,0))&amp;")",IF(AND(INDEX(PRODUTOS!$I$4:$I$63,MATCH($A1008,PRODUTOS!$B$4:$B$63,0))="B",$D1008="AP07"),"NÃO (modelo B)","SIM")))</f>
        <v>SIM</v>
      </c>
      <c r="K1008" s="13" t="s">
        <v>325</v>
      </c>
      <c r="L1008" s="13"/>
    </row>
    <row r="1009" customFormat="false" ht="15" hidden="false" customHeight="false" outlineLevel="0" collapsed="false">
      <c r="A1009" s="15" t="s">
        <v>308</v>
      </c>
      <c r="B1009" s="11" t="str">
        <f aca="false">INDEX(PRODUTOS!$E$4:$E$63,MATCH($A1009,PRODUTOS!$B$4:$B$63,0))</f>
        <v>Tapete Higiênico Natural Dots Super Premium 80 x 60 cm com 7 Unidades</v>
      </c>
      <c r="C1009" s="11" t="str">
        <f aca="false">INDEX(PRODUTOS!$H$4:$H$63,MATCH($A1009,PRODUTOS!$B$4:$B$63,0))</f>
        <v>7 un.</v>
      </c>
      <c r="D1009" s="11" t="s">
        <v>327</v>
      </c>
      <c r="E1009" s="16" t="str">
        <f aca="false">$A1009&amp;"."&amp;$D1009&amp;".jpg"</f>
        <v>7898968541979.PT02.jpg</v>
      </c>
      <c r="F1009" s="11" t="str">
        <f aca="false">IF(INDEX(PRODUTOS!$I$4:$I$63,MATCH($A1009,PRODUTOS!$B$4:$B$63,0))="B",INDEX(MODELOS!$F$3:$F$19,MATCH($D1009,MODELOS!$A$3:$A$19,0)),INDEX(MODELOS!$B$3:$B$19,MATCH($D1009,MODELOS!$A$3:$A$19,0)))</f>
        <v>Galeria · posição 3</v>
      </c>
      <c r="G1009" s="11" t="str">
        <f aca="false">IF(INDEX(PRODUTOS!$F$4:$F$63,MATCH($A1009,PRODUTOS!$B$4:$B$63,0))="Ração",IF(INDEX(PRODUTOS!$I$4:$I$63,MATCH($A1009,PRODUTOS!$B$4:$B$63,0))="B",INDEX(MODELOS!$G$3:$G$19,MATCH($D1009,MODELOS!$A$3:$A$19,0)),INDEX(MODELOS!$C$3:$C$19,MATCH($D1009,MODELOS!$A$3:$A$19,0))),IF(INDEX(PRODUTOS!$I$4:$I$63,MATCH($A1009,PRODUTOS!$B$4:$B$63,0))="B",INDEX(MODELOS!$H$3:$H$19,MATCH($D1009,MODELOS!$A$3:$A$19,0)),INDEX(MODELOS!$D$3:$D$19,MATCH($D1009,MODELOS!$A$3:$A$19,0))))</f>
        <v>Benefícios com ícones (4 a 6, impressos na embalagem)</v>
      </c>
      <c r="H1009" s="11" t="str">
        <f aca="false">IF(INDEX(PRODUTOS!$I$4:$I$63,MATCH($A1009,PRODUTOS!$B$4:$B$63,0))="B",INDEX(MODELOS!$I$3:$I$19,MATCH($D1009,MODELOS!$A$3:$A$19,0)),INDEX(MODELOS!$E$3:$E$19,MATCH($D1009,MODELOS!$A$3:$A$19,0)))</f>
        <v>2000 × 2000</v>
      </c>
      <c r="I1009" s="11" t="str">
        <f aca="false">INDEX(MODELOS!$J$3:$J$19,MATCH($D1009,MODELOS!$A$3:$A$19,0))</f>
        <v>SIM</v>
      </c>
      <c r="J1009" s="11" t="str">
        <f aca="false">IF(LEFT($D1009,2)&lt;&gt;"AP",IF($I1009="SIM","SIM","RECOMENDADA"),IF(INDEX(PRODUTOS!$J$4:$J$63,MATCH($A1009,PRODUTOS!$B$4:$B$63,0))&lt;&gt;"","NÃO (usa o A+ do EAN "&amp;INDEX(PRODUTOS!$J$4:$J$63,MATCH($A1009,PRODUTOS!$B$4:$B$63,0))&amp;")",IF(AND(INDEX(PRODUTOS!$I$4:$I$63,MATCH($A1009,PRODUTOS!$B$4:$B$63,0))="B",$D1009="AP07"),"NÃO (modelo B)","SIM")))</f>
        <v>SIM</v>
      </c>
      <c r="K1009" s="13" t="s">
        <v>325</v>
      </c>
      <c r="L1009" s="13"/>
    </row>
    <row r="1010" customFormat="false" ht="15" hidden="false" customHeight="false" outlineLevel="0" collapsed="false">
      <c r="A1010" s="15" t="s">
        <v>308</v>
      </c>
      <c r="B1010" s="11" t="str">
        <f aca="false">INDEX(PRODUTOS!$E$4:$E$63,MATCH($A1010,PRODUTOS!$B$4:$B$63,0))</f>
        <v>Tapete Higiênico Natural Dots Super Premium 80 x 60 cm com 7 Unidades</v>
      </c>
      <c r="C1010" s="11" t="str">
        <f aca="false">INDEX(PRODUTOS!$H$4:$H$63,MATCH($A1010,PRODUTOS!$B$4:$B$63,0))</f>
        <v>7 un.</v>
      </c>
      <c r="D1010" s="11" t="s">
        <v>328</v>
      </c>
      <c r="E1010" s="16" t="str">
        <f aca="false">$A1010&amp;"."&amp;$D1010&amp;".jpg"</f>
        <v>7898968541979.PT03.jpg</v>
      </c>
      <c r="F1010" s="11" t="str">
        <f aca="false">IF(INDEX(PRODUTOS!$I$4:$I$63,MATCH($A1010,PRODUTOS!$B$4:$B$63,0))="B",INDEX(MODELOS!$F$3:$F$19,MATCH($D1010,MODELOS!$A$3:$A$19,0)),INDEX(MODELOS!$B$3:$B$19,MATCH($D1010,MODELOS!$A$3:$A$19,0)))</f>
        <v>Galeria · posição 4</v>
      </c>
      <c r="G1010" s="11" t="str">
        <f aca="false">IF(INDEX(PRODUTOS!$F$4:$F$63,MATCH($A1010,PRODUTOS!$B$4:$B$63,0))="Ração",IF(INDEX(PRODUTOS!$I$4:$I$63,MATCH($A1010,PRODUTOS!$B$4:$B$63,0))="B",INDEX(MODELOS!$G$3:$G$19,MATCH($D1010,MODELOS!$A$3:$A$19,0)),INDEX(MODELOS!$C$3:$C$19,MATCH($D1010,MODELOS!$A$3:$A$19,0))),IF(INDEX(PRODUTOS!$I$4:$I$63,MATCH($A1010,PRODUTOS!$B$4:$B$63,0))="B",INDEX(MODELOS!$H$3:$H$19,MATCH($D1010,MODELOS!$A$3:$A$19,0)),INDEX(MODELOS!$D$3:$D$19,MATCH($D1010,MODELOS!$A$3:$A$19,0))))</f>
        <v>Detalhe e tamanho real (petisco, grânulo ou tapete aberto), com medidas</v>
      </c>
      <c r="H1010" s="11" t="str">
        <f aca="false">IF(INDEX(PRODUTOS!$I$4:$I$63,MATCH($A1010,PRODUTOS!$B$4:$B$63,0))="B",INDEX(MODELOS!$I$3:$I$19,MATCH($D1010,MODELOS!$A$3:$A$19,0)),INDEX(MODELOS!$E$3:$E$19,MATCH($D1010,MODELOS!$A$3:$A$19,0)))</f>
        <v>2000 × 2000</v>
      </c>
      <c r="I1010" s="11" t="str">
        <f aca="false">INDEX(MODELOS!$J$3:$J$19,MATCH($D1010,MODELOS!$A$3:$A$19,0))</f>
        <v>SIM</v>
      </c>
      <c r="J1010" s="11" t="str">
        <f aca="false">IF(LEFT($D1010,2)&lt;&gt;"AP",IF($I1010="SIM","SIM","RECOMENDADA"),IF(INDEX(PRODUTOS!$J$4:$J$63,MATCH($A1010,PRODUTOS!$B$4:$B$63,0))&lt;&gt;"","NÃO (usa o A+ do EAN "&amp;INDEX(PRODUTOS!$J$4:$J$63,MATCH($A1010,PRODUTOS!$B$4:$B$63,0))&amp;")",IF(AND(INDEX(PRODUTOS!$I$4:$I$63,MATCH($A1010,PRODUTOS!$B$4:$B$63,0))="B",$D1010="AP07"),"NÃO (modelo B)","SIM")))</f>
        <v>SIM</v>
      </c>
      <c r="K1010" s="13" t="s">
        <v>325</v>
      </c>
      <c r="L1010" s="13"/>
    </row>
    <row r="1011" customFormat="false" ht="15" hidden="false" customHeight="false" outlineLevel="0" collapsed="false">
      <c r="A1011" s="15" t="s">
        <v>308</v>
      </c>
      <c r="B1011" s="11" t="str">
        <f aca="false">INDEX(PRODUTOS!$E$4:$E$63,MATCH($A1011,PRODUTOS!$B$4:$B$63,0))</f>
        <v>Tapete Higiênico Natural Dots Super Premium 80 x 60 cm com 7 Unidades</v>
      </c>
      <c r="C1011" s="11" t="str">
        <f aca="false">INDEX(PRODUTOS!$H$4:$H$63,MATCH($A1011,PRODUTOS!$B$4:$B$63,0))</f>
        <v>7 un.</v>
      </c>
      <c r="D1011" s="11" t="s">
        <v>329</v>
      </c>
      <c r="E1011" s="16" t="str">
        <f aca="false">$A1011&amp;"."&amp;$D1011&amp;".jpg"</f>
        <v>7898968541979.PT04.jpg</v>
      </c>
      <c r="F1011" s="11" t="str">
        <f aca="false">IF(INDEX(PRODUTOS!$I$4:$I$63,MATCH($A1011,PRODUTOS!$B$4:$B$63,0))="B",INDEX(MODELOS!$F$3:$F$19,MATCH($D1011,MODELOS!$A$3:$A$19,0)),INDEX(MODELOS!$B$3:$B$19,MATCH($D1011,MODELOS!$A$3:$A$19,0)))</f>
        <v>Galeria · posição 5</v>
      </c>
      <c r="G1011" s="11" t="str">
        <f aca="false">IF(INDEX(PRODUTOS!$F$4:$F$63,MATCH($A1011,PRODUTOS!$B$4:$B$63,0))="Ração",IF(INDEX(PRODUTOS!$I$4:$I$63,MATCH($A1011,PRODUTOS!$B$4:$B$63,0))="B",INDEX(MODELOS!$G$3:$G$19,MATCH($D1011,MODELOS!$A$3:$A$19,0)),INDEX(MODELOS!$C$3:$C$19,MATCH($D1011,MODELOS!$A$3:$A$19,0))),IF(INDEX(PRODUTOS!$I$4:$I$63,MATCH($A1011,PRODUTOS!$B$4:$B$63,0))="B",INDEX(MODELOS!$H$3:$H$19,MATCH($D1011,MODELOS!$A$3:$A$19,0)),INDEX(MODELOS!$D$3:$D$19,MATCH($D1011,MODELOS!$A$3:$A$19,0))))</f>
        <v>Modo de uso (como oferecer o petisco / como usar o produto)</v>
      </c>
      <c r="H1011" s="11" t="str">
        <f aca="false">IF(INDEX(PRODUTOS!$I$4:$I$63,MATCH($A1011,PRODUTOS!$B$4:$B$63,0))="B",INDEX(MODELOS!$I$3:$I$19,MATCH($D1011,MODELOS!$A$3:$A$19,0)),INDEX(MODELOS!$E$3:$E$19,MATCH($D1011,MODELOS!$A$3:$A$19,0)))</f>
        <v>2000 × 2000</v>
      </c>
      <c r="I1011" s="11" t="str">
        <f aca="false">INDEX(MODELOS!$J$3:$J$19,MATCH($D1011,MODELOS!$A$3:$A$19,0))</f>
        <v>SIM</v>
      </c>
      <c r="J1011" s="11" t="str">
        <f aca="false">IF(LEFT($D1011,2)&lt;&gt;"AP",IF($I1011="SIM","SIM","RECOMENDADA"),IF(INDEX(PRODUTOS!$J$4:$J$63,MATCH($A1011,PRODUTOS!$B$4:$B$63,0))&lt;&gt;"","NÃO (usa o A+ do EAN "&amp;INDEX(PRODUTOS!$J$4:$J$63,MATCH($A1011,PRODUTOS!$B$4:$B$63,0))&amp;")",IF(AND(INDEX(PRODUTOS!$I$4:$I$63,MATCH($A1011,PRODUTOS!$B$4:$B$63,0))="B",$D1011="AP07"),"NÃO (modelo B)","SIM")))</f>
        <v>SIM</v>
      </c>
      <c r="K1011" s="13" t="s">
        <v>325</v>
      </c>
      <c r="L1011" s="13"/>
    </row>
    <row r="1012" customFormat="false" ht="15" hidden="false" customHeight="false" outlineLevel="0" collapsed="false">
      <c r="A1012" s="15" t="s">
        <v>308</v>
      </c>
      <c r="B1012" s="11" t="str">
        <f aca="false">INDEX(PRODUTOS!$E$4:$E$63,MATCH($A1012,PRODUTOS!$B$4:$B$63,0))</f>
        <v>Tapete Higiênico Natural Dots Super Premium 80 x 60 cm com 7 Unidades</v>
      </c>
      <c r="C1012" s="11" t="str">
        <f aca="false">INDEX(PRODUTOS!$H$4:$H$63,MATCH($A1012,PRODUTOS!$B$4:$B$63,0))</f>
        <v>7 un.</v>
      </c>
      <c r="D1012" s="11" t="s">
        <v>330</v>
      </c>
      <c r="E1012" s="16" t="str">
        <f aca="false">$A1012&amp;"."&amp;$D1012&amp;".jpg"</f>
        <v>7898968541979.PT05.jpg</v>
      </c>
      <c r="F1012" s="11" t="str">
        <f aca="false">IF(INDEX(PRODUTOS!$I$4:$I$63,MATCH($A1012,PRODUTOS!$B$4:$B$63,0))="B",INDEX(MODELOS!$F$3:$F$19,MATCH($D1012,MODELOS!$A$3:$A$19,0)),INDEX(MODELOS!$B$3:$B$19,MATCH($D1012,MODELOS!$A$3:$A$19,0)))</f>
        <v>Galeria · posição 6</v>
      </c>
      <c r="G1012" s="11" t="str">
        <f aca="false">IF(INDEX(PRODUTOS!$F$4:$F$63,MATCH($A1012,PRODUTOS!$B$4:$B$63,0))="Ração",IF(INDEX(PRODUTOS!$I$4:$I$63,MATCH($A1012,PRODUTOS!$B$4:$B$63,0))="B",INDEX(MODELOS!$G$3:$G$19,MATCH($D1012,MODELOS!$A$3:$A$19,0)),INDEX(MODELOS!$C$3:$C$19,MATCH($D1012,MODELOS!$A$3:$A$19,0))),IF(INDEX(PRODUTOS!$I$4:$I$63,MATCH($A1012,PRODUTOS!$B$4:$B$63,0))="B",INDEX(MODELOS!$H$3:$H$19,MATCH($D1012,MODELOS!$A$3:$A$19,0)),INDEX(MODELOS!$D$3:$D$19,MATCH($D1012,MODELOS!$A$3:$A$19,0))))</f>
        <v>Quantidade por dia ou rendimento do pacote</v>
      </c>
      <c r="H1012" s="11" t="str">
        <f aca="false">IF(INDEX(PRODUTOS!$I$4:$I$63,MATCH($A1012,PRODUTOS!$B$4:$B$63,0))="B",INDEX(MODELOS!$I$3:$I$19,MATCH($D1012,MODELOS!$A$3:$A$19,0)),INDEX(MODELOS!$E$3:$E$19,MATCH($D1012,MODELOS!$A$3:$A$19,0)))</f>
        <v>2000 × 2000</v>
      </c>
      <c r="I1012" s="11" t="str">
        <f aca="false">INDEX(MODELOS!$J$3:$J$19,MATCH($D1012,MODELOS!$A$3:$A$19,0))</f>
        <v>Recomendada</v>
      </c>
      <c r="J1012" s="11" t="str">
        <f aca="false">IF(LEFT($D1012,2)&lt;&gt;"AP",IF($I1012="SIM","SIM","RECOMENDADA"),IF(INDEX(PRODUTOS!$J$4:$J$63,MATCH($A1012,PRODUTOS!$B$4:$B$63,0))&lt;&gt;"","NÃO (usa o A+ do EAN "&amp;INDEX(PRODUTOS!$J$4:$J$63,MATCH($A1012,PRODUTOS!$B$4:$B$63,0))&amp;")",IF(AND(INDEX(PRODUTOS!$I$4:$I$63,MATCH($A1012,PRODUTOS!$B$4:$B$63,0))="B",$D1012="AP07"),"NÃO (modelo B)","SIM")))</f>
        <v>RECOMENDADA</v>
      </c>
      <c r="K1012" s="13" t="s">
        <v>325</v>
      </c>
      <c r="L1012" s="13"/>
    </row>
    <row r="1013" customFormat="false" ht="15" hidden="false" customHeight="false" outlineLevel="0" collapsed="false">
      <c r="A1013" s="15" t="s">
        <v>308</v>
      </c>
      <c r="B1013" s="11" t="str">
        <f aca="false">INDEX(PRODUTOS!$E$4:$E$63,MATCH($A1013,PRODUTOS!$B$4:$B$63,0))</f>
        <v>Tapete Higiênico Natural Dots Super Premium 80 x 60 cm com 7 Unidades</v>
      </c>
      <c r="C1013" s="11" t="str">
        <f aca="false">INDEX(PRODUTOS!$H$4:$H$63,MATCH($A1013,PRODUTOS!$B$4:$B$63,0))</f>
        <v>7 un.</v>
      </c>
      <c r="D1013" s="11" t="s">
        <v>331</v>
      </c>
      <c r="E1013" s="16" t="str">
        <f aca="false">$A1013&amp;"."&amp;$D1013&amp;".jpg"</f>
        <v>7898968541979.PT06.jpg</v>
      </c>
      <c r="F1013" s="11" t="str">
        <f aca="false">IF(INDEX(PRODUTOS!$I$4:$I$63,MATCH($A1013,PRODUTOS!$B$4:$B$63,0))="B",INDEX(MODELOS!$F$3:$F$19,MATCH($D1013,MODELOS!$A$3:$A$19,0)),INDEX(MODELOS!$B$3:$B$19,MATCH($D1013,MODELOS!$A$3:$A$19,0)))</f>
        <v>Galeria · posição 7</v>
      </c>
      <c r="G1013" s="11" t="str">
        <f aca="false">IF(INDEX(PRODUTOS!$F$4:$F$63,MATCH($A1013,PRODUTOS!$B$4:$B$63,0))="Ração",IF(INDEX(PRODUTOS!$I$4:$I$63,MATCH($A1013,PRODUTOS!$B$4:$B$63,0))="B",INDEX(MODELOS!$G$3:$G$19,MATCH($D1013,MODELOS!$A$3:$A$19,0)),INDEX(MODELOS!$C$3:$C$19,MATCH($D1013,MODELOS!$A$3:$A$19,0))),IF(INDEX(PRODUTOS!$I$4:$I$63,MATCH($A1013,PRODUTOS!$B$4:$B$63,0))="B",INDEX(MODELOS!$H$3:$H$19,MATCH($D1013,MODELOS!$A$3:$A$19,0)),INDEX(MODELOS!$D$3:$D$19,MATCH($D1013,MODELOS!$A$3:$A$19,0))))</f>
        <v>Composição/níveis de garantia (petiscos) ou especificações (higiene)</v>
      </c>
      <c r="H1013" s="11" t="str">
        <f aca="false">IF(INDEX(PRODUTOS!$I$4:$I$63,MATCH($A1013,PRODUTOS!$B$4:$B$63,0))="B",INDEX(MODELOS!$I$3:$I$19,MATCH($D1013,MODELOS!$A$3:$A$19,0)),INDEX(MODELOS!$E$3:$E$19,MATCH($D1013,MODELOS!$A$3:$A$19,0)))</f>
        <v>2000 × 2000</v>
      </c>
      <c r="I1013" s="11" t="str">
        <f aca="false">INDEX(MODELOS!$J$3:$J$19,MATCH($D1013,MODELOS!$A$3:$A$19,0))</f>
        <v>SIM</v>
      </c>
      <c r="J1013" s="11" t="str">
        <f aca="false">IF(LEFT($D1013,2)&lt;&gt;"AP",IF($I1013="SIM","SIM","RECOMENDADA"),IF(INDEX(PRODUTOS!$J$4:$J$63,MATCH($A1013,PRODUTOS!$B$4:$B$63,0))&lt;&gt;"","NÃO (usa o A+ do EAN "&amp;INDEX(PRODUTOS!$J$4:$J$63,MATCH($A1013,PRODUTOS!$B$4:$B$63,0))&amp;")",IF(AND(INDEX(PRODUTOS!$I$4:$I$63,MATCH($A1013,PRODUTOS!$B$4:$B$63,0))="B",$D1013="AP07"),"NÃO (modelo B)","SIM")))</f>
        <v>SIM</v>
      </c>
      <c r="K1013" s="13" t="s">
        <v>325</v>
      </c>
      <c r="L1013" s="13"/>
    </row>
    <row r="1014" customFormat="false" ht="15" hidden="false" customHeight="false" outlineLevel="0" collapsed="false">
      <c r="A1014" s="15" t="s">
        <v>308</v>
      </c>
      <c r="B1014" s="11" t="str">
        <f aca="false">INDEX(PRODUTOS!$E$4:$E$63,MATCH($A1014,PRODUTOS!$B$4:$B$63,0))</f>
        <v>Tapete Higiênico Natural Dots Super Premium 80 x 60 cm com 7 Unidades</v>
      </c>
      <c r="C1014" s="11" t="str">
        <f aca="false">INDEX(PRODUTOS!$H$4:$H$63,MATCH($A1014,PRODUTOS!$B$4:$B$63,0))</f>
        <v>7 un.</v>
      </c>
      <c r="D1014" s="11" t="s">
        <v>332</v>
      </c>
      <c r="E1014" s="16" t="str">
        <f aca="false">$A1014&amp;"."&amp;$D1014&amp;".jpg"</f>
        <v>7898968541979.PT07.jpg</v>
      </c>
      <c r="F1014" s="11" t="str">
        <f aca="false">IF(INDEX(PRODUTOS!$I$4:$I$63,MATCH($A1014,PRODUTOS!$B$4:$B$63,0))="B",INDEX(MODELOS!$F$3:$F$19,MATCH($D1014,MODELOS!$A$3:$A$19,0)),INDEX(MODELOS!$B$3:$B$19,MATCH($D1014,MODELOS!$A$3:$A$19,0)))</f>
        <v>Galeria · posição 8</v>
      </c>
      <c r="G1014" s="11" t="str">
        <f aca="false">IF(INDEX(PRODUTOS!$F$4:$F$63,MATCH($A1014,PRODUTOS!$B$4:$B$63,0))="Ração",IF(INDEX(PRODUTOS!$I$4:$I$63,MATCH($A1014,PRODUTOS!$B$4:$B$63,0))="B",INDEX(MODELOS!$G$3:$G$19,MATCH($D1014,MODELOS!$A$3:$A$19,0)),INDEX(MODELOS!$C$3:$C$19,MATCH($D1014,MODELOS!$A$3:$A$19,0))),IF(INDEX(PRODUTOS!$I$4:$I$63,MATCH($A1014,PRODUTOS!$B$4:$B$63,0))="B",INDEX(MODELOS!$H$3:$H$19,MATCH($D1014,MODELOS!$A$3:$A$19,0)),INDEX(MODELOS!$D$3:$D$19,MATCH($D1014,MODELOS!$A$3:$A$19,0))))</f>
        <v>Emocional / momento de uso</v>
      </c>
      <c r="H1014" s="11" t="str">
        <f aca="false">IF(INDEX(PRODUTOS!$I$4:$I$63,MATCH($A1014,PRODUTOS!$B$4:$B$63,0))="B",INDEX(MODELOS!$I$3:$I$19,MATCH($D1014,MODELOS!$A$3:$A$19,0)),INDEX(MODELOS!$E$3:$E$19,MATCH($D1014,MODELOS!$A$3:$A$19,0)))</f>
        <v>2000 × 2000</v>
      </c>
      <c r="I1014" s="11" t="str">
        <f aca="false">INDEX(MODELOS!$J$3:$J$19,MATCH($D1014,MODELOS!$A$3:$A$19,0))</f>
        <v>Recomendada</v>
      </c>
      <c r="J1014" s="11" t="str">
        <f aca="false">IF(LEFT($D1014,2)&lt;&gt;"AP",IF($I1014="SIM","SIM","RECOMENDADA"),IF(INDEX(PRODUTOS!$J$4:$J$63,MATCH($A1014,PRODUTOS!$B$4:$B$63,0))&lt;&gt;"","NÃO (usa o A+ do EAN "&amp;INDEX(PRODUTOS!$J$4:$J$63,MATCH($A1014,PRODUTOS!$B$4:$B$63,0))&amp;")",IF(AND(INDEX(PRODUTOS!$I$4:$I$63,MATCH($A1014,PRODUTOS!$B$4:$B$63,0))="B",$D1014="AP07"),"NÃO (modelo B)","SIM")))</f>
        <v>RECOMENDADA</v>
      </c>
      <c r="K1014" s="13" t="s">
        <v>325</v>
      </c>
      <c r="L1014" s="13"/>
    </row>
    <row r="1015" customFormat="false" ht="15" hidden="false" customHeight="false" outlineLevel="0" collapsed="false">
      <c r="A1015" s="15" t="s">
        <v>308</v>
      </c>
      <c r="B1015" s="11" t="str">
        <f aca="false">INDEX(PRODUTOS!$E$4:$E$63,MATCH($A1015,PRODUTOS!$B$4:$B$63,0))</f>
        <v>Tapete Higiênico Natural Dots Super Premium 80 x 60 cm com 7 Unidades</v>
      </c>
      <c r="C1015" s="11" t="str">
        <f aca="false">INDEX(PRODUTOS!$H$4:$H$63,MATCH($A1015,PRODUTOS!$B$4:$B$63,0))</f>
        <v>7 un.</v>
      </c>
      <c r="D1015" s="11" t="s">
        <v>333</v>
      </c>
      <c r="E1015" s="16" t="str">
        <f aca="false">$A1015&amp;"."&amp;$D1015&amp;".jpg"</f>
        <v>7898968541979.PT08.jpg</v>
      </c>
      <c r="F1015" s="11" t="str">
        <f aca="false">IF(INDEX(PRODUTOS!$I$4:$I$63,MATCH($A1015,PRODUTOS!$B$4:$B$63,0))="B",INDEX(MODELOS!$F$3:$F$19,MATCH($D1015,MODELOS!$A$3:$A$19,0)),INDEX(MODELOS!$B$3:$B$19,MATCH($D1015,MODELOS!$A$3:$A$19,0)))</f>
        <v>Galeria · posição 9</v>
      </c>
      <c r="G1015" s="11" t="str">
        <f aca="false">IF(INDEX(PRODUTOS!$F$4:$F$63,MATCH($A1015,PRODUTOS!$B$4:$B$63,0))="Ração",IF(INDEX(PRODUTOS!$I$4:$I$63,MATCH($A1015,PRODUTOS!$B$4:$B$63,0))="B",INDEX(MODELOS!$G$3:$G$19,MATCH($D1015,MODELOS!$A$3:$A$19,0)),INDEX(MODELOS!$C$3:$C$19,MATCH($D1015,MODELOS!$A$3:$A$19,0))),IF(INDEX(PRODUTOS!$I$4:$I$63,MATCH($A1015,PRODUTOS!$B$4:$B$63,0))="B",INDEX(MODELOS!$H$3:$H$19,MATCH($D1015,MODELOS!$A$3:$A$19,0)),INDEX(MODELOS!$D$3:$D$19,MATCH($D1015,MODELOS!$A$3:$A$19,0))))</f>
        <v>Linha da marca ("conheça também")</v>
      </c>
      <c r="H1015" s="11" t="str">
        <f aca="false">IF(INDEX(PRODUTOS!$I$4:$I$63,MATCH($A1015,PRODUTOS!$B$4:$B$63,0))="B",INDEX(MODELOS!$I$3:$I$19,MATCH($D1015,MODELOS!$A$3:$A$19,0)),INDEX(MODELOS!$E$3:$E$19,MATCH($D1015,MODELOS!$A$3:$A$19,0)))</f>
        <v>2000 × 2000</v>
      </c>
      <c r="I1015" s="11" t="str">
        <f aca="false">INDEX(MODELOS!$J$3:$J$19,MATCH($D1015,MODELOS!$A$3:$A$19,0))</f>
        <v>Recomendada</v>
      </c>
      <c r="J1015" s="11" t="str">
        <f aca="false">IF(LEFT($D1015,2)&lt;&gt;"AP",IF($I1015="SIM","SIM","RECOMENDADA"),IF(INDEX(PRODUTOS!$J$4:$J$63,MATCH($A1015,PRODUTOS!$B$4:$B$63,0))&lt;&gt;"","NÃO (usa o A+ do EAN "&amp;INDEX(PRODUTOS!$J$4:$J$63,MATCH($A1015,PRODUTOS!$B$4:$B$63,0))&amp;")",IF(AND(INDEX(PRODUTOS!$I$4:$I$63,MATCH($A1015,PRODUTOS!$B$4:$B$63,0))="B",$D1015="AP07"),"NÃO (modelo B)","SIM")))</f>
        <v>RECOMENDADA</v>
      </c>
      <c r="K1015" s="13" t="s">
        <v>325</v>
      </c>
      <c r="L1015" s="13"/>
    </row>
    <row r="1016" customFormat="false" ht="15" hidden="false" customHeight="false" outlineLevel="0" collapsed="false">
      <c r="A1016" s="15" t="s">
        <v>308</v>
      </c>
      <c r="B1016" s="11" t="str">
        <f aca="false">INDEX(PRODUTOS!$E$4:$E$63,MATCH($A1016,PRODUTOS!$B$4:$B$63,0))</f>
        <v>Tapete Higiênico Natural Dots Super Premium 80 x 60 cm com 7 Unidades</v>
      </c>
      <c r="C1016" s="11" t="str">
        <f aca="false">INDEX(PRODUTOS!$H$4:$H$63,MATCH($A1016,PRODUTOS!$B$4:$B$63,0))</f>
        <v>7 un.</v>
      </c>
      <c r="D1016" s="11" t="s">
        <v>334</v>
      </c>
      <c r="E1016" s="16" t="str">
        <f aca="false">$A1016&amp;"."&amp;$D1016&amp;".jpg"</f>
        <v>7898968541979.AP01.jpg</v>
      </c>
      <c r="F1016" s="11" t="str">
        <f aca="false">IF(INDEX(PRODUTOS!$I$4:$I$63,MATCH($A1016,PRODUTOS!$B$4:$B$63,0))="B",INDEX(MODELOS!$F$3:$F$19,MATCH($D1016,MODELOS!$A$3:$A$19,0)),INDEX(MODELOS!$B$3:$B$19,MATCH($D1016,MODELOS!$A$3:$A$19,0)))</f>
        <v>A+ · Módulo 1 · Banner</v>
      </c>
      <c r="G1016" s="11" t="str">
        <f aca="false">IF(INDEX(PRODUTOS!$F$4:$F$63,MATCH($A1016,PRODUTOS!$B$4:$B$63,0))="Ração",IF(INDEX(PRODUTOS!$I$4:$I$63,MATCH($A1016,PRODUTOS!$B$4:$B$63,0))="B",INDEX(MODELOS!$G$3:$G$19,MATCH($D1016,MODELOS!$A$3:$A$19,0)),INDEX(MODELOS!$C$3:$C$19,MATCH($D1016,MODELOS!$A$3:$A$19,0))),IF(INDEX(PRODUTOS!$I$4:$I$63,MATCH($A1016,PRODUTOS!$B$4:$B$63,0))="B",INDEX(MODELOS!$H$3:$H$19,MATCH($D1016,MODELOS!$A$3:$A$19,0)),INDEX(MODELOS!$D$3:$D$19,MATCH($D1016,MODELOS!$A$3:$A$19,0))))</f>
        <v>Produto + pet, com o nome da linha</v>
      </c>
      <c r="H1016" s="11" t="str">
        <f aca="false">IF(INDEX(PRODUTOS!$I$4:$I$63,MATCH($A1016,PRODUTOS!$B$4:$B$63,0))="B",INDEX(MODELOS!$I$3:$I$19,MATCH($D1016,MODELOS!$A$3:$A$19,0)),INDEX(MODELOS!$E$3:$E$19,MATCH($D1016,MODELOS!$A$3:$A$19,0)))</f>
        <v>970 × 600</v>
      </c>
      <c r="I1016" s="11" t="str">
        <f aca="false">INDEX(MODELOS!$J$3:$J$19,MATCH($D1016,MODELOS!$A$3:$A$19,0))</f>
        <v>Conforme modelo</v>
      </c>
      <c r="J1016" s="11" t="str">
        <f aca="false">IF(LEFT($D1016,2)&lt;&gt;"AP",IF($I1016="SIM","SIM","RECOMENDADA"),IF(INDEX(PRODUTOS!$J$4:$J$63,MATCH($A1016,PRODUTOS!$B$4:$B$63,0))&lt;&gt;"","NÃO (usa o A+ do EAN "&amp;INDEX(PRODUTOS!$J$4:$J$63,MATCH($A1016,PRODUTOS!$B$4:$B$63,0))&amp;")",IF(AND(INDEX(PRODUTOS!$I$4:$I$63,MATCH($A1016,PRODUTOS!$B$4:$B$63,0))="B",$D1016="AP07"),"NÃO (modelo B)","SIM")))</f>
        <v>SIM</v>
      </c>
      <c r="K1016" s="13" t="s">
        <v>325</v>
      </c>
      <c r="L1016" s="13"/>
    </row>
    <row r="1017" customFormat="false" ht="15" hidden="false" customHeight="false" outlineLevel="0" collapsed="false">
      <c r="A1017" s="15" t="s">
        <v>308</v>
      </c>
      <c r="B1017" s="11" t="str">
        <f aca="false">INDEX(PRODUTOS!$E$4:$E$63,MATCH($A1017,PRODUTOS!$B$4:$B$63,0))</f>
        <v>Tapete Higiênico Natural Dots Super Premium 80 x 60 cm com 7 Unidades</v>
      </c>
      <c r="C1017" s="11" t="str">
        <f aca="false">INDEX(PRODUTOS!$H$4:$H$63,MATCH($A1017,PRODUTOS!$B$4:$B$63,0))</f>
        <v>7 un.</v>
      </c>
      <c r="D1017" s="11" t="s">
        <v>335</v>
      </c>
      <c r="E1017" s="16" t="str">
        <f aca="false">$A1017&amp;"."&amp;$D1017&amp;".jpg"</f>
        <v>7898968541979.AP02.jpg</v>
      </c>
      <c r="F1017" s="11" t="str">
        <f aca="false">IF(INDEX(PRODUTOS!$I$4:$I$63,MATCH($A1017,PRODUTOS!$B$4:$B$63,0))="B",INDEX(MODELOS!$F$3:$F$19,MATCH($D1017,MODELOS!$A$3:$A$19,0)),INDEX(MODELOS!$B$3:$B$19,MATCH($D1017,MODELOS!$A$3:$A$19,0)))</f>
        <v>A+ · Módulo 2 · Texto sobreposto</v>
      </c>
      <c r="G1017" s="11" t="str">
        <f aca="false">IF(INDEX(PRODUTOS!$F$4:$F$63,MATCH($A1017,PRODUTOS!$B$4:$B$63,0))="Ração",IF(INDEX(PRODUTOS!$I$4:$I$63,MATCH($A1017,PRODUTOS!$B$4:$B$63,0))="B",INDEX(MODELOS!$G$3:$G$19,MATCH($D1017,MODELOS!$A$3:$A$19,0)),INDEX(MODELOS!$C$3:$C$19,MATCH($D1017,MODELOS!$A$3:$A$19,0))),IF(INDEX(PRODUTOS!$I$4:$I$63,MATCH($A1017,PRODUTOS!$B$4:$B$63,0))="B",INDEX(MODELOS!$H$3:$H$19,MATCH($D1017,MODELOS!$A$3:$A$19,0)),INDEX(MODELOS!$D$3:$D$19,MATCH($D1017,MODELOS!$A$3:$A$19,0))))</f>
        <v>Principal diferencial; deixar o lado direito limpo</v>
      </c>
      <c r="H1017" s="11" t="str">
        <f aca="false">IF(INDEX(PRODUTOS!$I$4:$I$63,MATCH($A1017,PRODUTOS!$B$4:$B$63,0))="B",INDEX(MODELOS!$I$3:$I$19,MATCH($D1017,MODELOS!$A$3:$A$19,0)),INDEX(MODELOS!$E$3:$E$19,MATCH($D1017,MODELOS!$A$3:$A$19,0)))</f>
        <v>970 × 300</v>
      </c>
      <c r="I1017" s="11" t="str">
        <f aca="false">INDEX(MODELOS!$J$3:$J$19,MATCH($D1017,MODELOS!$A$3:$A$19,0))</f>
        <v>Conforme modelo</v>
      </c>
      <c r="J1017" s="11" t="str">
        <f aca="false">IF(LEFT($D1017,2)&lt;&gt;"AP",IF($I1017="SIM","SIM","RECOMENDADA"),IF(INDEX(PRODUTOS!$J$4:$J$63,MATCH($A1017,PRODUTOS!$B$4:$B$63,0))&lt;&gt;"","NÃO (usa o A+ do EAN "&amp;INDEX(PRODUTOS!$J$4:$J$63,MATCH($A1017,PRODUTOS!$B$4:$B$63,0))&amp;")",IF(AND(INDEX(PRODUTOS!$I$4:$I$63,MATCH($A1017,PRODUTOS!$B$4:$B$63,0))="B",$D1017="AP07"),"NÃO (modelo B)","SIM")))</f>
        <v>SIM</v>
      </c>
      <c r="K1017" s="13" t="s">
        <v>325</v>
      </c>
      <c r="L1017" s="13"/>
    </row>
    <row r="1018" customFormat="false" ht="15" hidden="false" customHeight="false" outlineLevel="0" collapsed="false">
      <c r="A1018" s="15" t="s">
        <v>308</v>
      </c>
      <c r="B1018" s="11" t="str">
        <f aca="false">INDEX(PRODUTOS!$E$4:$E$63,MATCH($A1018,PRODUTOS!$B$4:$B$63,0))</f>
        <v>Tapete Higiênico Natural Dots Super Premium 80 x 60 cm com 7 Unidades</v>
      </c>
      <c r="C1018" s="11" t="str">
        <f aca="false">INDEX(PRODUTOS!$H$4:$H$63,MATCH($A1018,PRODUTOS!$B$4:$B$63,0))</f>
        <v>7 un.</v>
      </c>
      <c r="D1018" s="11" t="s">
        <v>336</v>
      </c>
      <c r="E1018" s="16" t="str">
        <f aca="false">$A1018&amp;"."&amp;$D1018&amp;".jpg"</f>
        <v>7898968541979.AP03.jpg</v>
      </c>
      <c r="F1018" s="11" t="str">
        <f aca="false">IF(INDEX(PRODUTOS!$I$4:$I$63,MATCH($A1018,PRODUTOS!$B$4:$B$63,0))="B",INDEX(MODELOS!$F$3:$F$19,MATCH($D1018,MODELOS!$A$3:$A$19,0)),INDEX(MODELOS!$B$3:$B$19,MATCH($D1018,MODELOS!$A$3:$A$19,0)))</f>
        <v>A+ · Módulo 3 · Benefício 1 de 4</v>
      </c>
      <c r="G1018" s="11" t="str">
        <f aca="false">IF(INDEX(PRODUTOS!$F$4:$F$63,MATCH($A1018,PRODUTOS!$B$4:$B$63,0))="Ração",IF(INDEX(PRODUTOS!$I$4:$I$63,MATCH($A1018,PRODUTOS!$B$4:$B$63,0))="B",INDEX(MODELOS!$G$3:$G$19,MATCH($D1018,MODELOS!$A$3:$A$19,0)),INDEX(MODELOS!$C$3:$C$19,MATCH($D1018,MODELOS!$A$3:$A$19,0))),IF(INDEX(PRODUTOS!$I$4:$I$63,MATCH($A1018,PRODUTOS!$B$4:$B$63,0))="B",INDEX(MODELOS!$H$3:$H$19,MATCH($D1018,MODELOS!$A$3:$A$19,0)),INDEX(MODELOS!$D$3:$D$19,MATCH($D1018,MODELOS!$A$3:$A$19,0))))</f>
        <v>Foto/ilustração do benefício 1</v>
      </c>
      <c r="H1018" s="11" t="str">
        <f aca="false">IF(INDEX(PRODUTOS!$I$4:$I$63,MATCH($A1018,PRODUTOS!$B$4:$B$63,0))="B",INDEX(MODELOS!$I$3:$I$19,MATCH($D1018,MODELOS!$A$3:$A$19,0)),INDEX(MODELOS!$E$3:$E$19,MATCH($D1018,MODELOS!$A$3:$A$19,0)))</f>
        <v>220 × 200</v>
      </c>
      <c r="I1018" s="11" t="str">
        <f aca="false">INDEX(MODELOS!$J$3:$J$19,MATCH($D1018,MODELOS!$A$3:$A$19,0))</f>
        <v>Conforme modelo</v>
      </c>
      <c r="J1018" s="11" t="str">
        <f aca="false">IF(LEFT($D1018,2)&lt;&gt;"AP",IF($I1018="SIM","SIM","RECOMENDADA"),IF(INDEX(PRODUTOS!$J$4:$J$63,MATCH($A1018,PRODUTOS!$B$4:$B$63,0))&lt;&gt;"","NÃO (usa o A+ do EAN "&amp;INDEX(PRODUTOS!$J$4:$J$63,MATCH($A1018,PRODUTOS!$B$4:$B$63,0))&amp;")",IF(AND(INDEX(PRODUTOS!$I$4:$I$63,MATCH($A1018,PRODUTOS!$B$4:$B$63,0))="B",$D1018="AP07"),"NÃO (modelo B)","SIM")))</f>
        <v>SIM</v>
      </c>
      <c r="K1018" s="13" t="s">
        <v>325</v>
      </c>
      <c r="L1018" s="13"/>
    </row>
    <row r="1019" customFormat="false" ht="15" hidden="false" customHeight="false" outlineLevel="0" collapsed="false">
      <c r="A1019" s="15" t="s">
        <v>308</v>
      </c>
      <c r="B1019" s="11" t="str">
        <f aca="false">INDEX(PRODUTOS!$E$4:$E$63,MATCH($A1019,PRODUTOS!$B$4:$B$63,0))</f>
        <v>Tapete Higiênico Natural Dots Super Premium 80 x 60 cm com 7 Unidades</v>
      </c>
      <c r="C1019" s="11" t="str">
        <f aca="false">INDEX(PRODUTOS!$H$4:$H$63,MATCH($A1019,PRODUTOS!$B$4:$B$63,0))</f>
        <v>7 un.</v>
      </c>
      <c r="D1019" s="11" t="s">
        <v>337</v>
      </c>
      <c r="E1019" s="16" t="str">
        <f aca="false">$A1019&amp;"."&amp;$D1019&amp;".jpg"</f>
        <v>7898968541979.AP04.jpg</v>
      </c>
      <c r="F1019" s="11" t="str">
        <f aca="false">IF(INDEX(PRODUTOS!$I$4:$I$63,MATCH($A1019,PRODUTOS!$B$4:$B$63,0))="B",INDEX(MODELOS!$F$3:$F$19,MATCH($D1019,MODELOS!$A$3:$A$19,0)),INDEX(MODELOS!$B$3:$B$19,MATCH($D1019,MODELOS!$A$3:$A$19,0)))</f>
        <v>A+ · Módulo 3 · Benefício 2 de 4</v>
      </c>
      <c r="G1019" s="11" t="str">
        <f aca="false">IF(INDEX(PRODUTOS!$F$4:$F$63,MATCH($A1019,PRODUTOS!$B$4:$B$63,0))="Ração",IF(INDEX(PRODUTOS!$I$4:$I$63,MATCH($A1019,PRODUTOS!$B$4:$B$63,0))="B",INDEX(MODELOS!$G$3:$G$19,MATCH($D1019,MODELOS!$A$3:$A$19,0)),INDEX(MODELOS!$C$3:$C$19,MATCH($D1019,MODELOS!$A$3:$A$19,0))),IF(INDEX(PRODUTOS!$I$4:$I$63,MATCH($A1019,PRODUTOS!$B$4:$B$63,0))="B",INDEX(MODELOS!$H$3:$H$19,MATCH($D1019,MODELOS!$A$3:$A$19,0)),INDEX(MODELOS!$D$3:$D$19,MATCH($D1019,MODELOS!$A$3:$A$19,0))))</f>
        <v>Foto/ilustração do benefício 2</v>
      </c>
      <c r="H1019" s="11" t="str">
        <f aca="false">IF(INDEX(PRODUTOS!$I$4:$I$63,MATCH($A1019,PRODUTOS!$B$4:$B$63,0))="B",INDEX(MODELOS!$I$3:$I$19,MATCH($D1019,MODELOS!$A$3:$A$19,0)),INDEX(MODELOS!$E$3:$E$19,MATCH($D1019,MODELOS!$A$3:$A$19,0)))</f>
        <v>220 × 200</v>
      </c>
      <c r="I1019" s="11" t="str">
        <f aca="false">INDEX(MODELOS!$J$3:$J$19,MATCH($D1019,MODELOS!$A$3:$A$19,0))</f>
        <v>Conforme modelo</v>
      </c>
      <c r="J1019" s="11" t="str">
        <f aca="false">IF(LEFT($D1019,2)&lt;&gt;"AP",IF($I1019="SIM","SIM","RECOMENDADA"),IF(INDEX(PRODUTOS!$J$4:$J$63,MATCH($A1019,PRODUTOS!$B$4:$B$63,0))&lt;&gt;"","NÃO (usa o A+ do EAN "&amp;INDEX(PRODUTOS!$J$4:$J$63,MATCH($A1019,PRODUTOS!$B$4:$B$63,0))&amp;")",IF(AND(INDEX(PRODUTOS!$I$4:$I$63,MATCH($A1019,PRODUTOS!$B$4:$B$63,0))="B",$D1019="AP07"),"NÃO (modelo B)","SIM")))</f>
        <v>SIM</v>
      </c>
      <c r="K1019" s="13" t="s">
        <v>325</v>
      </c>
      <c r="L1019" s="13"/>
    </row>
    <row r="1020" customFormat="false" ht="15" hidden="false" customHeight="false" outlineLevel="0" collapsed="false">
      <c r="A1020" s="15" t="s">
        <v>308</v>
      </c>
      <c r="B1020" s="11" t="str">
        <f aca="false">INDEX(PRODUTOS!$E$4:$E$63,MATCH($A1020,PRODUTOS!$B$4:$B$63,0))</f>
        <v>Tapete Higiênico Natural Dots Super Premium 80 x 60 cm com 7 Unidades</v>
      </c>
      <c r="C1020" s="11" t="str">
        <f aca="false">INDEX(PRODUTOS!$H$4:$H$63,MATCH($A1020,PRODUTOS!$B$4:$B$63,0))</f>
        <v>7 un.</v>
      </c>
      <c r="D1020" s="11" t="s">
        <v>338</v>
      </c>
      <c r="E1020" s="16" t="str">
        <f aca="false">$A1020&amp;"."&amp;$D1020&amp;".jpg"</f>
        <v>7898968541979.AP05.jpg</v>
      </c>
      <c r="F1020" s="11" t="str">
        <f aca="false">IF(INDEX(PRODUTOS!$I$4:$I$63,MATCH($A1020,PRODUTOS!$B$4:$B$63,0))="B",INDEX(MODELOS!$F$3:$F$19,MATCH($D1020,MODELOS!$A$3:$A$19,0)),INDEX(MODELOS!$B$3:$B$19,MATCH($D1020,MODELOS!$A$3:$A$19,0)))</f>
        <v>A+ · Módulo 3 · Benefício 3 de 4</v>
      </c>
      <c r="G1020" s="11" t="str">
        <f aca="false">IF(INDEX(PRODUTOS!$F$4:$F$63,MATCH($A1020,PRODUTOS!$B$4:$B$63,0))="Ração",IF(INDEX(PRODUTOS!$I$4:$I$63,MATCH($A1020,PRODUTOS!$B$4:$B$63,0))="B",INDEX(MODELOS!$G$3:$G$19,MATCH($D1020,MODELOS!$A$3:$A$19,0)),INDEX(MODELOS!$C$3:$C$19,MATCH($D1020,MODELOS!$A$3:$A$19,0))),IF(INDEX(PRODUTOS!$I$4:$I$63,MATCH($A1020,PRODUTOS!$B$4:$B$63,0))="B",INDEX(MODELOS!$H$3:$H$19,MATCH($D1020,MODELOS!$A$3:$A$19,0)),INDEX(MODELOS!$D$3:$D$19,MATCH($D1020,MODELOS!$A$3:$A$19,0))))</f>
        <v>Foto/ilustração do benefício 3</v>
      </c>
      <c r="H1020" s="11" t="str">
        <f aca="false">IF(INDEX(PRODUTOS!$I$4:$I$63,MATCH($A1020,PRODUTOS!$B$4:$B$63,0))="B",INDEX(MODELOS!$I$3:$I$19,MATCH($D1020,MODELOS!$A$3:$A$19,0)),INDEX(MODELOS!$E$3:$E$19,MATCH($D1020,MODELOS!$A$3:$A$19,0)))</f>
        <v>220 × 200</v>
      </c>
      <c r="I1020" s="11" t="str">
        <f aca="false">INDEX(MODELOS!$J$3:$J$19,MATCH($D1020,MODELOS!$A$3:$A$19,0))</f>
        <v>Conforme modelo</v>
      </c>
      <c r="J1020" s="11" t="str">
        <f aca="false">IF(LEFT($D1020,2)&lt;&gt;"AP",IF($I1020="SIM","SIM","RECOMENDADA"),IF(INDEX(PRODUTOS!$J$4:$J$63,MATCH($A1020,PRODUTOS!$B$4:$B$63,0))&lt;&gt;"","NÃO (usa o A+ do EAN "&amp;INDEX(PRODUTOS!$J$4:$J$63,MATCH($A1020,PRODUTOS!$B$4:$B$63,0))&amp;")",IF(AND(INDEX(PRODUTOS!$I$4:$I$63,MATCH($A1020,PRODUTOS!$B$4:$B$63,0))="B",$D1020="AP07"),"NÃO (modelo B)","SIM")))</f>
        <v>SIM</v>
      </c>
      <c r="K1020" s="13" t="s">
        <v>325</v>
      </c>
      <c r="L1020" s="13"/>
    </row>
    <row r="1021" customFormat="false" ht="15" hidden="false" customHeight="false" outlineLevel="0" collapsed="false">
      <c r="A1021" s="15" t="s">
        <v>308</v>
      </c>
      <c r="B1021" s="11" t="str">
        <f aca="false">INDEX(PRODUTOS!$E$4:$E$63,MATCH($A1021,PRODUTOS!$B$4:$B$63,0))</f>
        <v>Tapete Higiênico Natural Dots Super Premium 80 x 60 cm com 7 Unidades</v>
      </c>
      <c r="C1021" s="11" t="str">
        <f aca="false">INDEX(PRODUTOS!$H$4:$H$63,MATCH($A1021,PRODUTOS!$B$4:$B$63,0))</f>
        <v>7 un.</v>
      </c>
      <c r="D1021" s="11" t="s">
        <v>339</v>
      </c>
      <c r="E1021" s="16" t="str">
        <f aca="false">$A1021&amp;"."&amp;$D1021&amp;".jpg"</f>
        <v>7898968541979.AP06.jpg</v>
      </c>
      <c r="F1021" s="11" t="str">
        <f aca="false">IF(INDEX(PRODUTOS!$I$4:$I$63,MATCH($A1021,PRODUTOS!$B$4:$B$63,0))="B",INDEX(MODELOS!$F$3:$F$19,MATCH($D1021,MODELOS!$A$3:$A$19,0)),INDEX(MODELOS!$B$3:$B$19,MATCH($D1021,MODELOS!$A$3:$A$19,0)))</f>
        <v>A+ · Módulo 3 · Benefício 4 de 4</v>
      </c>
      <c r="G1021" s="11" t="str">
        <f aca="false">IF(INDEX(PRODUTOS!$F$4:$F$63,MATCH($A1021,PRODUTOS!$B$4:$B$63,0))="Ração",IF(INDEX(PRODUTOS!$I$4:$I$63,MATCH($A1021,PRODUTOS!$B$4:$B$63,0))="B",INDEX(MODELOS!$G$3:$G$19,MATCH($D1021,MODELOS!$A$3:$A$19,0)),INDEX(MODELOS!$C$3:$C$19,MATCH($D1021,MODELOS!$A$3:$A$19,0))),IF(INDEX(PRODUTOS!$I$4:$I$63,MATCH($A1021,PRODUTOS!$B$4:$B$63,0))="B",INDEX(MODELOS!$H$3:$H$19,MATCH($D1021,MODELOS!$A$3:$A$19,0)),INDEX(MODELOS!$D$3:$D$19,MATCH($D1021,MODELOS!$A$3:$A$19,0))))</f>
        <v>Foto/ilustração do benefício 4</v>
      </c>
      <c r="H1021" s="11" t="str">
        <f aca="false">IF(INDEX(PRODUTOS!$I$4:$I$63,MATCH($A1021,PRODUTOS!$B$4:$B$63,0))="B",INDEX(MODELOS!$I$3:$I$19,MATCH($D1021,MODELOS!$A$3:$A$19,0)),INDEX(MODELOS!$E$3:$E$19,MATCH($D1021,MODELOS!$A$3:$A$19,0)))</f>
        <v>220 × 200</v>
      </c>
      <c r="I1021" s="11" t="str">
        <f aca="false">INDEX(MODELOS!$J$3:$J$19,MATCH($D1021,MODELOS!$A$3:$A$19,0))</f>
        <v>Conforme modelo</v>
      </c>
      <c r="J1021" s="11" t="str">
        <f aca="false">IF(LEFT($D1021,2)&lt;&gt;"AP",IF($I1021="SIM","SIM","RECOMENDADA"),IF(INDEX(PRODUTOS!$J$4:$J$63,MATCH($A1021,PRODUTOS!$B$4:$B$63,0))&lt;&gt;"","NÃO (usa o A+ do EAN "&amp;INDEX(PRODUTOS!$J$4:$J$63,MATCH($A1021,PRODUTOS!$B$4:$B$63,0))&amp;")",IF(AND(INDEX(PRODUTOS!$I$4:$I$63,MATCH($A1021,PRODUTOS!$B$4:$B$63,0))="B",$D1021="AP07"),"NÃO (modelo B)","SIM")))</f>
        <v>SIM</v>
      </c>
      <c r="K1021" s="13" t="s">
        <v>325</v>
      </c>
      <c r="L1021" s="13"/>
    </row>
    <row r="1022" customFormat="false" ht="15" hidden="false" customHeight="false" outlineLevel="0" collapsed="false">
      <c r="A1022" s="15" t="s">
        <v>308</v>
      </c>
      <c r="B1022" s="11" t="str">
        <f aca="false">INDEX(PRODUTOS!$E$4:$E$63,MATCH($A1022,PRODUTOS!$B$4:$B$63,0))</f>
        <v>Tapete Higiênico Natural Dots Super Premium 80 x 60 cm com 7 Unidades</v>
      </c>
      <c r="C1022" s="11" t="str">
        <f aca="false">INDEX(PRODUTOS!$H$4:$H$63,MATCH($A1022,PRODUTOS!$B$4:$B$63,0))</f>
        <v>7 un.</v>
      </c>
      <c r="D1022" s="11" t="s">
        <v>340</v>
      </c>
      <c r="E1022" s="16" t="str">
        <f aca="false">$A1022&amp;"."&amp;$D1022&amp;".jpg"</f>
        <v>7898968541979.AP07.jpg</v>
      </c>
      <c r="F1022" s="11" t="str">
        <f aca="false">IF(INDEX(PRODUTOS!$I$4:$I$63,MATCH($A1022,PRODUTOS!$B$4:$B$63,0))="B",INDEX(MODELOS!$F$3:$F$19,MATCH($D1022,MODELOS!$A$3:$A$19,0)),INDEX(MODELOS!$B$3:$B$19,MATCH($D1022,MODELOS!$A$3:$A$19,0)))</f>
        <v>A+ · Módulo 4 · Especificações</v>
      </c>
      <c r="G1022" s="11" t="str">
        <f aca="false">IF(INDEX(PRODUTOS!$F$4:$F$63,MATCH($A1022,PRODUTOS!$B$4:$B$63,0))="Ração",IF(INDEX(PRODUTOS!$I$4:$I$63,MATCH($A1022,PRODUTOS!$B$4:$B$63,0))="B",INDEX(MODELOS!$G$3:$G$19,MATCH($D1022,MODELOS!$A$3:$A$19,0)),INDEX(MODELOS!$C$3:$C$19,MATCH($D1022,MODELOS!$A$3:$A$19,0))),IF(INDEX(PRODUTOS!$I$4:$I$63,MATCH($A1022,PRODUTOS!$B$4:$B$63,0))="B",INDEX(MODELOS!$H$3:$H$19,MATCH($D1022,MODELOS!$A$3:$A$19,0)),INDEX(MODELOS!$D$3:$D$19,MATCH($D1022,MODELOS!$A$3:$A$19,0))))</f>
        <v>Produto em destaque</v>
      </c>
      <c r="H1022" s="11" t="str">
        <f aca="false">IF(INDEX(PRODUTOS!$I$4:$I$63,MATCH($A1022,PRODUTOS!$B$4:$B$63,0))="B",INDEX(MODELOS!$I$3:$I$19,MATCH($D1022,MODELOS!$A$3:$A$19,0)),INDEX(MODELOS!$E$3:$E$19,MATCH($D1022,MODELOS!$A$3:$A$19,0)))</f>
        <v>300 × 300</v>
      </c>
      <c r="I1022" s="11" t="str">
        <f aca="false">INDEX(MODELOS!$J$3:$J$19,MATCH($D1022,MODELOS!$A$3:$A$19,0))</f>
        <v>Conforme modelo</v>
      </c>
      <c r="J1022" s="11" t="str">
        <f aca="false">IF(LEFT($D1022,2)&lt;&gt;"AP",IF($I1022="SIM","SIM","RECOMENDADA"),IF(INDEX(PRODUTOS!$J$4:$J$63,MATCH($A1022,PRODUTOS!$B$4:$B$63,0))&lt;&gt;"","NÃO (usa o A+ do EAN "&amp;INDEX(PRODUTOS!$J$4:$J$63,MATCH($A1022,PRODUTOS!$B$4:$B$63,0))&amp;")",IF(AND(INDEX(PRODUTOS!$I$4:$I$63,MATCH($A1022,PRODUTOS!$B$4:$B$63,0))="B",$D1022="AP07"),"NÃO (modelo B)","SIM")))</f>
        <v>SIM</v>
      </c>
      <c r="K1022" s="13" t="s">
        <v>325</v>
      </c>
      <c r="L1022" s="13"/>
    </row>
    <row r="1023" customFormat="false" ht="15" hidden="false" customHeight="false" outlineLevel="0" collapsed="false">
      <c r="A1023" s="15" t="s">
        <v>308</v>
      </c>
      <c r="B1023" s="11" t="str">
        <f aca="false">INDEX(PRODUTOS!$E$4:$E$63,MATCH($A1023,PRODUTOS!$B$4:$B$63,0))</f>
        <v>Tapete Higiênico Natural Dots Super Premium 80 x 60 cm com 7 Unidades</v>
      </c>
      <c r="C1023" s="11" t="str">
        <f aca="false">INDEX(PRODUTOS!$H$4:$H$63,MATCH($A1023,PRODUTOS!$B$4:$B$63,0))</f>
        <v>7 un.</v>
      </c>
      <c r="D1023" s="11" t="s">
        <v>341</v>
      </c>
      <c r="E1023" s="16" t="str">
        <f aca="false">$A1023&amp;"."&amp;$D1023&amp;".jpg"</f>
        <v>7898968541979.COMP.jpg</v>
      </c>
      <c r="F1023" s="11" t="str">
        <f aca="false">IF(INDEX(PRODUTOS!$I$4:$I$63,MATCH($A1023,PRODUTOS!$B$4:$B$63,0))="B",INDEX(MODELOS!$F$3:$F$19,MATCH($D1023,MODELOS!$A$3:$A$19,0)),INDEX(MODELOS!$B$3:$B$19,MATCH($D1023,MODELOS!$A$3:$A$19,0)))</f>
        <v>A+ · Tabela comparativa</v>
      </c>
      <c r="G1023" s="11" t="str">
        <f aca="false">IF(INDEX(PRODUTOS!$F$4:$F$63,MATCH($A1023,PRODUTOS!$B$4:$B$63,0))="Ração",IF(INDEX(PRODUTOS!$I$4:$I$63,MATCH($A1023,PRODUTOS!$B$4:$B$63,0))="B",INDEX(MODELOS!$G$3:$G$19,MATCH($D1023,MODELOS!$A$3:$A$19,0)),INDEX(MODELOS!$C$3:$C$19,MATCH($D1023,MODELOS!$A$3:$A$19,0))),IF(INDEX(PRODUTOS!$I$4:$I$63,MATCH($A1023,PRODUTOS!$B$4:$B$63,0))="B",INDEX(MODELOS!$H$3:$H$19,MATCH($D1023,MODELOS!$A$3:$A$19,0)),INDEX(MODELOS!$D$3:$D$19,MATCH($D1023,MODELOS!$A$3:$A$19,0))))</f>
        <v>Produto na vertical, sem fundo colorido</v>
      </c>
      <c r="H1023" s="11" t="str">
        <f aca="false">IF(INDEX(PRODUTOS!$I$4:$I$63,MATCH($A1023,PRODUTOS!$B$4:$B$63,0))="B",INDEX(MODELOS!$I$3:$I$19,MATCH($D1023,MODELOS!$A$3:$A$19,0)),INDEX(MODELOS!$E$3:$E$19,MATCH($D1023,MODELOS!$A$3:$A$19,0)))</f>
        <v>150 × 300</v>
      </c>
      <c r="I1023" s="11" t="str">
        <f aca="false">INDEX(MODELOS!$J$3:$J$19,MATCH($D1023,MODELOS!$A$3:$A$19,0))</f>
        <v>SIM</v>
      </c>
      <c r="J1023" s="11" t="str">
        <f aca="false">IF(LEFT($D1023,2)&lt;&gt;"AP",IF($I1023="SIM","SIM","RECOMENDADA"),IF(INDEX(PRODUTOS!$J$4:$J$63,MATCH($A1023,PRODUTOS!$B$4:$B$63,0))&lt;&gt;"","NÃO (usa o A+ do EAN "&amp;INDEX(PRODUTOS!$J$4:$J$63,MATCH($A1023,PRODUTOS!$B$4:$B$63,0))&amp;")",IF(AND(INDEX(PRODUTOS!$I$4:$I$63,MATCH($A1023,PRODUTOS!$B$4:$B$63,0))="B",$D1023="AP07"),"NÃO (modelo B)","SIM")))</f>
        <v>SIM</v>
      </c>
      <c r="K1023" s="13" t="s">
        <v>325</v>
      </c>
      <c r="L1023" s="13"/>
    </row>
  </sheetData>
  <autoFilter ref="A3:L1023"/>
  <conditionalFormatting sqref="A4:L1023">
    <cfRule type="expression" priority="2" aboveAverage="0" equalAverage="0" bottom="0" percent="0" rank="0" text="" dxfId="10">
      <formula>LEFT($J4,3)="NÃO"</formula>
    </cfRule>
  </conditionalFormatting>
  <conditionalFormatting sqref="K4:K1023">
    <cfRule type="expression" priority="3" aboveAverage="0" equalAverage="0" bottom="0" percent="0" rank="0" text="" dxfId="11">
      <formula>$K4="Na pasta"</formula>
    </cfRule>
  </conditionalFormatting>
  <dataValidations count="1">
    <dataValidation allowBlank="false" errorStyle="stop" operator="between" showDropDown="false" showErrorMessage="false" showInputMessage="false" sqref="K4:K1023" type="list">
      <formula1>"Pendente,Na pasta"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4" min="3" style="0" width="52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8" min="7" style="0" width="40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17" t="s">
        <v>342</v>
      </c>
    </row>
    <row r="2" customFormat="false" ht="30" hidden="false" customHeight="true" outlineLevel="0" collapsed="false">
      <c r="A2" s="10" t="s">
        <v>316</v>
      </c>
      <c r="B2" s="10" t="s">
        <v>343</v>
      </c>
      <c r="C2" s="10" t="s">
        <v>344</v>
      </c>
      <c r="D2" s="10" t="s">
        <v>345</v>
      </c>
      <c r="E2" s="10" t="s">
        <v>346</v>
      </c>
      <c r="F2" s="10" t="s">
        <v>347</v>
      </c>
      <c r="G2" s="10" t="s">
        <v>348</v>
      </c>
      <c r="H2" s="10" t="s">
        <v>349</v>
      </c>
      <c r="I2" s="10" t="s">
        <v>350</v>
      </c>
      <c r="J2" s="10" t="s">
        <v>321</v>
      </c>
    </row>
    <row r="3" customFormat="false" ht="22.35" hidden="false" customHeight="false" outlineLevel="0" collapsed="false">
      <c r="A3" s="11" t="s">
        <v>324</v>
      </c>
      <c r="B3" s="18" t="s">
        <v>351</v>
      </c>
      <c r="C3" s="18" t="s">
        <v>352</v>
      </c>
      <c r="D3" s="18" t="s">
        <v>352</v>
      </c>
      <c r="E3" s="18" t="s">
        <v>353</v>
      </c>
      <c r="F3" s="18" t="s">
        <v>351</v>
      </c>
      <c r="G3" s="18" t="s">
        <v>352</v>
      </c>
      <c r="H3" s="18" t="s">
        <v>352</v>
      </c>
      <c r="I3" s="11" t="s">
        <v>353</v>
      </c>
      <c r="J3" s="11" t="s">
        <v>354</v>
      </c>
    </row>
    <row r="4" customFormat="false" ht="22.35" hidden="false" customHeight="false" outlineLevel="0" collapsed="false">
      <c r="A4" s="11" t="s">
        <v>326</v>
      </c>
      <c r="B4" s="18" t="s">
        <v>355</v>
      </c>
      <c r="C4" s="18" t="s">
        <v>356</v>
      </c>
      <c r="D4" s="18" t="s">
        <v>357</v>
      </c>
      <c r="E4" s="18" t="s">
        <v>353</v>
      </c>
      <c r="F4" s="18" t="s">
        <v>355</v>
      </c>
      <c r="G4" s="18" t="s">
        <v>356</v>
      </c>
      <c r="H4" s="18" t="s">
        <v>357</v>
      </c>
      <c r="I4" s="11" t="s">
        <v>353</v>
      </c>
      <c r="J4" s="11" t="s">
        <v>354</v>
      </c>
    </row>
    <row r="5" customFormat="false" ht="22.35" hidden="false" customHeight="false" outlineLevel="0" collapsed="false">
      <c r="A5" s="11" t="s">
        <v>327</v>
      </c>
      <c r="B5" s="18" t="s">
        <v>358</v>
      </c>
      <c r="C5" s="18" t="s">
        <v>359</v>
      </c>
      <c r="D5" s="18" t="s">
        <v>360</v>
      </c>
      <c r="E5" s="18" t="s">
        <v>353</v>
      </c>
      <c r="F5" s="18" t="s">
        <v>358</v>
      </c>
      <c r="G5" s="18" t="s">
        <v>359</v>
      </c>
      <c r="H5" s="18" t="s">
        <v>360</v>
      </c>
      <c r="I5" s="11" t="s">
        <v>353</v>
      </c>
      <c r="J5" s="11" t="s">
        <v>354</v>
      </c>
    </row>
    <row r="6" customFormat="false" ht="22.35" hidden="false" customHeight="false" outlineLevel="0" collapsed="false">
      <c r="A6" s="11" t="s">
        <v>328</v>
      </c>
      <c r="B6" s="18" t="s">
        <v>361</v>
      </c>
      <c r="C6" s="18" t="s">
        <v>362</v>
      </c>
      <c r="D6" s="18" t="s">
        <v>363</v>
      </c>
      <c r="E6" s="18" t="s">
        <v>353</v>
      </c>
      <c r="F6" s="18" t="s">
        <v>361</v>
      </c>
      <c r="G6" s="18" t="s">
        <v>362</v>
      </c>
      <c r="H6" s="18" t="s">
        <v>363</v>
      </c>
      <c r="I6" s="11" t="s">
        <v>353</v>
      </c>
      <c r="J6" s="11" t="s">
        <v>354</v>
      </c>
    </row>
    <row r="7" customFormat="false" ht="22.35" hidden="false" customHeight="false" outlineLevel="0" collapsed="false">
      <c r="A7" s="11" t="s">
        <v>329</v>
      </c>
      <c r="B7" s="18" t="s">
        <v>364</v>
      </c>
      <c r="C7" s="18" t="s">
        <v>365</v>
      </c>
      <c r="D7" s="18" t="s">
        <v>366</v>
      </c>
      <c r="E7" s="18" t="s">
        <v>353</v>
      </c>
      <c r="F7" s="18" t="s">
        <v>364</v>
      </c>
      <c r="G7" s="18" t="s">
        <v>365</v>
      </c>
      <c r="H7" s="18" t="s">
        <v>366</v>
      </c>
      <c r="I7" s="11" t="s">
        <v>353</v>
      </c>
      <c r="J7" s="11" t="s">
        <v>354</v>
      </c>
    </row>
    <row r="8" customFormat="false" ht="22.35" hidden="false" customHeight="false" outlineLevel="0" collapsed="false">
      <c r="A8" s="11" t="s">
        <v>330</v>
      </c>
      <c r="B8" s="18" t="s">
        <v>367</v>
      </c>
      <c r="C8" s="18" t="s">
        <v>368</v>
      </c>
      <c r="D8" s="18" t="s">
        <v>369</v>
      </c>
      <c r="E8" s="18" t="s">
        <v>353</v>
      </c>
      <c r="F8" s="18" t="s">
        <v>367</v>
      </c>
      <c r="G8" s="18" t="s">
        <v>368</v>
      </c>
      <c r="H8" s="18" t="s">
        <v>369</v>
      </c>
      <c r="I8" s="11" t="s">
        <v>353</v>
      </c>
      <c r="J8" s="11" t="s">
        <v>370</v>
      </c>
    </row>
    <row r="9" customFormat="false" ht="22.35" hidden="false" customHeight="false" outlineLevel="0" collapsed="false">
      <c r="A9" s="11" t="s">
        <v>331</v>
      </c>
      <c r="B9" s="18" t="s">
        <v>371</v>
      </c>
      <c r="C9" s="18" t="s">
        <v>372</v>
      </c>
      <c r="D9" s="18" t="s">
        <v>373</v>
      </c>
      <c r="E9" s="18" t="s">
        <v>353</v>
      </c>
      <c r="F9" s="18" t="s">
        <v>371</v>
      </c>
      <c r="G9" s="18" t="s">
        <v>372</v>
      </c>
      <c r="H9" s="18" t="s">
        <v>373</v>
      </c>
      <c r="I9" s="11" t="s">
        <v>353</v>
      </c>
      <c r="J9" s="11" t="s">
        <v>354</v>
      </c>
    </row>
    <row r="10" customFormat="false" ht="22.35" hidden="false" customHeight="false" outlineLevel="0" collapsed="false">
      <c r="A10" s="11" t="s">
        <v>332</v>
      </c>
      <c r="B10" s="18" t="s">
        <v>374</v>
      </c>
      <c r="C10" s="18" t="s">
        <v>375</v>
      </c>
      <c r="D10" s="18" t="s">
        <v>376</v>
      </c>
      <c r="E10" s="18" t="s">
        <v>353</v>
      </c>
      <c r="F10" s="18" t="s">
        <v>374</v>
      </c>
      <c r="G10" s="18" t="s">
        <v>375</v>
      </c>
      <c r="H10" s="18" t="s">
        <v>376</v>
      </c>
      <c r="I10" s="11" t="s">
        <v>353</v>
      </c>
      <c r="J10" s="11" t="s">
        <v>370</v>
      </c>
    </row>
    <row r="11" customFormat="false" ht="15" hidden="false" customHeight="false" outlineLevel="0" collapsed="false">
      <c r="A11" s="11" t="s">
        <v>333</v>
      </c>
      <c r="B11" s="18" t="s">
        <v>377</v>
      </c>
      <c r="C11" s="18" t="s">
        <v>378</v>
      </c>
      <c r="D11" s="18" t="s">
        <v>379</v>
      </c>
      <c r="E11" s="18" t="s">
        <v>353</v>
      </c>
      <c r="F11" s="18" t="s">
        <v>377</v>
      </c>
      <c r="G11" s="18" t="s">
        <v>378</v>
      </c>
      <c r="H11" s="18" t="s">
        <v>379</v>
      </c>
      <c r="I11" s="11" t="s">
        <v>353</v>
      </c>
      <c r="J11" s="11" t="s">
        <v>370</v>
      </c>
    </row>
    <row r="12" customFormat="false" ht="15" hidden="false" customHeight="false" outlineLevel="0" collapsed="false">
      <c r="A12" s="11" t="s">
        <v>334</v>
      </c>
      <c r="B12" s="18" t="s">
        <v>380</v>
      </c>
      <c r="C12" s="18" t="s">
        <v>381</v>
      </c>
      <c r="D12" s="18" t="s">
        <v>382</v>
      </c>
      <c r="E12" s="18" t="s">
        <v>383</v>
      </c>
      <c r="F12" s="18" t="s">
        <v>380</v>
      </c>
      <c r="G12" s="18" t="s">
        <v>384</v>
      </c>
      <c r="H12" s="18" t="s">
        <v>384</v>
      </c>
      <c r="I12" s="11" t="s">
        <v>383</v>
      </c>
      <c r="J12" s="11" t="s">
        <v>385</v>
      </c>
    </row>
    <row r="13" customFormat="false" ht="22.35" hidden="false" customHeight="false" outlineLevel="0" collapsed="false">
      <c r="A13" s="11" t="s">
        <v>335</v>
      </c>
      <c r="B13" s="18" t="s">
        <v>386</v>
      </c>
      <c r="C13" s="18" t="s">
        <v>387</v>
      </c>
      <c r="D13" s="18" t="s">
        <v>387</v>
      </c>
      <c r="E13" s="18" t="s">
        <v>388</v>
      </c>
      <c r="F13" s="18" t="s">
        <v>389</v>
      </c>
      <c r="G13" s="18" t="s">
        <v>390</v>
      </c>
      <c r="H13" s="18" t="s">
        <v>391</v>
      </c>
      <c r="I13" s="11" t="s">
        <v>392</v>
      </c>
      <c r="J13" s="11" t="s">
        <v>385</v>
      </c>
    </row>
    <row r="14" customFormat="false" ht="15" hidden="false" customHeight="false" outlineLevel="0" collapsed="false">
      <c r="A14" s="11" t="s">
        <v>336</v>
      </c>
      <c r="B14" s="18" t="s">
        <v>393</v>
      </c>
      <c r="C14" s="18" t="s">
        <v>394</v>
      </c>
      <c r="D14" s="18" t="s">
        <v>394</v>
      </c>
      <c r="E14" s="18" t="s">
        <v>395</v>
      </c>
      <c r="F14" s="18" t="s">
        <v>396</v>
      </c>
      <c r="G14" s="18" t="s">
        <v>397</v>
      </c>
      <c r="H14" s="18" t="s">
        <v>398</v>
      </c>
      <c r="I14" s="11" t="s">
        <v>392</v>
      </c>
      <c r="J14" s="11" t="s">
        <v>385</v>
      </c>
    </row>
    <row r="15" customFormat="false" ht="15" hidden="false" customHeight="false" outlineLevel="0" collapsed="false">
      <c r="A15" s="11" t="s">
        <v>337</v>
      </c>
      <c r="B15" s="18" t="s">
        <v>399</v>
      </c>
      <c r="C15" s="18" t="s">
        <v>400</v>
      </c>
      <c r="D15" s="18" t="s">
        <v>400</v>
      </c>
      <c r="E15" s="18" t="s">
        <v>395</v>
      </c>
      <c r="F15" s="18" t="s">
        <v>401</v>
      </c>
      <c r="G15" s="18" t="s">
        <v>402</v>
      </c>
      <c r="H15" s="18" t="s">
        <v>403</v>
      </c>
      <c r="I15" s="11" t="s">
        <v>392</v>
      </c>
      <c r="J15" s="11" t="s">
        <v>385</v>
      </c>
    </row>
    <row r="16" customFormat="false" ht="15" hidden="false" customHeight="false" outlineLevel="0" collapsed="false">
      <c r="A16" s="11" t="s">
        <v>338</v>
      </c>
      <c r="B16" s="18" t="s">
        <v>404</v>
      </c>
      <c r="C16" s="18" t="s">
        <v>405</v>
      </c>
      <c r="D16" s="18" t="s">
        <v>405</v>
      </c>
      <c r="E16" s="18" t="s">
        <v>395</v>
      </c>
      <c r="F16" s="18" t="s">
        <v>406</v>
      </c>
      <c r="G16" s="18" t="s">
        <v>407</v>
      </c>
      <c r="H16" s="18" t="s">
        <v>408</v>
      </c>
      <c r="I16" s="11" t="s">
        <v>392</v>
      </c>
      <c r="J16" s="11" t="s">
        <v>385</v>
      </c>
    </row>
    <row r="17" customFormat="false" ht="15" hidden="false" customHeight="false" outlineLevel="0" collapsed="false">
      <c r="A17" s="11" t="s">
        <v>339</v>
      </c>
      <c r="B17" s="18" t="s">
        <v>409</v>
      </c>
      <c r="C17" s="18" t="s">
        <v>410</v>
      </c>
      <c r="D17" s="18" t="s">
        <v>410</v>
      </c>
      <c r="E17" s="18" t="s">
        <v>395</v>
      </c>
      <c r="F17" s="18" t="s">
        <v>411</v>
      </c>
      <c r="G17" s="18" t="s">
        <v>412</v>
      </c>
      <c r="H17" s="18" t="s">
        <v>412</v>
      </c>
      <c r="I17" s="11" t="s">
        <v>388</v>
      </c>
      <c r="J17" s="11" t="s">
        <v>385</v>
      </c>
    </row>
    <row r="18" customFormat="false" ht="15" hidden="false" customHeight="false" outlineLevel="0" collapsed="false">
      <c r="A18" s="11" t="s">
        <v>340</v>
      </c>
      <c r="B18" s="18" t="s">
        <v>413</v>
      </c>
      <c r="C18" s="18" t="s">
        <v>414</v>
      </c>
      <c r="D18" s="18" t="s">
        <v>391</v>
      </c>
      <c r="E18" s="18" t="s">
        <v>392</v>
      </c>
      <c r="F18" s="18" t="s">
        <v>415</v>
      </c>
      <c r="G18" s="18" t="s">
        <v>416</v>
      </c>
      <c r="H18" s="18" t="s">
        <v>416</v>
      </c>
      <c r="I18" s="11" t="s">
        <v>416</v>
      </c>
      <c r="J18" s="11" t="s">
        <v>385</v>
      </c>
    </row>
    <row r="19" customFormat="false" ht="15" hidden="false" customHeight="false" outlineLevel="0" collapsed="false">
      <c r="A19" s="11" t="s">
        <v>341</v>
      </c>
      <c r="B19" s="18" t="s">
        <v>417</v>
      </c>
      <c r="C19" s="18" t="s">
        <v>418</v>
      </c>
      <c r="D19" s="18" t="s">
        <v>419</v>
      </c>
      <c r="E19" s="18" t="s">
        <v>420</v>
      </c>
      <c r="F19" s="18" t="s">
        <v>417</v>
      </c>
      <c r="G19" s="18" t="s">
        <v>418</v>
      </c>
      <c r="H19" s="18" t="s">
        <v>419</v>
      </c>
      <c r="I19" s="11" t="s">
        <v>420</v>
      </c>
      <c r="J19" s="11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2026-10-10T17:32:30Z</dcterms:created>
  <dc:creator>openpyxl</dc:creator>
  <dc:description/>
  <dc:language>en-US</dc:language>
  <cp:lastModifiedBy/>
  <dcterms:modified xsi:type="dcterms:W3CDTF">2026-10-10T17:32:31Z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