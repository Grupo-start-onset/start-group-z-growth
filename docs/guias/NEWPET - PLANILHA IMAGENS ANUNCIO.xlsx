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ODUTOS" sheetId="2" state="visible" r:id="rId4"/>
    <sheet name="ARQUIVOS" sheetId="3" state="visible" r:id="rId5"/>
    <sheet name="O QUE MOSTRAR" sheetId="4" state="visible" r:id="rId6"/>
  </sheets>
  <definedNames>
    <definedName function="false" hidden="true" localSheetId="2" name="_xlnm._FilterDatabase" vbProcedure="false">ARQUIVOS!$A$3:$K$543</definedName>
    <definedName function="false" hidden="true" localSheetId="1" name="_xlnm._FilterDatabase" vbProcedure="false">PRODUTOS!$A$3:$K$63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<sst xmlns="http://schemas.openxmlformats.org/spreadsheetml/2006/main" count="2099" uniqueCount="345">
  <si>
    <t xml:space="preserve">PLANILHA DE CONTROLE · IMAGENS DO ANÚNCIO · NEW PET</t>
  </si>
  <si>
    <t xml:space="preserve">Produtos e EANs puxados do cadastro da New Pet na Amazon em 10/10/2026.</t>
  </si>
  <si>
    <t xml:space="preserve">Como usar</t>
  </si>
  <si>
    <t xml:space="preserve">1. Pasta no Drive</t>
  </si>
  <si>
    <t xml:space="preserve">Coloque esta planilha dentro da pasta "NEWPET - IMAGENS ANUNCIO" no Google Drive e abra com Google Planilhas. Na mesma pasta ficam as imagens, sem subpastas.</t>
  </si>
  <si>
    <t xml:space="preserve">2. Aba ARQUIVOS</t>
  </si>
  <si>
    <t xml:space="preserve">Lista exata das imagens de cada produto, com o nome pronto. Ao salvar a imagem, copie o nome da coluna "Nome exato do arquivo". Quando ela estiver no Drive, marque o Status como "Na pasta".</t>
  </si>
  <si>
    <t xml:space="preserve">3. Aba PRODUTOS</t>
  </si>
  <si>
    <t xml:space="preserve">Mostra o andamento de cada produto. "Completo?" fica SIM quando as 6 imagens obrigatórias estão na pasta. As 3 recomendadas aparecem em coluna própria.</t>
  </si>
  <si>
    <t xml:space="preserve">4. Aba O QUE MOSTRAR</t>
  </si>
  <si>
    <t xml:space="preserve">O que mostrar em cada posição, para ração e para petiscos e higiene. Apenas consulta.</t>
  </si>
  <si>
    <t xml:space="preserve">5. Avise a START</t>
  </si>
  <si>
    <t xml:space="preserve">Quando os produtos do lote estiverem com "Completo?" = SIM.</t>
  </si>
  <si>
    <t xml:space="preserve">Cores</t>
  </si>
  <si>
    <t xml:space="preserve">Amarelo</t>
  </si>
  <si>
    <t xml:space="preserve">Vocês preenchem ou escolhem (Status e Observações).</t>
  </si>
  <si>
    <t xml:space="preserve">Cinza</t>
  </si>
  <si>
    <t xml:space="preserve">Dados do cadastro e fórmulas. Não alterar: são eles que garantem que a imagem vai para o produto certo.</t>
  </si>
  <si>
    <t xml:space="preserve">Regras dos arquivos</t>
  </si>
  <si>
    <t xml:space="preserve">Nome</t>
  </si>
  <si>
    <t xml:space="preserve">EAN.CÓDIGO.jpg  →  exemplo: 7898968541504.MAIN.jpg. Use exatamente o nome da aba ARQUIVOS: sem sabor, peso, "final", "(1)" ou "cópia".</t>
  </si>
  <si>
    <t xml:space="preserve">Imagem</t>
  </si>
  <si>
    <t xml:space="preserve">JPG, 2000 × 2000 px, cores RGB, até 10 MB.</t>
  </si>
  <si>
    <t xml:space="preserve">Textos</t>
  </si>
  <si>
    <t xml:space="preserve">Não é preciso enviar textos. Título, bullets e descrição são criados pela START. De vocês, só o texto desenhado dentro das imagens.</t>
  </si>
  <si>
    <t xml:space="preserve">Atenção</t>
  </si>
  <si>
    <t xml:space="preserve">Palito 8" Rígido 10 un.</t>
  </si>
  <si>
    <t xml:space="preserve">Cadastrado na Amazon com código de 14 dígitos (17908591301158). Usar esse código no nome dos arquivos, exatamente como está na aba ARQUIVOS.</t>
  </si>
  <si>
    <t xml:space="preserve">Produto faltando?</t>
  </si>
  <si>
    <t xml:space="preserve">Se algum produto à venda não aparece aqui, ou um EAN não corresponde à embalagem, avise a START antes de produzir.</t>
  </si>
  <si>
    <t xml:space="preserve">PRODUTOS · New Pet · uma linha por produto à venda (cadastro Amazon em 10/10/2026)</t>
  </si>
  <si>
    <t xml:space="preserve">Cinza = cadastro e fórmulas, não alterar. O andamento é atualizado sozinho a partir do Status da aba ARQUIVOS.</t>
  </si>
  <si>
    <t xml:space="preserve">Nº</t>
  </si>
  <si>
    <t xml:space="preserve">EAN</t>
  </si>
  <si>
    <t xml:space="preserve">SKU</t>
  </si>
  <si>
    <t xml:space="preserve">ASIN</t>
  </si>
  <si>
    <t xml:space="preserve">Produto (cadastro Amazon)</t>
  </si>
  <si>
    <t xml:space="preserve">Tipo</t>
  </si>
  <si>
    <t xml:space="preserve">Peso / tamanho</t>
  </si>
  <si>
    <t xml:space="preserve">Obrigatórias na pasta (de 6)</t>
  </si>
  <si>
    <t xml:space="preserve">Recomendadas na pasta (de 3)</t>
  </si>
  <si>
    <t xml:space="preserve">Completo?</t>
  </si>
  <si>
    <t xml:space="preserve">Observações</t>
  </si>
  <si>
    <t xml:space="preserve">7898968541504</t>
  </si>
  <si>
    <t xml:space="preserve">B0H7LGC65H</t>
  </si>
  <si>
    <t xml:space="preserve">New Dots Ração Seca Premium para Cães Adultos - 15 kg</t>
  </si>
  <si>
    <t xml:space="preserve">Ração</t>
  </si>
  <si>
    <t xml:space="preserve">15 kg</t>
  </si>
  <si>
    <t xml:space="preserve">7908591301144</t>
  </si>
  <si>
    <t xml:space="preserve">B0H7L955P6</t>
  </si>
  <si>
    <t xml:space="preserve">New Dots Ração Seca Premium para Cães Adultos - 10,1 kg</t>
  </si>
  <si>
    <t xml:space="preserve">10,1 kg</t>
  </si>
  <si>
    <t xml:space="preserve">7898968541467</t>
  </si>
  <si>
    <t xml:space="preserve">B0H7KXDGD7</t>
  </si>
  <si>
    <t xml:space="preserve">New Dots Ração Seca Premium para Cães Adultos - 5 kg</t>
  </si>
  <si>
    <t xml:space="preserve">5 kg</t>
  </si>
  <si>
    <t xml:space="preserve">7898968541450</t>
  </si>
  <si>
    <t xml:space="preserve">B0H7KWY5KT</t>
  </si>
  <si>
    <t xml:space="preserve">New Dots Ração Seca Premium para Cães Adultos - 1 kg</t>
  </si>
  <si>
    <t xml:space="preserve">1 kg</t>
  </si>
  <si>
    <t xml:space="preserve">7898968541535</t>
  </si>
  <si>
    <t xml:space="preserve">B0H7LGV2SK</t>
  </si>
  <si>
    <t xml:space="preserve">New Dots Ração Seca Premium para Cães Adultos de Raças Pequenas - 20 kg</t>
  </si>
  <si>
    <t xml:space="preserve">20 kg</t>
  </si>
  <si>
    <t xml:space="preserve">7898968541528</t>
  </si>
  <si>
    <t xml:space="preserve">B0H7KZH2XV</t>
  </si>
  <si>
    <t xml:space="preserve">New Dots Ração Seca Premium para Cães Adultos de Raças Pequenas - 5 kg</t>
  </si>
  <si>
    <t xml:space="preserve">7898968541511</t>
  </si>
  <si>
    <t xml:space="preserve">B0H7KZFSLZ</t>
  </si>
  <si>
    <t xml:space="preserve">New Dots Ração Seca Premium para Cães Adultos de Raças Pequenas - 1 kg</t>
  </si>
  <si>
    <t xml:space="preserve">7898968541566</t>
  </si>
  <si>
    <t xml:space="preserve">B0H7L1QMMZ</t>
  </si>
  <si>
    <t xml:space="preserve">New Dots Ração Seca Premium para Cães Filhotes - 20 kg</t>
  </si>
  <si>
    <t xml:space="preserve">7898968541559</t>
  </si>
  <si>
    <t xml:space="preserve">B0H7LG9LK2</t>
  </si>
  <si>
    <t xml:space="preserve">New Dots Ração Seca Premium para Cães Filhotes - 5 kg</t>
  </si>
  <si>
    <t xml:space="preserve">7898968541542</t>
  </si>
  <si>
    <t xml:space="preserve">B0H7L3BHLH</t>
  </si>
  <si>
    <t xml:space="preserve">New Dots Ração Seca Premium para Cães Filhotes - 1 kg</t>
  </si>
  <si>
    <t xml:space="preserve">7898968541597</t>
  </si>
  <si>
    <t xml:space="preserve">B0H7LG5GWZ</t>
  </si>
  <si>
    <t xml:space="preserve">New Dots Ração Seca Premium para Gatos Adultos - 20 kg</t>
  </si>
  <si>
    <t xml:space="preserve">7898968541573</t>
  </si>
  <si>
    <t xml:space="preserve">B0H7LD2TGC</t>
  </si>
  <si>
    <t xml:space="preserve">New Dots Ração Seca Premium para Gatos Adultos - 1 kg</t>
  </si>
  <si>
    <t xml:space="preserve">7908591300666</t>
  </si>
  <si>
    <t xml:space="preserve">B0H7KWW8M4</t>
  </si>
  <si>
    <t xml:space="preserve">New Dots Ração Seca Premium para Gatos Adultos Castrados - 20 kg</t>
  </si>
  <si>
    <t xml:space="preserve">7908591300413</t>
  </si>
  <si>
    <t xml:space="preserve">B0H7L2N7GF</t>
  </si>
  <si>
    <t xml:space="preserve">New Dots Ração Seca Premium para Gatos Adultos Castrados - 11 kg</t>
  </si>
  <si>
    <t xml:space="preserve">11 kg</t>
  </si>
  <si>
    <t xml:space="preserve">7908591300406</t>
  </si>
  <si>
    <t xml:space="preserve">B0H7KWTZ9P</t>
  </si>
  <si>
    <t xml:space="preserve">New Dots Ração Seca Premium para Gatos Adultos Castrados - 1 kg</t>
  </si>
  <si>
    <t xml:space="preserve">7898968541283</t>
  </si>
  <si>
    <t xml:space="preserve">1001</t>
  </si>
  <si>
    <t xml:space="preserve">B0FH32BP56</t>
  </si>
  <si>
    <t xml:space="preserve">Ração Seca Natural Dots para Cães Adultos - Pacote 15 kg</t>
  </si>
  <si>
    <t xml:space="preserve">7898968541269</t>
  </si>
  <si>
    <t xml:space="preserve">1195</t>
  </si>
  <si>
    <t xml:space="preserve">B0FH347L7H</t>
  </si>
  <si>
    <t xml:space="preserve">Ração Seca Natural Dots para Cães Adultos - Pacote 1 kg</t>
  </si>
  <si>
    <t xml:space="preserve">7898968541313</t>
  </si>
  <si>
    <t xml:space="preserve">1075</t>
  </si>
  <si>
    <t xml:space="preserve">B0FH34VLTD</t>
  </si>
  <si>
    <t xml:space="preserve">Ração Seca Natural Dots para Cães Filhotes - Pacote 15 kg</t>
  </si>
  <si>
    <t xml:space="preserve">7898968541290</t>
  </si>
  <si>
    <t xml:space="preserve">1070</t>
  </si>
  <si>
    <t xml:space="preserve">B0FH2ZVVMK</t>
  </si>
  <si>
    <t xml:space="preserve">Ração Seca Natural Dots para Cães Filhotes - Pacote 1 kg</t>
  </si>
  <si>
    <t xml:space="preserve">7898968541276</t>
  </si>
  <si>
    <t xml:space="preserve">1199</t>
  </si>
  <si>
    <t xml:space="preserve">B0FH337MZK</t>
  </si>
  <si>
    <t xml:space="preserve">Ração Seca Natural Dots para Cães Sênior - Pacote 15 kg</t>
  </si>
  <si>
    <t xml:space="preserve">7908591300154</t>
  </si>
  <si>
    <t xml:space="preserve">1198</t>
  </si>
  <si>
    <t xml:space="preserve">B0FH341T47</t>
  </si>
  <si>
    <t xml:space="preserve">Ração Seca Natural Dots para Cães Sênior - Pacote 1 kg</t>
  </si>
  <si>
    <t xml:space="preserve">7898968541344</t>
  </si>
  <si>
    <t xml:space="preserve">1196</t>
  </si>
  <si>
    <t xml:space="preserve">B0FH31K58G</t>
  </si>
  <si>
    <t xml:space="preserve">Ração Seca Natural Dots para Cães de Raças Pequenas - Pacote 15 kg</t>
  </si>
  <si>
    <t xml:space="preserve">7898968541320</t>
  </si>
  <si>
    <t xml:space="preserve">1071</t>
  </si>
  <si>
    <t xml:space="preserve">B0FH31X2DG</t>
  </si>
  <si>
    <t xml:space="preserve">Ração Seca Natural Dots para Cães de Raças Pequenas - Pacote 1 kg</t>
  </si>
  <si>
    <t xml:space="preserve">7898968541382</t>
  </si>
  <si>
    <t xml:space="preserve">1081</t>
  </si>
  <si>
    <t xml:space="preserve">B0FH34LMJT</t>
  </si>
  <si>
    <t xml:space="preserve">Ração Seca Natural Dots para Gatos Adultos - Pacote 11 kg</t>
  </si>
  <si>
    <t xml:space="preserve">7898968541368</t>
  </si>
  <si>
    <t xml:space="preserve">1080</t>
  </si>
  <si>
    <t xml:space="preserve">B0FH33YSNK</t>
  </si>
  <si>
    <t xml:space="preserve">Ração Seca Natural Dots para Gatos Adultos - Pacote 1 kg</t>
  </si>
  <si>
    <t xml:space="preserve">7898968541399</t>
  </si>
  <si>
    <t xml:space="preserve">1083</t>
  </si>
  <si>
    <t xml:space="preserve">B0FH34NGCJ</t>
  </si>
  <si>
    <t xml:space="preserve">Ração Seca Natural Dots para Gatos Castrados - Pacote 11 kg</t>
  </si>
  <si>
    <t xml:space="preserve">7898968541375</t>
  </si>
  <si>
    <t xml:space="preserve">1073</t>
  </si>
  <si>
    <t xml:space="preserve">B0FH32M1DZ</t>
  </si>
  <si>
    <t xml:space="preserve">Ração Seca Natural Dots para Gatos Castrados - Pacote 1 kg</t>
  </si>
  <si>
    <t xml:space="preserve">7898968541412</t>
  </si>
  <si>
    <t xml:space="preserve">1050</t>
  </si>
  <si>
    <t xml:space="preserve">B0FH343T7F</t>
  </si>
  <si>
    <t xml:space="preserve">Ração Seca Natural Dots para Gatos Filhotes - Pacote 11 kg</t>
  </si>
  <si>
    <t xml:space="preserve">7898968541405</t>
  </si>
  <si>
    <t xml:space="preserve">1074</t>
  </si>
  <si>
    <t xml:space="preserve">B0FH35DMQ2</t>
  </si>
  <si>
    <t xml:space="preserve">Ração Seca Natural Dots para Gatos Filhotes - Pacote 1 kg</t>
  </si>
  <si>
    <t xml:space="preserve">7908591301007</t>
  </si>
  <si>
    <t xml:space="preserve">1918</t>
  </si>
  <si>
    <t xml:space="preserve">B0H3WVWSMC</t>
  </si>
  <si>
    <t xml:space="preserve">Ração Natural Dots Super Premium Cães Adultos Sabor Frango 2,5 kg</t>
  </si>
  <si>
    <t xml:space="preserve">2,5 kg</t>
  </si>
  <si>
    <t xml:space="preserve">7908591301021</t>
  </si>
  <si>
    <t xml:space="preserve">1920</t>
  </si>
  <si>
    <t xml:space="preserve">B0H3WSSZCB</t>
  </si>
  <si>
    <t xml:space="preserve">Ração Natural Dots Super Premium Cães Raças Pequenas Sabor Frango 1 kg</t>
  </si>
  <si>
    <t xml:space="preserve">7908591301038</t>
  </si>
  <si>
    <t xml:space="preserve">1921</t>
  </si>
  <si>
    <t xml:space="preserve">B0H3WP6GV3</t>
  </si>
  <si>
    <t xml:space="preserve">Ração Natural Dots Super Premium Gatos Castrados Sabor Peixe 1 kg</t>
  </si>
  <si>
    <t xml:space="preserve">7908591300147</t>
  </si>
  <si>
    <t xml:space="preserve">1197</t>
  </si>
  <si>
    <t xml:space="preserve">B0FH3464Z6</t>
  </si>
  <si>
    <t xml:space="preserve">Ração Seca Natural Dots Light para Cães - Pacote 1 kg</t>
  </si>
  <si>
    <t xml:space="preserve">7908591300376</t>
  </si>
  <si>
    <t xml:space="preserve">1330</t>
  </si>
  <si>
    <t xml:space="preserve">B0H3WXJWT1</t>
  </si>
  <si>
    <t xml:space="preserve">Sachê Natural Dots Livre de Trangênico Cães Carne ao Molho 85 g</t>
  </si>
  <si>
    <t xml:space="preserve">85 g</t>
  </si>
  <si>
    <t xml:space="preserve">7908591300383</t>
  </si>
  <si>
    <t xml:space="preserve">1331</t>
  </si>
  <si>
    <t xml:space="preserve">B0H3WSGSKF</t>
  </si>
  <si>
    <t xml:space="preserve">Sachê Natural Dots Livre de Trangênico Cães Cordeiro 85 g</t>
  </si>
  <si>
    <t xml:space="preserve">7908591300390</t>
  </si>
  <si>
    <t xml:space="preserve">1332</t>
  </si>
  <si>
    <t xml:space="preserve">B0H3WS6T81</t>
  </si>
  <si>
    <t xml:space="preserve">Sachê Natural Dots Livre de Trangênico Gato Carne 85 g</t>
  </si>
  <si>
    <t xml:space="preserve">7908591300673</t>
  </si>
  <si>
    <t xml:space="preserve">1333</t>
  </si>
  <si>
    <t xml:space="preserve">B0H3WK52X1</t>
  </si>
  <si>
    <t xml:space="preserve">Sachê Natural Dots para Gatos Sabor Salmão 85 g - Livre de Transgênicos</t>
  </si>
  <si>
    <t xml:space="preserve">7898968541887</t>
  </si>
  <si>
    <t xml:space="preserve">1249</t>
  </si>
  <si>
    <t xml:space="preserve">B0H9K77WGC</t>
  </si>
  <si>
    <t xml:space="preserve">Bifinhos New Dots Cães Carne, Vegetais e Cereais 50 g</t>
  </si>
  <si>
    <t xml:space="preserve">Petisco</t>
  </si>
  <si>
    <t xml:space="preserve">50 g</t>
  </si>
  <si>
    <t xml:space="preserve">7898968541863</t>
  </si>
  <si>
    <t xml:space="preserve">1821</t>
  </si>
  <si>
    <t xml:space="preserve">B0H9JR5JLF</t>
  </si>
  <si>
    <t xml:space="preserve">Bifinhos New Dots Cães Churrasco 400 g</t>
  </si>
  <si>
    <t xml:space="preserve">400 g</t>
  </si>
  <si>
    <t xml:space="preserve">7898968541856</t>
  </si>
  <si>
    <t xml:space="preserve">1706</t>
  </si>
  <si>
    <t xml:space="preserve">B0H9K93V3B</t>
  </si>
  <si>
    <t xml:space="preserve">Bifinhos New Dots Cães Churrasco 50 g</t>
  </si>
  <si>
    <t xml:space="preserve">7898968541870</t>
  </si>
  <si>
    <t xml:space="preserve">1708</t>
  </si>
  <si>
    <t xml:space="preserve">B0H9K4QF9C</t>
  </si>
  <si>
    <t xml:space="preserve">Bifinhos New Dots Cães RPM Cordeiro 50 g</t>
  </si>
  <si>
    <t xml:space="preserve">7908591300000</t>
  </si>
  <si>
    <t xml:space="preserve">1289</t>
  </si>
  <si>
    <t xml:space="preserve">B0H9K65MS1</t>
  </si>
  <si>
    <t xml:space="preserve">Biscoito Cães Adultos New Dots 400 g</t>
  </si>
  <si>
    <t xml:space="preserve">7908591300017</t>
  </si>
  <si>
    <t xml:space="preserve">1290</t>
  </si>
  <si>
    <t xml:space="preserve">B0H9JZZCH8</t>
  </si>
  <si>
    <t xml:space="preserve">Biscoito Cães Raças Pequenas e Médias New Dots 400 g</t>
  </si>
  <si>
    <t xml:space="preserve">7908591300758</t>
  </si>
  <si>
    <t xml:space="preserve">1831</t>
  </si>
  <si>
    <t xml:space="preserve">B0FH34BY4P</t>
  </si>
  <si>
    <t xml:space="preserve">Cookie Natural Dots Petisco para Pets Sabor Maracujá e Camomila 250 g</t>
  </si>
  <si>
    <t xml:space="preserve">250 g</t>
  </si>
  <si>
    <t xml:space="preserve">7908591300727</t>
  </si>
  <si>
    <t xml:space="preserve">1826</t>
  </si>
  <si>
    <t xml:space="preserve">B0H9K9CCBP</t>
  </si>
  <si>
    <t xml:space="preserve">Nuggets Recheados Gatos New Dots Bolas de Pelo 40 g</t>
  </si>
  <si>
    <t xml:space="preserve">40 g</t>
  </si>
  <si>
    <t xml:space="preserve">7908591300741</t>
  </si>
  <si>
    <t xml:space="preserve">1828</t>
  </si>
  <si>
    <t xml:space="preserve">B0H9JZ1Z9V</t>
  </si>
  <si>
    <t xml:space="preserve">Nuggets Recheados Gatos New Dots Controle PH Urinário 40 g</t>
  </si>
  <si>
    <t xml:space="preserve">7908591300734</t>
  </si>
  <si>
    <t xml:space="preserve">1827</t>
  </si>
  <si>
    <t xml:space="preserve">B0H9K92VM1</t>
  </si>
  <si>
    <t xml:space="preserve">Nuggets Recheados Gatos New Dots Dental 40 g</t>
  </si>
  <si>
    <t xml:space="preserve">17908591301158</t>
  </si>
  <si>
    <t xml:space="preserve">1238</t>
  </si>
  <si>
    <t xml:space="preserve">B0H9JXY85F</t>
  </si>
  <si>
    <t xml:space="preserve">Palito 8 “ Rígido Natural Dots Encartelado 10 un</t>
  </si>
  <si>
    <t xml:space="preserve">10 un.</t>
  </si>
  <si>
    <t xml:space="preserve">Código de 14 dígitos no cadastro: usar exatamente este nos arquivos</t>
  </si>
  <si>
    <t xml:space="preserve">7908591301168</t>
  </si>
  <si>
    <t xml:space="preserve">1329</t>
  </si>
  <si>
    <t xml:space="preserve">B0H9K3MWC2</t>
  </si>
  <si>
    <t xml:space="preserve">Palito 8 ” Rígido Bacon Natural Dots Encartelado 10 un</t>
  </si>
  <si>
    <t xml:space="preserve">7908591301113</t>
  </si>
  <si>
    <t xml:space="preserve">1326</t>
  </si>
  <si>
    <t xml:space="preserve">B0H9K6XW3G</t>
  </si>
  <si>
    <t xml:space="preserve">Palito Flex Natural Dots Hortelã 70 g</t>
  </si>
  <si>
    <t xml:space="preserve">70 g</t>
  </si>
  <si>
    <t xml:space="preserve">7908591301120</t>
  </si>
  <si>
    <t xml:space="preserve">1325</t>
  </si>
  <si>
    <t xml:space="preserve">B0H9K1D2MQ</t>
  </si>
  <si>
    <t xml:space="preserve">Palito Flex Natural Dots Leite 70 g</t>
  </si>
  <si>
    <t xml:space="preserve">7908591301137</t>
  </si>
  <si>
    <t xml:space="preserve">1327</t>
  </si>
  <si>
    <t xml:space="preserve">B0H9K7WC5G</t>
  </si>
  <si>
    <t xml:space="preserve">Palito Flex Natural Dots Maracujá 70 g</t>
  </si>
  <si>
    <t xml:space="preserve">7908591300239</t>
  </si>
  <si>
    <t xml:space="preserve">1202</t>
  </si>
  <si>
    <t xml:space="preserve">B0FH338CT4</t>
  </si>
  <si>
    <t xml:space="preserve">Granulado Higiênico de Madeira Natural Dots para Pets - Pacote 20 kg</t>
  </si>
  <si>
    <t xml:space="preserve">Higiene</t>
  </si>
  <si>
    <t xml:space="preserve">7908591300482</t>
  </si>
  <si>
    <t xml:space="preserve">1211</t>
  </si>
  <si>
    <t xml:space="preserve">B0FH34NXMB</t>
  </si>
  <si>
    <t xml:space="preserve">Granulado Higiênico de Madeira Natural Dots para Pets - Pacote 10 kg</t>
  </si>
  <si>
    <t xml:space="preserve">10 kg</t>
  </si>
  <si>
    <t xml:space="preserve">7908591300024</t>
  </si>
  <si>
    <t xml:space="preserve">1210</t>
  </si>
  <si>
    <t xml:space="preserve">B0FH33F6XS</t>
  </si>
  <si>
    <t xml:space="preserve">Granulado Higiênico de Madeira Natural Dots para Pets - Pacote 2 kg</t>
  </si>
  <si>
    <t xml:space="preserve">2 kg</t>
  </si>
  <si>
    <t xml:space="preserve">7898968541924</t>
  </si>
  <si>
    <t xml:space="preserve">1209</t>
  </si>
  <si>
    <t xml:space="preserve">B0F3V344Y5</t>
  </si>
  <si>
    <t xml:space="preserve">Granulado Sanitário Natural Dots de Bentonita Perfumada - Pacote 4 kg</t>
  </si>
  <si>
    <t xml:space="preserve">4 kg</t>
  </si>
  <si>
    <t xml:space="preserve">7908591300185</t>
  </si>
  <si>
    <t xml:space="preserve">1208</t>
  </si>
  <si>
    <t xml:space="preserve">B0FH33JK77</t>
  </si>
  <si>
    <t xml:space="preserve">Granulado Sanitário de Bentonita Natural Dots para Pets - Pacote 4 kg</t>
  </si>
  <si>
    <t xml:space="preserve">7908591300840</t>
  </si>
  <si>
    <t xml:space="preserve">2000</t>
  </si>
  <si>
    <t xml:space="preserve">B0FH34P5ZZ</t>
  </si>
  <si>
    <t xml:space="preserve">Kit Porta Cata Caca Natural Dots com 4 Refis Biodegradáveis</t>
  </si>
  <si>
    <t xml:space="preserve">4 un.</t>
  </si>
  <si>
    <t xml:space="preserve">7908591300857</t>
  </si>
  <si>
    <t xml:space="preserve">2001</t>
  </si>
  <si>
    <t xml:space="preserve">B0FH33K7VX</t>
  </si>
  <si>
    <t xml:space="preserve">Refil Cata Caca Biodegradável Natural Dots com 3 Unidades</t>
  </si>
  <si>
    <t xml:space="preserve">3 un.</t>
  </si>
  <si>
    <t xml:space="preserve">7898968541979</t>
  </si>
  <si>
    <t xml:space="preserve">1231</t>
  </si>
  <si>
    <t xml:space="preserve">B0FH33ZPNW</t>
  </si>
  <si>
    <t xml:space="preserve">Tapete Higiênico Natural Dots Super Premium 80 x 60 cm com 7 Unidades</t>
  </si>
  <si>
    <t xml:space="preserve">7 un.</t>
  </si>
  <si>
    <t xml:space="preserve">ARQUIVOS · lista exata de imagens do anúncio por produto</t>
  </si>
  <si>
    <t xml:space="preserve">Copie o nome da coluna E ao salvar a imagem e marque o Status "Na pasta" quando ela estiver no Drive.</t>
  </si>
  <si>
    <t xml:space="preserve">Produto</t>
  </si>
  <si>
    <t xml:space="preserve">Código</t>
  </si>
  <si>
    <t xml:space="preserve">Nome exato do arquivo</t>
  </si>
  <si>
    <t xml:space="preserve">Onde entra</t>
  </si>
  <si>
    <t xml:space="preserve">O que mostrar</t>
  </si>
  <si>
    <t xml:space="preserve">Tamanho (px)</t>
  </si>
  <si>
    <t xml:space="preserve">Obrigatória?</t>
  </si>
  <si>
    <t xml:space="preserve">Status</t>
  </si>
  <si>
    <t xml:space="preserve">MAIN</t>
  </si>
  <si>
    <t xml:space="preserve">Pendente</t>
  </si>
  <si>
    <t xml:space="preserve">PT01</t>
  </si>
  <si>
    <t xml:space="preserve">PT02</t>
  </si>
  <si>
    <t xml:space="preserve">PT03</t>
  </si>
  <si>
    <t xml:space="preserve">PT04</t>
  </si>
  <si>
    <t xml:space="preserve">PT05</t>
  </si>
  <si>
    <t xml:space="preserve">PT06</t>
  </si>
  <si>
    <t xml:space="preserve">PT07</t>
  </si>
  <si>
    <t xml:space="preserve">PT08</t>
  </si>
  <si>
    <t xml:space="preserve">O que mostrar em cada imagem do anúncio</t>
  </si>
  <si>
    <t xml:space="preserve">Consulta. As imagens de exemplo estão no Guia de Imagens do Anúncio.</t>
  </si>
  <si>
    <t xml:space="preserve">O que mostrar · Ração</t>
  </si>
  <si>
    <t xml:space="preserve">O que mostrar · Petiscos e higiene</t>
  </si>
  <si>
    <t xml:space="preserve">Capa (posição 1)</t>
  </si>
  <si>
    <t xml:space="preserve">Embalagem de frente, fundo branco puro, 85% da área, nada adicionado</t>
  </si>
  <si>
    <t xml:space="preserve">2000 × 2000</t>
  </si>
  <si>
    <t xml:space="preserve">SIM</t>
  </si>
  <si>
    <t xml:space="preserve">Posição 2</t>
  </si>
  <si>
    <t xml:space="preserve">Grande diferencial da linha (número ou promessa forte + grão e ingrediente)</t>
  </si>
  <si>
    <t xml:space="preserve">Grande diferencial (ex.: natural, biodegradável, perfumado)</t>
  </si>
  <si>
    <t xml:space="preserve">Posição 3</t>
  </si>
  <si>
    <t xml:space="preserve">Benefícios com ícones (4 a 6, impressos na embalagem) + ingrediente</t>
  </si>
  <si>
    <t xml:space="preserve">Benefícios com ícones (4 a 6, impressos na embalagem)</t>
  </si>
  <si>
    <t xml:space="preserve">Posição 4</t>
  </si>
  <si>
    <t xml:space="preserve">Formato e tamanho do grão, com medida em mm e referência de tamanho</t>
  </si>
  <si>
    <t xml:space="preserve">Detalhe e tamanho real (petisco, grânulo ou tapete aberto), com medidas</t>
  </si>
  <si>
    <t xml:space="preserve">Posição 5</t>
  </si>
  <si>
    <t xml:space="preserve">Quantidade diária por peso do pet (números idênticos à embalagem)</t>
  </si>
  <si>
    <t xml:space="preserve">Modo de uso (como oferecer o petisco / como usar o produto)</t>
  </si>
  <si>
    <t xml:space="preserve">Posição 6</t>
  </si>
  <si>
    <t xml:space="preserve">Transição alimentar dia a dia (igual ao verso da embalagem)</t>
  </si>
  <si>
    <t xml:space="preserve">Quantidade por dia ou rendimento do pacote</t>
  </si>
  <si>
    <t xml:space="preserve">Recomendada</t>
  </si>
  <si>
    <t xml:space="preserve">Posição 7</t>
  </si>
  <si>
    <t xml:space="preserve">Composição e níveis de garantia em letra grande</t>
  </si>
  <si>
    <t xml:space="preserve">Composição/níveis de garantia (petiscos) ou especificações (higiene)</t>
  </si>
  <si>
    <t xml:space="preserve">Posição 8</t>
  </si>
  <si>
    <t xml:space="preserve">Emocional / momento de uso (pet do porte certo, pote cheio)</t>
  </si>
  <si>
    <t xml:space="preserve">Emocional / momento de uso</t>
  </si>
  <si>
    <t xml:space="preserve">Posição 9</t>
  </si>
  <si>
    <t xml:space="preserve">Linha da marca ou embalagem anterior × nova</t>
  </si>
  <si>
    <t xml:space="preserve">Linha da marca ("conheça também")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</si>
</sst>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B5B63"/>
      <name val="Arial"/>
      <family val="0"/>
      <charset val="1"/>
    </font>
    <font>
      <b val="true"/>
      <sz val="12"/>
      <color rgb="FFE8711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B5B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FF2"/>
      </patternFill>
    </fill>
    <fill>
      <patternFill patternType="solid">
        <fgColor rgb="FFEFEFF2"/>
        <bgColor rgb="FFD9F0E1"/>
      </patternFill>
    </fill>
    <fill>
      <patternFill patternType="solid">
        <fgColor rgb="FF1D1D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6"/>
      </left>
      <right style="thin">
        <color rgb="FFD0D0D6"/>
      </right>
      <top style="thin">
        <color rgb="FFD0D0D6"/>
      </top>
      <bottom style="thin">
        <color rgb="FFD0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D1D1F"/>
          <bgColor rgb="FF000000"/>
        </patternFill>
      </fill>
    </dxf>
    <dxf>
      <fill>
        <patternFill patternType="solid">
          <fgColor rgb="FFEFEF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ADA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1F7A3F"/>
      </font>
      <fill>
        <patternFill>
          <bgColor rgb="FFD9F0E1"/>
        </patternFill>
      </fill>
    </dxf>
    <dxf>
      <font>
        <name val="Arial"/>
        <charset val="1"/>
        <family val="0"/>
        <color rgb="FFB3261E"/>
      </font>
      <fill>
        <patternFill>
          <bgColor rgb="FFF8DADA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>
          <bgColor rgb="FFD9F0E1"/>
        </patternFill>
      </fill>
    </dxf>
    <dxf>
      <font>
        <name val="Arial"/>
        <charset val="1"/>
        <family val="0"/>
        <color rgb="FF8A5A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F"/>
      <rgbColor rgb="FF000080"/>
      <rgbColor rgb="FF8A5A00"/>
      <rgbColor rgb="FF800080"/>
      <rgbColor rgb="FF008080"/>
      <rgbColor rgb="FFC0C0C0"/>
      <rgbColor rgb="FF808080"/>
      <rgbColor rgb="FF9999FF"/>
      <rgbColor rgb="FF993366"/>
      <rgbColor rgb="FFFFF2CC"/>
      <rgbColor rgb="FFEFEFF2"/>
      <rgbColor rgb="FF660066"/>
      <rgbColor rgb="FFFF8080"/>
      <rgbColor rgb="FF0066CC"/>
      <rgbColor rgb="FFD0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1"/>
      <rgbColor rgb="FFFFFF99"/>
      <rgbColor rgb="FF99CCFF"/>
      <rgbColor rgb="FFFF99CC"/>
      <rgbColor rgb="FFCC99FF"/>
      <rgbColor rgb="FFF8DADA"/>
      <rgbColor rgb="FF3366FF"/>
      <rgbColor rgb="FF33CCCC"/>
      <rgbColor rgb="FF99CC00"/>
      <rgbColor rgb="FFFFCC00"/>
      <rgbColor rgb="FFFF9900"/>
      <rgbColor rgb="FFE8711C"/>
      <rgbColor rgb="FF5B5B63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2" customFormat="false" ht="15" hidden="false" customHeight="false" outlineLevel="0" collapsed="false">
      <c r="B12" s="3" t="s">
        <v>13</v>
      </c>
    </row>
    <row r="13" customFormat="false" ht="30" hidden="false" customHeight="true" outlineLevel="0" collapsed="false">
      <c r="B13" s="6" t="s">
        <v>14</v>
      </c>
      <c r="C13" s="5" t="s">
        <v>15</v>
      </c>
    </row>
    <row r="14" customFormat="false" ht="30" hidden="false" customHeight="true" outlineLevel="0" collapsed="false">
      <c r="B14" s="7" t="s">
        <v>16</v>
      </c>
      <c r="C14" s="5" t="s">
        <v>17</v>
      </c>
    </row>
    <row r="16" customFormat="false" ht="15" hidden="false" customHeight="false" outlineLevel="0" collapsed="false">
      <c r="B16" s="3" t="s">
        <v>18</v>
      </c>
    </row>
    <row r="17" customFormat="false" ht="30" hidden="false" customHeight="true" outlineLevel="0" collapsed="false">
      <c r="B17" s="4" t="s">
        <v>19</v>
      </c>
      <c r="C17" s="5" t="s">
        <v>20</v>
      </c>
    </row>
    <row r="18" customFormat="false" ht="30" hidden="false" customHeight="true" outlineLevel="0" collapsed="false">
      <c r="B18" s="4" t="s">
        <v>21</v>
      </c>
      <c r="C18" s="5" t="s">
        <v>22</v>
      </c>
    </row>
    <row r="19" customFormat="false" ht="30" hidden="false" customHeight="true" outlineLevel="0" collapsed="false">
      <c r="B19" s="4" t="s">
        <v>23</v>
      </c>
      <c r="C19" s="5" t="s">
        <v>24</v>
      </c>
    </row>
    <row r="21" customFormat="false" ht="15" hidden="false" customHeight="false" outlineLevel="0" collapsed="false">
      <c r="B21" s="3" t="s">
        <v>25</v>
      </c>
    </row>
    <row r="22" customFormat="false" ht="30" hidden="false" customHeight="true" outlineLevel="0" collapsed="false">
      <c r="B22" s="4" t="s">
        <v>26</v>
      </c>
      <c r="C22" s="5" t="s">
        <v>27</v>
      </c>
    </row>
    <row r="23" customFormat="false" ht="30" hidden="false" customHeight="true" outlineLevel="0" collapsed="false">
      <c r="B23" s="4" t="s">
        <v>28</v>
      </c>
      <c r="C23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64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8" t="s">
        <v>30</v>
      </c>
    </row>
    <row r="2" customFormat="false" ht="15" hidden="false" customHeight="false" outlineLevel="0" collapsed="false">
      <c r="A2" s="9" t="s">
        <v>31</v>
      </c>
    </row>
    <row r="3" customFormat="false" ht="31.5" hidden="false" customHeight="true" outlineLevel="0" collapsed="false">
      <c r="A3" s="10" t="s">
        <v>32</v>
      </c>
      <c r="B3" s="10" t="s">
        <v>33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  <c r="I3" s="10" t="s">
        <v>40</v>
      </c>
      <c r="J3" s="10" t="s">
        <v>41</v>
      </c>
      <c r="K3" s="10" t="s">
        <v>42</v>
      </c>
    </row>
    <row r="4" customFormat="false" ht="15" hidden="false" customHeight="false" outlineLevel="0" collapsed="false">
      <c r="A4" s="11" t="n">
        <v>1</v>
      </c>
      <c r="B4" s="12" t="s">
        <v>43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  <c r="H4" s="11" t="n">
        <f aca="false">COUNTIFS(ARQUIVOS!$A:$A,$B4,ARQUIVOS!$I:$I,"SIM",ARQUIVOS!$J:$J,"Na pasta")</f>
        <v>0</v>
      </c>
      <c r="I4" s="11" t="n">
        <f aca="false">COUNTIFS(ARQUIVOS!$A:$A,$B4,ARQUIVOS!$I:$I,"Recomendada",ARQUIVOS!$J:$J,"Na pasta")</f>
        <v>0</v>
      </c>
      <c r="J4" s="11" t="str">
        <f aca="false">IF(H4&gt;=COUNTIFS(ARQUIVOS!$A:$A,$B4,ARQUIVOS!$I:$I,"SIM"),"SIM","NÃO")</f>
        <v>NÃO</v>
      </c>
      <c r="K4" s="13"/>
    </row>
    <row r="5" customFormat="false" ht="15" hidden="false" customHeight="false" outlineLevel="0" collapsed="false">
      <c r="A5" s="11" t="n">
        <v>2</v>
      </c>
      <c r="B5" s="12" t="s">
        <v>48</v>
      </c>
      <c r="C5" s="11" t="s">
        <v>48</v>
      </c>
      <c r="D5" s="11" t="s">
        <v>49</v>
      </c>
      <c r="E5" s="11" t="s">
        <v>50</v>
      </c>
      <c r="F5" s="11" t="s">
        <v>46</v>
      </c>
      <c r="G5" s="11" t="s">
        <v>51</v>
      </c>
      <c r="H5" s="11" t="n">
        <f aca="false">COUNTIFS(ARQUIVOS!$A:$A,$B5,ARQUIVOS!$I:$I,"SIM",ARQUIVOS!$J:$J,"Na pasta")</f>
        <v>0</v>
      </c>
      <c r="I5" s="11" t="n">
        <f aca="false">COUNTIFS(ARQUIVOS!$A:$A,$B5,ARQUIVOS!$I:$I,"Recomendada",ARQUIVOS!$J:$J,"Na pasta")</f>
        <v>0</v>
      </c>
      <c r="J5" s="11" t="str">
        <f aca="false">IF(H5&gt;=COUNTIFS(ARQUIVOS!$A:$A,$B5,ARQUIVOS!$I:$I,"SIM"),"SIM","NÃO")</f>
        <v>NÃO</v>
      </c>
      <c r="K5" s="13"/>
    </row>
    <row r="6" customFormat="false" ht="15" hidden="false" customHeight="false" outlineLevel="0" collapsed="false">
      <c r="A6" s="11" t="n">
        <v>3</v>
      </c>
      <c r="B6" s="12" t="s">
        <v>52</v>
      </c>
      <c r="C6" s="11" t="s">
        <v>52</v>
      </c>
      <c r="D6" s="11" t="s">
        <v>53</v>
      </c>
      <c r="E6" s="11" t="s">
        <v>54</v>
      </c>
      <c r="F6" s="11" t="s">
        <v>46</v>
      </c>
      <c r="G6" s="11" t="s">
        <v>55</v>
      </c>
      <c r="H6" s="11" t="n">
        <f aca="false">COUNTIFS(ARQUIVOS!$A:$A,$B6,ARQUIVOS!$I:$I,"SIM",ARQUIVOS!$J:$J,"Na pasta")</f>
        <v>0</v>
      </c>
      <c r="I6" s="11" t="n">
        <f aca="false">COUNTIFS(ARQUIVOS!$A:$A,$B6,ARQUIVOS!$I:$I,"Recomendada",ARQUIVOS!$J:$J,"Na pasta")</f>
        <v>0</v>
      </c>
      <c r="J6" s="11" t="str">
        <f aca="false">IF(H6&gt;=COUNTIFS(ARQUIVOS!$A:$A,$B6,ARQUIVOS!$I:$I,"SIM"),"SIM","NÃO")</f>
        <v>NÃO</v>
      </c>
      <c r="K6" s="13"/>
    </row>
    <row r="7" customFormat="false" ht="15" hidden="false" customHeight="false" outlineLevel="0" collapsed="false">
      <c r="A7" s="11" t="n">
        <v>4</v>
      </c>
      <c r="B7" s="12" t="s">
        <v>56</v>
      </c>
      <c r="C7" s="11" t="s">
        <v>56</v>
      </c>
      <c r="D7" s="11" t="s">
        <v>57</v>
      </c>
      <c r="E7" s="11" t="s">
        <v>58</v>
      </c>
      <c r="F7" s="11" t="s">
        <v>46</v>
      </c>
      <c r="G7" s="11" t="s">
        <v>59</v>
      </c>
      <c r="H7" s="11" t="n">
        <f aca="false">COUNTIFS(ARQUIVOS!$A:$A,$B7,ARQUIVOS!$I:$I,"SIM",ARQUIVOS!$J:$J,"Na pasta")</f>
        <v>0</v>
      </c>
      <c r="I7" s="11" t="n">
        <f aca="false">COUNTIFS(ARQUIVOS!$A:$A,$B7,ARQUIVOS!$I:$I,"Recomendada",ARQUIVOS!$J:$J,"Na pasta")</f>
        <v>0</v>
      </c>
      <c r="J7" s="11" t="str">
        <f aca="false">IF(H7&gt;=COUNTIFS(ARQUIVOS!$A:$A,$B7,ARQUIVOS!$I:$I,"SIM"),"SIM","NÃO")</f>
        <v>NÃO</v>
      </c>
      <c r="K7" s="13"/>
    </row>
    <row r="8" customFormat="false" ht="15" hidden="false" customHeight="false" outlineLevel="0" collapsed="false">
      <c r="A8" s="11" t="n">
        <v>5</v>
      </c>
      <c r="B8" s="12" t="s">
        <v>60</v>
      </c>
      <c r="C8" s="11" t="s">
        <v>60</v>
      </c>
      <c r="D8" s="11" t="s">
        <v>61</v>
      </c>
      <c r="E8" s="11" t="s">
        <v>62</v>
      </c>
      <c r="F8" s="11" t="s">
        <v>46</v>
      </c>
      <c r="G8" s="11" t="s">
        <v>63</v>
      </c>
      <c r="H8" s="11" t="n">
        <f aca="false">COUNTIFS(ARQUIVOS!$A:$A,$B8,ARQUIVOS!$I:$I,"SIM",ARQUIVOS!$J:$J,"Na pasta")</f>
        <v>0</v>
      </c>
      <c r="I8" s="11" t="n">
        <f aca="false">COUNTIFS(ARQUIVOS!$A:$A,$B8,ARQUIVOS!$I:$I,"Recomendada",ARQUIVOS!$J:$J,"Na pasta")</f>
        <v>0</v>
      </c>
      <c r="J8" s="11" t="str">
        <f aca="false">IF(H8&gt;=COUNTIFS(ARQUIVOS!$A:$A,$B8,ARQUIVOS!$I:$I,"SIM"),"SIM","NÃO")</f>
        <v>NÃO</v>
      </c>
      <c r="K8" s="13"/>
    </row>
    <row r="9" customFormat="false" ht="15" hidden="false" customHeight="false" outlineLevel="0" collapsed="false">
      <c r="A9" s="11" t="n">
        <v>6</v>
      </c>
      <c r="B9" s="12" t="s">
        <v>64</v>
      </c>
      <c r="C9" s="11" t="s">
        <v>64</v>
      </c>
      <c r="D9" s="11" t="s">
        <v>65</v>
      </c>
      <c r="E9" s="11" t="s">
        <v>66</v>
      </c>
      <c r="F9" s="11" t="s">
        <v>46</v>
      </c>
      <c r="G9" s="11" t="s">
        <v>55</v>
      </c>
      <c r="H9" s="11" t="n">
        <f aca="false">COUNTIFS(ARQUIVOS!$A:$A,$B9,ARQUIVOS!$I:$I,"SIM",ARQUIVOS!$J:$J,"Na pasta")</f>
        <v>0</v>
      </c>
      <c r="I9" s="11" t="n">
        <f aca="false">COUNTIFS(ARQUIVOS!$A:$A,$B9,ARQUIVOS!$I:$I,"Recomendada",ARQUIVOS!$J:$J,"Na pasta")</f>
        <v>0</v>
      </c>
      <c r="J9" s="11" t="str">
        <f aca="false">IF(H9&gt;=COUNTIFS(ARQUIVOS!$A:$A,$B9,ARQUIVOS!$I:$I,"SIM"),"SIM","NÃO")</f>
        <v>NÃO</v>
      </c>
      <c r="K9" s="13"/>
    </row>
    <row r="10" customFormat="false" ht="15" hidden="false" customHeight="false" outlineLevel="0" collapsed="false">
      <c r="A10" s="11" t="n">
        <v>7</v>
      </c>
      <c r="B10" s="12" t="s">
        <v>67</v>
      </c>
      <c r="C10" s="11" t="s">
        <v>67</v>
      </c>
      <c r="D10" s="11" t="s">
        <v>68</v>
      </c>
      <c r="E10" s="11" t="s">
        <v>69</v>
      </c>
      <c r="F10" s="11" t="s">
        <v>46</v>
      </c>
      <c r="G10" s="11" t="s">
        <v>59</v>
      </c>
      <c r="H10" s="11" t="n">
        <f aca="false">COUNTIFS(ARQUIVOS!$A:$A,$B10,ARQUIVOS!$I:$I,"SIM",ARQUIVOS!$J:$J,"Na pasta")</f>
        <v>0</v>
      </c>
      <c r="I10" s="11" t="n">
        <f aca="false">COUNTIFS(ARQUIVOS!$A:$A,$B10,ARQUIVOS!$I:$I,"Recomendada",ARQUIVOS!$J:$J,"Na pasta")</f>
        <v>0</v>
      </c>
      <c r="J10" s="11" t="str">
        <f aca="false">IF(H10&gt;=COUNTIFS(ARQUIVOS!$A:$A,$B10,ARQUIVOS!$I:$I,"SIM"),"SIM","NÃO")</f>
        <v>NÃO</v>
      </c>
      <c r="K10" s="13"/>
    </row>
    <row r="11" customFormat="false" ht="15" hidden="false" customHeight="false" outlineLevel="0" collapsed="false">
      <c r="A11" s="11" t="n">
        <v>8</v>
      </c>
      <c r="B11" s="12" t="s">
        <v>70</v>
      </c>
      <c r="C11" s="11" t="s">
        <v>70</v>
      </c>
      <c r="D11" s="11" t="s">
        <v>71</v>
      </c>
      <c r="E11" s="11" t="s">
        <v>72</v>
      </c>
      <c r="F11" s="11" t="s">
        <v>46</v>
      </c>
      <c r="G11" s="11" t="s">
        <v>63</v>
      </c>
      <c r="H11" s="11" t="n">
        <f aca="false">COUNTIFS(ARQUIVOS!$A:$A,$B11,ARQUIVOS!$I:$I,"SIM",ARQUIVOS!$J:$J,"Na pasta")</f>
        <v>0</v>
      </c>
      <c r="I11" s="11" t="n">
        <f aca="false">COUNTIFS(ARQUIVOS!$A:$A,$B11,ARQUIVOS!$I:$I,"Recomendada",ARQUIVOS!$J:$J,"Na pasta")</f>
        <v>0</v>
      </c>
      <c r="J11" s="11" t="str">
        <f aca="false">IF(H11&gt;=COUNTIFS(ARQUIVOS!$A:$A,$B11,ARQUIVOS!$I:$I,"SIM"),"SIM","NÃO")</f>
        <v>NÃO</v>
      </c>
      <c r="K11" s="13"/>
    </row>
    <row r="12" customFormat="false" ht="15" hidden="false" customHeight="false" outlineLevel="0" collapsed="false">
      <c r="A12" s="11" t="n">
        <v>9</v>
      </c>
      <c r="B12" s="12" t="s">
        <v>73</v>
      </c>
      <c r="C12" s="11" t="s">
        <v>73</v>
      </c>
      <c r="D12" s="11" t="s">
        <v>74</v>
      </c>
      <c r="E12" s="11" t="s">
        <v>75</v>
      </c>
      <c r="F12" s="11" t="s">
        <v>46</v>
      </c>
      <c r="G12" s="11" t="s">
        <v>55</v>
      </c>
      <c r="H12" s="11" t="n">
        <f aca="false">COUNTIFS(ARQUIVOS!$A:$A,$B12,ARQUIVOS!$I:$I,"SIM",ARQUIVOS!$J:$J,"Na pasta")</f>
        <v>0</v>
      </c>
      <c r="I12" s="11" t="n">
        <f aca="false">COUNTIFS(ARQUIVOS!$A:$A,$B12,ARQUIVOS!$I:$I,"Recomendada",ARQUIVOS!$J:$J,"Na pasta")</f>
        <v>0</v>
      </c>
      <c r="J12" s="11" t="str">
        <f aca="false">IF(H12&gt;=COUNTIFS(ARQUIVOS!$A:$A,$B12,ARQUIVOS!$I:$I,"SIM"),"SIM","NÃO")</f>
        <v>NÃO</v>
      </c>
      <c r="K12" s="13"/>
    </row>
    <row r="13" customFormat="false" ht="15" hidden="false" customHeight="false" outlineLevel="0" collapsed="false">
      <c r="A13" s="11" t="n">
        <v>10</v>
      </c>
      <c r="B13" s="12" t="s">
        <v>76</v>
      </c>
      <c r="C13" s="11" t="s">
        <v>76</v>
      </c>
      <c r="D13" s="11" t="s">
        <v>77</v>
      </c>
      <c r="E13" s="11" t="s">
        <v>78</v>
      </c>
      <c r="F13" s="11" t="s">
        <v>46</v>
      </c>
      <c r="G13" s="11" t="s">
        <v>59</v>
      </c>
      <c r="H13" s="11" t="n">
        <f aca="false">COUNTIFS(ARQUIVOS!$A:$A,$B13,ARQUIVOS!$I:$I,"SIM",ARQUIVOS!$J:$J,"Na pasta")</f>
        <v>0</v>
      </c>
      <c r="I13" s="11" t="n">
        <f aca="false">COUNTIFS(ARQUIVOS!$A:$A,$B13,ARQUIVOS!$I:$I,"Recomendada",ARQUIVOS!$J:$J,"Na pasta")</f>
        <v>0</v>
      </c>
      <c r="J13" s="11" t="str">
        <f aca="false">IF(H13&gt;=COUNTIFS(ARQUIVOS!$A:$A,$B13,ARQUIVOS!$I:$I,"SIM"),"SIM","NÃO")</f>
        <v>NÃO</v>
      </c>
      <c r="K13" s="13"/>
    </row>
    <row r="14" customFormat="false" ht="15" hidden="false" customHeight="false" outlineLevel="0" collapsed="false">
      <c r="A14" s="11" t="n">
        <v>11</v>
      </c>
      <c r="B14" s="12" t="s">
        <v>79</v>
      </c>
      <c r="C14" s="11" t="s">
        <v>79</v>
      </c>
      <c r="D14" s="11" t="s">
        <v>80</v>
      </c>
      <c r="E14" s="11" t="s">
        <v>81</v>
      </c>
      <c r="F14" s="11" t="s">
        <v>46</v>
      </c>
      <c r="G14" s="11" t="s">
        <v>63</v>
      </c>
      <c r="H14" s="11" t="n">
        <f aca="false">COUNTIFS(ARQUIVOS!$A:$A,$B14,ARQUIVOS!$I:$I,"SIM",ARQUIVOS!$J:$J,"Na pasta")</f>
        <v>0</v>
      </c>
      <c r="I14" s="11" t="n">
        <f aca="false">COUNTIFS(ARQUIVOS!$A:$A,$B14,ARQUIVOS!$I:$I,"Recomendada",ARQUIVOS!$J:$J,"Na pasta")</f>
        <v>0</v>
      </c>
      <c r="J14" s="11" t="str">
        <f aca="false">IF(H14&gt;=COUNTIFS(ARQUIVOS!$A:$A,$B14,ARQUIVOS!$I:$I,"SIM"),"SIM","NÃO")</f>
        <v>NÃO</v>
      </c>
      <c r="K14" s="13"/>
    </row>
    <row r="15" customFormat="false" ht="15" hidden="false" customHeight="false" outlineLevel="0" collapsed="false">
      <c r="A15" s="11" t="n">
        <v>12</v>
      </c>
      <c r="B15" s="12" t="s">
        <v>82</v>
      </c>
      <c r="C15" s="11" t="s">
        <v>82</v>
      </c>
      <c r="D15" s="11" t="s">
        <v>83</v>
      </c>
      <c r="E15" s="11" t="s">
        <v>84</v>
      </c>
      <c r="F15" s="11" t="s">
        <v>46</v>
      </c>
      <c r="G15" s="11" t="s">
        <v>59</v>
      </c>
      <c r="H15" s="11" t="n">
        <f aca="false">COUNTIFS(ARQUIVOS!$A:$A,$B15,ARQUIVOS!$I:$I,"SIM",ARQUIVOS!$J:$J,"Na pasta")</f>
        <v>0</v>
      </c>
      <c r="I15" s="11" t="n">
        <f aca="false">COUNTIFS(ARQUIVOS!$A:$A,$B15,ARQUIVOS!$I:$I,"Recomendada",ARQUIVOS!$J:$J,"Na pasta")</f>
        <v>0</v>
      </c>
      <c r="J15" s="11" t="str">
        <f aca="false">IF(H15&gt;=COUNTIFS(ARQUIVOS!$A:$A,$B15,ARQUIVOS!$I:$I,"SIM"),"SIM","NÃO")</f>
        <v>NÃO</v>
      </c>
      <c r="K15" s="13"/>
    </row>
    <row r="16" customFormat="false" ht="15" hidden="false" customHeight="false" outlineLevel="0" collapsed="false">
      <c r="A16" s="11" t="n">
        <v>13</v>
      </c>
      <c r="B16" s="12" t="s">
        <v>85</v>
      </c>
      <c r="C16" s="11" t="s">
        <v>85</v>
      </c>
      <c r="D16" s="11" t="s">
        <v>86</v>
      </c>
      <c r="E16" s="11" t="s">
        <v>87</v>
      </c>
      <c r="F16" s="11" t="s">
        <v>46</v>
      </c>
      <c r="G16" s="11" t="s">
        <v>63</v>
      </c>
      <c r="H16" s="11" t="n">
        <f aca="false">COUNTIFS(ARQUIVOS!$A:$A,$B16,ARQUIVOS!$I:$I,"SIM",ARQUIVOS!$J:$J,"Na pasta")</f>
        <v>0</v>
      </c>
      <c r="I16" s="11" t="n">
        <f aca="false">COUNTIFS(ARQUIVOS!$A:$A,$B16,ARQUIVOS!$I:$I,"Recomendada",ARQUIVOS!$J:$J,"Na pasta")</f>
        <v>0</v>
      </c>
      <c r="J16" s="11" t="str">
        <f aca="false">IF(H16&gt;=COUNTIFS(ARQUIVOS!$A:$A,$B16,ARQUIVOS!$I:$I,"SIM"),"SIM","NÃO")</f>
        <v>NÃO</v>
      </c>
      <c r="K16" s="13"/>
    </row>
    <row r="17" customFormat="false" ht="15" hidden="false" customHeight="false" outlineLevel="0" collapsed="false">
      <c r="A17" s="11" t="n">
        <v>14</v>
      </c>
      <c r="B17" s="12" t="s">
        <v>88</v>
      </c>
      <c r="C17" s="11" t="s">
        <v>88</v>
      </c>
      <c r="D17" s="11" t="s">
        <v>89</v>
      </c>
      <c r="E17" s="11" t="s">
        <v>90</v>
      </c>
      <c r="F17" s="11" t="s">
        <v>46</v>
      </c>
      <c r="G17" s="11" t="s">
        <v>91</v>
      </c>
      <c r="H17" s="11" t="n">
        <f aca="false">COUNTIFS(ARQUIVOS!$A:$A,$B17,ARQUIVOS!$I:$I,"SIM",ARQUIVOS!$J:$J,"Na pasta")</f>
        <v>0</v>
      </c>
      <c r="I17" s="11" t="n">
        <f aca="false">COUNTIFS(ARQUIVOS!$A:$A,$B17,ARQUIVOS!$I:$I,"Recomendada",ARQUIVOS!$J:$J,"Na pasta")</f>
        <v>0</v>
      </c>
      <c r="J17" s="11" t="str">
        <f aca="false">IF(H17&gt;=COUNTIFS(ARQUIVOS!$A:$A,$B17,ARQUIVOS!$I:$I,"SIM"),"SIM","NÃO")</f>
        <v>NÃO</v>
      </c>
      <c r="K17" s="13"/>
    </row>
    <row r="18" customFormat="false" ht="15" hidden="false" customHeight="false" outlineLevel="0" collapsed="false">
      <c r="A18" s="11" t="n">
        <v>15</v>
      </c>
      <c r="B18" s="12" t="s">
        <v>92</v>
      </c>
      <c r="C18" s="11" t="s">
        <v>92</v>
      </c>
      <c r="D18" s="11" t="s">
        <v>93</v>
      </c>
      <c r="E18" s="11" t="s">
        <v>94</v>
      </c>
      <c r="F18" s="11" t="s">
        <v>46</v>
      </c>
      <c r="G18" s="11" t="s">
        <v>59</v>
      </c>
      <c r="H18" s="11" t="n">
        <f aca="false">COUNTIFS(ARQUIVOS!$A:$A,$B18,ARQUIVOS!$I:$I,"SIM",ARQUIVOS!$J:$J,"Na pasta")</f>
        <v>0</v>
      </c>
      <c r="I18" s="11" t="n">
        <f aca="false">COUNTIFS(ARQUIVOS!$A:$A,$B18,ARQUIVOS!$I:$I,"Recomendada",ARQUIVOS!$J:$J,"Na pasta")</f>
        <v>0</v>
      </c>
      <c r="J18" s="11" t="str">
        <f aca="false">IF(H18&gt;=COUNTIFS(ARQUIVOS!$A:$A,$B18,ARQUIVOS!$I:$I,"SIM"),"SIM","NÃO")</f>
        <v>NÃO</v>
      </c>
      <c r="K18" s="13"/>
    </row>
    <row r="19" customFormat="false" ht="15" hidden="false" customHeight="false" outlineLevel="0" collapsed="false">
      <c r="A19" s="11" t="n">
        <v>16</v>
      </c>
      <c r="B19" s="12" t="s">
        <v>95</v>
      </c>
      <c r="C19" s="11" t="s">
        <v>96</v>
      </c>
      <c r="D19" s="11" t="s">
        <v>97</v>
      </c>
      <c r="E19" s="11" t="s">
        <v>98</v>
      </c>
      <c r="F19" s="11" t="s">
        <v>46</v>
      </c>
      <c r="G19" s="11" t="s">
        <v>47</v>
      </c>
      <c r="H19" s="11" t="n">
        <f aca="false">COUNTIFS(ARQUIVOS!$A:$A,$B19,ARQUIVOS!$I:$I,"SIM",ARQUIVOS!$J:$J,"Na pasta")</f>
        <v>0</v>
      </c>
      <c r="I19" s="11" t="n">
        <f aca="false">COUNTIFS(ARQUIVOS!$A:$A,$B19,ARQUIVOS!$I:$I,"Recomendada",ARQUIVOS!$J:$J,"Na pasta")</f>
        <v>0</v>
      </c>
      <c r="J19" s="11" t="str">
        <f aca="false">IF(H19&gt;=COUNTIFS(ARQUIVOS!$A:$A,$B19,ARQUIVOS!$I:$I,"SIM"),"SIM","NÃO")</f>
        <v>NÃO</v>
      </c>
      <c r="K19" s="13"/>
    </row>
    <row r="20" customFormat="false" ht="15" hidden="false" customHeight="false" outlineLevel="0" collapsed="false">
      <c r="A20" s="11" t="n">
        <v>17</v>
      </c>
      <c r="B20" s="12" t="s">
        <v>99</v>
      </c>
      <c r="C20" s="11" t="s">
        <v>100</v>
      </c>
      <c r="D20" s="11" t="s">
        <v>101</v>
      </c>
      <c r="E20" s="11" t="s">
        <v>102</v>
      </c>
      <c r="F20" s="11" t="s">
        <v>46</v>
      </c>
      <c r="G20" s="11" t="s">
        <v>59</v>
      </c>
      <c r="H20" s="11" t="n">
        <f aca="false">COUNTIFS(ARQUIVOS!$A:$A,$B20,ARQUIVOS!$I:$I,"SIM",ARQUIVOS!$J:$J,"Na pasta")</f>
        <v>0</v>
      </c>
      <c r="I20" s="11" t="n">
        <f aca="false">COUNTIFS(ARQUIVOS!$A:$A,$B20,ARQUIVOS!$I:$I,"Recomendada",ARQUIVOS!$J:$J,"Na pasta")</f>
        <v>0</v>
      </c>
      <c r="J20" s="11" t="str">
        <f aca="false">IF(H20&gt;=COUNTIFS(ARQUIVOS!$A:$A,$B20,ARQUIVOS!$I:$I,"SIM"),"SIM","NÃO")</f>
        <v>NÃO</v>
      </c>
      <c r="K20" s="13"/>
    </row>
    <row r="21" customFormat="false" ht="15" hidden="false" customHeight="false" outlineLevel="0" collapsed="false">
      <c r="A21" s="11" t="n">
        <v>18</v>
      </c>
      <c r="B21" s="12" t="s">
        <v>103</v>
      </c>
      <c r="C21" s="11" t="s">
        <v>104</v>
      </c>
      <c r="D21" s="11" t="s">
        <v>105</v>
      </c>
      <c r="E21" s="11" t="s">
        <v>106</v>
      </c>
      <c r="F21" s="11" t="s">
        <v>46</v>
      </c>
      <c r="G21" s="11" t="s">
        <v>47</v>
      </c>
      <c r="H21" s="11" t="n">
        <f aca="false">COUNTIFS(ARQUIVOS!$A:$A,$B21,ARQUIVOS!$I:$I,"SIM",ARQUIVOS!$J:$J,"Na pasta")</f>
        <v>0</v>
      </c>
      <c r="I21" s="11" t="n">
        <f aca="false">COUNTIFS(ARQUIVOS!$A:$A,$B21,ARQUIVOS!$I:$I,"Recomendada",ARQUIVOS!$J:$J,"Na pasta")</f>
        <v>0</v>
      </c>
      <c r="J21" s="11" t="str">
        <f aca="false">IF(H21&gt;=COUNTIFS(ARQUIVOS!$A:$A,$B21,ARQUIVOS!$I:$I,"SIM"),"SIM","NÃO")</f>
        <v>NÃO</v>
      </c>
      <c r="K21" s="13"/>
    </row>
    <row r="22" customFormat="false" ht="15" hidden="false" customHeight="false" outlineLevel="0" collapsed="false">
      <c r="A22" s="11" t="n">
        <v>19</v>
      </c>
      <c r="B22" s="12" t="s">
        <v>107</v>
      </c>
      <c r="C22" s="11" t="s">
        <v>108</v>
      </c>
      <c r="D22" s="11" t="s">
        <v>109</v>
      </c>
      <c r="E22" s="11" t="s">
        <v>110</v>
      </c>
      <c r="F22" s="11" t="s">
        <v>46</v>
      </c>
      <c r="G22" s="11" t="s">
        <v>59</v>
      </c>
      <c r="H22" s="11" t="n">
        <f aca="false">COUNTIFS(ARQUIVOS!$A:$A,$B22,ARQUIVOS!$I:$I,"SIM",ARQUIVOS!$J:$J,"Na pasta")</f>
        <v>0</v>
      </c>
      <c r="I22" s="11" t="n">
        <f aca="false">COUNTIFS(ARQUIVOS!$A:$A,$B22,ARQUIVOS!$I:$I,"Recomendada",ARQUIVOS!$J:$J,"Na pasta")</f>
        <v>0</v>
      </c>
      <c r="J22" s="11" t="str">
        <f aca="false">IF(H22&gt;=COUNTIFS(ARQUIVOS!$A:$A,$B22,ARQUIVOS!$I:$I,"SIM"),"SIM","NÃO")</f>
        <v>NÃO</v>
      </c>
      <c r="K22" s="13"/>
    </row>
    <row r="23" customFormat="false" ht="15" hidden="false" customHeight="false" outlineLevel="0" collapsed="false">
      <c r="A23" s="11" t="n">
        <v>20</v>
      </c>
      <c r="B23" s="12" t="s">
        <v>111</v>
      </c>
      <c r="C23" s="11" t="s">
        <v>112</v>
      </c>
      <c r="D23" s="11" t="s">
        <v>113</v>
      </c>
      <c r="E23" s="11" t="s">
        <v>114</v>
      </c>
      <c r="F23" s="11" t="s">
        <v>46</v>
      </c>
      <c r="G23" s="11" t="s">
        <v>47</v>
      </c>
      <c r="H23" s="11" t="n">
        <f aca="false">COUNTIFS(ARQUIVOS!$A:$A,$B23,ARQUIVOS!$I:$I,"SIM",ARQUIVOS!$J:$J,"Na pasta")</f>
        <v>0</v>
      </c>
      <c r="I23" s="11" t="n">
        <f aca="false">COUNTIFS(ARQUIVOS!$A:$A,$B23,ARQUIVOS!$I:$I,"Recomendada",ARQUIVOS!$J:$J,"Na pasta")</f>
        <v>0</v>
      </c>
      <c r="J23" s="11" t="str">
        <f aca="false">IF(H23&gt;=COUNTIFS(ARQUIVOS!$A:$A,$B23,ARQUIVOS!$I:$I,"SIM"),"SIM","NÃO")</f>
        <v>NÃO</v>
      </c>
      <c r="K23" s="13"/>
    </row>
    <row r="24" customFormat="false" ht="15" hidden="false" customHeight="false" outlineLevel="0" collapsed="false">
      <c r="A24" s="11" t="n">
        <v>21</v>
      </c>
      <c r="B24" s="12" t="s">
        <v>115</v>
      </c>
      <c r="C24" s="11" t="s">
        <v>116</v>
      </c>
      <c r="D24" s="11" t="s">
        <v>117</v>
      </c>
      <c r="E24" s="11" t="s">
        <v>118</v>
      </c>
      <c r="F24" s="11" t="s">
        <v>46</v>
      </c>
      <c r="G24" s="11" t="s">
        <v>59</v>
      </c>
      <c r="H24" s="11" t="n">
        <f aca="false">COUNTIFS(ARQUIVOS!$A:$A,$B24,ARQUIVOS!$I:$I,"SIM",ARQUIVOS!$J:$J,"Na pasta")</f>
        <v>0</v>
      </c>
      <c r="I24" s="11" t="n">
        <f aca="false">COUNTIFS(ARQUIVOS!$A:$A,$B24,ARQUIVOS!$I:$I,"Recomendada",ARQUIVOS!$J:$J,"Na pasta")</f>
        <v>0</v>
      </c>
      <c r="J24" s="11" t="str">
        <f aca="false">IF(H24&gt;=COUNTIFS(ARQUIVOS!$A:$A,$B24,ARQUIVOS!$I:$I,"SIM"),"SIM","NÃO")</f>
        <v>NÃO</v>
      </c>
      <c r="K24" s="13"/>
    </row>
    <row r="25" customFormat="false" ht="15" hidden="false" customHeight="false" outlineLevel="0" collapsed="false">
      <c r="A25" s="11" t="n">
        <v>22</v>
      </c>
      <c r="B25" s="12" t="s">
        <v>119</v>
      </c>
      <c r="C25" s="11" t="s">
        <v>120</v>
      </c>
      <c r="D25" s="11" t="s">
        <v>121</v>
      </c>
      <c r="E25" s="11" t="s">
        <v>122</v>
      </c>
      <c r="F25" s="11" t="s">
        <v>46</v>
      </c>
      <c r="G25" s="11" t="s">
        <v>47</v>
      </c>
      <c r="H25" s="11" t="n">
        <f aca="false">COUNTIFS(ARQUIVOS!$A:$A,$B25,ARQUIVOS!$I:$I,"SIM",ARQUIVOS!$J:$J,"Na pasta")</f>
        <v>0</v>
      </c>
      <c r="I25" s="11" t="n">
        <f aca="false">COUNTIFS(ARQUIVOS!$A:$A,$B25,ARQUIVOS!$I:$I,"Recomendada",ARQUIVOS!$J:$J,"Na pasta")</f>
        <v>0</v>
      </c>
      <c r="J25" s="11" t="str">
        <f aca="false">IF(H25&gt;=COUNTIFS(ARQUIVOS!$A:$A,$B25,ARQUIVOS!$I:$I,"SIM"),"SIM","NÃO")</f>
        <v>NÃO</v>
      </c>
      <c r="K25" s="13"/>
    </row>
    <row r="26" customFormat="false" ht="15" hidden="false" customHeight="false" outlineLevel="0" collapsed="false">
      <c r="A26" s="11" t="n">
        <v>23</v>
      </c>
      <c r="B26" s="12" t="s">
        <v>123</v>
      </c>
      <c r="C26" s="11" t="s">
        <v>124</v>
      </c>
      <c r="D26" s="11" t="s">
        <v>125</v>
      </c>
      <c r="E26" s="11" t="s">
        <v>126</v>
      </c>
      <c r="F26" s="11" t="s">
        <v>46</v>
      </c>
      <c r="G26" s="11" t="s">
        <v>59</v>
      </c>
      <c r="H26" s="11" t="n">
        <f aca="false">COUNTIFS(ARQUIVOS!$A:$A,$B26,ARQUIVOS!$I:$I,"SIM",ARQUIVOS!$J:$J,"Na pasta")</f>
        <v>0</v>
      </c>
      <c r="I26" s="11" t="n">
        <f aca="false">COUNTIFS(ARQUIVOS!$A:$A,$B26,ARQUIVOS!$I:$I,"Recomendada",ARQUIVOS!$J:$J,"Na pasta")</f>
        <v>0</v>
      </c>
      <c r="J26" s="11" t="str">
        <f aca="false">IF(H26&gt;=COUNTIFS(ARQUIVOS!$A:$A,$B26,ARQUIVOS!$I:$I,"SIM"),"SIM","NÃO")</f>
        <v>NÃO</v>
      </c>
      <c r="K26" s="13"/>
    </row>
    <row r="27" customFormat="false" ht="15" hidden="false" customHeight="false" outlineLevel="0" collapsed="false">
      <c r="A27" s="11" t="n">
        <v>24</v>
      </c>
      <c r="B27" s="12" t="s">
        <v>127</v>
      </c>
      <c r="C27" s="11" t="s">
        <v>128</v>
      </c>
      <c r="D27" s="11" t="s">
        <v>129</v>
      </c>
      <c r="E27" s="11" t="s">
        <v>130</v>
      </c>
      <c r="F27" s="11" t="s">
        <v>46</v>
      </c>
      <c r="G27" s="11" t="s">
        <v>91</v>
      </c>
      <c r="H27" s="11" t="n">
        <f aca="false">COUNTIFS(ARQUIVOS!$A:$A,$B27,ARQUIVOS!$I:$I,"SIM",ARQUIVOS!$J:$J,"Na pasta")</f>
        <v>0</v>
      </c>
      <c r="I27" s="11" t="n">
        <f aca="false">COUNTIFS(ARQUIVOS!$A:$A,$B27,ARQUIVOS!$I:$I,"Recomendada",ARQUIVOS!$J:$J,"Na pasta")</f>
        <v>0</v>
      </c>
      <c r="J27" s="11" t="str">
        <f aca="false">IF(H27&gt;=COUNTIFS(ARQUIVOS!$A:$A,$B27,ARQUIVOS!$I:$I,"SIM"),"SIM","NÃO")</f>
        <v>NÃO</v>
      </c>
      <c r="K27" s="13"/>
    </row>
    <row r="28" customFormat="false" ht="15" hidden="false" customHeight="false" outlineLevel="0" collapsed="false">
      <c r="A28" s="11" t="n">
        <v>25</v>
      </c>
      <c r="B28" s="12" t="s">
        <v>131</v>
      </c>
      <c r="C28" s="11" t="s">
        <v>132</v>
      </c>
      <c r="D28" s="11" t="s">
        <v>133</v>
      </c>
      <c r="E28" s="11" t="s">
        <v>134</v>
      </c>
      <c r="F28" s="11" t="s">
        <v>46</v>
      </c>
      <c r="G28" s="11" t="s">
        <v>59</v>
      </c>
      <c r="H28" s="11" t="n">
        <f aca="false">COUNTIFS(ARQUIVOS!$A:$A,$B28,ARQUIVOS!$I:$I,"SIM",ARQUIVOS!$J:$J,"Na pasta")</f>
        <v>0</v>
      </c>
      <c r="I28" s="11" t="n">
        <f aca="false">COUNTIFS(ARQUIVOS!$A:$A,$B28,ARQUIVOS!$I:$I,"Recomendada",ARQUIVOS!$J:$J,"Na pasta")</f>
        <v>0</v>
      </c>
      <c r="J28" s="11" t="str">
        <f aca="false">IF(H28&gt;=COUNTIFS(ARQUIVOS!$A:$A,$B28,ARQUIVOS!$I:$I,"SIM"),"SIM","NÃO")</f>
        <v>NÃO</v>
      </c>
      <c r="K28" s="13"/>
    </row>
    <row r="29" customFormat="false" ht="15" hidden="false" customHeight="false" outlineLevel="0" collapsed="false">
      <c r="A29" s="11" t="n">
        <v>26</v>
      </c>
      <c r="B29" s="12" t="s">
        <v>135</v>
      </c>
      <c r="C29" s="11" t="s">
        <v>136</v>
      </c>
      <c r="D29" s="11" t="s">
        <v>137</v>
      </c>
      <c r="E29" s="11" t="s">
        <v>138</v>
      </c>
      <c r="F29" s="11" t="s">
        <v>46</v>
      </c>
      <c r="G29" s="11" t="s">
        <v>91</v>
      </c>
      <c r="H29" s="11" t="n">
        <f aca="false">COUNTIFS(ARQUIVOS!$A:$A,$B29,ARQUIVOS!$I:$I,"SIM",ARQUIVOS!$J:$J,"Na pasta")</f>
        <v>0</v>
      </c>
      <c r="I29" s="11" t="n">
        <f aca="false">COUNTIFS(ARQUIVOS!$A:$A,$B29,ARQUIVOS!$I:$I,"Recomendada",ARQUIVOS!$J:$J,"Na pasta")</f>
        <v>0</v>
      </c>
      <c r="J29" s="11" t="str">
        <f aca="false">IF(H29&gt;=COUNTIFS(ARQUIVOS!$A:$A,$B29,ARQUIVOS!$I:$I,"SIM"),"SIM","NÃO")</f>
        <v>NÃO</v>
      </c>
      <c r="K29" s="13"/>
    </row>
    <row r="30" customFormat="false" ht="15" hidden="false" customHeight="false" outlineLevel="0" collapsed="false">
      <c r="A30" s="11" t="n">
        <v>27</v>
      </c>
      <c r="B30" s="12" t="s">
        <v>139</v>
      </c>
      <c r="C30" s="11" t="s">
        <v>140</v>
      </c>
      <c r="D30" s="11" t="s">
        <v>141</v>
      </c>
      <c r="E30" s="11" t="s">
        <v>142</v>
      </c>
      <c r="F30" s="11" t="s">
        <v>46</v>
      </c>
      <c r="G30" s="11" t="s">
        <v>59</v>
      </c>
      <c r="H30" s="11" t="n">
        <f aca="false">COUNTIFS(ARQUIVOS!$A:$A,$B30,ARQUIVOS!$I:$I,"SIM",ARQUIVOS!$J:$J,"Na pasta")</f>
        <v>0</v>
      </c>
      <c r="I30" s="11" t="n">
        <f aca="false">COUNTIFS(ARQUIVOS!$A:$A,$B30,ARQUIVOS!$I:$I,"Recomendada",ARQUIVOS!$J:$J,"Na pasta")</f>
        <v>0</v>
      </c>
      <c r="J30" s="11" t="str">
        <f aca="false">IF(H30&gt;=COUNTIFS(ARQUIVOS!$A:$A,$B30,ARQUIVOS!$I:$I,"SIM"),"SIM","NÃO")</f>
        <v>NÃO</v>
      </c>
      <c r="K30" s="13"/>
    </row>
    <row r="31" customFormat="false" ht="15" hidden="false" customHeight="false" outlineLevel="0" collapsed="false">
      <c r="A31" s="11" t="n">
        <v>28</v>
      </c>
      <c r="B31" s="12" t="s">
        <v>143</v>
      </c>
      <c r="C31" s="11" t="s">
        <v>144</v>
      </c>
      <c r="D31" s="11" t="s">
        <v>145</v>
      </c>
      <c r="E31" s="11" t="s">
        <v>146</v>
      </c>
      <c r="F31" s="11" t="s">
        <v>46</v>
      </c>
      <c r="G31" s="11" t="s">
        <v>91</v>
      </c>
      <c r="H31" s="11" t="n">
        <f aca="false">COUNTIFS(ARQUIVOS!$A:$A,$B31,ARQUIVOS!$I:$I,"SIM",ARQUIVOS!$J:$J,"Na pasta")</f>
        <v>0</v>
      </c>
      <c r="I31" s="11" t="n">
        <f aca="false">COUNTIFS(ARQUIVOS!$A:$A,$B31,ARQUIVOS!$I:$I,"Recomendada",ARQUIVOS!$J:$J,"Na pasta")</f>
        <v>0</v>
      </c>
      <c r="J31" s="11" t="str">
        <f aca="false">IF(H31&gt;=COUNTIFS(ARQUIVOS!$A:$A,$B31,ARQUIVOS!$I:$I,"SIM"),"SIM","NÃO")</f>
        <v>NÃO</v>
      </c>
      <c r="K31" s="13"/>
    </row>
    <row r="32" customFormat="false" ht="15" hidden="false" customHeight="false" outlineLevel="0" collapsed="false">
      <c r="A32" s="11" t="n">
        <v>29</v>
      </c>
      <c r="B32" s="12" t="s">
        <v>147</v>
      </c>
      <c r="C32" s="11" t="s">
        <v>148</v>
      </c>
      <c r="D32" s="11" t="s">
        <v>149</v>
      </c>
      <c r="E32" s="11" t="s">
        <v>150</v>
      </c>
      <c r="F32" s="11" t="s">
        <v>46</v>
      </c>
      <c r="G32" s="11" t="s">
        <v>59</v>
      </c>
      <c r="H32" s="11" t="n">
        <f aca="false">COUNTIFS(ARQUIVOS!$A:$A,$B32,ARQUIVOS!$I:$I,"SIM",ARQUIVOS!$J:$J,"Na pasta")</f>
        <v>0</v>
      </c>
      <c r="I32" s="11" t="n">
        <f aca="false">COUNTIFS(ARQUIVOS!$A:$A,$B32,ARQUIVOS!$I:$I,"Recomendada",ARQUIVOS!$J:$J,"Na pasta")</f>
        <v>0</v>
      </c>
      <c r="J32" s="11" t="str">
        <f aca="false">IF(H32&gt;=COUNTIFS(ARQUIVOS!$A:$A,$B32,ARQUIVOS!$I:$I,"SIM"),"SIM","NÃO")</f>
        <v>NÃO</v>
      </c>
      <c r="K32" s="13"/>
    </row>
    <row r="33" customFormat="false" ht="15" hidden="false" customHeight="false" outlineLevel="0" collapsed="false">
      <c r="A33" s="11" t="n">
        <v>30</v>
      </c>
      <c r="B33" s="12" t="s">
        <v>151</v>
      </c>
      <c r="C33" s="11" t="s">
        <v>152</v>
      </c>
      <c r="D33" s="11" t="s">
        <v>153</v>
      </c>
      <c r="E33" s="11" t="s">
        <v>154</v>
      </c>
      <c r="F33" s="11" t="s">
        <v>46</v>
      </c>
      <c r="G33" s="11" t="s">
        <v>155</v>
      </c>
      <c r="H33" s="11" t="n">
        <f aca="false">COUNTIFS(ARQUIVOS!$A:$A,$B33,ARQUIVOS!$I:$I,"SIM",ARQUIVOS!$J:$J,"Na pasta")</f>
        <v>0</v>
      </c>
      <c r="I33" s="11" t="n">
        <f aca="false">COUNTIFS(ARQUIVOS!$A:$A,$B33,ARQUIVOS!$I:$I,"Recomendada",ARQUIVOS!$J:$J,"Na pasta")</f>
        <v>0</v>
      </c>
      <c r="J33" s="11" t="str">
        <f aca="false">IF(H33&gt;=COUNTIFS(ARQUIVOS!$A:$A,$B33,ARQUIVOS!$I:$I,"SIM"),"SIM","NÃO")</f>
        <v>NÃO</v>
      </c>
      <c r="K33" s="13"/>
    </row>
    <row r="34" customFormat="false" ht="15" hidden="false" customHeight="false" outlineLevel="0" collapsed="false">
      <c r="A34" s="11" t="n">
        <v>31</v>
      </c>
      <c r="B34" s="12" t="s">
        <v>156</v>
      </c>
      <c r="C34" s="11" t="s">
        <v>157</v>
      </c>
      <c r="D34" s="11" t="s">
        <v>158</v>
      </c>
      <c r="E34" s="11" t="s">
        <v>159</v>
      </c>
      <c r="F34" s="11" t="s">
        <v>46</v>
      </c>
      <c r="G34" s="11" t="s">
        <v>59</v>
      </c>
      <c r="H34" s="11" t="n">
        <f aca="false">COUNTIFS(ARQUIVOS!$A:$A,$B34,ARQUIVOS!$I:$I,"SIM",ARQUIVOS!$J:$J,"Na pasta")</f>
        <v>0</v>
      </c>
      <c r="I34" s="11" t="n">
        <f aca="false">COUNTIFS(ARQUIVOS!$A:$A,$B34,ARQUIVOS!$I:$I,"Recomendada",ARQUIVOS!$J:$J,"Na pasta")</f>
        <v>0</v>
      </c>
      <c r="J34" s="11" t="str">
        <f aca="false">IF(H34&gt;=COUNTIFS(ARQUIVOS!$A:$A,$B34,ARQUIVOS!$I:$I,"SIM"),"SIM","NÃO")</f>
        <v>NÃO</v>
      </c>
      <c r="K34" s="13"/>
    </row>
    <row r="35" customFormat="false" ht="15" hidden="false" customHeight="false" outlineLevel="0" collapsed="false">
      <c r="A35" s="11" t="n">
        <v>32</v>
      </c>
      <c r="B35" s="12" t="s">
        <v>160</v>
      </c>
      <c r="C35" s="11" t="s">
        <v>161</v>
      </c>
      <c r="D35" s="11" t="s">
        <v>162</v>
      </c>
      <c r="E35" s="11" t="s">
        <v>163</v>
      </c>
      <c r="F35" s="11" t="s">
        <v>46</v>
      </c>
      <c r="G35" s="11" t="s">
        <v>59</v>
      </c>
      <c r="H35" s="11" t="n">
        <f aca="false">COUNTIFS(ARQUIVOS!$A:$A,$B35,ARQUIVOS!$I:$I,"SIM",ARQUIVOS!$J:$J,"Na pasta")</f>
        <v>0</v>
      </c>
      <c r="I35" s="11" t="n">
        <f aca="false">COUNTIFS(ARQUIVOS!$A:$A,$B35,ARQUIVOS!$I:$I,"Recomendada",ARQUIVOS!$J:$J,"Na pasta")</f>
        <v>0</v>
      </c>
      <c r="J35" s="11" t="str">
        <f aca="false">IF(H35&gt;=COUNTIFS(ARQUIVOS!$A:$A,$B35,ARQUIVOS!$I:$I,"SIM"),"SIM","NÃO")</f>
        <v>NÃO</v>
      </c>
      <c r="K35" s="13"/>
    </row>
    <row r="36" customFormat="false" ht="15" hidden="false" customHeight="false" outlineLevel="0" collapsed="false">
      <c r="A36" s="11" t="n">
        <v>33</v>
      </c>
      <c r="B36" s="12" t="s">
        <v>164</v>
      </c>
      <c r="C36" s="11" t="s">
        <v>165</v>
      </c>
      <c r="D36" s="11" t="s">
        <v>166</v>
      </c>
      <c r="E36" s="11" t="s">
        <v>167</v>
      </c>
      <c r="F36" s="11" t="s">
        <v>46</v>
      </c>
      <c r="G36" s="11" t="s">
        <v>59</v>
      </c>
      <c r="H36" s="11" t="n">
        <f aca="false">COUNTIFS(ARQUIVOS!$A:$A,$B36,ARQUIVOS!$I:$I,"SIM",ARQUIVOS!$J:$J,"Na pasta")</f>
        <v>0</v>
      </c>
      <c r="I36" s="11" t="n">
        <f aca="false">COUNTIFS(ARQUIVOS!$A:$A,$B36,ARQUIVOS!$I:$I,"Recomendada",ARQUIVOS!$J:$J,"Na pasta")</f>
        <v>0</v>
      </c>
      <c r="J36" s="11" t="str">
        <f aca="false">IF(H36&gt;=COUNTIFS(ARQUIVOS!$A:$A,$B36,ARQUIVOS!$I:$I,"SIM"),"SIM","NÃO")</f>
        <v>NÃO</v>
      </c>
      <c r="K36" s="13"/>
    </row>
    <row r="37" customFormat="false" ht="15" hidden="false" customHeight="false" outlineLevel="0" collapsed="false">
      <c r="A37" s="11" t="n">
        <v>34</v>
      </c>
      <c r="B37" s="12" t="s">
        <v>168</v>
      </c>
      <c r="C37" s="11" t="s">
        <v>169</v>
      </c>
      <c r="D37" s="11" t="s">
        <v>170</v>
      </c>
      <c r="E37" s="11" t="s">
        <v>171</v>
      </c>
      <c r="F37" s="11" t="s">
        <v>46</v>
      </c>
      <c r="G37" s="11" t="s">
        <v>172</v>
      </c>
      <c r="H37" s="11" t="n">
        <f aca="false">COUNTIFS(ARQUIVOS!$A:$A,$B37,ARQUIVOS!$I:$I,"SIM",ARQUIVOS!$J:$J,"Na pasta")</f>
        <v>0</v>
      </c>
      <c r="I37" s="11" t="n">
        <f aca="false">COUNTIFS(ARQUIVOS!$A:$A,$B37,ARQUIVOS!$I:$I,"Recomendada",ARQUIVOS!$J:$J,"Na pasta")</f>
        <v>0</v>
      </c>
      <c r="J37" s="11" t="str">
        <f aca="false">IF(H37&gt;=COUNTIFS(ARQUIVOS!$A:$A,$B37,ARQUIVOS!$I:$I,"SIM"),"SIM","NÃO")</f>
        <v>NÃO</v>
      </c>
      <c r="K37" s="13"/>
    </row>
    <row r="38" customFormat="false" ht="15" hidden="false" customHeight="false" outlineLevel="0" collapsed="false">
      <c r="A38" s="11" t="n">
        <v>35</v>
      </c>
      <c r="B38" s="12" t="s">
        <v>173</v>
      </c>
      <c r="C38" s="11" t="s">
        <v>174</v>
      </c>
      <c r="D38" s="11" t="s">
        <v>175</v>
      </c>
      <c r="E38" s="11" t="s">
        <v>176</v>
      </c>
      <c r="F38" s="11" t="s">
        <v>46</v>
      </c>
      <c r="G38" s="11" t="s">
        <v>172</v>
      </c>
      <c r="H38" s="11" t="n">
        <f aca="false">COUNTIFS(ARQUIVOS!$A:$A,$B38,ARQUIVOS!$I:$I,"SIM",ARQUIVOS!$J:$J,"Na pasta")</f>
        <v>0</v>
      </c>
      <c r="I38" s="11" t="n">
        <f aca="false">COUNTIFS(ARQUIVOS!$A:$A,$B38,ARQUIVOS!$I:$I,"Recomendada",ARQUIVOS!$J:$J,"Na pasta")</f>
        <v>0</v>
      </c>
      <c r="J38" s="11" t="str">
        <f aca="false">IF(H38&gt;=COUNTIFS(ARQUIVOS!$A:$A,$B38,ARQUIVOS!$I:$I,"SIM"),"SIM","NÃO")</f>
        <v>NÃO</v>
      </c>
      <c r="K38" s="13"/>
    </row>
    <row r="39" customFormat="false" ht="15" hidden="false" customHeight="false" outlineLevel="0" collapsed="false">
      <c r="A39" s="11" t="n">
        <v>36</v>
      </c>
      <c r="B39" s="12" t="s">
        <v>177</v>
      </c>
      <c r="C39" s="11" t="s">
        <v>178</v>
      </c>
      <c r="D39" s="11" t="s">
        <v>179</v>
      </c>
      <c r="E39" s="11" t="s">
        <v>180</v>
      </c>
      <c r="F39" s="11" t="s">
        <v>46</v>
      </c>
      <c r="G39" s="11" t="s">
        <v>172</v>
      </c>
      <c r="H39" s="11" t="n">
        <f aca="false">COUNTIFS(ARQUIVOS!$A:$A,$B39,ARQUIVOS!$I:$I,"SIM",ARQUIVOS!$J:$J,"Na pasta")</f>
        <v>0</v>
      </c>
      <c r="I39" s="11" t="n">
        <f aca="false">COUNTIFS(ARQUIVOS!$A:$A,$B39,ARQUIVOS!$I:$I,"Recomendada",ARQUIVOS!$J:$J,"Na pasta")</f>
        <v>0</v>
      </c>
      <c r="J39" s="11" t="str">
        <f aca="false">IF(H39&gt;=COUNTIFS(ARQUIVOS!$A:$A,$B39,ARQUIVOS!$I:$I,"SIM"),"SIM","NÃO")</f>
        <v>NÃO</v>
      </c>
      <c r="K39" s="13"/>
    </row>
    <row r="40" customFormat="false" ht="15" hidden="false" customHeight="false" outlineLevel="0" collapsed="false">
      <c r="A40" s="11" t="n">
        <v>37</v>
      </c>
      <c r="B40" s="12" t="s">
        <v>181</v>
      </c>
      <c r="C40" s="11" t="s">
        <v>182</v>
      </c>
      <c r="D40" s="11" t="s">
        <v>183</v>
      </c>
      <c r="E40" s="11" t="s">
        <v>184</v>
      </c>
      <c r="F40" s="11" t="s">
        <v>46</v>
      </c>
      <c r="G40" s="11" t="s">
        <v>172</v>
      </c>
      <c r="H40" s="11" t="n">
        <f aca="false">COUNTIFS(ARQUIVOS!$A:$A,$B40,ARQUIVOS!$I:$I,"SIM",ARQUIVOS!$J:$J,"Na pasta")</f>
        <v>0</v>
      </c>
      <c r="I40" s="11" t="n">
        <f aca="false">COUNTIFS(ARQUIVOS!$A:$A,$B40,ARQUIVOS!$I:$I,"Recomendada",ARQUIVOS!$J:$J,"Na pasta")</f>
        <v>0</v>
      </c>
      <c r="J40" s="11" t="str">
        <f aca="false">IF(H40&gt;=COUNTIFS(ARQUIVOS!$A:$A,$B40,ARQUIVOS!$I:$I,"SIM"),"SIM","NÃO")</f>
        <v>NÃO</v>
      </c>
      <c r="K40" s="13"/>
    </row>
    <row r="41" customFormat="false" ht="15" hidden="false" customHeight="false" outlineLevel="0" collapsed="false">
      <c r="A41" s="11" t="n">
        <v>38</v>
      </c>
      <c r="B41" s="12" t="s">
        <v>185</v>
      </c>
      <c r="C41" s="11" t="s">
        <v>186</v>
      </c>
      <c r="D41" s="11" t="s">
        <v>187</v>
      </c>
      <c r="E41" s="11" t="s">
        <v>188</v>
      </c>
      <c r="F41" s="11" t="s">
        <v>189</v>
      </c>
      <c r="G41" s="11" t="s">
        <v>190</v>
      </c>
      <c r="H41" s="11" t="n">
        <f aca="false">COUNTIFS(ARQUIVOS!$A:$A,$B41,ARQUIVOS!$I:$I,"SIM",ARQUIVOS!$J:$J,"Na pasta")</f>
        <v>0</v>
      </c>
      <c r="I41" s="11" t="n">
        <f aca="false">COUNTIFS(ARQUIVOS!$A:$A,$B41,ARQUIVOS!$I:$I,"Recomendada",ARQUIVOS!$J:$J,"Na pasta")</f>
        <v>0</v>
      </c>
      <c r="J41" s="11" t="str">
        <f aca="false">IF(H41&gt;=COUNTIFS(ARQUIVOS!$A:$A,$B41,ARQUIVOS!$I:$I,"SIM"),"SIM","NÃO")</f>
        <v>NÃO</v>
      </c>
      <c r="K41" s="13"/>
    </row>
    <row r="42" customFormat="false" ht="15" hidden="false" customHeight="false" outlineLevel="0" collapsed="false">
      <c r="A42" s="11" t="n">
        <v>39</v>
      </c>
      <c r="B42" s="12" t="s">
        <v>191</v>
      </c>
      <c r="C42" s="11" t="s">
        <v>192</v>
      </c>
      <c r="D42" s="11" t="s">
        <v>193</v>
      </c>
      <c r="E42" s="11" t="s">
        <v>194</v>
      </c>
      <c r="F42" s="11" t="s">
        <v>189</v>
      </c>
      <c r="G42" s="11" t="s">
        <v>195</v>
      </c>
      <c r="H42" s="11" t="n">
        <f aca="false">COUNTIFS(ARQUIVOS!$A:$A,$B42,ARQUIVOS!$I:$I,"SIM",ARQUIVOS!$J:$J,"Na pasta")</f>
        <v>0</v>
      </c>
      <c r="I42" s="11" t="n">
        <f aca="false">COUNTIFS(ARQUIVOS!$A:$A,$B42,ARQUIVOS!$I:$I,"Recomendada",ARQUIVOS!$J:$J,"Na pasta")</f>
        <v>0</v>
      </c>
      <c r="J42" s="11" t="str">
        <f aca="false">IF(H42&gt;=COUNTIFS(ARQUIVOS!$A:$A,$B42,ARQUIVOS!$I:$I,"SIM"),"SIM","NÃO")</f>
        <v>NÃO</v>
      </c>
      <c r="K42" s="13"/>
    </row>
    <row r="43" customFormat="false" ht="15" hidden="false" customHeight="false" outlineLevel="0" collapsed="false">
      <c r="A43" s="11" t="n">
        <v>40</v>
      </c>
      <c r="B43" s="12" t="s">
        <v>196</v>
      </c>
      <c r="C43" s="11" t="s">
        <v>197</v>
      </c>
      <c r="D43" s="11" t="s">
        <v>198</v>
      </c>
      <c r="E43" s="11" t="s">
        <v>199</v>
      </c>
      <c r="F43" s="11" t="s">
        <v>189</v>
      </c>
      <c r="G43" s="11" t="s">
        <v>190</v>
      </c>
      <c r="H43" s="11" t="n">
        <f aca="false">COUNTIFS(ARQUIVOS!$A:$A,$B43,ARQUIVOS!$I:$I,"SIM",ARQUIVOS!$J:$J,"Na pasta")</f>
        <v>0</v>
      </c>
      <c r="I43" s="11" t="n">
        <f aca="false">COUNTIFS(ARQUIVOS!$A:$A,$B43,ARQUIVOS!$I:$I,"Recomendada",ARQUIVOS!$J:$J,"Na pasta")</f>
        <v>0</v>
      </c>
      <c r="J43" s="11" t="str">
        <f aca="false">IF(H43&gt;=COUNTIFS(ARQUIVOS!$A:$A,$B43,ARQUIVOS!$I:$I,"SIM"),"SIM","NÃO")</f>
        <v>NÃO</v>
      </c>
      <c r="K43" s="13"/>
    </row>
    <row r="44" customFormat="false" ht="15" hidden="false" customHeight="false" outlineLevel="0" collapsed="false">
      <c r="A44" s="11" t="n">
        <v>41</v>
      </c>
      <c r="B44" s="12" t="s">
        <v>200</v>
      </c>
      <c r="C44" s="11" t="s">
        <v>201</v>
      </c>
      <c r="D44" s="11" t="s">
        <v>202</v>
      </c>
      <c r="E44" s="11" t="s">
        <v>203</v>
      </c>
      <c r="F44" s="11" t="s">
        <v>189</v>
      </c>
      <c r="G44" s="11" t="s">
        <v>190</v>
      </c>
      <c r="H44" s="11" t="n">
        <f aca="false">COUNTIFS(ARQUIVOS!$A:$A,$B44,ARQUIVOS!$I:$I,"SIM",ARQUIVOS!$J:$J,"Na pasta")</f>
        <v>0</v>
      </c>
      <c r="I44" s="11" t="n">
        <f aca="false">COUNTIFS(ARQUIVOS!$A:$A,$B44,ARQUIVOS!$I:$I,"Recomendada",ARQUIVOS!$J:$J,"Na pasta")</f>
        <v>0</v>
      </c>
      <c r="J44" s="11" t="str">
        <f aca="false">IF(H44&gt;=COUNTIFS(ARQUIVOS!$A:$A,$B44,ARQUIVOS!$I:$I,"SIM"),"SIM","NÃO")</f>
        <v>NÃO</v>
      </c>
      <c r="K44" s="13"/>
    </row>
    <row r="45" customFormat="false" ht="15" hidden="false" customHeight="false" outlineLevel="0" collapsed="false">
      <c r="A45" s="11" t="n">
        <v>42</v>
      </c>
      <c r="B45" s="12" t="s">
        <v>204</v>
      </c>
      <c r="C45" s="11" t="s">
        <v>205</v>
      </c>
      <c r="D45" s="11" t="s">
        <v>206</v>
      </c>
      <c r="E45" s="11" t="s">
        <v>207</v>
      </c>
      <c r="F45" s="11" t="s">
        <v>189</v>
      </c>
      <c r="G45" s="11" t="s">
        <v>195</v>
      </c>
      <c r="H45" s="11" t="n">
        <f aca="false">COUNTIFS(ARQUIVOS!$A:$A,$B45,ARQUIVOS!$I:$I,"SIM",ARQUIVOS!$J:$J,"Na pasta")</f>
        <v>0</v>
      </c>
      <c r="I45" s="11" t="n">
        <f aca="false">COUNTIFS(ARQUIVOS!$A:$A,$B45,ARQUIVOS!$I:$I,"Recomendada",ARQUIVOS!$J:$J,"Na pasta")</f>
        <v>0</v>
      </c>
      <c r="J45" s="11" t="str">
        <f aca="false">IF(H45&gt;=COUNTIFS(ARQUIVOS!$A:$A,$B45,ARQUIVOS!$I:$I,"SIM"),"SIM","NÃO")</f>
        <v>NÃO</v>
      </c>
      <c r="K45" s="13"/>
    </row>
    <row r="46" customFormat="false" ht="15" hidden="false" customHeight="false" outlineLevel="0" collapsed="false">
      <c r="A46" s="11" t="n">
        <v>43</v>
      </c>
      <c r="B46" s="12" t="s">
        <v>208</v>
      </c>
      <c r="C46" s="11" t="s">
        <v>209</v>
      </c>
      <c r="D46" s="11" t="s">
        <v>210</v>
      </c>
      <c r="E46" s="11" t="s">
        <v>211</v>
      </c>
      <c r="F46" s="11" t="s">
        <v>189</v>
      </c>
      <c r="G46" s="11" t="s">
        <v>195</v>
      </c>
      <c r="H46" s="11" t="n">
        <f aca="false">COUNTIFS(ARQUIVOS!$A:$A,$B46,ARQUIVOS!$I:$I,"SIM",ARQUIVOS!$J:$J,"Na pasta")</f>
        <v>0</v>
      </c>
      <c r="I46" s="11" t="n">
        <f aca="false">COUNTIFS(ARQUIVOS!$A:$A,$B46,ARQUIVOS!$I:$I,"Recomendada",ARQUIVOS!$J:$J,"Na pasta")</f>
        <v>0</v>
      </c>
      <c r="J46" s="11" t="str">
        <f aca="false">IF(H46&gt;=COUNTIFS(ARQUIVOS!$A:$A,$B46,ARQUIVOS!$I:$I,"SIM"),"SIM","NÃO")</f>
        <v>NÃO</v>
      </c>
      <c r="K46" s="13"/>
    </row>
    <row r="47" customFormat="false" ht="15" hidden="false" customHeight="false" outlineLevel="0" collapsed="false">
      <c r="A47" s="11" t="n">
        <v>44</v>
      </c>
      <c r="B47" s="12" t="s">
        <v>212</v>
      </c>
      <c r="C47" s="11" t="s">
        <v>213</v>
      </c>
      <c r="D47" s="11" t="s">
        <v>214</v>
      </c>
      <c r="E47" s="11" t="s">
        <v>215</v>
      </c>
      <c r="F47" s="11" t="s">
        <v>189</v>
      </c>
      <c r="G47" s="11" t="s">
        <v>216</v>
      </c>
      <c r="H47" s="11" t="n">
        <f aca="false">COUNTIFS(ARQUIVOS!$A:$A,$B47,ARQUIVOS!$I:$I,"SIM",ARQUIVOS!$J:$J,"Na pasta")</f>
        <v>0</v>
      </c>
      <c r="I47" s="11" t="n">
        <f aca="false">COUNTIFS(ARQUIVOS!$A:$A,$B47,ARQUIVOS!$I:$I,"Recomendada",ARQUIVOS!$J:$J,"Na pasta")</f>
        <v>0</v>
      </c>
      <c r="J47" s="11" t="str">
        <f aca="false">IF(H47&gt;=COUNTIFS(ARQUIVOS!$A:$A,$B47,ARQUIVOS!$I:$I,"SIM"),"SIM","NÃO")</f>
        <v>NÃO</v>
      </c>
      <c r="K47" s="13"/>
    </row>
    <row r="48" customFormat="false" ht="15" hidden="false" customHeight="false" outlineLevel="0" collapsed="false">
      <c r="A48" s="11" t="n">
        <v>45</v>
      </c>
      <c r="B48" s="12" t="s">
        <v>217</v>
      </c>
      <c r="C48" s="11" t="s">
        <v>218</v>
      </c>
      <c r="D48" s="11" t="s">
        <v>219</v>
      </c>
      <c r="E48" s="11" t="s">
        <v>220</v>
      </c>
      <c r="F48" s="11" t="s">
        <v>189</v>
      </c>
      <c r="G48" s="11" t="s">
        <v>221</v>
      </c>
      <c r="H48" s="11" t="n">
        <f aca="false">COUNTIFS(ARQUIVOS!$A:$A,$B48,ARQUIVOS!$I:$I,"SIM",ARQUIVOS!$J:$J,"Na pasta")</f>
        <v>0</v>
      </c>
      <c r="I48" s="11" t="n">
        <f aca="false">COUNTIFS(ARQUIVOS!$A:$A,$B48,ARQUIVOS!$I:$I,"Recomendada",ARQUIVOS!$J:$J,"Na pasta")</f>
        <v>0</v>
      </c>
      <c r="J48" s="11" t="str">
        <f aca="false">IF(H48&gt;=COUNTIFS(ARQUIVOS!$A:$A,$B48,ARQUIVOS!$I:$I,"SIM"),"SIM","NÃO")</f>
        <v>NÃO</v>
      </c>
      <c r="K48" s="13"/>
    </row>
    <row r="49" customFormat="false" ht="15" hidden="false" customHeight="false" outlineLevel="0" collapsed="false">
      <c r="A49" s="11" t="n">
        <v>46</v>
      </c>
      <c r="B49" s="12" t="s">
        <v>222</v>
      </c>
      <c r="C49" s="11" t="s">
        <v>223</v>
      </c>
      <c r="D49" s="11" t="s">
        <v>224</v>
      </c>
      <c r="E49" s="11" t="s">
        <v>225</v>
      </c>
      <c r="F49" s="11" t="s">
        <v>189</v>
      </c>
      <c r="G49" s="11" t="s">
        <v>221</v>
      </c>
      <c r="H49" s="11" t="n">
        <f aca="false">COUNTIFS(ARQUIVOS!$A:$A,$B49,ARQUIVOS!$I:$I,"SIM",ARQUIVOS!$J:$J,"Na pasta")</f>
        <v>0</v>
      </c>
      <c r="I49" s="11" t="n">
        <f aca="false">COUNTIFS(ARQUIVOS!$A:$A,$B49,ARQUIVOS!$I:$I,"Recomendada",ARQUIVOS!$J:$J,"Na pasta")</f>
        <v>0</v>
      </c>
      <c r="J49" s="11" t="str">
        <f aca="false">IF(H49&gt;=COUNTIFS(ARQUIVOS!$A:$A,$B49,ARQUIVOS!$I:$I,"SIM"),"SIM","NÃO")</f>
        <v>NÃO</v>
      </c>
      <c r="K49" s="13"/>
    </row>
    <row r="50" customFormat="false" ht="15" hidden="false" customHeight="false" outlineLevel="0" collapsed="false">
      <c r="A50" s="11" t="n">
        <v>47</v>
      </c>
      <c r="B50" s="12" t="s">
        <v>226</v>
      </c>
      <c r="C50" s="11" t="s">
        <v>227</v>
      </c>
      <c r="D50" s="11" t="s">
        <v>228</v>
      </c>
      <c r="E50" s="11" t="s">
        <v>229</v>
      </c>
      <c r="F50" s="11" t="s">
        <v>189</v>
      </c>
      <c r="G50" s="11" t="s">
        <v>221</v>
      </c>
      <c r="H50" s="11" t="n">
        <f aca="false">COUNTIFS(ARQUIVOS!$A:$A,$B50,ARQUIVOS!$I:$I,"SIM",ARQUIVOS!$J:$J,"Na pasta")</f>
        <v>0</v>
      </c>
      <c r="I50" s="11" t="n">
        <f aca="false">COUNTIFS(ARQUIVOS!$A:$A,$B50,ARQUIVOS!$I:$I,"Recomendada",ARQUIVOS!$J:$J,"Na pasta")</f>
        <v>0</v>
      </c>
      <c r="J50" s="11" t="str">
        <f aca="false">IF(H50&gt;=COUNTIFS(ARQUIVOS!$A:$A,$B50,ARQUIVOS!$I:$I,"SIM"),"SIM","NÃO")</f>
        <v>NÃO</v>
      </c>
      <c r="K50" s="13"/>
    </row>
    <row r="51" customFormat="false" ht="15" hidden="false" customHeight="false" outlineLevel="0" collapsed="false">
      <c r="A51" s="11" t="n">
        <v>48</v>
      </c>
      <c r="B51" s="12" t="s">
        <v>230</v>
      </c>
      <c r="C51" s="11" t="s">
        <v>231</v>
      </c>
      <c r="D51" s="11" t="s">
        <v>232</v>
      </c>
      <c r="E51" s="11" t="s">
        <v>233</v>
      </c>
      <c r="F51" s="11" t="s">
        <v>189</v>
      </c>
      <c r="G51" s="11" t="s">
        <v>234</v>
      </c>
      <c r="H51" s="11" t="n">
        <f aca="false">COUNTIFS(ARQUIVOS!$A:$A,$B51,ARQUIVOS!$I:$I,"SIM",ARQUIVOS!$J:$J,"Na pasta")</f>
        <v>0</v>
      </c>
      <c r="I51" s="11" t="n">
        <f aca="false">COUNTIFS(ARQUIVOS!$A:$A,$B51,ARQUIVOS!$I:$I,"Recomendada",ARQUIVOS!$J:$J,"Na pasta")</f>
        <v>0</v>
      </c>
      <c r="J51" s="11" t="str">
        <f aca="false">IF(H51&gt;=COUNTIFS(ARQUIVOS!$A:$A,$B51,ARQUIVOS!$I:$I,"SIM"),"SIM","NÃO")</f>
        <v>NÃO</v>
      </c>
      <c r="K51" s="13" t="s">
        <v>235</v>
      </c>
    </row>
    <row r="52" customFormat="false" ht="15" hidden="false" customHeight="false" outlineLevel="0" collapsed="false">
      <c r="A52" s="11" t="n">
        <v>49</v>
      </c>
      <c r="B52" s="12" t="s">
        <v>236</v>
      </c>
      <c r="C52" s="11" t="s">
        <v>237</v>
      </c>
      <c r="D52" s="11" t="s">
        <v>238</v>
      </c>
      <c r="E52" s="11" t="s">
        <v>239</v>
      </c>
      <c r="F52" s="11" t="s">
        <v>189</v>
      </c>
      <c r="G52" s="11" t="s">
        <v>234</v>
      </c>
      <c r="H52" s="11" t="n">
        <f aca="false">COUNTIFS(ARQUIVOS!$A:$A,$B52,ARQUIVOS!$I:$I,"SIM",ARQUIVOS!$J:$J,"Na pasta")</f>
        <v>0</v>
      </c>
      <c r="I52" s="11" t="n">
        <f aca="false">COUNTIFS(ARQUIVOS!$A:$A,$B52,ARQUIVOS!$I:$I,"Recomendada",ARQUIVOS!$J:$J,"Na pasta")</f>
        <v>0</v>
      </c>
      <c r="J52" s="11" t="str">
        <f aca="false">IF(H52&gt;=COUNTIFS(ARQUIVOS!$A:$A,$B52,ARQUIVOS!$I:$I,"SIM"),"SIM","NÃO")</f>
        <v>NÃO</v>
      </c>
      <c r="K52" s="13"/>
    </row>
    <row r="53" customFormat="false" ht="15" hidden="false" customHeight="false" outlineLevel="0" collapsed="false">
      <c r="A53" s="11" t="n">
        <v>50</v>
      </c>
      <c r="B53" s="12" t="s">
        <v>240</v>
      </c>
      <c r="C53" s="11" t="s">
        <v>241</v>
      </c>
      <c r="D53" s="11" t="s">
        <v>242</v>
      </c>
      <c r="E53" s="11" t="s">
        <v>243</v>
      </c>
      <c r="F53" s="11" t="s">
        <v>189</v>
      </c>
      <c r="G53" s="11" t="s">
        <v>244</v>
      </c>
      <c r="H53" s="11" t="n">
        <f aca="false">COUNTIFS(ARQUIVOS!$A:$A,$B53,ARQUIVOS!$I:$I,"SIM",ARQUIVOS!$J:$J,"Na pasta")</f>
        <v>0</v>
      </c>
      <c r="I53" s="11" t="n">
        <f aca="false">COUNTIFS(ARQUIVOS!$A:$A,$B53,ARQUIVOS!$I:$I,"Recomendada",ARQUIVOS!$J:$J,"Na pasta")</f>
        <v>0</v>
      </c>
      <c r="J53" s="11" t="str">
        <f aca="false">IF(H53&gt;=COUNTIFS(ARQUIVOS!$A:$A,$B53,ARQUIVOS!$I:$I,"SIM"),"SIM","NÃO")</f>
        <v>NÃO</v>
      </c>
      <c r="K53" s="13"/>
    </row>
    <row r="54" customFormat="false" ht="15" hidden="false" customHeight="false" outlineLevel="0" collapsed="false">
      <c r="A54" s="11" t="n">
        <v>51</v>
      </c>
      <c r="B54" s="12" t="s">
        <v>245</v>
      </c>
      <c r="C54" s="11" t="s">
        <v>246</v>
      </c>
      <c r="D54" s="11" t="s">
        <v>247</v>
      </c>
      <c r="E54" s="11" t="s">
        <v>248</v>
      </c>
      <c r="F54" s="11" t="s">
        <v>189</v>
      </c>
      <c r="G54" s="11" t="s">
        <v>244</v>
      </c>
      <c r="H54" s="11" t="n">
        <f aca="false">COUNTIFS(ARQUIVOS!$A:$A,$B54,ARQUIVOS!$I:$I,"SIM",ARQUIVOS!$J:$J,"Na pasta")</f>
        <v>0</v>
      </c>
      <c r="I54" s="11" t="n">
        <f aca="false">COUNTIFS(ARQUIVOS!$A:$A,$B54,ARQUIVOS!$I:$I,"Recomendada",ARQUIVOS!$J:$J,"Na pasta")</f>
        <v>0</v>
      </c>
      <c r="J54" s="11" t="str">
        <f aca="false">IF(H54&gt;=COUNTIFS(ARQUIVOS!$A:$A,$B54,ARQUIVOS!$I:$I,"SIM"),"SIM","NÃO")</f>
        <v>NÃO</v>
      </c>
      <c r="K54" s="13"/>
    </row>
    <row r="55" customFormat="false" ht="15" hidden="false" customHeight="false" outlineLevel="0" collapsed="false">
      <c r="A55" s="11" t="n">
        <v>52</v>
      </c>
      <c r="B55" s="12" t="s">
        <v>249</v>
      </c>
      <c r="C55" s="11" t="s">
        <v>250</v>
      </c>
      <c r="D55" s="11" t="s">
        <v>251</v>
      </c>
      <c r="E55" s="11" t="s">
        <v>252</v>
      </c>
      <c r="F55" s="11" t="s">
        <v>189</v>
      </c>
      <c r="G55" s="11" t="s">
        <v>244</v>
      </c>
      <c r="H55" s="11" t="n">
        <f aca="false">COUNTIFS(ARQUIVOS!$A:$A,$B55,ARQUIVOS!$I:$I,"SIM",ARQUIVOS!$J:$J,"Na pasta")</f>
        <v>0</v>
      </c>
      <c r="I55" s="11" t="n">
        <f aca="false">COUNTIFS(ARQUIVOS!$A:$A,$B55,ARQUIVOS!$I:$I,"Recomendada",ARQUIVOS!$J:$J,"Na pasta")</f>
        <v>0</v>
      </c>
      <c r="J55" s="11" t="str">
        <f aca="false">IF(H55&gt;=COUNTIFS(ARQUIVOS!$A:$A,$B55,ARQUIVOS!$I:$I,"SIM"),"SIM","NÃO")</f>
        <v>NÃO</v>
      </c>
      <c r="K55" s="13"/>
    </row>
    <row r="56" customFormat="false" ht="15" hidden="false" customHeight="false" outlineLevel="0" collapsed="false">
      <c r="A56" s="11" t="n">
        <v>53</v>
      </c>
      <c r="B56" s="12" t="s">
        <v>253</v>
      </c>
      <c r="C56" s="11" t="s">
        <v>254</v>
      </c>
      <c r="D56" s="11" t="s">
        <v>255</v>
      </c>
      <c r="E56" s="11" t="s">
        <v>256</v>
      </c>
      <c r="F56" s="11" t="s">
        <v>257</v>
      </c>
      <c r="G56" s="11" t="s">
        <v>63</v>
      </c>
      <c r="H56" s="11" t="n">
        <f aca="false">COUNTIFS(ARQUIVOS!$A:$A,$B56,ARQUIVOS!$I:$I,"SIM",ARQUIVOS!$J:$J,"Na pasta")</f>
        <v>0</v>
      </c>
      <c r="I56" s="11" t="n">
        <f aca="false">COUNTIFS(ARQUIVOS!$A:$A,$B56,ARQUIVOS!$I:$I,"Recomendada",ARQUIVOS!$J:$J,"Na pasta")</f>
        <v>0</v>
      </c>
      <c r="J56" s="11" t="str">
        <f aca="false">IF(H56&gt;=COUNTIFS(ARQUIVOS!$A:$A,$B56,ARQUIVOS!$I:$I,"SIM"),"SIM","NÃO")</f>
        <v>NÃO</v>
      </c>
      <c r="K56" s="13"/>
    </row>
    <row r="57" customFormat="false" ht="15" hidden="false" customHeight="false" outlineLevel="0" collapsed="false">
      <c r="A57" s="11" t="n">
        <v>54</v>
      </c>
      <c r="B57" s="12" t="s">
        <v>258</v>
      </c>
      <c r="C57" s="11" t="s">
        <v>259</v>
      </c>
      <c r="D57" s="11" t="s">
        <v>260</v>
      </c>
      <c r="E57" s="11" t="s">
        <v>261</v>
      </c>
      <c r="F57" s="11" t="s">
        <v>257</v>
      </c>
      <c r="G57" s="11" t="s">
        <v>262</v>
      </c>
      <c r="H57" s="11" t="n">
        <f aca="false">COUNTIFS(ARQUIVOS!$A:$A,$B57,ARQUIVOS!$I:$I,"SIM",ARQUIVOS!$J:$J,"Na pasta")</f>
        <v>0</v>
      </c>
      <c r="I57" s="11" t="n">
        <f aca="false">COUNTIFS(ARQUIVOS!$A:$A,$B57,ARQUIVOS!$I:$I,"Recomendada",ARQUIVOS!$J:$J,"Na pasta")</f>
        <v>0</v>
      </c>
      <c r="J57" s="11" t="str">
        <f aca="false">IF(H57&gt;=COUNTIFS(ARQUIVOS!$A:$A,$B57,ARQUIVOS!$I:$I,"SIM"),"SIM","NÃO")</f>
        <v>NÃO</v>
      </c>
      <c r="K57" s="13"/>
    </row>
    <row r="58" customFormat="false" ht="15" hidden="false" customHeight="false" outlineLevel="0" collapsed="false">
      <c r="A58" s="11" t="n">
        <v>55</v>
      </c>
      <c r="B58" s="12" t="s">
        <v>263</v>
      </c>
      <c r="C58" s="11" t="s">
        <v>264</v>
      </c>
      <c r="D58" s="11" t="s">
        <v>265</v>
      </c>
      <c r="E58" s="11" t="s">
        <v>266</v>
      </c>
      <c r="F58" s="11" t="s">
        <v>257</v>
      </c>
      <c r="G58" s="11" t="s">
        <v>267</v>
      </c>
      <c r="H58" s="11" t="n">
        <f aca="false">COUNTIFS(ARQUIVOS!$A:$A,$B58,ARQUIVOS!$I:$I,"SIM",ARQUIVOS!$J:$J,"Na pasta")</f>
        <v>0</v>
      </c>
      <c r="I58" s="11" t="n">
        <f aca="false">COUNTIFS(ARQUIVOS!$A:$A,$B58,ARQUIVOS!$I:$I,"Recomendada",ARQUIVOS!$J:$J,"Na pasta")</f>
        <v>0</v>
      </c>
      <c r="J58" s="11" t="str">
        <f aca="false">IF(H58&gt;=COUNTIFS(ARQUIVOS!$A:$A,$B58,ARQUIVOS!$I:$I,"SIM"),"SIM","NÃO")</f>
        <v>NÃO</v>
      </c>
      <c r="K58" s="13"/>
    </row>
    <row r="59" customFormat="false" ht="15" hidden="false" customHeight="false" outlineLevel="0" collapsed="false">
      <c r="A59" s="11" t="n">
        <v>56</v>
      </c>
      <c r="B59" s="12" t="s">
        <v>268</v>
      </c>
      <c r="C59" s="11" t="s">
        <v>269</v>
      </c>
      <c r="D59" s="11" t="s">
        <v>270</v>
      </c>
      <c r="E59" s="11" t="s">
        <v>271</v>
      </c>
      <c r="F59" s="11" t="s">
        <v>257</v>
      </c>
      <c r="G59" s="11" t="s">
        <v>272</v>
      </c>
      <c r="H59" s="11" t="n">
        <f aca="false">COUNTIFS(ARQUIVOS!$A:$A,$B59,ARQUIVOS!$I:$I,"SIM",ARQUIVOS!$J:$J,"Na pasta")</f>
        <v>0</v>
      </c>
      <c r="I59" s="11" t="n">
        <f aca="false">COUNTIFS(ARQUIVOS!$A:$A,$B59,ARQUIVOS!$I:$I,"Recomendada",ARQUIVOS!$J:$J,"Na pasta")</f>
        <v>0</v>
      </c>
      <c r="J59" s="11" t="str">
        <f aca="false">IF(H59&gt;=COUNTIFS(ARQUIVOS!$A:$A,$B59,ARQUIVOS!$I:$I,"SIM"),"SIM","NÃO")</f>
        <v>NÃO</v>
      </c>
      <c r="K59" s="13"/>
    </row>
    <row r="60" customFormat="false" ht="15" hidden="false" customHeight="false" outlineLevel="0" collapsed="false">
      <c r="A60" s="11" t="n">
        <v>57</v>
      </c>
      <c r="B60" s="12" t="s">
        <v>273</v>
      </c>
      <c r="C60" s="11" t="s">
        <v>274</v>
      </c>
      <c r="D60" s="11" t="s">
        <v>275</v>
      </c>
      <c r="E60" s="11" t="s">
        <v>276</v>
      </c>
      <c r="F60" s="11" t="s">
        <v>257</v>
      </c>
      <c r="G60" s="11" t="s">
        <v>272</v>
      </c>
      <c r="H60" s="11" t="n">
        <f aca="false">COUNTIFS(ARQUIVOS!$A:$A,$B60,ARQUIVOS!$I:$I,"SIM",ARQUIVOS!$J:$J,"Na pasta")</f>
        <v>0</v>
      </c>
      <c r="I60" s="11" t="n">
        <f aca="false">COUNTIFS(ARQUIVOS!$A:$A,$B60,ARQUIVOS!$I:$I,"Recomendada",ARQUIVOS!$J:$J,"Na pasta")</f>
        <v>0</v>
      </c>
      <c r="J60" s="11" t="str">
        <f aca="false">IF(H60&gt;=COUNTIFS(ARQUIVOS!$A:$A,$B60,ARQUIVOS!$I:$I,"SIM"),"SIM","NÃO")</f>
        <v>NÃO</v>
      </c>
      <c r="K60" s="13"/>
    </row>
    <row r="61" customFormat="false" ht="15" hidden="false" customHeight="false" outlineLevel="0" collapsed="false">
      <c r="A61" s="11" t="n">
        <v>58</v>
      </c>
      <c r="B61" s="12" t="s">
        <v>277</v>
      </c>
      <c r="C61" s="11" t="s">
        <v>278</v>
      </c>
      <c r="D61" s="11" t="s">
        <v>279</v>
      </c>
      <c r="E61" s="11" t="s">
        <v>280</v>
      </c>
      <c r="F61" s="11" t="s">
        <v>257</v>
      </c>
      <c r="G61" s="11" t="s">
        <v>281</v>
      </c>
      <c r="H61" s="11" t="n">
        <f aca="false">COUNTIFS(ARQUIVOS!$A:$A,$B61,ARQUIVOS!$I:$I,"SIM",ARQUIVOS!$J:$J,"Na pasta")</f>
        <v>0</v>
      </c>
      <c r="I61" s="11" t="n">
        <f aca="false">COUNTIFS(ARQUIVOS!$A:$A,$B61,ARQUIVOS!$I:$I,"Recomendada",ARQUIVOS!$J:$J,"Na pasta")</f>
        <v>0</v>
      </c>
      <c r="J61" s="11" t="str">
        <f aca="false">IF(H61&gt;=COUNTIFS(ARQUIVOS!$A:$A,$B61,ARQUIVOS!$I:$I,"SIM"),"SIM","NÃO")</f>
        <v>NÃO</v>
      </c>
      <c r="K61" s="13"/>
    </row>
    <row r="62" customFormat="false" ht="15" hidden="false" customHeight="false" outlineLevel="0" collapsed="false">
      <c r="A62" s="11" t="n">
        <v>59</v>
      </c>
      <c r="B62" s="12" t="s">
        <v>282</v>
      </c>
      <c r="C62" s="11" t="s">
        <v>283</v>
      </c>
      <c r="D62" s="11" t="s">
        <v>284</v>
      </c>
      <c r="E62" s="11" t="s">
        <v>285</v>
      </c>
      <c r="F62" s="11" t="s">
        <v>257</v>
      </c>
      <c r="G62" s="11" t="s">
        <v>286</v>
      </c>
      <c r="H62" s="11" t="n">
        <f aca="false">COUNTIFS(ARQUIVOS!$A:$A,$B62,ARQUIVOS!$I:$I,"SIM",ARQUIVOS!$J:$J,"Na pasta")</f>
        <v>0</v>
      </c>
      <c r="I62" s="11" t="n">
        <f aca="false">COUNTIFS(ARQUIVOS!$A:$A,$B62,ARQUIVOS!$I:$I,"Recomendada",ARQUIVOS!$J:$J,"Na pasta")</f>
        <v>0</v>
      </c>
      <c r="J62" s="11" t="str">
        <f aca="false">IF(H62&gt;=COUNTIFS(ARQUIVOS!$A:$A,$B62,ARQUIVOS!$I:$I,"SIM"),"SIM","NÃO")</f>
        <v>NÃO</v>
      </c>
      <c r="K62" s="13"/>
    </row>
    <row r="63" customFormat="false" ht="15" hidden="false" customHeight="false" outlineLevel="0" collapsed="false">
      <c r="A63" s="11" t="n">
        <v>60</v>
      </c>
      <c r="B63" s="12" t="s">
        <v>287</v>
      </c>
      <c r="C63" s="11" t="s">
        <v>288</v>
      </c>
      <c r="D63" s="11" t="s">
        <v>289</v>
      </c>
      <c r="E63" s="11" t="s">
        <v>290</v>
      </c>
      <c r="F63" s="11" t="s">
        <v>257</v>
      </c>
      <c r="G63" s="11" t="s">
        <v>291</v>
      </c>
      <c r="H63" s="11" t="n">
        <f aca="false">COUNTIFS(ARQUIVOS!$A:$A,$B63,ARQUIVOS!$I:$I,"SIM",ARQUIVOS!$J:$J,"Na pasta")</f>
        <v>0</v>
      </c>
      <c r="I63" s="11" t="n">
        <f aca="false">COUNTIFS(ARQUIVOS!$A:$A,$B63,ARQUIVOS!$I:$I,"Recomendada",ARQUIVOS!$J:$J,"Na pasta")</f>
        <v>0</v>
      </c>
      <c r="J63" s="11" t="str">
        <f aca="false">IF(H63&gt;=COUNTIFS(ARQUIVOS!$A:$A,$B63,ARQUIVOS!$I:$I,"SIM"),"SIM","NÃO")</f>
        <v>NÃO</v>
      </c>
      <c r="K63" s="13"/>
    </row>
  </sheetData>
  <autoFilter ref="A3:K63"/>
  <conditionalFormatting sqref="J4:J63">
    <cfRule type="expression" priority="2" aboveAverage="0" equalAverage="0" bottom="0" percent="0" rank="0" text="" dxfId="7">
      <formula>$J4="SIM"</formula>
    </cfRule>
    <cfRule type="expression" priority="3" aboveAverage="0" equalAverage="0" bottom="0" percent="0" rank="0" text="" dxfId="8">
      <formula>$J4="NÃO"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17"/>
    <col collapsed="false" customWidth="true" hidden="false" outlineLevel="0" max="7" min="7" style="0" width="6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8" t="s">
        <v>292</v>
      </c>
    </row>
    <row r="2" customFormat="false" ht="15" hidden="false" customHeight="false" outlineLevel="0" collapsed="false">
      <c r="A2" s="9" t="s">
        <v>293</v>
      </c>
    </row>
    <row r="3" customFormat="false" ht="31.5" hidden="false" customHeight="true" outlineLevel="0" collapsed="false">
      <c r="A3" s="10" t="s">
        <v>33</v>
      </c>
      <c r="B3" s="10" t="s">
        <v>294</v>
      </c>
      <c r="C3" s="10" t="s">
        <v>38</v>
      </c>
      <c r="D3" s="10" t="s">
        <v>295</v>
      </c>
      <c r="E3" s="10" t="s">
        <v>296</v>
      </c>
      <c r="F3" s="10" t="s">
        <v>297</v>
      </c>
      <c r="G3" s="10" t="s">
        <v>298</v>
      </c>
      <c r="H3" s="10" t="s">
        <v>299</v>
      </c>
      <c r="I3" s="10" t="s">
        <v>300</v>
      </c>
      <c r="J3" s="10" t="s">
        <v>301</v>
      </c>
      <c r="K3" s="10" t="s">
        <v>42</v>
      </c>
    </row>
    <row r="4" customFormat="false" ht="15" hidden="false" customHeight="false" outlineLevel="0" collapsed="false">
      <c r="A4" s="14" t="s">
        <v>43</v>
      </c>
      <c r="B4" s="11" t="str">
        <f aca="false">INDEX(PRODUTOS!$E$4:$E$63,MATCH($A4,PRODUTOS!$B$4:$B$63,0))</f>
        <v>New Dots Ração Seca Premium para Cães Adultos - 15 kg</v>
      </c>
      <c r="C4" s="11" t="str">
        <f aca="false">INDEX(PRODUTOS!$G$4:$G$63,MATCH($A4,PRODUTOS!$B$4:$B$63,0))</f>
        <v>15 kg</v>
      </c>
      <c r="D4" s="11" t="s">
        <v>302</v>
      </c>
      <c r="E4" s="15" t="str">
        <f aca="false">$A4&amp;"."&amp;$D4&amp;".jpg"</f>
        <v>7898968541504.MAIN.jpg</v>
      </c>
      <c r="F4" s="11" t="str">
        <f aca="false">INDEX('O QUE MOSTRAR'!$B$4:$B$12,MATCH($D4,'O QUE MOSTRAR'!$A$4:$A$12,0))</f>
        <v>Capa (posição 1)</v>
      </c>
      <c r="G4" s="11" t="str">
        <f aca="false">IF(INDEX(PRODUTOS!$F$4:$F$63,MATCH($A4,PRODUTOS!$B$4:$B$63,0))="Ração",INDEX('O QUE MOSTRAR'!$C$4:$C$12,MATCH($D4,'O QUE MOSTRAR'!$A$4:$A$12,0)),INDEX('O QUE MOSTRAR'!$D$4:$D$12,MATCH($D4,'O QUE MOSTRAR'!$A$4:$A$12,0)))</f>
        <v>Embalagem de frente, fundo branco puro, 85% da área, nada adicionado</v>
      </c>
      <c r="H4" s="11" t="str">
        <f aca="false">INDEX('O QUE MOSTRAR'!$E$4:$E$12,MATCH($D4,'O QUE MOSTRAR'!$A$4:$A$12,0))</f>
        <v>2000 × 2000</v>
      </c>
      <c r="I4" s="11" t="str">
        <f aca="false">INDEX('O QUE MOSTRAR'!$F$4:$F$12,MATCH($D4,'O QUE MOSTRAR'!$A$4:$A$12,0))</f>
        <v>SIM</v>
      </c>
      <c r="J4" s="13" t="s">
        <v>303</v>
      </c>
      <c r="K4" s="13"/>
    </row>
    <row r="5" customFormat="false" ht="15" hidden="false" customHeight="false" outlineLevel="0" collapsed="false">
      <c r="A5" s="14" t="s">
        <v>43</v>
      </c>
      <c r="B5" s="11" t="str">
        <f aca="false">INDEX(PRODUTOS!$E$4:$E$63,MATCH($A5,PRODUTOS!$B$4:$B$63,0))</f>
        <v>New Dots Ração Seca Premium para Cães Adultos - 15 kg</v>
      </c>
      <c r="C5" s="11" t="str">
        <f aca="false">INDEX(PRODUTOS!$G$4:$G$63,MATCH($A5,PRODUTOS!$B$4:$B$63,0))</f>
        <v>15 kg</v>
      </c>
      <c r="D5" s="11" t="s">
        <v>304</v>
      </c>
      <c r="E5" s="15" t="str">
        <f aca="false">$A5&amp;"."&amp;$D5&amp;".jpg"</f>
        <v>7898968541504.PT01.jpg</v>
      </c>
      <c r="F5" s="11" t="str">
        <f aca="false">INDEX('O QUE MOSTRAR'!$B$4:$B$12,MATCH($D5,'O QUE MOSTRAR'!$A$4:$A$12,0))</f>
        <v>Posição 2</v>
      </c>
      <c r="G5" s="11" t="str">
        <f aca="false">IF(INDEX(PRODUTOS!$F$4:$F$63,MATCH($A5,PRODUTOS!$B$4:$B$63,0))="Ração",INDEX('O QUE MOSTRAR'!$C$4:$C$12,MATCH($D5,'O QUE MOSTRAR'!$A$4:$A$12,0)),INDEX('O QUE MOSTRAR'!$D$4:$D$12,MATCH($D5,'O QUE MOSTRAR'!$A$4:$A$12,0)))</f>
        <v>Grande diferencial da linha (número ou promessa forte + grão e ingrediente)</v>
      </c>
      <c r="H5" s="11" t="str">
        <f aca="false">INDEX('O QUE MOSTRAR'!$E$4:$E$12,MATCH($D5,'O QUE MOSTRAR'!$A$4:$A$12,0))</f>
        <v>2000 × 2000</v>
      </c>
      <c r="I5" s="11" t="str">
        <f aca="false">INDEX('O QUE MOSTRAR'!$F$4:$F$12,MATCH($D5,'O QUE MOSTRAR'!$A$4:$A$12,0))</f>
        <v>SIM</v>
      </c>
      <c r="J5" s="13" t="s">
        <v>303</v>
      </c>
      <c r="K5" s="13"/>
    </row>
    <row r="6" customFormat="false" ht="15" hidden="false" customHeight="false" outlineLevel="0" collapsed="false">
      <c r="A6" s="14" t="s">
        <v>43</v>
      </c>
      <c r="B6" s="11" t="str">
        <f aca="false">INDEX(PRODUTOS!$E$4:$E$63,MATCH($A6,PRODUTOS!$B$4:$B$63,0))</f>
        <v>New Dots Ração Seca Premium para Cães Adultos - 15 kg</v>
      </c>
      <c r="C6" s="11" t="str">
        <f aca="false">INDEX(PRODUTOS!$G$4:$G$63,MATCH($A6,PRODUTOS!$B$4:$B$63,0))</f>
        <v>15 kg</v>
      </c>
      <c r="D6" s="11" t="s">
        <v>305</v>
      </c>
      <c r="E6" s="15" t="str">
        <f aca="false">$A6&amp;"."&amp;$D6&amp;".jpg"</f>
        <v>7898968541504.PT02.jpg</v>
      </c>
      <c r="F6" s="11" t="str">
        <f aca="false">INDEX('O QUE MOSTRAR'!$B$4:$B$12,MATCH($D6,'O QUE MOSTRAR'!$A$4:$A$12,0))</f>
        <v>Posição 3</v>
      </c>
      <c r="G6" s="11" t="str">
        <f aca="false">IF(INDEX(PRODUTOS!$F$4:$F$63,MATCH($A6,PRODUTOS!$B$4:$B$63,0))="Ração",INDEX('O QUE MOSTRAR'!$C$4:$C$12,MATCH($D6,'O QUE MOSTRAR'!$A$4:$A$12,0)),INDEX('O QUE MOSTRAR'!$D$4:$D$12,MATCH($D6,'O QUE MOSTRAR'!$A$4:$A$12,0)))</f>
        <v>Benefícios com ícones (4 a 6, impressos na embalagem) + ingrediente</v>
      </c>
      <c r="H6" s="11" t="str">
        <f aca="false">INDEX('O QUE MOSTRAR'!$E$4:$E$12,MATCH($D6,'O QUE MOSTRAR'!$A$4:$A$12,0))</f>
        <v>2000 × 2000</v>
      </c>
      <c r="I6" s="11" t="str">
        <f aca="false">INDEX('O QUE MOSTRAR'!$F$4:$F$12,MATCH($D6,'O QUE MOSTRAR'!$A$4:$A$12,0))</f>
        <v>SIM</v>
      </c>
      <c r="J6" s="13" t="s">
        <v>303</v>
      </c>
      <c r="K6" s="13"/>
    </row>
    <row r="7" customFormat="false" ht="15" hidden="false" customHeight="false" outlineLevel="0" collapsed="false">
      <c r="A7" s="14" t="s">
        <v>43</v>
      </c>
      <c r="B7" s="11" t="str">
        <f aca="false">INDEX(PRODUTOS!$E$4:$E$63,MATCH($A7,PRODUTOS!$B$4:$B$63,0))</f>
        <v>New Dots Ração Seca Premium para Cães Adultos - 15 kg</v>
      </c>
      <c r="C7" s="11" t="str">
        <f aca="false">INDEX(PRODUTOS!$G$4:$G$63,MATCH($A7,PRODUTOS!$B$4:$B$63,0))</f>
        <v>15 kg</v>
      </c>
      <c r="D7" s="11" t="s">
        <v>306</v>
      </c>
      <c r="E7" s="15" t="str">
        <f aca="false">$A7&amp;"."&amp;$D7&amp;".jpg"</f>
        <v>7898968541504.PT03.jpg</v>
      </c>
      <c r="F7" s="11" t="str">
        <f aca="false">INDEX('O QUE MOSTRAR'!$B$4:$B$12,MATCH($D7,'O QUE MOSTRAR'!$A$4:$A$12,0))</f>
        <v>Posição 4</v>
      </c>
      <c r="G7" s="11" t="str">
        <f aca="false">IF(INDEX(PRODUTOS!$F$4:$F$63,MATCH($A7,PRODUTOS!$B$4:$B$63,0))="Ração",INDEX('O QUE MOSTRAR'!$C$4:$C$12,MATCH($D7,'O QUE MOSTRAR'!$A$4:$A$12,0)),INDEX('O QUE MOSTRAR'!$D$4:$D$12,MATCH($D7,'O QUE MOSTRAR'!$A$4:$A$12,0)))</f>
        <v>Formato e tamanho do grão, com medida em mm e referência de tamanho</v>
      </c>
      <c r="H7" s="11" t="str">
        <f aca="false">INDEX('O QUE MOSTRAR'!$E$4:$E$12,MATCH($D7,'O QUE MOSTRAR'!$A$4:$A$12,0))</f>
        <v>2000 × 2000</v>
      </c>
      <c r="I7" s="11" t="str">
        <f aca="false">INDEX('O QUE MOSTRAR'!$F$4:$F$12,MATCH($D7,'O QUE MOSTRAR'!$A$4:$A$12,0))</f>
        <v>SIM</v>
      </c>
      <c r="J7" s="13" t="s">
        <v>303</v>
      </c>
      <c r="K7" s="13"/>
    </row>
    <row r="8" customFormat="false" ht="15" hidden="false" customHeight="false" outlineLevel="0" collapsed="false">
      <c r="A8" s="14" t="s">
        <v>43</v>
      </c>
      <c r="B8" s="11" t="str">
        <f aca="false">INDEX(PRODUTOS!$E$4:$E$63,MATCH($A8,PRODUTOS!$B$4:$B$63,0))</f>
        <v>New Dots Ração Seca Premium para Cães Adultos - 15 kg</v>
      </c>
      <c r="C8" s="11" t="str">
        <f aca="false">INDEX(PRODUTOS!$G$4:$G$63,MATCH($A8,PRODUTOS!$B$4:$B$63,0))</f>
        <v>15 kg</v>
      </c>
      <c r="D8" s="11" t="s">
        <v>307</v>
      </c>
      <c r="E8" s="15" t="str">
        <f aca="false">$A8&amp;"."&amp;$D8&amp;".jpg"</f>
        <v>7898968541504.PT04.jpg</v>
      </c>
      <c r="F8" s="11" t="str">
        <f aca="false">INDEX('O QUE MOSTRAR'!$B$4:$B$12,MATCH($D8,'O QUE MOSTRAR'!$A$4:$A$12,0))</f>
        <v>Posição 5</v>
      </c>
      <c r="G8" s="11" t="str">
        <f aca="false">IF(INDEX(PRODUTOS!$F$4:$F$63,MATCH($A8,PRODUTOS!$B$4:$B$63,0))="Ração",INDEX('O QUE MOSTRAR'!$C$4:$C$12,MATCH($D8,'O QUE MOSTRAR'!$A$4:$A$12,0)),INDEX('O QUE MOSTRAR'!$D$4:$D$12,MATCH($D8,'O QUE MOSTRAR'!$A$4:$A$12,0)))</f>
        <v>Quantidade diária por peso do pet (números idênticos à embalagem)</v>
      </c>
      <c r="H8" s="11" t="str">
        <f aca="false">INDEX('O QUE MOSTRAR'!$E$4:$E$12,MATCH($D8,'O QUE MOSTRAR'!$A$4:$A$12,0))</f>
        <v>2000 × 2000</v>
      </c>
      <c r="I8" s="11" t="str">
        <f aca="false">INDEX('O QUE MOSTRAR'!$F$4:$F$12,MATCH($D8,'O QUE MOSTRAR'!$A$4:$A$12,0))</f>
        <v>SIM</v>
      </c>
      <c r="J8" s="13" t="s">
        <v>303</v>
      </c>
      <c r="K8" s="13"/>
    </row>
    <row r="9" customFormat="false" ht="15" hidden="false" customHeight="false" outlineLevel="0" collapsed="false">
      <c r="A9" s="14" t="s">
        <v>43</v>
      </c>
      <c r="B9" s="11" t="str">
        <f aca="false">INDEX(PRODUTOS!$E$4:$E$63,MATCH($A9,PRODUTOS!$B$4:$B$63,0))</f>
        <v>New Dots Ração Seca Premium para Cães Adultos - 15 kg</v>
      </c>
      <c r="C9" s="11" t="str">
        <f aca="false">INDEX(PRODUTOS!$G$4:$G$63,MATCH($A9,PRODUTOS!$B$4:$B$63,0))</f>
        <v>15 kg</v>
      </c>
      <c r="D9" s="11" t="s">
        <v>308</v>
      </c>
      <c r="E9" s="15" t="str">
        <f aca="false">$A9&amp;"."&amp;$D9&amp;".jpg"</f>
        <v>7898968541504.PT05.jpg</v>
      </c>
      <c r="F9" s="11" t="str">
        <f aca="false">INDEX('O QUE MOSTRAR'!$B$4:$B$12,MATCH($D9,'O QUE MOSTRAR'!$A$4:$A$12,0))</f>
        <v>Posição 6</v>
      </c>
      <c r="G9" s="11" t="str">
        <f aca="false">IF(INDEX(PRODUTOS!$F$4:$F$63,MATCH($A9,PRODUTOS!$B$4:$B$63,0))="Ração",INDEX('O QUE MOSTRAR'!$C$4:$C$12,MATCH($D9,'O QUE MOSTRAR'!$A$4:$A$12,0)),INDEX('O QUE MOSTRAR'!$D$4:$D$12,MATCH($D9,'O QUE MOSTRAR'!$A$4:$A$12,0)))</f>
        <v>Transição alimentar dia a dia (igual ao verso da embalagem)</v>
      </c>
      <c r="H9" s="11" t="str">
        <f aca="false">INDEX('O QUE MOSTRAR'!$E$4:$E$12,MATCH($D9,'O QUE MOSTRAR'!$A$4:$A$12,0))</f>
        <v>2000 × 2000</v>
      </c>
      <c r="I9" s="11" t="str">
        <f aca="false">INDEX('O QUE MOSTRAR'!$F$4:$F$12,MATCH($D9,'O QUE MOSTRAR'!$A$4:$A$12,0))</f>
        <v>Recomendada</v>
      </c>
      <c r="J9" s="13" t="s">
        <v>303</v>
      </c>
      <c r="K9" s="13"/>
    </row>
    <row r="10" customFormat="false" ht="15" hidden="false" customHeight="false" outlineLevel="0" collapsed="false">
      <c r="A10" s="14" t="s">
        <v>43</v>
      </c>
      <c r="B10" s="11" t="str">
        <f aca="false">INDEX(PRODUTOS!$E$4:$E$63,MATCH($A10,PRODUTOS!$B$4:$B$63,0))</f>
        <v>New Dots Ração Seca Premium para Cães Adultos - 15 kg</v>
      </c>
      <c r="C10" s="11" t="str">
        <f aca="false">INDEX(PRODUTOS!$G$4:$G$63,MATCH($A10,PRODUTOS!$B$4:$B$63,0))</f>
        <v>15 kg</v>
      </c>
      <c r="D10" s="11" t="s">
        <v>309</v>
      </c>
      <c r="E10" s="15" t="str">
        <f aca="false">$A10&amp;"."&amp;$D10&amp;".jpg"</f>
        <v>7898968541504.PT06.jpg</v>
      </c>
      <c r="F10" s="11" t="str">
        <f aca="false">INDEX('O QUE MOSTRAR'!$B$4:$B$12,MATCH($D10,'O QUE MOSTRAR'!$A$4:$A$12,0))</f>
        <v>Posição 7</v>
      </c>
      <c r="G10" s="11" t="str">
        <f aca="false">IF(INDEX(PRODUTOS!$F$4:$F$63,MATCH($A10,PRODUTOS!$B$4:$B$63,0))="Ração",INDEX('O QUE MOSTRAR'!$C$4:$C$12,MATCH($D10,'O QUE MOSTRAR'!$A$4:$A$12,0)),INDEX('O QUE MOSTRAR'!$D$4:$D$12,MATCH($D10,'O QUE MOSTRAR'!$A$4:$A$12,0)))</f>
        <v>Composição e níveis de garantia em letra grande</v>
      </c>
      <c r="H10" s="11" t="str">
        <f aca="false">INDEX('O QUE MOSTRAR'!$E$4:$E$12,MATCH($D10,'O QUE MOSTRAR'!$A$4:$A$12,0))</f>
        <v>2000 × 2000</v>
      </c>
      <c r="I10" s="11" t="str">
        <f aca="false">INDEX('O QUE MOSTRAR'!$F$4:$F$12,MATCH($D10,'O QUE MOSTRAR'!$A$4:$A$12,0))</f>
        <v>SIM</v>
      </c>
      <c r="J10" s="13" t="s">
        <v>303</v>
      </c>
      <c r="K10" s="13"/>
    </row>
    <row r="11" customFormat="false" ht="15" hidden="false" customHeight="false" outlineLevel="0" collapsed="false">
      <c r="A11" s="14" t="s">
        <v>43</v>
      </c>
      <c r="B11" s="11" t="str">
        <f aca="false">INDEX(PRODUTOS!$E$4:$E$63,MATCH($A11,PRODUTOS!$B$4:$B$63,0))</f>
        <v>New Dots Ração Seca Premium para Cães Adultos - 15 kg</v>
      </c>
      <c r="C11" s="11" t="str">
        <f aca="false">INDEX(PRODUTOS!$G$4:$G$63,MATCH($A11,PRODUTOS!$B$4:$B$63,0))</f>
        <v>15 kg</v>
      </c>
      <c r="D11" s="11" t="s">
        <v>310</v>
      </c>
      <c r="E11" s="15" t="str">
        <f aca="false">$A11&amp;"."&amp;$D11&amp;".jpg"</f>
        <v>7898968541504.PT07.jpg</v>
      </c>
      <c r="F11" s="11" t="str">
        <f aca="false">INDEX('O QUE MOSTRAR'!$B$4:$B$12,MATCH($D11,'O QUE MOSTRAR'!$A$4:$A$12,0))</f>
        <v>Posição 8</v>
      </c>
      <c r="G11" s="11" t="str">
        <f aca="false">IF(INDEX(PRODUTOS!$F$4:$F$63,MATCH($A11,PRODUTOS!$B$4:$B$63,0))="Ração",INDEX('O QUE MOSTRAR'!$C$4:$C$12,MATCH($D11,'O QUE MOSTRAR'!$A$4:$A$12,0)),INDEX('O QUE MOSTRAR'!$D$4:$D$12,MATCH($D11,'O QUE MOSTRAR'!$A$4:$A$12,0)))</f>
        <v>Emocional / momento de uso (pet do porte certo, pote cheio)</v>
      </c>
      <c r="H11" s="11" t="str">
        <f aca="false">INDEX('O QUE MOSTRAR'!$E$4:$E$12,MATCH($D11,'O QUE MOSTRAR'!$A$4:$A$12,0))</f>
        <v>2000 × 2000</v>
      </c>
      <c r="I11" s="11" t="str">
        <f aca="false">INDEX('O QUE MOSTRAR'!$F$4:$F$12,MATCH($D11,'O QUE MOSTRAR'!$A$4:$A$12,0))</f>
        <v>Recomendada</v>
      </c>
      <c r="J11" s="13" t="s">
        <v>303</v>
      </c>
      <c r="K11" s="13"/>
    </row>
    <row r="12" customFormat="false" ht="15" hidden="false" customHeight="false" outlineLevel="0" collapsed="false">
      <c r="A12" s="14" t="s">
        <v>43</v>
      </c>
      <c r="B12" s="11" t="str">
        <f aca="false">INDEX(PRODUTOS!$E$4:$E$63,MATCH($A12,PRODUTOS!$B$4:$B$63,0))</f>
        <v>New Dots Ração Seca Premium para Cães Adultos - 15 kg</v>
      </c>
      <c r="C12" s="11" t="str">
        <f aca="false">INDEX(PRODUTOS!$G$4:$G$63,MATCH($A12,PRODUTOS!$B$4:$B$63,0))</f>
        <v>15 kg</v>
      </c>
      <c r="D12" s="11" t="s">
        <v>311</v>
      </c>
      <c r="E12" s="15" t="str">
        <f aca="false">$A12&amp;"."&amp;$D12&amp;".jpg"</f>
        <v>7898968541504.PT08.jpg</v>
      </c>
      <c r="F12" s="11" t="str">
        <f aca="false">INDEX('O QUE MOSTRAR'!$B$4:$B$12,MATCH($D12,'O QUE MOSTRAR'!$A$4:$A$12,0))</f>
        <v>Posição 9</v>
      </c>
      <c r="G12" s="11" t="str">
        <f aca="false">IF(INDEX(PRODUTOS!$F$4:$F$63,MATCH($A12,PRODUTOS!$B$4:$B$63,0))="Ração",INDEX('O QUE MOSTRAR'!$C$4:$C$12,MATCH($D12,'O QUE MOSTRAR'!$A$4:$A$12,0)),INDEX('O QUE MOSTRAR'!$D$4:$D$12,MATCH($D12,'O QUE MOSTRAR'!$A$4:$A$12,0)))</f>
        <v>Linha da marca ou embalagem anterior × nova</v>
      </c>
      <c r="H12" s="11" t="str">
        <f aca="false">INDEX('O QUE MOSTRAR'!$E$4:$E$12,MATCH($D12,'O QUE MOSTRAR'!$A$4:$A$12,0))</f>
        <v>2000 × 2000</v>
      </c>
      <c r="I12" s="11" t="str">
        <f aca="false">INDEX('O QUE MOSTRAR'!$F$4:$F$12,MATCH($D12,'O QUE MOSTRAR'!$A$4:$A$12,0))</f>
        <v>Recomendada</v>
      </c>
      <c r="J12" s="13" t="s">
        <v>303</v>
      </c>
      <c r="K12" s="13"/>
    </row>
    <row r="13" customFormat="false" ht="15" hidden="false" customHeight="false" outlineLevel="0" collapsed="false">
      <c r="A13" s="14" t="s">
        <v>48</v>
      </c>
      <c r="B13" s="11" t="str">
        <f aca="false">INDEX(PRODUTOS!$E$4:$E$63,MATCH($A13,PRODUTOS!$B$4:$B$63,0))</f>
        <v>New Dots Ração Seca Premium para Cães Adultos - 10,1 kg</v>
      </c>
      <c r="C13" s="11" t="str">
        <f aca="false">INDEX(PRODUTOS!$G$4:$G$63,MATCH($A13,PRODUTOS!$B$4:$B$63,0))</f>
        <v>10,1 kg</v>
      </c>
      <c r="D13" s="11" t="s">
        <v>302</v>
      </c>
      <c r="E13" s="15" t="str">
        <f aca="false">$A13&amp;"."&amp;$D13&amp;".jpg"</f>
        <v>7908591301144.MAIN.jpg</v>
      </c>
      <c r="F13" s="11" t="str">
        <f aca="false">INDEX('O QUE MOSTRAR'!$B$4:$B$12,MATCH($D13,'O QUE MOSTRAR'!$A$4:$A$12,0))</f>
        <v>Capa (posição 1)</v>
      </c>
      <c r="G13" s="11" t="str">
        <f aca="false">IF(INDEX(PRODUTOS!$F$4:$F$63,MATCH($A13,PRODUTOS!$B$4:$B$63,0))="Ração",INDEX('O QUE MOSTRAR'!$C$4:$C$12,MATCH($D13,'O QUE MOSTRAR'!$A$4:$A$12,0)),INDEX('O QUE MOSTRAR'!$D$4:$D$12,MATCH($D13,'O QUE MOSTRAR'!$A$4:$A$12,0)))</f>
        <v>Embalagem de frente, fundo branco puro, 85% da área, nada adicionado</v>
      </c>
      <c r="H13" s="11" t="str">
        <f aca="false">INDEX('O QUE MOSTRAR'!$E$4:$E$12,MATCH($D13,'O QUE MOSTRAR'!$A$4:$A$12,0))</f>
        <v>2000 × 2000</v>
      </c>
      <c r="I13" s="11" t="str">
        <f aca="false">INDEX('O QUE MOSTRAR'!$F$4:$F$12,MATCH($D13,'O QUE MOSTRAR'!$A$4:$A$12,0))</f>
        <v>SIM</v>
      </c>
      <c r="J13" s="13" t="s">
        <v>303</v>
      </c>
      <c r="K13" s="13"/>
    </row>
    <row r="14" customFormat="false" ht="15" hidden="false" customHeight="false" outlineLevel="0" collapsed="false">
      <c r="A14" s="14" t="s">
        <v>48</v>
      </c>
      <c r="B14" s="11" t="str">
        <f aca="false">INDEX(PRODUTOS!$E$4:$E$63,MATCH($A14,PRODUTOS!$B$4:$B$63,0))</f>
        <v>New Dots Ração Seca Premium para Cães Adultos - 10,1 kg</v>
      </c>
      <c r="C14" s="11" t="str">
        <f aca="false">INDEX(PRODUTOS!$G$4:$G$63,MATCH($A14,PRODUTOS!$B$4:$B$63,0))</f>
        <v>10,1 kg</v>
      </c>
      <c r="D14" s="11" t="s">
        <v>304</v>
      </c>
      <c r="E14" s="15" t="str">
        <f aca="false">$A14&amp;"."&amp;$D14&amp;".jpg"</f>
        <v>7908591301144.PT01.jpg</v>
      </c>
      <c r="F14" s="11" t="str">
        <f aca="false">INDEX('O QUE MOSTRAR'!$B$4:$B$12,MATCH($D14,'O QUE MOSTRAR'!$A$4:$A$12,0))</f>
        <v>Posição 2</v>
      </c>
      <c r="G14" s="11" t="str">
        <f aca="false">IF(INDEX(PRODUTOS!$F$4:$F$63,MATCH($A14,PRODUTOS!$B$4:$B$63,0))="Ração",INDEX('O QUE MOSTRAR'!$C$4:$C$12,MATCH($D14,'O QUE MOSTRAR'!$A$4:$A$12,0)),INDEX('O QUE MOSTRAR'!$D$4:$D$12,MATCH($D14,'O QUE MOSTRAR'!$A$4:$A$12,0)))</f>
        <v>Grande diferencial da linha (número ou promessa forte + grão e ingrediente)</v>
      </c>
      <c r="H14" s="11" t="str">
        <f aca="false">INDEX('O QUE MOSTRAR'!$E$4:$E$12,MATCH($D14,'O QUE MOSTRAR'!$A$4:$A$12,0))</f>
        <v>2000 × 2000</v>
      </c>
      <c r="I14" s="11" t="str">
        <f aca="false">INDEX('O QUE MOSTRAR'!$F$4:$F$12,MATCH($D14,'O QUE MOSTRAR'!$A$4:$A$12,0))</f>
        <v>SIM</v>
      </c>
      <c r="J14" s="13" t="s">
        <v>303</v>
      </c>
      <c r="K14" s="13"/>
    </row>
    <row r="15" customFormat="false" ht="15" hidden="false" customHeight="false" outlineLevel="0" collapsed="false">
      <c r="A15" s="14" t="s">
        <v>48</v>
      </c>
      <c r="B15" s="11" t="str">
        <f aca="false">INDEX(PRODUTOS!$E$4:$E$63,MATCH($A15,PRODUTOS!$B$4:$B$63,0))</f>
        <v>New Dots Ração Seca Premium para Cães Adultos - 10,1 kg</v>
      </c>
      <c r="C15" s="11" t="str">
        <f aca="false">INDEX(PRODUTOS!$G$4:$G$63,MATCH($A15,PRODUTOS!$B$4:$B$63,0))</f>
        <v>10,1 kg</v>
      </c>
      <c r="D15" s="11" t="s">
        <v>305</v>
      </c>
      <c r="E15" s="15" t="str">
        <f aca="false">$A15&amp;"."&amp;$D15&amp;".jpg"</f>
        <v>7908591301144.PT02.jpg</v>
      </c>
      <c r="F15" s="11" t="str">
        <f aca="false">INDEX('O QUE MOSTRAR'!$B$4:$B$12,MATCH($D15,'O QUE MOSTRAR'!$A$4:$A$12,0))</f>
        <v>Posição 3</v>
      </c>
      <c r="G15" s="11" t="str">
        <f aca="false">IF(INDEX(PRODUTOS!$F$4:$F$63,MATCH($A15,PRODUTOS!$B$4:$B$63,0))="Ração",INDEX('O QUE MOSTRAR'!$C$4:$C$12,MATCH($D15,'O QUE MOSTRAR'!$A$4:$A$12,0)),INDEX('O QUE MOSTRAR'!$D$4:$D$12,MATCH($D15,'O QUE MOSTRAR'!$A$4:$A$12,0)))</f>
        <v>Benefícios com ícones (4 a 6, impressos na embalagem) + ingrediente</v>
      </c>
      <c r="H15" s="11" t="str">
        <f aca="false">INDEX('O QUE MOSTRAR'!$E$4:$E$12,MATCH($D15,'O QUE MOSTRAR'!$A$4:$A$12,0))</f>
        <v>2000 × 2000</v>
      </c>
      <c r="I15" s="11" t="str">
        <f aca="false">INDEX('O QUE MOSTRAR'!$F$4:$F$12,MATCH($D15,'O QUE MOSTRAR'!$A$4:$A$12,0))</f>
        <v>SIM</v>
      </c>
      <c r="J15" s="13" t="s">
        <v>303</v>
      </c>
      <c r="K15" s="13"/>
    </row>
    <row r="16" customFormat="false" ht="15" hidden="false" customHeight="false" outlineLevel="0" collapsed="false">
      <c r="A16" s="14" t="s">
        <v>48</v>
      </c>
      <c r="B16" s="11" t="str">
        <f aca="false">INDEX(PRODUTOS!$E$4:$E$63,MATCH($A16,PRODUTOS!$B$4:$B$63,0))</f>
        <v>New Dots Ração Seca Premium para Cães Adultos - 10,1 kg</v>
      </c>
      <c r="C16" s="11" t="str">
        <f aca="false">INDEX(PRODUTOS!$G$4:$G$63,MATCH($A16,PRODUTOS!$B$4:$B$63,0))</f>
        <v>10,1 kg</v>
      </c>
      <c r="D16" s="11" t="s">
        <v>306</v>
      </c>
      <c r="E16" s="15" t="str">
        <f aca="false">$A16&amp;"."&amp;$D16&amp;".jpg"</f>
        <v>7908591301144.PT03.jpg</v>
      </c>
      <c r="F16" s="11" t="str">
        <f aca="false">INDEX('O QUE MOSTRAR'!$B$4:$B$12,MATCH($D16,'O QUE MOSTRAR'!$A$4:$A$12,0))</f>
        <v>Posição 4</v>
      </c>
      <c r="G16" s="11" t="str">
        <f aca="false">IF(INDEX(PRODUTOS!$F$4:$F$63,MATCH($A16,PRODUTOS!$B$4:$B$63,0))="Ração",INDEX('O QUE MOSTRAR'!$C$4:$C$12,MATCH($D16,'O QUE MOSTRAR'!$A$4:$A$12,0)),INDEX('O QUE MOSTRAR'!$D$4:$D$12,MATCH($D16,'O QUE MOSTRAR'!$A$4:$A$12,0)))</f>
        <v>Formato e tamanho do grão, com medida em mm e referência de tamanho</v>
      </c>
      <c r="H16" s="11" t="str">
        <f aca="false">INDEX('O QUE MOSTRAR'!$E$4:$E$12,MATCH($D16,'O QUE MOSTRAR'!$A$4:$A$12,0))</f>
        <v>2000 × 2000</v>
      </c>
      <c r="I16" s="11" t="str">
        <f aca="false">INDEX('O QUE MOSTRAR'!$F$4:$F$12,MATCH($D16,'O QUE MOSTRAR'!$A$4:$A$12,0))</f>
        <v>SIM</v>
      </c>
      <c r="J16" s="13" t="s">
        <v>303</v>
      </c>
      <c r="K16" s="13"/>
    </row>
    <row r="17" customFormat="false" ht="15" hidden="false" customHeight="false" outlineLevel="0" collapsed="false">
      <c r="A17" s="14" t="s">
        <v>48</v>
      </c>
      <c r="B17" s="11" t="str">
        <f aca="false">INDEX(PRODUTOS!$E$4:$E$63,MATCH($A17,PRODUTOS!$B$4:$B$63,0))</f>
        <v>New Dots Ração Seca Premium para Cães Adultos - 10,1 kg</v>
      </c>
      <c r="C17" s="11" t="str">
        <f aca="false">INDEX(PRODUTOS!$G$4:$G$63,MATCH($A17,PRODUTOS!$B$4:$B$63,0))</f>
        <v>10,1 kg</v>
      </c>
      <c r="D17" s="11" t="s">
        <v>307</v>
      </c>
      <c r="E17" s="15" t="str">
        <f aca="false">$A17&amp;"."&amp;$D17&amp;".jpg"</f>
        <v>7908591301144.PT04.jpg</v>
      </c>
      <c r="F17" s="11" t="str">
        <f aca="false">INDEX('O QUE MOSTRAR'!$B$4:$B$12,MATCH($D17,'O QUE MOSTRAR'!$A$4:$A$12,0))</f>
        <v>Posição 5</v>
      </c>
      <c r="G17" s="11" t="str">
        <f aca="false">IF(INDEX(PRODUTOS!$F$4:$F$63,MATCH($A17,PRODUTOS!$B$4:$B$63,0))="Ração",INDEX('O QUE MOSTRAR'!$C$4:$C$12,MATCH($D17,'O QUE MOSTRAR'!$A$4:$A$12,0)),INDEX('O QUE MOSTRAR'!$D$4:$D$12,MATCH($D17,'O QUE MOSTRAR'!$A$4:$A$12,0)))</f>
        <v>Quantidade diária por peso do pet (números idênticos à embalagem)</v>
      </c>
      <c r="H17" s="11" t="str">
        <f aca="false">INDEX('O QUE MOSTRAR'!$E$4:$E$12,MATCH($D17,'O QUE MOSTRAR'!$A$4:$A$12,0))</f>
        <v>2000 × 2000</v>
      </c>
      <c r="I17" s="11" t="str">
        <f aca="false">INDEX('O QUE MOSTRAR'!$F$4:$F$12,MATCH($D17,'O QUE MOSTRAR'!$A$4:$A$12,0))</f>
        <v>SIM</v>
      </c>
      <c r="J17" s="13" t="s">
        <v>303</v>
      </c>
      <c r="K17" s="13"/>
    </row>
    <row r="18" customFormat="false" ht="15" hidden="false" customHeight="false" outlineLevel="0" collapsed="false">
      <c r="A18" s="14" t="s">
        <v>48</v>
      </c>
      <c r="B18" s="11" t="str">
        <f aca="false">INDEX(PRODUTOS!$E$4:$E$63,MATCH($A18,PRODUTOS!$B$4:$B$63,0))</f>
        <v>New Dots Ração Seca Premium para Cães Adultos - 10,1 kg</v>
      </c>
      <c r="C18" s="11" t="str">
        <f aca="false">INDEX(PRODUTOS!$G$4:$G$63,MATCH($A18,PRODUTOS!$B$4:$B$63,0))</f>
        <v>10,1 kg</v>
      </c>
      <c r="D18" s="11" t="s">
        <v>308</v>
      </c>
      <c r="E18" s="15" t="str">
        <f aca="false">$A18&amp;"."&amp;$D18&amp;".jpg"</f>
        <v>7908591301144.PT05.jpg</v>
      </c>
      <c r="F18" s="11" t="str">
        <f aca="false">INDEX('O QUE MOSTRAR'!$B$4:$B$12,MATCH($D18,'O QUE MOSTRAR'!$A$4:$A$12,0))</f>
        <v>Posição 6</v>
      </c>
      <c r="G18" s="11" t="str">
        <f aca="false">IF(INDEX(PRODUTOS!$F$4:$F$63,MATCH($A18,PRODUTOS!$B$4:$B$63,0))="Ração",INDEX('O QUE MOSTRAR'!$C$4:$C$12,MATCH($D18,'O QUE MOSTRAR'!$A$4:$A$12,0)),INDEX('O QUE MOSTRAR'!$D$4:$D$12,MATCH($D18,'O QUE MOSTRAR'!$A$4:$A$12,0)))</f>
        <v>Transição alimentar dia a dia (igual ao verso da embalagem)</v>
      </c>
      <c r="H18" s="11" t="str">
        <f aca="false">INDEX('O QUE MOSTRAR'!$E$4:$E$12,MATCH($D18,'O QUE MOSTRAR'!$A$4:$A$12,0))</f>
        <v>2000 × 2000</v>
      </c>
      <c r="I18" s="11" t="str">
        <f aca="false">INDEX('O QUE MOSTRAR'!$F$4:$F$12,MATCH($D18,'O QUE MOSTRAR'!$A$4:$A$12,0))</f>
        <v>Recomendada</v>
      </c>
      <c r="J18" s="13" t="s">
        <v>303</v>
      </c>
      <c r="K18" s="13"/>
    </row>
    <row r="19" customFormat="false" ht="15" hidden="false" customHeight="false" outlineLevel="0" collapsed="false">
      <c r="A19" s="14" t="s">
        <v>48</v>
      </c>
      <c r="B19" s="11" t="str">
        <f aca="false">INDEX(PRODUTOS!$E$4:$E$63,MATCH($A19,PRODUTOS!$B$4:$B$63,0))</f>
        <v>New Dots Ração Seca Premium para Cães Adultos - 10,1 kg</v>
      </c>
      <c r="C19" s="11" t="str">
        <f aca="false">INDEX(PRODUTOS!$G$4:$G$63,MATCH($A19,PRODUTOS!$B$4:$B$63,0))</f>
        <v>10,1 kg</v>
      </c>
      <c r="D19" s="11" t="s">
        <v>309</v>
      </c>
      <c r="E19" s="15" t="str">
        <f aca="false">$A19&amp;"."&amp;$D19&amp;".jpg"</f>
        <v>7908591301144.PT06.jpg</v>
      </c>
      <c r="F19" s="11" t="str">
        <f aca="false">INDEX('O QUE MOSTRAR'!$B$4:$B$12,MATCH($D19,'O QUE MOSTRAR'!$A$4:$A$12,0))</f>
        <v>Posição 7</v>
      </c>
      <c r="G19" s="11" t="str">
        <f aca="false">IF(INDEX(PRODUTOS!$F$4:$F$63,MATCH($A19,PRODUTOS!$B$4:$B$63,0))="Ração",INDEX('O QUE MOSTRAR'!$C$4:$C$12,MATCH($D19,'O QUE MOSTRAR'!$A$4:$A$12,0)),INDEX('O QUE MOSTRAR'!$D$4:$D$12,MATCH($D19,'O QUE MOSTRAR'!$A$4:$A$12,0)))</f>
        <v>Composição e níveis de garantia em letra grande</v>
      </c>
      <c r="H19" s="11" t="str">
        <f aca="false">INDEX('O QUE MOSTRAR'!$E$4:$E$12,MATCH($D19,'O QUE MOSTRAR'!$A$4:$A$12,0))</f>
        <v>2000 × 2000</v>
      </c>
      <c r="I19" s="11" t="str">
        <f aca="false">INDEX('O QUE MOSTRAR'!$F$4:$F$12,MATCH($D19,'O QUE MOSTRAR'!$A$4:$A$12,0))</f>
        <v>SIM</v>
      </c>
      <c r="J19" s="13" t="s">
        <v>303</v>
      </c>
      <c r="K19" s="13"/>
    </row>
    <row r="20" customFormat="false" ht="15" hidden="false" customHeight="false" outlineLevel="0" collapsed="false">
      <c r="A20" s="14" t="s">
        <v>48</v>
      </c>
      <c r="B20" s="11" t="str">
        <f aca="false">INDEX(PRODUTOS!$E$4:$E$63,MATCH($A20,PRODUTOS!$B$4:$B$63,0))</f>
        <v>New Dots Ração Seca Premium para Cães Adultos - 10,1 kg</v>
      </c>
      <c r="C20" s="11" t="str">
        <f aca="false">INDEX(PRODUTOS!$G$4:$G$63,MATCH($A20,PRODUTOS!$B$4:$B$63,0))</f>
        <v>10,1 kg</v>
      </c>
      <c r="D20" s="11" t="s">
        <v>310</v>
      </c>
      <c r="E20" s="15" t="str">
        <f aca="false">$A20&amp;"."&amp;$D20&amp;".jpg"</f>
        <v>7908591301144.PT07.jpg</v>
      </c>
      <c r="F20" s="11" t="str">
        <f aca="false">INDEX('O QUE MOSTRAR'!$B$4:$B$12,MATCH($D20,'O QUE MOSTRAR'!$A$4:$A$12,0))</f>
        <v>Posição 8</v>
      </c>
      <c r="G20" s="11" t="str">
        <f aca="false">IF(INDEX(PRODUTOS!$F$4:$F$63,MATCH($A20,PRODUTOS!$B$4:$B$63,0))="Ração",INDEX('O QUE MOSTRAR'!$C$4:$C$12,MATCH($D20,'O QUE MOSTRAR'!$A$4:$A$12,0)),INDEX('O QUE MOSTRAR'!$D$4:$D$12,MATCH($D20,'O QUE MOSTRAR'!$A$4:$A$12,0)))</f>
        <v>Emocional / momento de uso (pet do porte certo, pote cheio)</v>
      </c>
      <c r="H20" s="11" t="str">
        <f aca="false">INDEX('O QUE MOSTRAR'!$E$4:$E$12,MATCH($D20,'O QUE MOSTRAR'!$A$4:$A$12,0))</f>
        <v>2000 × 2000</v>
      </c>
      <c r="I20" s="11" t="str">
        <f aca="false">INDEX('O QUE MOSTRAR'!$F$4:$F$12,MATCH($D20,'O QUE MOSTRAR'!$A$4:$A$12,0))</f>
        <v>Recomendada</v>
      </c>
      <c r="J20" s="13" t="s">
        <v>303</v>
      </c>
      <c r="K20" s="13"/>
    </row>
    <row r="21" customFormat="false" ht="15" hidden="false" customHeight="false" outlineLevel="0" collapsed="false">
      <c r="A21" s="14" t="s">
        <v>48</v>
      </c>
      <c r="B21" s="11" t="str">
        <f aca="false">INDEX(PRODUTOS!$E$4:$E$63,MATCH($A21,PRODUTOS!$B$4:$B$63,0))</f>
        <v>New Dots Ração Seca Premium para Cães Adultos - 10,1 kg</v>
      </c>
      <c r="C21" s="11" t="str">
        <f aca="false">INDEX(PRODUTOS!$G$4:$G$63,MATCH($A21,PRODUTOS!$B$4:$B$63,0))</f>
        <v>10,1 kg</v>
      </c>
      <c r="D21" s="11" t="s">
        <v>311</v>
      </c>
      <c r="E21" s="15" t="str">
        <f aca="false">$A21&amp;"."&amp;$D21&amp;".jpg"</f>
        <v>7908591301144.PT08.jpg</v>
      </c>
      <c r="F21" s="11" t="str">
        <f aca="false">INDEX('O QUE MOSTRAR'!$B$4:$B$12,MATCH($D21,'O QUE MOSTRAR'!$A$4:$A$12,0))</f>
        <v>Posição 9</v>
      </c>
      <c r="G21" s="11" t="str">
        <f aca="false">IF(INDEX(PRODUTOS!$F$4:$F$63,MATCH($A21,PRODUTOS!$B$4:$B$63,0))="Ração",INDEX('O QUE MOSTRAR'!$C$4:$C$12,MATCH($D21,'O QUE MOSTRAR'!$A$4:$A$12,0)),INDEX('O QUE MOSTRAR'!$D$4:$D$12,MATCH($D21,'O QUE MOSTRAR'!$A$4:$A$12,0)))</f>
        <v>Linha da marca ou embalagem anterior × nova</v>
      </c>
      <c r="H21" s="11" t="str">
        <f aca="false">INDEX('O QUE MOSTRAR'!$E$4:$E$12,MATCH($D21,'O QUE MOSTRAR'!$A$4:$A$12,0))</f>
        <v>2000 × 2000</v>
      </c>
      <c r="I21" s="11" t="str">
        <f aca="false">INDEX('O QUE MOSTRAR'!$F$4:$F$12,MATCH($D21,'O QUE MOSTRAR'!$A$4:$A$12,0))</f>
        <v>Recomendada</v>
      </c>
      <c r="J21" s="13" t="s">
        <v>303</v>
      </c>
      <c r="K21" s="13"/>
    </row>
    <row r="22" customFormat="false" ht="15" hidden="false" customHeight="false" outlineLevel="0" collapsed="false">
      <c r="A22" s="14" t="s">
        <v>52</v>
      </c>
      <c r="B22" s="11" t="str">
        <f aca="false">INDEX(PRODUTOS!$E$4:$E$63,MATCH($A22,PRODUTOS!$B$4:$B$63,0))</f>
        <v>New Dots Ração Seca Premium para Cães Adultos - 5 kg</v>
      </c>
      <c r="C22" s="11" t="str">
        <f aca="false">INDEX(PRODUTOS!$G$4:$G$63,MATCH($A22,PRODUTOS!$B$4:$B$63,0))</f>
        <v>5 kg</v>
      </c>
      <c r="D22" s="11" t="s">
        <v>302</v>
      </c>
      <c r="E22" s="15" t="str">
        <f aca="false">$A22&amp;"."&amp;$D22&amp;".jpg"</f>
        <v>7898968541467.MAIN.jpg</v>
      </c>
      <c r="F22" s="11" t="str">
        <f aca="false">INDEX('O QUE MOSTRAR'!$B$4:$B$12,MATCH($D22,'O QUE MOSTRAR'!$A$4:$A$12,0))</f>
        <v>Capa (posição 1)</v>
      </c>
      <c r="G22" s="11" t="str">
        <f aca="false">IF(INDEX(PRODUTOS!$F$4:$F$63,MATCH($A22,PRODUTOS!$B$4:$B$63,0))="Ração",INDEX('O QUE MOSTRAR'!$C$4:$C$12,MATCH($D22,'O QUE MOSTRAR'!$A$4:$A$12,0)),INDEX('O QUE MOSTRAR'!$D$4:$D$12,MATCH($D22,'O QUE MOSTRAR'!$A$4:$A$12,0)))</f>
        <v>Embalagem de frente, fundo branco puro, 85% da área, nada adicionado</v>
      </c>
      <c r="H22" s="11" t="str">
        <f aca="false">INDEX('O QUE MOSTRAR'!$E$4:$E$12,MATCH($D22,'O QUE MOSTRAR'!$A$4:$A$12,0))</f>
        <v>2000 × 2000</v>
      </c>
      <c r="I22" s="11" t="str">
        <f aca="false">INDEX('O QUE MOSTRAR'!$F$4:$F$12,MATCH($D22,'O QUE MOSTRAR'!$A$4:$A$12,0))</f>
        <v>SIM</v>
      </c>
      <c r="J22" s="13" t="s">
        <v>303</v>
      </c>
      <c r="K22" s="13"/>
    </row>
    <row r="23" customFormat="false" ht="15" hidden="false" customHeight="false" outlineLevel="0" collapsed="false">
      <c r="A23" s="14" t="s">
        <v>52</v>
      </c>
      <c r="B23" s="11" t="str">
        <f aca="false">INDEX(PRODUTOS!$E$4:$E$63,MATCH($A23,PRODUTOS!$B$4:$B$63,0))</f>
        <v>New Dots Ração Seca Premium para Cães Adultos - 5 kg</v>
      </c>
      <c r="C23" s="11" t="str">
        <f aca="false">INDEX(PRODUTOS!$G$4:$G$63,MATCH($A23,PRODUTOS!$B$4:$B$63,0))</f>
        <v>5 kg</v>
      </c>
      <c r="D23" s="11" t="s">
        <v>304</v>
      </c>
      <c r="E23" s="15" t="str">
        <f aca="false">$A23&amp;"."&amp;$D23&amp;".jpg"</f>
        <v>7898968541467.PT01.jpg</v>
      </c>
      <c r="F23" s="11" t="str">
        <f aca="false">INDEX('O QUE MOSTRAR'!$B$4:$B$12,MATCH($D23,'O QUE MOSTRAR'!$A$4:$A$12,0))</f>
        <v>Posição 2</v>
      </c>
      <c r="G23" s="11" t="str">
        <f aca="false">IF(INDEX(PRODUTOS!$F$4:$F$63,MATCH($A23,PRODUTOS!$B$4:$B$63,0))="Ração",INDEX('O QUE MOSTRAR'!$C$4:$C$12,MATCH($D23,'O QUE MOSTRAR'!$A$4:$A$12,0)),INDEX('O QUE MOSTRAR'!$D$4:$D$12,MATCH($D23,'O QUE MOSTRAR'!$A$4:$A$12,0)))</f>
        <v>Grande diferencial da linha (número ou promessa forte + grão e ingrediente)</v>
      </c>
      <c r="H23" s="11" t="str">
        <f aca="false">INDEX('O QUE MOSTRAR'!$E$4:$E$12,MATCH($D23,'O QUE MOSTRAR'!$A$4:$A$12,0))</f>
        <v>2000 × 2000</v>
      </c>
      <c r="I23" s="11" t="str">
        <f aca="false">INDEX('O QUE MOSTRAR'!$F$4:$F$12,MATCH($D23,'O QUE MOSTRAR'!$A$4:$A$12,0))</f>
        <v>SIM</v>
      </c>
      <c r="J23" s="13" t="s">
        <v>303</v>
      </c>
      <c r="K23" s="13"/>
    </row>
    <row r="24" customFormat="false" ht="15" hidden="false" customHeight="false" outlineLevel="0" collapsed="false">
      <c r="A24" s="14" t="s">
        <v>52</v>
      </c>
      <c r="B24" s="11" t="str">
        <f aca="false">INDEX(PRODUTOS!$E$4:$E$63,MATCH($A24,PRODUTOS!$B$4:$B$63,0))</f>
        <v>New Dots Ração Seca Premium para Cães Adultos - 5 kg</v>
      </c>
      <c r="C24" s="11" t="str">
        <f aca="false">INDEX(PRODUTOS!$G$4:$G$63,MATCH($A24,PRODUTOS!$B$4:$B$63,0))</f>
        <v>5 kg</v>
      </c>
      <c r="D24" s="11" t="s">
        <v>305</v>
      </c>
      <c r="E24" s="15" t="str">
        <f aca="false">$A24&amp;"."&amp;$D24&amp;".jpg"</f>
        <v>7898968541467.PT02.jpg</v>
      </c>
      <c r="F24" s="11" t="str">
        <f aca="false">INDEX('O QUE MOSTRAR'!$B$4:$B$12,MATCH($D24,'O QUE MOSTRAR'!$A$4:$A$12,0))</f>
        <v>Posição 3</v>
      </c>
      <c r="G24" s="11" t="str">
        <f aca="false">IF(INDEX(PRODUTOS!$F$4:$F$63,MATCH($A24,PRODUTOS!$B$4:$B$63,0))="Ração",INDEX('O QUE MOSTRAR'!$C$4:$C$12,MATCH($D24,'O QUE MOSTRAR'!$A$4:$A$12,0)),INDEX('O QUE MOSTRAR'!$D$4:$D$12,MATCH($D24,'O QUE MOSTRAR'!$A$4:$A$12,0)))</f>
        <v>Benefícios com ícones (4 a 6, impressos na embalagem) + ingrediente</v>
      </c>
      <c r="H24" s="11" t="str">
        <f aca="false">INDEX('O QUE MOSTRAR'!$E$4:$E$12,MATCH($D24,'O QUE MOSTRAR'!$A$4:$A$12,0))</f>
        <v>2000 × 2000</v>
      </c>
      <c r="I24" s="11" t="str">
        <f aca="false">INDEX('O QUE MOSTRAR'!$F$4:$F$12,MATCH($D24,'O QUE MOSTRAR'!$A$4:$A$12,0))</f>
        <v>SIM</v>
      </c>
      <c r="J24" s="13" t="s">
        <v>303</v>
      </c>
      <c r="K24" s="13"/>
    </row>
    <row r="25" customFormat="false" ht="15" hidden="false" customHeight="false" outlineLevel="0" collapsed="false">
      <c r="A25" s="14" t="s">
        <v>52</v>
      </c>
      <c r="B25" s="11" t="str">
        <f aca="false">INDEX(PRODUTOS!$E$4:$E$63,MATCH($A25,PRODUTOS!$B$4:$B$63,0))</f>
        <v>New Dots Ração Seca Premium para Cães Adultos - 5 kg</v>
      </c>
      <c r="C25" s="11" t="str">
        <f aca="false">INDEX(PRODUTOS!$G$4:$G$63,MATCH($A25,PRODUTOS!$B$4:$B$63,0))</f>
        <v>5 kg</v>
      </c>
      <c r="D25" s="11" t="s">
        <v>306</v>
      </c>
      <c r="E25" s="15" t="str">
        <f aca="false">$A25&amp;"."&amp;$D25&amp;".jpg"</f>
        <v>7898968541467.PT03.jpg</v>
      </c>
      <c r="F25" s="11" t="str">
        <f aca="false">INDEX('O QUE MOSTRAR'!$B$4:$B$12,MATCH($D25,'O QUE MOSTRAR'!$A$4:$A$12,0))</f>
        <v>Posição 4</v>
      </c>
      <c r="G25" s="11" t="str">
        <f aca="false">IF(INDEX(PRODUTOS!$F$4:$F$63,MATCH($A25,PRODUTOS!$B$4:$B$63,0))="Ração",INDEX('O QUE MOSTRAR'!$C$4:$C$12,MATCH($D25,'O QUE MOSTRAR'!$A$4:$A$12,0)),INDEX('O QUE MOSTRAR'!$D$4:$D$12,MATCH($D25,'O QUE MOSTRAR'!$A$4:$A$12,0)))</f>
        <v>Formato e tamanho do grão, com medida em mm e referência de tamanho</v>
      </c>
      <c r="H25" s="11" t="str">
        <f aca="false">INDEX('O QUE MOSTRAR'!$E$4:$E$12,MATCH($D25,'O QUE MOSTRAR'!$A$4:$A$12,0))</f>
        <v>2000 × 2000</v>
      </c>
      <c r="I25" s="11" t="str">
        <f aca="false">INDEX('O QUE MOSTRAR'!$F$4:$F$12,MATCH($D25,'O QUE MOSTRAR'!$A$4:$A$12,0))</f>
        <v>SIM</v>
      </c>
      <c r="J25" s="13" t="s">
        <v>303</v>
      </c>
      <c r="K25" s="13"/>
    </row>
    <row r="26" customFormat="false" ht="15" hidden="false" customHeight="false" outlineLevel="0" collapsed="false">
      <c r="A26" s="14" t="s">
        <v>52</v>
      </c>
      <c r="B26" s="11" t="str">
        <f aca="false">INDEX(PRODUTOS!$E$4:$E$63,MATCH($A26,PRODUTOS!$B$4:$B$63,0))</f>
        <v>New Dots Ração Seca Premium para Cães Adultos - 5 kg</v>
      </c>
      <c r="C26" s="11" t="str">
        <f aca="false">INDEX(PRODUTOS!$G$4:$G$63,MATCH($A26,PRODUTOS!$B$4:$B$63,0))</f>
        <v>5 kg</v>
      </c>
      <c r="D26" s="11" t="s">
        <v>307</v>
      </c>
      <c r="E26" s="15" t="str">
        <f aca="false">$A26&amp;"."&amp;$D26&amp;".jpg"</f>
        <v>7898968541467.PT04.jpg</v>
      </c>
      <c r="F26" s="11" t="str">
        <f aca="false">INDEX('O QUE MOSTRAR'!$B$4:$B$12,MATCH($D26,'O QUE MOSTRAR'!$A$4:$A$12,0))</f>
        <v>Posição 5</v>
      </c>
      <c r="G26" s="11" t="str">
        <f aca="false">IF(INDEX(PRODUTOS!$F$4:$F$63,MATCH($A26,PRODUTOS!$B$4:$B$63,0))="Ração",INDEX('O QUE MOSTRAR'!$C$4:$C$12,MATCH($D26,'O QUE MOSTRAR'!$A$4:$A$12,0)),INDEX('O QUE MOSTRAR'!$D$4:$D$12,MATCH($D26,'O QUE MOSTRAR'!$A$4:$A$12,0)))</f>
        <v>Quantidade diária por peso do pet (números idênticos à embalagem)</v>
      </c>
      <c r="H26" s="11" t="str">
        <f aca="false">INDEX('O QUE MOSTRAR'!$E$4:$E$12,MATCH($D26,'O QUE MOSTRAR'!$A$4:$A$12,0))</f>
        <v>2000 × 2000</v>
      </c>
      <c r="I26" s="11" t="str">
        <f aca="false">INDEX('O QUE MOSTRAR'!$F$4:$F$12,MATCH($D26,'O QUE MOSTRAR'!$A$4:$A$12,0))</f>
        <v>SIM</v>
      </c>
      <c r="J26" s="13" t="s">
        <v>303</v>
      </c>
      <c r="K26" s="13"/>
    </row>
    <row r="27" customFormat="false" ht="15" hidden="false" customHeight="false" outlineLevel="0" collapsed="false">
      <c r="A27" s="14" t="s">
        <v>52</v>
      </c>
      <c r="B27" s="11" t="str">
        <f aca="false">INDEX(PRODUTOS!$E$4:$E$63,MATCH($A27,PRODUTOS!$B$4:$B$63,0))</f>
        <v>New Dots Ração Seca Premium para Cães Adultos - 5 kg</v>
      </c>
      <c r="C27" s="11" t="str">
        <f aca="false">INDEX(PRODUTOS!$G$4:$G$63,MATCH($A27,PRODUTOS!$B$4:$B$63,0))</f>
        <v>5 kg</v>
      </c>
      <c r="D27" s="11" t="s">
        <v>308</v>
      </c>
      <c r="E27" s="15" t="str">
        <f aca="false">$A27&amp;"."&amp;$D27&amp;".jpg"</f>
        <v>7898968541467.PT05.jpg</v>
      </c>
      <c r="F27" s="11" t="str">
        <f aca="false">INDEX('O QUE MOSTRAR'!$B$4:$B$12,MATCH($D27,'O QUE MOSTRAR'!$A$4:$A$12,0))</f>
        <v>Posição 6</v>
      </c>
      <c r="G27" s="11" t="str">
        <f aca="false">IF(INDEX(PRODUTOS!$F$4:$F$63,MATCH($A27,PRODUTOS!$B$4:$B$63,0))="Ração",INDEX('O QUE MOSTRAR'!$C$4:$C$12,MATCH($D27,'O QUE MOSTRAR'!$A$4:$A$12,0)),INDEX('O QUE MOSTRAR'!$D$4:$D$12,MATCH($D27,'O QUE MOSTRAR'!$A$4:$A$12,0)))</f>
        <v>Transição alimentar dia a dia (igual ao verso da embalagem)</v>
      </c>
      <c r="H27" s="11" t="str">
        <f aca="false">INDEX('O QUE MOSTRAR'!$E$4:$E$12,MATCH($D27,'O QUE MOSTRAR'!$A$4:$A$12,0))</f>
        <v>2000 × 2000</v>
      </c>
      <c r="I27" s="11" t="str">
        <f aca="false">INDEX('O QUE MOSTRAR'!$F$4:$F$12,MATCH($D27,'O QUE MOSTRAR'!$A$4:$A$12,0))</f>
        <v>Recomendada</v>
      </c>
      <c r="J27" s="13" t="s">
        <v>303</v>
      </c>
      <c r="K27" s="13"/>
    </row>
    <row r="28" customFormat="false" ht="15" hidden="false" customHeight="false" outlineLevel="0" collapsed="false">
      <c r="A28" s="14" t="s">
        <v>52</v>
      </c>
      <c r="B28" s="11" t="str">
        <f aca="false">INDEX(PRODUTOS!$E$4:$E$63,MATCH($A28,PRODUTOS!$B$4:$B$63,0))</f>
        <v>New Dots Ração Seca Premium para Cães Adultos - 5 kg</v>
      </c>
      <c r="C28" s="11" t="str">
        <f aca="false">INDEX(PRODUTOS!$G$4:$G$63,MATCH($A28,PRODUTOS!$B$4:$B$63,0))</f>
        <v>5 kg</v>
      </c>
      <c r="D28" s="11" t="s">
        <v>309</v>
      </c>
      <c r="E28" s="15" t="str">
        <f aca="false">$A28&amp;"."&amp;$D28&amp;".jpg"</f>
        <v>7898968541467.PT06.jpg</v>
      </c>
      <c r="F28" s="11" t="str">
        <f aca="false">INDEX('O QUE MOSTRAR'!$B$4:$B$12,MATCH($D28,'O QUE MOSTRAR'!$A$4:$A$12,0))</f>
        <v>Posição 7</v>
      </c>
      <c r="G28" s="11" t="str">
        <f aca="false">IF(INDEX(PRODUTOS!$F$4:$F$63,MATCH($A28,PRODUTOS!$B$4:$B$63,0))="Ração",INDEX('O QUE MOSTRAR'!$C$4:$C$12,MATCH($D28,'O QUE MOSTRAR'!$A$4:$A$12,0)),INDEX('O QUE MOSTRAR'!$D$4:$D$12,MATCH($D28,'O QUE MOSTRAR'!$A$4:$A$12,0)))</f>
        <v>Composição e níveis de garantia em letra grande</v>
      </c>
      <c r="H28" s="11" t="str">
        <f aca="false">INDEX('O QUE MOSTRAR'!$E$4:$E$12,MATCH($D28,'O QUE MOSTRAR'!$A$4:$A$12,0))</f>
        <v>2000 × 2000</v>
      </c>
      <c r="I28" s="11" t="str">
        <f aca="false">INDEX('O QUE MOSTRAR'!$F$4:$F$12,MATCH($D28,'O QUE MOSTRAR'!$A$4:$A$12,0))</f>
        <v>SIM</v>
      </c>
      <c r="J28" s="13" t="s">
        <v>303</v>
      </c>
      <c r="K28" s="13"/>
    </row>
    <row r="29" customFormat="false" ht="15" hidden="false" customHeight="false" outlineLevel="0" collapsed="false">
      <c r="A29" s="14" t="s">
        <v>52</v>
      </c>
      <c r="B29" s="11" t="str">
        <f aca="false">INDEX(PRODUTOS!$E$4:$E$63,MATCH($A29,PRODUTOS!$B$4:$B$63,0))</f>
        <v>New Dots Ração Seca Premium para Cães Adultos - 5 kg</v>
      </c>
      <c r="C29" s="11" t="str">
        <f aca="false">INDEX(PRODUTOS!$G$4:$G$63,MATCH($A29,PRODUTOS!$B$4:$B$63,0))</f>
        <v>5 kg</v>
      </c>
      <c r="D29" s="11" t="s">
        <v>310</v>
      </c>
      <c r="E29" s="15" t="str">
        <f aca="false">$A29&amp;"."&amp;$D29&amp;".jpg"</f>
        <v>7898968541467.PT07.jpg</v>
      </c>
      <c r="F29" s="11" t="str">
        <f aca="false">INDEX('O QUE MOSTRAR'!$B$4:$B$12,MATCH($D29,'O QUE MOSTRAR'!$A$4:$A$12,0))</f>
        <v>Posição 8</v>
      </c>
      <c r="G29" s="11" t="str">
        <f aca="false">IF(INDEX(PRODUTOS!$F$4:$F$63,MATCH($A29,PRODUTOS!$B$4:$B$63,0))="Ração",INDEX('O QUE MOSTRAR'!$C$4:$C$12,MATCH($D29,'O QUE MOSTRAR'!$A$4:$A$12,0)),INDEX('O QUE MOSTRAR'!$D$4:$D$12,MATCH($D29,'O QUE MOSTRAR'!$A$4:$A$12,0)))</f>
        <v>Emocional / momento de uso (pet do porte certo, pote cheio)</v>
      </c>
      <c r="H29" s="11" t="str">
        <f aca="false">INDEX('O QUE MOSTRAR'!$E$4:$E$12,MATCH($D29,'O QUE MOSTRAR'!$A$4:$A$12,0))</f>
        <v>2000 × 2000</v>
      </c>
      <c r="I29" s="11" t="str">
        <f aca="false">INDEX('O QUE MOSTRAR'!$F$4:$F$12,MATCH($D29,'O QUE MOSTRAR'!$A$4:$A$12,0))</f>
        <v>Recomendada</v>
      </c>
      <c r="J29" s="13" t="s">
        <v>303</v>
      </c>
      <c r="K29" s="13"/>
    </row>
    <row r="30" customFormat="false" ht="15" hidden="false" customHeight="false" outlineLevel="0" collapsed="false">
      <c r="A30" s="14" t="s">
        <v>52</v>
      </c>
      <c r="B30" s="11" t="str">
        <f aca="false">INDEX(PRODUTOS!$E$4:$E$63,MATCH($A30,PRODUTOS!$B$4:$B$63,0))</f>
        <v>New Dots Ração Seca Premium para Cães Adultos - 5 kg</v>
      </c>
      <c r="C30" s="11" t="str">
        <f aca="false">INDEX(PRODUTOS!$G$4:$G$63,MATCH($A30,PRODUTOS!$B$4:$B$63,0))</f>
        <v>5 kg</v>
      </c>
      <c r="D30" s="11" t="s">
        <v>311</v>
      </c>
      <c r="E30" s="15" t="str">
        <f aca="false">$A30&amp;"."&amp;$D30&amp;".jpg"</f>
        <v>7898968541467.PT08.jpg</v>
      </c>
      <c r="F30" s="11" t="str">
        <f aca="false">INDEX('O QUE MOSTRAR'!$B$4:$B$12,MATCH($D30,'O QUE MOSTRAR'!$A$4:$A$12,0))</f>
        <v>Posição 9</v>
      </c>
      <c r="G30" s="11" t="str">
        <f aca="false">IF(INDEX(PRODUTOS!$F$4:$F$63,MATCH($A30,PRODUTOS!$B$4:$B$63,0))="Ração",INDEX('O QUE MOSTRAR'!$C$4:$C$12,MATCH($D30,'O QUE MOSTRAR'!$A$4:$A$12,0)),INDEX('O QUE MOSTRAR'!$D$4:$D$12,MATCH($D30,'O QUE MOSTRAR'!$A$4:$A$12,0)))</f>
        <v>Linha da marca ou embalagem anterior × nova</v>
      </c>
      <c r="H30" s="11" t="str">
        <f aca="false">INDEX('O QUE MOSTRAR'!$E$4:$E$12,MATCH($D30,'O QUE MOSTRAR'!$A$4:$A$12,0))</f>
        <v>2000 × 2000</v>
      </c>
      <c r="I30" s="11" t="str">
        <f aca="false">INDEX('O QUE MOSTRAR'!$F$4:$F$12,MATCH($D30,'O QUE MOSTRAR'!$A$4:$A$12,0))</f>
        <v>Recomendada</v>
      </c>
      <c r="J30" s="13" t="s">
        <v>303</v>
      </c>
      <c r="K30" s="13"/>
    </row>
    <row r="31" customFormat="false" ht="15" hidden="false" customHeight="false" outlineLevel="0" collapsed="false">
      <c r="A31" s="14" t="s">
        <v>56</v>
      </c>
      <c r="B31" s="11" t="str">
        <f aca="false">INDEX(PRODUTOS!$E$4:$E$63,MATCH($A31,PRODUTOS!$B$4:$B$63,0))</f>
        <v>New Dots Ração Seca Premium para Cães Adultos - 1 kg</v>
      </c>
      <c r="C31" s="11" t="str">
        <f aca="false">INDEX(PRODUTOS!$G$4:$G$63,MATCH($A31,PRODUTOS!$B$4:$B$63,0))</f>
        <v>1 kg</v>
      </c>
      <c r="D31" s="11" t="s">
        <v>302</v>
      </c>
      <c r="E31" s="15" t="str">
        <f aca="false">$A31&amp;"."&amp;$D31&amp;".jpg"</f>
        <v>7898968541450.MAIN.jpg</v>
      </c>
      <c r="F31" s="11" t="str">
        <f aca="false">INDEX('O QUE MOSTRAR'!$B$4:$B$12,MATCH($D31,'O QUE MOSTRAR'!$A$4:$A$12,0))</f>
        <v>Capa (posição 1)</v>
      </c>
      <c r="G31" s="11" t="str">
        <f aca="false">IF(INDEX(PRODUTOS!$F$4:$F$63,MATCH($A31,PRODUTOS!$B$4:$B$63,0))="Ração",INDEX('O QUE MOSTRAR'!$C$4:$C$12,MATCH($D31,'O QUE MOSTRAR'!$A$4:$A$12,0)),INDEX('O QUE MOSTRAR'!$D$4:$D$12,MATCH($D31,'O QUE MOSTRAR'!$A$4:$A$12,0)))</f>
        <v>Embalagem de frente, fundo branco puro, 85% da área, nada adicionado</v>
      </c>
      <c r="H31" s="11" t="str">
        <f aca="false">INDEX('O QUE MOSTRAR'!$E$4:$E$12,MATCH($D31,'O QUE MOSTRAR'!$A$4:$A$12,0))</f>
        <v>2000 × 2000</v>
      </c>
      <c r="I31" s="11" t="str">
        <f aca="false">INDEX('O QUE MOSTRAR'!$F$4:$F$12,MATCH($D31,'O QUE MOSTRAR'!$A$4:$A$12,0))</f>
        <v>SIM</v>
      </c>
      <c r="J31" s="13" t="s">
        <v>303</v>
      </c>
      <c r="K31" s="13"/>
    </row>
    <row r="32" customFormat="false" ht="15" hidden="false" customHeight="false" outlineLevel="0" collapsed="false">
      <c r="A32" s="14" t="s">
        <v>56</v>
      </c>
      <c r="B32" s="11" t="str">
        <f aca="false">INDEX(PRODUTOS!$E$4:$E$63,MATCH($A32,PRODUTOS!$B$4:$B$63,0))</f>
        <v>New Dots Ração Seca Premium para Cães Adultos - 1 kg</v>
      </c>
      <c r="C32" s="11" t="str">
        <f aca="false">INDEX(PRODUTOS!$G$4:$G$63,MATCH($A32,PRODUTOS!$B$4:$B$63,0))</f>
        <v>1 kg</v>
      </c>
      <c r="D32" s="11" t="s">
        <v>304</v>
      </c>
      <c r="E32" s="15" t="str">
        <f aca="false">$A32&amp;"."&amp;$D32&amp;".jpg"</f>
        <v>7898968541450.PT01.jpg</v>
      </c>
      <c r="F32" s="11" t="str">
        <f aca="false">INDEX('O QUE MOSTRAR'!$B$4:$B$12,MATCH($D32,'O QUE MOSTRAR'!$A$4:$A$12,0))</f>
        <v>Posição 2</v>
      </c>
      <c r="G32" s="11" t="str">
        <f aca="false">IF(INDEX(PRODUTOS!$F$4:$F$63,MATCH($A32,PRODUTOS!$B$4:$B$63,0))="Ração",INDEX('O QUE MOSTRAR'!$C$4:$C$12,MATCH($D32,'O QUE MOSTRAR'!$A$4:$A$12,0)),INDEX('O QUE MOSTRAR'!$D$4:$D$12,MATCH($D32,'O QUE MOSTRAR'!$A$4:$A$12,0)))</f>
        <v>Grande diferencial da linha (número ou promessa forte + grão e ingrediente)</v>
      </c>
      <c r="H32" s="11" t="str">
        <f aca="false">INDEX('O QUE MOSTRAR'!$E$4:$E$12,MATCH($D32,'O QUE MOSTRAR'!$A$4:$A$12,0))</f>
        <v>2000 × 2000</v>
      </c>
      <c r="I32" s="11" t="str">
        <f aca="false">INDEX('O QUE MOSTRAR'!$F$4:$F$12,MATCH($D32,'O QUE MOSTRAR'!$A$4:$A$12,0))</f>
        <v>SIM</v>
      </c>
      <c r="J32" s="13" t="s">
        <v>303</v>
      </c>
      <c r="K32" s="13"/>
    </row>
    <row r="33" customFormat="false" ht="15" hidden="false" customHeight="false" outlineLevel="0" collapsed="false">
      <c r="A33" s="14" t="s">
        <v>56</v>
      </c>
      <c r="B33" s="11" t="str">
        <f aca="false">INDEX(PRODUTOS!$E$4:$E$63,MATCH($A33,PRODUTOS!$B$4:$B$63,0))</f>
        <v>New Dots Ração Seca Premium para Cães Adultos - 1 kg</v>
      </c>
      <c r="C33" s="11" t="str">
        <f aca="false">INDEX(PRODUTOS!$G$4:$G$63,MATCH($A33,PRODUTOS!$B$4:$B$63,0))</f>
        <v>1 kg</v>
      </c>
      <c r="D33" s="11" t="s">
        <v>305</v>
      </c>
      <c r="E33" s="15" t="str">
        <f aca="false">$A33&amp;"."&amp;$D33&amp;".jpg"</f>
        <v>7898968541450.PT02.jpg</v>
      </c>
      <c r="F33" s="11" t="str">
        <f aca="false">INDEX('O QUE MOSTRAR'!$B$4:$B$12,MATCH($D33,'O QUE MOSTRAR'!$A$4:$A$12,0))</f>
        <v>Posição 3</v>
      </c>
      <c r="G33" s="11" t="str">
        <f aca="false">IF(INDEX(PRODUTOS!$F$4:$F$63,MATCH($A33,PRODUTOS!$B$4:$B$63,0))="Ração",INDEX('O QUE MOSTRAR'!$C$4:$C$12,MATCH($D33,'O QUE MOSTRAR'!$A$4:$A$12,0)),INDEX('O QUE MOSTRAR'!$D$4:$D$12,MATCH($D33,'O QUE MOSTRAR'!$A$4:$A$12,0)))</f>
        <v>Benefícios com ícones (4 a 6, impressos na embalagem) + ingrediente</v>
      </c>
      <c r="H33" s="11" t="str">
        <f aca="false">INDEX('O QUE MOSTRAR'!$E$4:$E$12,MATCH($D33,'O QUE MOSTRAR'!$A$4:$A$12,0))</f>
        <v>2000 × 2000</v>
      </c>
      <c r="I33" s="11" t="str">
        <f aca="false">INDEX('O QUE MOSTRAR'!$F$4:$F$12,MATCH($D33,'O QUE MOSTRAR'!$A$4:$A$12,0))</f>
        <v>SIM</v>
      </c>
      <c r="J33" s="13" t="s">
        <v>303</v>
      </c>
      <c r="K33" s="13"/>
    </row>
    <row r="34" customFormat="false" ht="15" hidden="false" customHeight="false" outlineLevel="0" collapsed="false">
      <c r="A34" s="14" t="s">
        <v>56</v>
      </c>
      <c r="B34" s="11" t="str">
        <f aca="false">INDEX(PRODUTOS!$E$4:$E$63,MATCH($A34,PRODUTOS!$B$4:$B$63,0))</f>
        <v>New Dots Ração Seca Premium para Cães Adultos - 1 kg</v>
      </c>
      <c r="C34" s="11" t="str">
        <f aca="false">INDEX(PRODUTOS!$G$4:$G$63,MATCH($A34,PRODUTOS!$B$4:$B$63,0))</f>
        <v>1 kg</v>
      </c>
      <c r="D34" s="11" t="s">
        <v>306</v>
      </c>
      <c r="E34" s="15" t="str">
        <f aca="false">$A34&amp;"."&amp;$D34&amp;".jpg"</f>
        <v>7898968541450.PT03.jpg</v>
      </c>
      <c r="F34" s="11" t="str">
        <f aca="false">INDEX('O QUE MOSTRAR'!$B$4:$B$12,MATCH($D34,'O QUE MOSTRAR'!$A$4:$A$12,0))</f>
        <v>Posição 4</v>
      </c>
      <c r="G34" s="11" t="str">
        <f aca="false">IF(INDEX(PRODUTOS!$F$4:$F$63,MATCH($A34,PRODUTOS!$B$4:$B$63,0))="Ração",INDEX('O QUE MOSTRAR'!$C$4:$C$12,MATCH($D34,'O QUE MOSTRAR'!$A$4:$A$12,0)),INDEX('O QUE MOSTRAR'!$D$4:$D$12,MATCH($D34,'O QUE MOSTRAR'!$A$4:$A$12,0)))</f>
        <v>Formato e tamanho do grão, com medida em mm e referência de tamanho</v>
      </c>
      <c r="H34" s="11" t="str">
        <f aca="false">INDEX('O QUE MOSTRAR'!$E$4:$E$12,MATCH($D34,'O QUE MOSTRAR'!$A$4:$A$12,0))</f>
        <v>2000 × 2000</v>
      </c>
      <c r="I34" s="11" t="str">
        <f aca="false">INDEX('O QUE MOSTRAR'!$F$4:$F$12,MATCH($D34,'O QUE MOSTRAR'!$A$4:$A$12,0))</f>
        <v>SIM</v>
      </c>
      <c r="J34" s="13" t="s">
        <v>303</v>
      </c>
      <c r="K34" s="13"/>
    </row>
    <row r="35" customFormat="false" ht="15" hidden="false" customHeight="false" outlineLevel="0" collapsed="false">
      <c r="A35" s="14" t="s">
        <v>56</v>
      </c>
      <c r="B35" s="11" t="str">
        <f aca="false">INDEX(PRODUTOS!$E$4:$E$63,MATCH($A35,PRODUTOS!$B$4:$B$63,0))</f>
        <v>New Dots Ração Seca Premium para Cães Adultos - 1 kg</v>
      </c>
      <c r="C35" s="11" t="str">
        <f aca="false">INDEX(PRODUTOS!$G$4:$G$63,MATCH($A35,PRODUTOS!$B$4:$B$63,0))</f>
        <v>1 kg</v>
      </c>
      <c r="D35" s="11" t="s">
        <v>307</v>
      </c>
      <c r="E35" s="15" t="str">
        <f aca="false">$A35&amp;"."&amp;$D35&amp;".jpg"</f>
        <v>7898968541450.PT04.jpg</v>
      </c>
      <c r="F35" s="11" t="str">
        <f aca="false">INDEX('O QUE MOSTRAR'!$B$4:$B$12,MATCH($D35,'O QUE MOSTRAR'!$A$4:$A$12,0))</f>
        <v>Posição 5</v>
      </c>
      <c r="G35" s="11" t="str">
        <f aca="false">IF(INDEX(PRODUTOS!$F$4:$F$63,MATCH($A35,PRODUTOS!$B$4:$B$63,0))="Ração",INDEX('O QUE MOSTRAR'!$C$4:$C$12,MATCH($D35,'O QUE MOSTRAR'!$A$4:$A$12,0)),INDEX('O QUE MOSTRAR'!$D$4:$D$12,MATCH($D35,'O QUE MOSTRAR'!$A$4:$A$12,0)))</f>
        <v>Quantidade diária por peso do pet (números idênticos à embalagem)</v>
      </c>
      <c r="H35" s="11" t="str">
        <f aca="false">INDEX('O QUE MOSTRAR'!$E$4:$E$12,MATCH($D35,'O QUE MOSTRAR'!$A$4:$A$12,0))</f>
        <v>2000 × 2000</v>
      </c>
      <c r="I35" s="11" t="str">
        <f aca="false">INDEX('O QUE MOSTRAR'!$F$4:$F$12,MATCH($D35,'O QUE MOSTRAR'!$A$4:$A$12,0))</f>
        <v>SIM</v>
      </c>
      <c r="J35" s="13" t="s">
        <v>303</v>
      </c>
      <c r="K35" s="13"/>
    </row>
    <row r="36" customFormat="false" ht="15" hidden="false" customHeight="false" outlineLevel="0" collapsed="false">
      <c r="A36" s="14" t="s">
        <v>56</v>
      </c>
      <c r="B36" s="11" t="str">
        <f aca="false">INDEX(PRODUTOS!$E$4:$E$63,MATCH($A36,PRODUTOS!$B$4:$B$63,0))</f>
        <v>New Dots Ração Seca Premium para Cães Adultos - 1 kg</v>
      </c>
      <c r="C36" s="11" t="str">
        <f aca="false">INDEX(PRODUTOS!$G$4:$G$63,MATCH($A36,PRODUTOS!$B$4:$B$63,0))</f>
        <v>1 kg</v>
      </c>
      <c r="D36" s="11" t="s">
        <v>308</v>
      </c>
      <c r="E36" s="15" t="str">
        <f aca="false">$A36&amp;"."&amp;$D36&amp;".jpg"</f>
        <v>7898968541450.PT05.jpg</v>
      </c>
      <c r="F36" s="11" t="str">
        <f aca="false">INDEX('O QUE MOSTRAR'!$B$4:$B$12,MATCH($D36,'O QUE MOSTRAR'!$A$4:$A$12,0))</f>
        <v>Posição 6</v>
      </c>
      <c r="G36" s="11" t="str">
        <f aca="false">IF(INDEX(PRODUTOS!$F$4:$F$63,MATCH($A36,PRODUTOS!$B$4:$B$63,0))="Ração",INDEX('O QUE MOSTRAR'!$C$4:$C$12,MATCH($D36,'O QUE MOSTRAR'!$A$4:$A$12,0)),INDEX('O QUE MOSTRAR'!$D$4:$D$12,MATCH($D36,'O QUE MOSTRAR'!$A$4:$A$12,0)))</f>
        <v>Transição alimentar dia a dia (igual ao verso da embalagem)</v>
      </c>
      <c r="H36" s="11" t="str">
        <f aca="false">INDEX('O QUE MOSTRAR'!$E$4:$E$12,MATCH($D36,'O QUE MOSTRAR'!$A$4:$A$12,0))</f>
        <v>2000 × 2000</v>
      </c>
      <c r="I36" s="11" t="str">
        <f aca="false">INDEX('O QUE MOSTRAR'!$F$4:$F$12,MATCH($D36,'O QUE MOSTRAR'!$A$4:$A$12,0))</f>
        <v>Recomendada</v>
      </c>
      <c r="J36" s="13" t="s">
        <v>303</v>
      </c>
      <c r="K36" s="13"/>
    </row>
    <row r="37" customFormat="false" ht="15" hidden="false" customHeight="false" outlineLevel="0" collapsed="false">
      <c r="A37" s="14" t="s">
        <v>56</v>
      </c>
      <c r="B37" s="11" t="str">
        <f aca="false">INDEX(PRODUTOS!$E$4:$E$63,MATCH($A37,PRODUTOS!$B$4:$B$63,0))</f>
        <v>New Dots Ração Seca Premium para Cães Adultos - 1 kg</v>
      </c>
      <c r="C37" s="11" t="str">
        <f aca="false">INDEX(PRODUTOS!$G$4:$G$63,MATCH($A37,PRODUTOS!$B$4:$B$63,0))</f>
        <v>1 kg</v>
      </c>
      <c r="D37" s="11" t="s">
        <v>309</v>
      </c>
      <c r="E37" s="15" t="str">
        <f aca="false">$A37&amp;"."&amp;$D37&amp;".jpg"</f>
        <v>7898968541450.PT06.jpg</v>
      </c>
      <c r="F37" s="11" t="str">
        <f aca="false">INDEX('O QUE MOSTRAR'!$B$4:$B$12,MATCH($D37,'O QUE MOSTRAR'!$A$4:$A$12,0))</f>
        <v>Posição 7</v>
      </c>
      <c r="G37" s="11" t="str">
        <f aca="false">IF(INDEX(PRODUTOS!$F$4:$F$63,MATCH($A37,PRODUTOS!$B$4:$B$63,0))="Ração",INDEX('O QUE MOSTRAR'!$C$4:$C$12,MATCH($D37,'O QUE MOSTRAR'!$A$4:$A$12,0)),INDEX('O QUE MOSTRAR'!$D$4:$D$12,MATCH($D37,'O QUE MOSTRAR'!$A$4:$A$12,0)))</f>
        <v>Composição e níveis de garantia em letra grande</v>
      </c>
      <c r="H37" s="11" t="str">
        <f aca="false">INDEX('O QUE MOSTRAR'!$E$4:$E$12,MATCH($D37,'O QUE MOSTRAR'!$A$4:$A$12,0))</f>
        <v>2000 × 2000</v>
      </c>
      <c r="I37" s="11" t="str">
        <f aca="false">INDEX('O QUE MOSTRAR'!$F$4:$F$12,MATCH($D37,'O QUE MOSTRAR'!$A$4:$A$12,0))</f>
        <v>SIM</v>
      </c>
      <c r="J37" s="13" t="s">
        <v>303</v>
      </c>
      <c r="K37" s="13"/>
    </row>
    <row r="38" customFormat="false" ht="15" hidden="false" customHeight="false" outlineLevel="0" collapsed="false">
      <c r="A38" s="14" t="s">
        <v>56</v>
      </c>
      <c r="B38" s="11" t="str">
        <f aca="false">INDEX(PRODUTOS!$E$4:$E$63,MATCH($A38,PRODUTOS!$B$4:$B$63,0))</f>
        <v>New Dots Ração Seca Premium para Cães Adultos - 1 kg</v>
      </c>
      <c r="C38" s="11" t="str">
        <f aca="false">INDEX(PRODUTOS!$G$4:$G$63,MATCH($A38,PRODUTOS!$B$4:$B$63,0))</f>
        <v>1 kg</v>
      </c>
      <c r="D38" s="11" t="s">
        <v>310</v>
      </c>
      <c r="E38" s="15" t="str">
        <f aca="false">$A38&amp;"."&amp;$D38&amp;".jpg"</f>
        <v>7898968541450.PT07.jpg</v>
      </c>
      <c r="F38" s="11" t="str">
        <f aca="false">INDEX('O QUE MOSTRAR'!$B$4:$B$12,MATCH($D38,'O QUE MOSTRAR'!$A$4:$A$12,0))</f>
        <v>Posição 8</v>
      </c>
      <c r="G38" s="11" t="str">
        <f aca="false">IF(INDEX(PRODUTOS!$F$4:$F$63,MATCH($A38,PRODUTOS!$B$4:$B$63,0))="Ração",INDEX('O QUE MOSTRAR'!$C$4:$C$12,MATCH($D38,'O QUE MOSTRAR'!$A$4:$A$12,0)),INDEX('O QUE MOSTRAR'!$D$4:$D$12,MATCH($D38,'O QUE MOSTRAR'!$A$4:$A$12,0)))</f>
        <v>Emocional / momento de uso (pet do porte certo, pote cheio)</v>
      </c>
      <c r="H38" s="11" t="str">
        <f aca="false">INDEX('O QUE MOSTRAR'!$E$4:$E$12,MATCH($D38,'O QUE MOSTRAR'!$A$4:$A$12,0))</f>
        <v>2000 × 2000</v>
      </c>
      <c r="I38" s="11" t="str">
        <f aca="false">INDEX('O QUE MOSTRAR'!$F$4:$F$12,MATCH($D38,'O QUE MOSTRAR'!$A$4:$A$12,0))</f>
        <v>Recomendada</v>
      </c>
      <c r="J38" s="13" t="s">
        <v>303</v>
      </c>
      <c r="K38" s="13"/>
    </row>
    <row r="39" customFormat="false" ht="15" hidden="false" customHeight="false" outlineLevel="0" collapsed="false">
      <c r="A39" s="14" t="s">
        <v>56</v>
      </c>
      <c r="B39" s="11" t="str">
        <f aca="false">INDEX(PRODUTOS!$E$4:$E$63,MATCH($A39,PRODUTOS!$B$4:$B$63,0))</f>
        <v>New Dots Ração Seca Premium para Cães Adultos - 1 kg</v>
      </c>
      <c r="C39" s="11" t="str">
        <f aca="false">INDEX(PRODUTOS!$G$4:$G$63,MATCH($A39,PRODUTOS!$B$4:$B$63,0))</f>
        <v>1 kg</v>
      </c>
      <c r="D39" s="11" t="s">
        <v>311</v>
      </c>
      <c r="E39" s="15" t="str">
        <f aca="false">$A39&amp;"."&amp;$D39&amp;".jpg"</f>
        <v>7898968541450.PT08.jpg</v>
      </c>
      <c r="F39" s="11" t="str">
        <f aca="false">INDEX('O QUE MOSTRAR'!$B$4:$B$12,MATCH($D39,'O QUE MOSTRAR'!$A$4:$A$12,0))</f>
        <v>Posição 9</v>
      </c>
      <c r="G39" s="11" t="str">
        <f aca="false">IF(INDEX(PRODUTOS!$F$4:$F$63,MATCH($A39,PRODUTOS!$B$4:$B$63,0))="Ração",INDEX('O QUE MOSTRAR'!$C$4:$C$12,MATCH($D39,'O QUE MOSTRAR'!$A$4:$A$12,0)),INDEX('O QUE MOSTRAR'!$D$4:$D$12,MATCH($D39,'O QUE MOSTRAR'!$A$4:$A$12,0)))</f>
        <v>Linha da marca ou embalagem anterior × nova</v>
      </c>
      <c r="H39" s="11" t="str">
        <f aca="false">INDEX('O QUE MOSTRAR'!$E$4:$E$12,MATCH($D39,'O QUE MOSTRAR'!$A$4:$A$12,0))</f>
        <v>2000 × 2000</v>
      </c>
      <c r="I39" s="11" t="str">
        <f aca="false">INDEX('O QUE MOSTRAR'!$F$4:$F$12,MATCH($D39,'O QUE MOSTRAR'!$A$4:$A$12,0))</f>
        <v>Recomendada</v>
      </c>
      <c r="J39" s="13" t="s">
        <v>303</v>
      </c>
      <c r="K39" s="13"/>
    </row>
    <row r="40" customFormat="false" ht="15" hidden="false" customHeight="false" outlineLevel="0" collapsed="false">
      <c r="A40" s="14" t="s">
        <v>60</v>
      </c>
      <c r="B40" s="11" t="str">
        <f aca="false">INDEX(PRODUTOS!$E$4:$E$63,MATCH($A40,PRODUTOS!$B$4:$B$63,0))</f>
        <v>New Dots Ração Seca Premium para Cães Adultos de Raças Pequenas - 20 kg</v>
      </c>
      <c r="C40" s="11" t="str">
        <f aca="false">INDEX(PRODUTOS!$G$4:$G$63,MATCH($A40,PRODUTOS!$B$4:$B$63,0))</f>
        <v>20 kg</v>
      </c>
      <c r="D40" s="11" t="s">
        <v>302</v>
      </c>
      <c r="E40" s="15" t="str">
        <f aca="false">$A40&amp;"."&amp;$D40&amp;".jpg"</f>
        <v>7898968541535.MAIN.jpg</v>
      </c>
      <c r="F40" s="11" t="str">
        <f aca="false">INDEX('O QUE MOSTRAR'!$B$4:$B$12,MATCH($D40,'O QUE MOSTRAR'!$A$4:$A$12,0))</f>
        <v>Capa (posição 1)</v>
      </c>
      <c r="G40" s="11" t="str">
        <f aca="false">IF(INDEX(PRODUTOS!$F$4:$F$63,MATCH($A40,PRODUTOS!$B$4:$B$63,0))="Ração",INDEX('O QUE MOSTRAR'!$C$4:$C$12,MATCH($D40,'O QUE MOSTRAR'!$A$4:$A$12,0)),INDEX('O QUE MOSTRAR'!$D$4:$D$12,MATCH($D40,'O QUE MOSTRAR'!$A$4:$A$12,0)))</f>
        <v>Embalagem de frente, fundo branco puro, 85% da área, nada adicionado</v>
      </c>
      <c r="H40" s="11" t="str">
        <f aca="false">INDEX('O QUE MOSTRAR'!$E$4:$E$12,MATCH($D40,'O QUE MOSTRAR'!$A$4:$A$12,0))</f>
        <v>2000 × 2000</v>
      </c>
      <c r="I40" s="11" t="str">
        <f aca="false">INDEX('O QUE MOSTRAR'!$F$4:$F$12,MATCH($D40,'O QUE MOSTRAR'!$A$4:$A$12,0))</f>
        <v>SIM</v>
      </c>
      <c r="J40" s="13" t="s">
        <v>303</v>
      </c>
      <c r="K40" s="13"/>
    </row>
    <row r="41" customFormat="false" ht="15" hidden="false" customHeight="false" outlineLevel="0" collapsed="false">
      <c r="A41" s="14" t="s">
        <v>60</v>
      </c>
      <c r="B41" s="11" t="str">
        <f aca="false">INDEX(PRODUTOS!$E$4:$E$63,MATCH($A41,PRODUTOS!$B$4:$B$63,0))</f>
        <v>New Dots Ração Seca Premium para Cães Adultos de Raças Pequenas - 20 kg</v>
      </c>
      <c r="C41" s="11" t="str">
        <f aca="false">INDEX(PRODUTOS!$G$4:$G$63,MATCH($A41,PRODUTOS!$B$4:$B$63,0))</f>
        <v>20 kg</v>
      </c>
      <c r="D41" s="11" t="s">
        <v>304</v>
      </c>
      <c r="E41" s="15" t="str">
        <f aca="false">$A41&amp;"."&amp;$D41&amp;".jpg"</f>
        <v>7898968541535.PT01.jpg</v>
      </c>
      <c r="F41" s="11" t="str">
        <f aca="false">INDEX('O QUE MOSTRAR'!$B$4:$B$12,MATCH($D41,'O QUE MOSTRAR'!$A$4:$A$12,0))</f>
        <v>Posição 2</v>
      </c>
      <c r="G41" s="11" t="str">
        <f aca="false">IF(INDEX(PRODUTOS!$F$4:$F$63,MATCH($A41,PRODUTOS!$B$4:$B$63,0))="Ração",INDEX('O QUE MOSTRAR'!$C$4:$C$12,MATCH($D41,'O QUE MOSTRAR'!$A$4:$A$12,0)),INDEX('O QUE MOSTRAR'!$D$4:$D$12,MATCH($D41,'O QUE MOSTRAR'!$A$4:$A$12,0)))</f>
        <v>Grande diferencial da linha (número ou promessa forte + grão e ingrediente)</v>
      </c>
      <c r="H41" s="11" t="str">
        <f aca="false">INDEX('O QUE MOSTRAR'!$E$4:$E$12,MATCH($D41,'O QUE MOSTRAR'!$A$4:$A$12,0))</f>
        <v>2000 × 2000</v>
      </c>
      <c r="I41" s="11" t="str">
        <f aca="false">INDEX('O QUE MOSTRAR'!$F$4:$F$12,MATCH($D41,'O QUE MOSTRAR'!$A$4:$A$12,0))</f>
        <v>SIM</v>
      </c>
      <c r="J41" s="13" t="s">
        <v>303</v>
      </c>
      <c r="K41" s="13"/>
    </row>
    <row r="42" customFormat="false" ht="15" hidden="false" customHeight="false" outlineLevel="0" collapsed="false">
      <c r="A42" s="14" t="s">
        <v>60</v>
      </c>
      <c r="B42" s="11" t="str">
        <f aca="false">INDEX(PRODUTOS!$E$4:$E$63,MATCH($A42,PRODUTOS!$B$4:$B$63,0))</f>
        <v>New Dots Ração Seca Premium para Cães Adultos de Raças Pequenas - 20 kg</v>
      </c>
      <c r="C42" s="11" t="str">
        <f aca="false">INDEX(PRODUTOS!$G$4:$G$63,MATCH($A42,PRODUTOS!$B$4:$B$63,0))</f>
        <v>20 kg</v>
      </c>
      <c r="D42" s="11" t="s">
        <v>305</v>
      </c>
      <c r="E42" s="15" t="str">
        <f aca="false">$A42&amp;"."&amp;$D42&amp;".jpg"</f>
        <v>7898968541535.PT02.jpg</v>
      </c>
      <c r="F42" s="11" t="str">
        <f aca="false">INDEX('O QUE MOSTRAR'!$B$4:$B$12,MATCH($D42,'O QUE MOSTRAR'!$A$4:$A$12,0))</f>
        <v>Posição 3</v>
      </c>
      <c r="G42" s="11" t="str">
        <f aca="false">IF(INDEX(PRODUTOS!$F$4:$F$63,MATCH($A42,PRODUTOS!$B$4:$B$63,0))="Ração",INDEX('O QUE MOSTRAR'!$C$4:$C$12,MATCH($D42,'O QUE MOSTRAR'!$A$4:$A$12,0)),INDEX('O QUE MOSTRAR'!$D$4:$D$12,MATCH($D42,'O QUE MOSTRAR'!$A$4:$A$12,0)))</f>
        <v>Benefícios com ícones (4 a 6, impressos na embalagem) + ingrediente</v>
      </c>
      <c r="H42" s="11" t="str">
        <f aca="false">INDEX('O QUE MOSTRAR'!$E$4:$E$12,MATCH($D42,'O QUE MOSTRAR'!$A$4:$A$12,0))</f>
        <v>2000 × 2000</v>
      </c>
      <c r="I42" s="11" t="str">
        <f aca="false">INDEX('O QUE MOSTRAR'!$F$4:$F$12,MATCH($D42,'O QUE MOSTRAR'!$A$4:$A$12,0))</f>
        <v>SIM</v>
      </c>
      <c r="J42" s="13" t="s">
        <v>303</v>
      </c>
      <c r="K42" s="13"/>
    </row>
    <row r="43" customFormat="false" ht="15" hidden="false" customHeight="false" outlineLevel="0" collapsed="false">
      <c r="A43" s="14" t="s">
        <v>60</v>
      </c>
      <c r="B43" s="11" t="str">
        <f aca="false">INDEX(PRODUTOS!$E$4:$E$63,MATCH($A43,PRODUTOS!$B$4:$B$63,0))</f>
        <v>New Dots Ração Seca Premium para Cães Adultos de Raças Pequenas - 20 kg</v>
      </c>
      <c r="C43" s="11" t="str">
        <f aca="false">INDEX(PRODUTOS!$G$4:$G$63,MATCH($A43,PRODUTOS!$B$4:$B$63,0))</f>
        <v>20 kg</v>
      </c>
      <c r="D43" s="11" t="s">
        <v>306</v>
      </c>
      <c r="E43" s="15" t="str">
        <f aca="false">$A43&amp;"."&amp;$D43&amp;".jpg"</f>
        <v>7898968541535.PT03.jpg</v>
      </c>
      <c r="F43" s="11" t="str">
        <f aca="false">INDEX('O QUE MOSTRAR'!$B$4:$B$12,MATCH($D43,'O QUE MOSTRAR'!$A$4:$A$12,0))</f>
        <v>Posição 4</v>
      </c>
      <c r="G43" s="11" t="str">
        <f aca="false">IF(INDEX(PRODUTOS!$F$4:$F$63,MATCH($A43,PRODUTOS!$B$4:$B$63,0))="Ração",INDEX('O QUE MOSTRAR'!$C$4:$C$12,MATCH($D43,'O QUE MOSTRAR'!$A$4:$A$12,0)),INDEX('O QUE MOSTRAR'!$D$4:$D$12,MATCH($D43,'O QUE MOSTRAR'!$A$4:$A$12,0)))</f>
        <v>Formato e tamanho do grão, com medida em mm e referência de tamanho</v>
      </c>
      <c r="H43" s="11" t="str">
        <f aca="false">INDEX('O QUE MOSTRAR'!$E$4:$E$12,MATCH($D43,'O QUE MOSTRAR'!$A$4:$A$12,0))</f>
        <v>2000 × 2000</v>
      </c>
      <c r="I43" s="11" t="str">
        <f aca="false">INDEX('O QUE MOSTRAR'!$F$4:$F$12,MATCH($D43,'O QUE MOSTRAR'!$A$4:$A$12,0))</f>
        <v>SIM</v>
      </c>
      <c r="J43" s="13" t="s">
        <v>303</v>
      </c>
      <c r="K43" s="13"/>
    </row>
    <row r="44" customFormat="false" ht="15" hidden="false" customHeight="false" outlineLevel="0" collapsed="false">
      <c r="A44" s="14" t="s">
        <v>60</v>
      </c>
      <c r="B44" s="11" t="str">
        <f aca="false">INDEX(PRODUTOS!$E$4:$E$63,MATCH($A44,PRODUTOS!$B$4:$B$63,0))</f>
        <v>New Dots Ração Seca Premium para Cães Adultos de Raças Pequenas - 20 kg</v>
      </c>
      <c r="C44" s="11" t="str">
        <f aca="false">INDEX(PRODUTOS!$G$4:$G$63,MATCH($A44,PRODUTOS!$B$4:$B$63,0))</f>
        <v>20 kg</v>
      </c>
      <c r="D44" s="11" t="s">
        <v>307</v>
      </c>
      <c r="E44" s="15" t="str">
        <f aca="false">$A44&amp;"."&amp;$D44&amp;".jpg"</f>
        <v>7898968541535.PT04.jpg</v>
      </c>
      <c r="F44" s="11" t="str">
        <f aca="false">INDEX('O QUE MOSTRAR'!$B$4:$B$12,MATCH($D44,'O QUE MOSTRAR'!$A$4:$A$12,0))</f>
        <v>Posição 5</v>
      </c>
      <c r="G44" s="11" t="str">
        <f aca="false">IF(INDEX(PRODUTOS!$F$4:$F$63,MATCH($A44,PRODUTOS!$B$4:$B$63,0))="Ração",INDEX('O QUE MOSTRAR'!$C$4:$C$12,MATCH($D44,'O QUE MOSTRAR'!$A$4:$A$12,0)),INDEX('O QUE MOSTRAR'!$D$4:$D$12,MATCH($D44,'O QUE MOSTRAR'!$A$4:$A$12,0)))</f>
        <v>Quantidade diária por peso do pet (números idênticos à embalagem)</v>
      </c>
      <c r="H44" s="11" t="str">
        <f aca="false">INDEX('O QUE MOSTRAR'!$E$4:$E$12,MATCH($D44,'O QUE MOSTRAR'!$A$4:$A$12,0))</f>
        <v>2000 × 2000</v>
      </c>
      <c r="I44" s="11" t="str">
        <f aca="false">INDEX('O QUE MOSTRAR'!$F$4:$F$12,MATCH($D44,'O QUE MOSTRAR'!$A$4:$A$12,0))</f>
        <v>SIM</v>
      </c>
      <c r="J44" s="13" t="s">
        <v>303</v>
      </c>
      <c r="K44" s="13"/>
    </row>
    <row r="45" customFormat="false" ht="15" hidden="false" customHeight="false" outlineLevel="0" collapsed="false">
      <c r="A45" s="14" t="s">
        <v>60</v>
      </c>
      <c r="B45" s="11" t="str">
        <f aca="false">INDEX(PRODUTOS!$E$4:$E$63,MATCH($A45,PRODUTOS!$B$4:$B$63,0))</f>
        <v>New Dots Ração Seca Premium para Cães Adultos de Raças Pequenas - 20 kg</v>
      </c>
      <c r="C45" s="11" t="str">
        <f aca="false">INDEX(PRODUTOS!$G$4:$G$63,MATCH($A45,PRODUTOS!$B$4:$B$63,0))</f>
        <v>20 kg</v>
      </c>
      <c r="D45" s="11" t="s">
        <v>308</v>
      </c>
      <c r="E45" s="15" t="str">
        <f aca="false">$A45&amp;"."&amp;$D45&amp;".jpg"</f>
        <v>7898968541535.PT05.jpg</v>
      </c>
      <c r="F45" s="11" t="str">
        <f aca="false">INDEX('O QUE MOSTRAR'!$B$4:$B$12,MATCH($D45,'O QUE MOSTRAR'!$A$4:$A$12,0))</f>
        <v>Posição 6</v>
      </c>
      <c r="G45" s="11" t="str">
        <f aca="false">IF(INDEX(PRODUTOS!$F$4:$F$63,MATCH($A45,PRODUTOS!$B$4:$B$63,0))="Ração",INDEX('O QUE MOSTRAR'!$C$4:$C$12,MATCH($D45,'O QUE MOSTRAR'!$A$4:$A$12,0)),INDEX('O QUE MOSTRAR'!$D$4:$D$12,MATCH($D45,'O QUE MOSTRAR'!$A$4:$A$12,0)))</f>
        <v>Transição alimentar dia a dia (igual ao verso da embalagem)</v>
      </c>
      <c r="H45" s="11" t="str">
        <f aca="false">INDEX('O QUE MOSTRAR'!$E$4:$E$12,MATCH($D45,'O QUE MOSTRAR'!$A$4:$A$12,0))</f>
        <v>2000 × 2000</v>
      </c>
      <c r="I45" s="11" t="str">
        <f aca="false">INDEX('O QUE MOSTRAR'!$F$4:$F$12,MATCH($D45,'O QUE MOSTRAR'!$A$4:$A$12,0))</f>
        <v>Recomendada</v>
      </c>
      <c r="J45" s="13" t="s">
        <v>303</v>
      </c>
      <c r="K45" s="13"/>
    </row>
    <row r="46" customFormat="false" ht="15" hidden="false" customHeight="false" outlineLevel="0" collapsed="false">
      <c r="A46" s="14" t="s">
        <v>60</v>
      </c>
      <c r="B46" s="11" t="str">
        <f aca="false">INDEX(PRODUTOS!$E$4:$E$63,MATCH($A46,PRODUTOS!$B$4:$B$63,0))</f>
        <v>New Dots Ração Seca Premium para Cães Adultos de Raças Pequenas - 20 kg</v>
      </c>
      <c r="C46" s="11" t="str">
        <f aca="false">INDEX(PRODUTOS!$G$4:$G$63,MATCH($A46,PRODUTOS!$B$4:$B$63,0))</f>
        <v>20 kg</v>
      </c>
      <c r="D46" s="11" t="s">
        <v>309</v>
      </c>
      <c r="E46" s="15" t="str">
        <f aca="false">$A46&amp;"."&amp;$D46&amp;".jpg"</f>
        <v>7898968541535.PT06.jpg</v>
      </c>
      <c r="F46" s="11" t="str">
        <f aca="false">INDEX('O QUE MOSTRAR'!$B$4:$B$12,MATCH($D46,'O QUE MOSTRAR'!$A$4:$A$12,0))</f>
        <v>Posição 7</v>
      </c>
      <c r="G46" s="11" t="str">
        <f aca="false">IF(INDEX(PRODUTOS!$F$4:$F$63,MATCH($A46,PRODUTOS!$B$4:$B$63,0))="Ração",INDEX('O QUE MOSTRAR'!$C$4:$C$12,MATCH($D46,'O QUE MOSTRAR'!$A$4:$A$12,0)),INDEX('O QUE MOSTRAR'!$D$4:$D$12,MATCH($D46,'O QUE MOSTRAR'!$A$4:$A$12,0)))</f>
        <v>Composição e níveis de garantia em letra grande</v>
      </c>
      <c r="H46" s="11" t="str">
        <f aca="false">INDEX('O QUE MOSTRAR'!$E$4:$E$12,MATCH($D46,'O QUE MOSTRAR'!$A$4:$A$12,0))</f>
        <v>2000 × 2000</v>
      </c>
      <c r="I46" s="11" t="str">
        <f aca="false">INDEX('O QUE MOSTRAR'!$F$4:$F$12,MATCH($D46,'O QUE MOSTRAR'!$A$4:$A$12,0))</f>
        <v>SIM</v>
      </c>
      <c r="J46" s="13" t="s">
        <v>303</v>
      </c>
      <c r="K46" s="13"/>
    </row>
    <row r="47" customFormat="false" ht="15" hidden="false" customHeight="false" outlineLevel="0" collapsed="false">
      <c r="A47" s="14" t="s">
        <v>60</v>
      </c>
      <c r="B47" s="11" t="str">
        <f aca="false">INDEX(PRODUTOS!$E$4:$E$63,MATCH($A47,PRODUTOS!$B$4:$B$63,0))</f>
        <v>New Dots Ração Seca Premium para Cães Adultos de Raças Pequenas - 20 kg</v>
      </c>
      <c r="C47" s="11" t="str">
        <f aca="false">INDEX(PRODUTOS!$G$4:$G$63,MATCH($A47,PRODUTOS!$B$4:$B$63,0))</f>
        <v>20 kg</v>
      </c>
      <c r="D47" s="11" t="s">
        <v>310</v>
      </c>
      <c r="E47" s="15" t="str">
        <f aca="false">$A47&amp;"."&amp;$D47&amp;".jpg"</f>
        <v>7898968541535.PT07.jpg</v>
      </c>
      <c r="F47" s="11" t="str">
        <f aca="false">INDEX('O QUE MOSTRAR'!$B$4:$B$12,MATCH($D47,'O QUE MOSTRAR'!$A$4:$A$12,0))</f>
        <v>Posição 8</v>
      </c>
      <c r="G47" s="11" t="str">
        <f aca="false">IF(INDEX(PRODUTOS!$F$4:$F$63,MATCH($A47,PRODUTOS!$B$4:$B$63,0))="Ração",INDEX('O QUE MOSTRAR'!$C$4:$C$12,MATCH($D47,'O QUE MOSTRAR'!$A$4:$A$12,0)),INDEX('O QUE MOSTRAR'!$D$4:$D$12,MATCH($D47,'O QUE MOSTRAR'!$A$4:$A$12,0)))</f>
        <v>Emocional / momento de uso (pet do porte certo, pote cheio)</v>
      </c>
      <c r="H47" s="11" t="str">
        <f aca="false">INDEX('O QUE MOSTRAR'!$E$4:$E$12,MATCH($D47,'O QUE MOSTRAR'!$A$4:$A$12,0))</f>
        <v>2000 × 2000</v>
      </c>
      <c r="I47" s="11" t="str">
        <f aca="false">INDEX('O QUE MOSTRAR'!$F$4:$F$12,MATCH($D47,'O QUE MOSTRAR'!$A$4:$A$12,0))</f>
        <v>Recomendada</v>
      </c>
      <c r="J47" s="13" t="s">
        <v>303</v>
      </c>
      <c r="K47" s="13"/>
    </row>
    <row r="48" customFormat="false" ht="15" hidden="false" customHeight="false" outlineLevel="0" collapsed="false">
      <c r="A48" s="14" t="s">
        <v>60</v>
      </c>
      <c r="B48" s="11" t="str">
        <f aca="false">INDEX(PRODUTOS!$E$4:$E$63,MATCH($A48,PRODUTOS!$B$4:$B$63,0))</f>
        <v>New Dots Ração Seca Premium para Cães Adultos de Raças Pequenas - 20 kg</v>
      </c>
      <c r="C48" s="11" t="str">
        <f aca="false">INDEX(PRODUTOS!$G$4:$G$63,MATCH($A48,PRODUTOS!$B$4:$B$63,0))</f>
        <v>20 kg</v>
      </c>
      <c r="D48" s="11" t="s">
        <v>311</v>
      </c>
      <c r="E48" s="15" t="str">
        <f aca="false">$A48&amp;"."&amp;$D48&amp;".jpg"</f>
        <v>7898968541535.PT08.jpg</v>
      </c>
      <c r="F48" s="11" t="str">
        <f aca="false">INDEX('O QUE MOSTRAR'!$B$4:$B$12,MATCH($D48,'O QUE MOSTRAR'!$A$4:$A$12,0))</f>
        <v>Posição 9</v>
      </c>
      <c r="G48" s="11" t="str">
        <f aca="false">IF(INDEX(PRODUTOS!$F$4:$F$63,MATCH($A48,PRODUTOS!$B$4:$B$63,0))="Ração",INDEX('O QUE MOSTRAR'!$C$4:$C$12,MATCH($D48,'O QUE MOSTRAR'!$A$4:$A$12,0)),INDEX('O QUE MOSTRAR'!$D$4:$D$12,MATCH($D48,'O QUE MOSTRAR'!$A$4:$A$12,0)))</f>
        <v>Linha da marca ou embalagem anterior × nova</v>
      </c>
      <c r="H48" s="11" t="str">
        <f aca="false">INDEX('O QUE MOSTRAR'!$E$4:$E$12,MATCH($D48,'O QUE MOSTRAR'!$A$4:$A$12,0))</f>
        <v>2000 × 2000</v>
      </c>
      <c r="I48" s="11" t="str">
        <f aca="false">INDEX('O QUE MOSTRAR'!$F$4:$F$12,MATCH($D48,'O QUE MOSTRAR'!$A$4:$A$12,0))</f>
        <v>Recomendada</v>
      </c>
      <c r="J48" s="13" t="s">
        <v>303</v>
      </c>
      <c r="K48" s="13"/>
    </row>
    <row r="49" customFormat="false" ht="15" hidden="false" customHeight="false" outlineLevel="0" collapsed="false">
      <c r="A49" s="14" t="s">
        <v>64</v>
      </c>
      <c r="B49" s="11" t="str">
        <f aca="false">INDEX(PRODUTOS!$E$4:$E$63,MATCH($A49,PRODUTOS!$B$4:$B$63,0))</f>
        <v>New Dots Ração Seca Premium para Cães Adultos de Raças Pequenas - 5 kg</v>
      </c>
      <c r="C49" s="11" t="str">
        <f aca="false">INDEX(PRODUTOS!$G$4:$G$63,MATCH($A49,PRODUTOS!$B$4:$B$63,0))</f>
        <v>5 kg</v>
      </c>
      <c r="D49" s="11" t="s">
        <v>302</v>
      </c>
      <c r="E49" s="15" t="str">
        <f aca="false">$A49&amp;"."&amp;$D49&amp;".jpg"</f>
        <v>7898968541528.MAIN.jpg</v>
      </c>
      <c r="F49" s="11" t="str">
        <f aca="false">INDEX('O QUE MOSTRAR'!$B$4:$B$12,MATCH($D49,'O QUE MOSTRAR'!$A$4:$A$12,0))</f>
        <v>Capa (posição 1)</v>
      </c>
      <c r="G49" s="11" t="str">
        <f aca="false">IF(INDEX(PRODUTOS!$F$4:$F$63,MATCH($A49,PRODUTOS!$B$4:$B$63,0))="Ração",INDEX('O QUE MOSTRAR'!$C$4:$C$12,MATCH($D49,'O QUE MOSTRAR'!$A$4:$A$12,0)),INDEX('O QUE MOSTRAR'!$D$4:$D$12,MATCH($D49,'O QUE MOSTRAR'!$A$4:$A$12,0)))</f>
        <v>Embalagem de frente, fundo branco puro, 85% da área, nada adicionado</v>
      </c>
      <c r="H49" s="11" t="str">
        <f aca="false">INDEX('O QUE MOSTRAR'!$E$4:$E$12,MATCH($D49,'O QUE MOSTRAR'!$A$4:$A$12,0))</f>
        <v>2000 × 2000</v>
      </c>
      <c r="I49" s="11" t="str">
        <f aca="false">INDEX('O QUE MOSTRAR'!$F$4:$F$12,MATCH($D49,'O QUE MOSTRAR'!$A$4:$A$12,0))</f>
        <v>SIM</v>
      </c>
      <c r="J49" s="13" t="s">
        <v>303</v>
      </c>
      <c r="K49" s="13"/>
    </row>
    <row r="50" customFormat="false" ht="15" hidden="false" customHeight="false" outlineLevel="0" collapsed="false">
      <c r="A50" s="14" t="s">
        <v>64</v>
      </c>
      <c r="B50" s="11" t="str">
        <f aca="false">INDEX(PRODUTOS!$E$4:$E$63,MATCH($A50,PRODUTOS!$B$4:$B$63,0))</f>
        <v>New Dots Ração Seca Premium para Cães Adultos de Raças Pequenas - 5 kg</v>
      </c>
      <c r="C50" s="11" t="str">
        <f aca="false">INDEX(PRODUTOS!$G$4:$G$63,MATCH($A50,PRODUTOS!$B$4:$B$63,0))</f>
        <v>5 kg</v>
      </c>
      <c r="D50" s="11" t="s">
        <v>304</v>
      </c>
      <c r="E50" s="15" t="str">
        <f aca="false">$A50&amp;"."&amp;$D50&amp;".jpg"</f>
        <v>7898968541528.PT01.jpg</v>
      </c>
      <c r="F50" s="11" t="str">
        <f aca="false">INDEX('O QUE MOSTRAR'!$B$4:$B$12,MATCH($D50,'O QUE MOSTRAR'!$A$4:$A$12,0))</f>
        <v>Posição 2</v>
      </c>
      <c r="G50" s="11" t="str">
        <f aca="false">IF(INDEX(PRODUTOS!$F$4:$F$63,MATCH($A50,PRODUTOS!$B$4:$B$63,0))="Ração",INDEX('O QUE MOSTRAR'!$C$4:$C$12,MATCH($D50,'O QUE MOSTRAR'!$A$4:$A$12,0)),INDEX('O QUE MOSTRAR'!$D$4:$D$12,MATCH($D50,'O QUE MOSTRAR'!$A$4:$A$12,0)))</f>
        <v>Grande diferencial da linha (número ou promessa forte + grão e ingrediente)</v>
      </c>
      <c r="H50" s="11" t="str">
        <f aca="false">INDEX('O QUE MOSTRAR'!$E$4:$E$12,MATCH($D50,'O QUE MOSTRAR'!$A$4:$A$12,0))</f>
        <v>2000 × 2000</v>
      </c>
      <c r="I50" s="11" t="str">
        <f aca="false">INDEX('O QUE MOSTRAR'!$F$4:$F$12,MATCH($D50,'O QUE MOSTRAR'!$A$4:$A$12,0))</f>
        <v>SIM</v>
      </c>
      <c r="J50" s="13" t="s">
        <v>303</v>
      </c>
      <c r="K50" s="13"/>
    </row>
    <row r="51" customFormat="false" ht="15" hidden="false" customHeight="false" outlineLevel="0" collapsed="false">
      <c r="A51" s="14" t="s">
        <v>64</v>
      </c>
      <c r="B51" s="11" t="str">
        <f aca="false">INDEX(PRODUTOS!$E$4:$E$63,MATCH($A51,PRODUTOS!$B$4:$B$63,0))</f>
        <v>New Dots Ração Seca Premium para Cães Adultos de Raças Pequenas - 5 kg</v>
      </c>
      <c r="C51" s="11" t="str">
        <f aca="false">INDEX(PRODUTOS!$G$4:$G$63,MATCH($A51,PRODUTOS!$B$4:$B$63,0))</f>
        <v>5 kg</v>
      </c>
      <c r="D51" s="11" t="s">
        <v>305</v>
      </c>
      <c r="E51" s="15" t="str">
        <f aca="false">$A51&amp;"."&amp;$D51&amp;".jpg"</f>
        <v>7898968541528.PT02.jpg</v>
      </c>
      <c r="F51" s="11" t="str">
        <f aca="false">INDEX('O QUE MOSTRAR'!$B$4:$B$12,MATCH($D51,'O QUE MOSTRAR'!$A$4:$A$12,0))</f>
        <v>Posição 3</v>
      </c>
      <c r="G51" s="11" t="str">
        <f aca="false">IF(INDEX(PRODUTOS!$F$4:$F$63,MATCH($A51,PRODUTOS!$B$4:$B$63,0))="Ração",INDEX('O QUE MOSTRAR'!$C$4:$C$12,MATCH($D51,'O QUE MOSTRAR'!$A$4:$A$12,0)),INDEX('O QUE MOSTRAR'!$D$4:$D$12,MATCH($D51,'O QUE MOSTRAR'!$A$4:$A$12,0)))</f>
        <v>Benefícios com ícones (4 a 6, impressos na embalagem) + ingrediente</v>
      </c>
      <c r="H51" s="11" t="str">
        <f aca="false">INDEX('O QUE MOSTRAR'!$E$4:$E$12,MATCH($D51,'O QUE MOSTRAR'!$A$4:$A$12,0))</f>
        <v>2000 × 2000</v>
      </c>
      <c r="I51" s="11" t="str">
        <f aca="false">INDEX('O QUE MOSTRAR'!$F$4:$F$12,MATCH($D51,'O QUE MOSTRAR'!$A$4:$A$12,0))</f>
        <v>SIM</v>
      </c>
      <c r="J51" s="13" t="s">
        <v>303</v>
      </c>
      <c r="K51" s="13"/>
    </row>
    <row r="52" customFormat="false" ht="15" hidden="false" customHeight="false" outlineLevel="0" collapsed="false">
      <c r="A52" s="14" t="s">
        <v>64</v>
      </c>
      <c r="B52" s="11" t="str">
        <f aca="false">INDEX(PRODUTOS!$E$4:$E$63,MATCH($A52,PRODUTOS!$B$4:$B$63,0))</f>
        <v>New Dots Ração Seca Premium para Cães Adultos de Raças Pequenas - 5 kg</v>
      </c>
      <c r="C52" s="11" t="str">
        <f aca="false">INDEX(PRODUTOS!$G$4:$G$63,MATCH($A52,PRODUTOS!$B$4:$B$63,0))</f>
        <v>5 kg</v>
      </c>
      <c r="D52" s="11" t="s">
        <v>306</v>
      </c>
      <c r="E52" s="15" t="str">
        <f aca="false">$A52&amp;"."&amp;$D52&amp;".jpg"</f>
        <v>7898968541528.PT03.jpg</v>
      </c>
      <c r="F52" s="11" t="str">
        <f aca="false">INDEX('O QUE MOSTRAR'!$B$4:$B$12,MATCH($D52,'O QUE MOSTRAR'!$A$4:$A$12,0))</f>
        <v>Posição 4</v>
      </c>
      <c r="G52" s="11" t="str">
        <f aca="false">IF(INDEX(PRODUTOS!$F$4:$F$63,MATCH($A52,PRODUTOS!$B$4:$B$63,0))="Ração",INDEX('O QUE MOSTRAR'!$C$4:$C$12,MATCH($D52,'O QUE MOSTRAR'!$A$4:$A$12,0)),INDEX('O QUE MOSTRAR'!$D$4:$D$12,MATCH($D52,'O QUE MOSTRAR'!$A$4:$A$12,0)))</f>
        <v>Formato e tamanho do grão, com medida em mm e referência de tamanho</v>
      </c>
      <c r="H52" s="11" t="str">
        <f aca="false">INDEX('O QUE MOSTRAR'!$E$4:$E$12,MATCH($D52,'O QUE MOSTRAR'!$A$4:$A$12,0))</f>
        <v>2000 × 2000</v>
      </c>
      <c r="I52" s="11" t="str">
        <f aca="false">INDEX('O QUE MOSTRAR'!$F$4:$F$12,MATCH($D52,'O QUE MOSTRAR'!$A$4:$A$12,0))</f>
        <v>SIM</v>
      </c>
      <c r="J52" s="13" t="s">
        <v>303</v>
      </c>
      <c r="K52" s="13"/>
    </row>
    <row r="53" customFormat="false" ht="15" hidden="false" customHeight="false" outlineLevel="0" collapsed="false">
      <c r="A53" s="14" t="s">
        <v>64</v>
      </c>
      <c r="B53" s="11" t="str">
        <f aca="false">INDEX(PRODUTOS!$E$4:$E$63,MATCH($A53,PRODUTOS!$B$4:$B$63,0))</f>
        <v>New Dots Ração Seca Premium para Cães Adultos de Raças Pequenas - 5 kg</v>
      </c>
      <c r="C53" s="11" t="str">
        <f aca="false">INDEX(PRODUTOS!$G$4:$G$63,MATCH($A53,PRODUTOS!$B$4:$B$63,0))</f>
        <v>5 kg</v>
      </c>
      <c r="D53" s="11" t="s">
        <v>307</v>
      </c>
      <c r="E53" s="15" t="str">
        <f aca="false">$A53&amp;"."&amp;$D53&amp;".jpg"</f>
        <v>7898968541528.PT04.jpg</v>
      </c>
      <c r="F53" s="11" t="str">
        <f aca="false">INDEX('O QUE MOSTRAR'!$B$4:$B$12,MATCH($D53,'O QUE MOSTRAR'!$A$4:$A$12,0))</f>
        <v>Posição 5</v>
      </c>
      <c r="G53" s="11" t="str">
        <f aca="false">IF(INDEX(PRODUTOS!$F$4:$F$63,MATCH($A53,PRODUTOS!$B$4:$B$63,0))="Ração",INDEX('O QUE MOSTRAR'!$C$4:$C$12,MATCH($D53,'O QUE MOSTRAR'!$A$4:$A$12,0)),INDEX('O QUE MOSTRAR'!$D$4:$D$12,MATCH($D53,'O QUE MOSTRAR'!$A$4:$A$12,0)))</f>
        <v>Quantidade diária por peso do pet (números idênticos à embalagem)</v>
      </c>
      <c r="H53" s="11" t="str">
        <f aca="false">INDEX('O QUE MOSTRAR'!$E$4:$E$12,MATCH($D53,'O QUE MOSTRAR'!$A$4:$A$12,0))</f>
        <v>2000 × 2000</v>
      </c>
      <c r="I53" s="11" t="str">
        <f aca="false">INDEX('O QUE MOSTRAR'!$F$4:$F$12,MATCH($D53,'O QUE MOSTRAR'!$A$4:$A$12,0))</f>
        <v>SIM</v>
      </c>
      <c r="J53" s="13" t="s">
        <v>303</v>
      </c>
      <c r="K53" s="13"/>
    </row>
    <row r="54" customFormat="false" ht="15" hidden="false" customHeight="false" outlineLevel="0" collapsed="false">
      <c r="A54" s="14" t="s">
        <v>64</v>
      </c>
      <c r="B54" s="11" t="str">
        <f aca="false">INDEX(PRODUTOS!$E$4:$E$63,MATCH($A54,PRODUTOS!$B$4:$B$63,0))</f>
        <v>New Dots Ração Seca Premium para Cães Adultos de Raças Pequenas - 5 kg</v>
      </c>
      <c r="C54" s="11" t="str">
        <f aca="false">INDEX(PRODUTOS!$G$4:$G$63,MATCH($A54,PRODUTOS!$B$4:$B$63,0))</f>
        <v>5 kg</v>
      </c>
      <c r="D54" s="11" t="s">
        <v>308</v>
      </c>
      <c r="E54" s="15" t="str">
        <f aca="false">$A54&amp;"."&amp;$D54&amp;".jpg"</f>
        <v>7898968541528.PT05.jpg</v>
      </c>
      <c r="F54" s="11" t="str">
        <f aca="false">INDEX('O QUE MOSTRAR'!$B$4:$B$12,MATCH($D54,'O QUE MOSTRAR'!$A$4:$A$12,0))</f>
        <v>Posição 6</v>
      </c>
      <c r="G54" s="11" t="str">
        <f aca="false">IF(INDEX(PRODUTOS!$F$4:$F$63,MATCH($A54,PRODUTOS!$B$4:$B$63,0))="Ração",INDEX('O QUE MOSTRAR'!$C$4:$C$12,MATCH($D54,'O QUE MOSTRAR'!$A$4:$A$12,0)),INDEX('O QUE MOSTRAR'!$D$4:$D$12,MATCH($D54,'O QUE MOSTRAR'!$A$4:$A$12,0)))</f>
        <v>Transição alimentar dia a dia (igual ao verso da embalagem)</v>
      </c>
      <c r="H54" s="11" t="str">
        <f aca="false">INDEX('O QUE MOSTRAR'!$E$4:$E$12,MATCH($D54,'O QUE MOSTRAR'!$A$4:$A$12,0))</f>
        <v>2000 × 2000</v>
      </c>
      <c r="I54" s="11" t="str">
        <f aca="false">INDEX('O QUE MOSTRAR'!$F$4:$F$12,MATCH($D54,'O QUE MOSTRAR'!$A$4:$A$12,0))</f>
        <v>Recomendada</v>
      </c>
      <c r="J54" s="13" t="s">
        <v>303</v>
      </c>
      <c r="K54" s="13"/>
    </row>
    <row r="55" customFormat="false" ht="15" hidden="false" customHeight="false" outlineLevel="0" collapsed="false">
      <c r="A55" s="14" t="s">
        <v>64</v>
      </c>
      <c r="B55" s="11" t="str">
        <f aca="false">INDEX(PRODUTOS!$E$4:$E$63,MATCH($A55,PRODUTOS!$B$4:$B$63,0))</f>
        <v>New Dots Ração Seca Premium para Cães Adultos de Raças Pequenas - 5 kg</v>
      </c>
      <c r="C55" s="11" t="str">
        <f aca="false">INDEX(PRODUTOS!$G$4:$G$63,MATCH($A55,PRODUTOS!$B$4:$B$63,0))</f>
        <v>5 kg</v>
      </c>
      <c r="D55" s="11" t="s">
        <v>309</v>
      </c>
      <c r="E55" s="15" t="str">
        <f aca="false">$A55&amp;"."&amp;$D55&amp;".jpg"</f>
        <v>7898968541528.PT06.jpg</v>
      </c>
      <c r="F55" s="11" t="str">
        <f aca="false">INDEX('O QUE MOSTRAR'!$B$4:$B$12,MATCH($D55,'O QUE MOSTRAR'!$A$4:$A$12,0))</f>
        <v>Posição 7</v>
      </c>
      <c r="G55" s="11" t="str">
        <f aca="false">IF(INDEX(PRODUTOS!$F$4:$F$63,MATCH($A55,PRODUTOS!$B$4:$B$63,0))="Ração",INDEX('O QUE MOSTRAR'!$C$4:$C$12,MATCH($D55,'O QUE MOSTRAR'!$A$4:$A$12,0)),INDEX('O QUE MOSTRAR'!$D$4:$D$12,MATCH($D55,'O QUE MOSTRAR'!$A$4:$A$12,0)))</f>
        <v>Composição e níveis de garantia em letra grande</v>
      </c>
      <c r="H55" s="11" t="str">
        <f aca="false">INDEX('O QUE MOSTRAR'!$E$4:$E$12,MATCH($D55,'O QUE MOSTRAR'!$A$4:$A$12,0))</f>
        <v>2000 × 2000</v>
      </c>
      <c r="I55" s="11" t="str">
        <f aca="false">INDEX('O QUE MOSTRAR'!$F$4:$F$12,MATCH($D55,'O QUE MOSTRAR'!$A$4:$A$12,0))</f>
        <v>SIM</v>
      </c>
      <c r="J55" s="13" t="s">
        <v>303</v>
      </c>
      <c r="K55" s="13"/>
    </row>
    <row r="56" customFormat="false" ht="15" hidden="false" customHeight="false" outlineLevel="0" collapsed="false">
      <c r="A56" s="14" t="s">
        <v>64</v>
      </c>
      <c r="B56" s="11" t="str">
        <f aca="false">INDEX(PRODUTOS!$E$4:$E$63,MATCH($A56,PRODUTOS!$B$4:$B$63,0))</f>
        <v>New Dots Ração Seca Premium para Cães Adultos de Raças Pequenas - 5 kg</v>
      </c>
      <c r="C56" s="11" t="str">
        <f aca="false">INDEX(PRODUTOS!$G$4:$G$63,MATCH($A56,PRODUTOS!$B$4:$B$63,0))</f>
        <v>5 kg</v>
      </c>
      <c r="D56" s="11" t="s">
        <v>310</v>
      </c>
      <c r="E56" s="15" t="str">
        <f aca="false">$A56&amp;"."&amp;$D56&amp;".jpg"</f>
        <v>7898968541528.PT07.jpg</v>
      </c>
      <c r="F56" s="11" t="str">
        <f aca="false">INDEX('O QUE MOSTRAR'!$B$4:$B$12,MATCH($D56,'O QUE MOSTRAR'!$A$4:$A$12,0))</f>
        <v>Posição 8</v>
      </c>
      <c r="G56" s="11" t="str">
        <f aca="false">IF(INDEX(PRODUTOS!$F$4:$F$63,MATCH($A56,PRODUTOS!$B$4:$B$63,0))="Ração",INDEX('O QUE MOSTRAR'!$C$4:$C$12,MATCH($D56,'O QUE MOSTRAR'!$A$4:$A$12,0)),INDEX('O QUE MOSTRAR'!$D$4:$D$12,MATCH($D56,'O QUE MOSTRAR'!$A$4:$A$12,0)))</f>
        <v>Emocional / momento de uso (pet do porte certo, pote cheio)</v>
      </c>
      <c r="H56" s="11" t="str">
        <f aca="false">INDEX('O QUE MOSTRAR'!$E$4:$E$12,MATCH($D56,'O QUE MOSTRAR'!$A$4:$A$12,0))</f>
        <v>2000 × 2000</v>
      </c>
      <c r="I56" s="11" t="str">
        <f aca="false">INDEX('O QUE MOSTRAR'!$F$4:$F$12,MATCH($D56,'O QUE MOSTRAR'!$A$4:$A$12,0))</f>
        <v>Recomendada</v>
      </c>
      <c r="J56" s="13" t="s">
        <v>303</v>
      </c>
      <c r="K56" s="13"/>
    </row>
    <row r="57" customFormat="false" ht="15" hidden="false" customHeight="false" outlineLevel="0" collapsed="false">
      <c r="A57" s="14" t="s">
        <v>64</v>
      </c>
      <c r="B57" s="11" t="str">
        <f aca="false">INDEX(PRODUTOS!$E$4:$E$63,MATCH($A57,PRODUTOS!$B$4:$B$63,0))</f>
        <v>New Dots Ração Seca Premium para Cães Adultos de Raças Pequenas - 5 kg</v>
      </c>
      <c r="C57" s="11" t="str">
        <f aca="false">INDEX(PRODUTOS!$G$4:$G$63,MATCH($A57,PRODUTOS!$B$4:$B$63,0))</f>
        <v>5 kg</v>
      </c>
      <c r="D57" s="11" t="s">
        <v>311</v>
      </c>
      <c r="E57" s="15" t="str">
        <f aca="false">$A57&amp;"."&amp;$D57&amp;".jpg"</f>
        <v>7898968541528.PT08.jpg</v>
      </c>
      <c r="F57" s="11" t="str">
        <f aca="false">INDEX('O QUE MOSTRAR'!$B$4:$B$12,MATCH($D57,'O QUE MOSTRAR'!$A$4:$A$12,0))</f>
        <v>Posição 9</v>
      </c>
      <c r="G57" s="11" t="str">
        <f aca="false">IF(INDEX(PRODUTOS!$F$4:$F$63,MATCH($A57,PRODUTOS!$B$4:$B$63,0))="Ração",INDEX('O QUE MOSTRAR'!$C$4:$C$12,MATCH($D57,'O QUE MOSTRAR'!$A$4:$A$12,0)),INDEX('O QUE MOSTRAR'!$D$4:$D$12,MATCH($D57,'O QUE MOSTRAR'!$A$4:$A$12,0)))</f>
        <v>Linha da marca ou embalagem anterior × nova</v>
      </c>
      <c r="H57" s="11" t="str">
        <f aca="false">INDEX('O QUE MOSTRAR'!$E$4:$E$12,MATCH($D57,'O QUE MOSTRAR'!$A$4:$A$12,0))</f>
        <v>2000 × 2000</v>
      </c>
      <c r="I57" s="11" t="str">
        <f aca="false">INDEX('O QUE MOSTRAR'!$F$4:$F$12,MATCH($D57,'O QUE MOSTRAR'!$A$4:$A$12,0))</f>
        <v>Recomendada</v>
      </c>
      <c r="J57" s="13" t="s">
        <v>303</v>
      </c>
      <c r="K57" s="13"/>
    </row>
    <row r="58" customFormat="false" ht="15" hidden="false" customHeight="false" outlineLevel="0" collapsed="false">
      <c r="A58" s="14" t="s">
        <v>67</v>
      </c>
      <c r="B58" s="11" t="str">
        <f aca="false">INDEX(PRODUTOS!$E$4:$E$63,MATCH($A58,PRODUTOS!$B$4:$B$63,0))</f>
        <v>New Dots Ração Seca Premium para Cães Adultos de Raças Pequenas - 1 kg</v>
      </c>
      <c r="C58" s="11" t="str">
        <f aca="false">INDEX(PRODUTOS!$G$4:$G$63,MATCH($A58,PRODUTOS!$B$4:$B$63,0))</f>
        <v>1 kg</v>
      </c>
      <c r="D58" s="11" t="s">
        <v>302</v>
      </c>
      <c r="E58" s="15" t="str">
        <f aca="false">$A58&amp;"."&amp;$D58&amp;".jpg"</f>
        <v>7898968541511.MAIN.jpg</v>
      </c>
      <c r="F58" s="11" t="str">
        <f aca="false">INDEX('O QUE MOSTRAR'!$B$4:$B$12,MATCH($D58,'O QUE MOSTRAR'!$A$4:$A$12,0))</f>
        <v>Capa (posição 1)</v>
      </c>
      <c r="G58" s="11" t="str">
        <f aca="false">IF(INDEX(PRODUTOS!$F$4:$F$63,MATCH($A58,PRODUTOS!$B$4:$B$63,0))="Ração",INDEX('O QUE MOSTRAR'!$C$4:$C$12,MATCH($D58,'O QUE MOSTRAR'!$A$4:$A$12,0)),INDEX('O QUE MOSTRAR'!$D$4:$D$12,MATCH($D58,'O QUE MOSTRAR'!$A$4:$A$12,0)))</f>
        <v>Embalagem de frente, fundo branco puro, 85% da área, nada adicionado</v>
      </c>
      <c r="H58" s="11" t="str">
        <f aca="false">INDEX('O QUE MOSTRAR'!$E$4:$E$12,MATCH($D58,'O QUE MOSTRAR'!$A$4:$A$12,0))</f>
        <v>2000 × 2000</v>
      </c>
      <c r="I58" s="11" t="str">
        <f aca="false">INDEX('O QUE MOSTRAR'!$F$4:$F$12,MATCH($D58,'O QUE MOSTRAR'!$A$4:$A$12,0))</f>
        <v>SIM</v>
      </c>
      <c r="J58" s="13" t="s">
        <v>303</v>
      </c>
      <c r="K58" s="13"/>
    </row>
    <row r="59" customFormat="false" ht="15" hidden="false" customHeight="false" outlineLevel="0" collapsed="false">
      <c r="A59" s="14" t="s">
        <v>67</v>
      </c>
      <c r="B59" s="11" t="str">
        <f aca="false">INDEX(PRODUTOS!$E$4:$E$63,MATCH($A59,PRODUTOS!$B$4:$B$63,0))</f>
        <v>New Dots Ração Seca Premium para Cães Adultos de Raças Pequenas - 1 kg</v>
      </c>
      <c r="C59" s="11" t="str">
        <f aca="false">INDEX(PRODUTOS!$G$4:$G$63,MATCH($A59,PRODUTOS!$B$4:$B$63,0))</f>
        <v>1 kg</v>
      </c>
      <c r="D59" s="11" t="s">
        <v>304</v>
      </c>
      <c r="E59" s="15" t="str">
        <f aca="false">$A59&amp;"."&amp;$D59&amp;".jpg"</f>
        <v>7898968541511.PT01.jpg</v>
      </c>
      <c r="F59" s="11" t="str">
        <f aca="false">INDEX('O QUE MOSTRAR'!$B$4:$B$12,MATCH($D59,'O QUE MOSTRAR'!$A$4:$A$12,0))</f>
        <v>Posição 2</v>
      </c>
      <c r="G59" s="11" t="str">
        <f aca="false">IF(INDEX(PRODUTOS!$F$4:$F$63,MATCH($A59,PRODUTOS!$B$4:$B$63,0))="Ração",INDEX('O QUE MOSTRAR'!$C$4:$C$12,MATCH($D59,'O QUE MOSTRAR'!$A$4:$A$12,0)),INDEX('O QUE MOSTRAR'!$D$4:$D$12,MATCH($D59,'O QUE MOSTRAR'!$A$4:$A$12,0)))</f>
        <v>Grande diferencial da linha (número ou promessa forte + grão e ingrediente)</v>
      </c>
      <c r="H59" s="11" t="str">
        <f aca="false">INDEX('O QUE MOSTRAR'!$E$4:$E$12,MATCH($D59,'O QUE MOSTRAR'!$A$4:$A$12,0))</f>
        <v>2000 × 2000</v>
      </c>
      <c r="I59" s="11" t="str">
        <f aca="false">INDEX('O QUE MOSTRAR'!$F$4:$F$12,MATCH($D59,'O QUE MOSTRAR'!$A$4:$A$12,0))</f>
        <v>SIM</v>
      </c>
      <c r="J59" s="13" t="s">
        <v>303</v>
      </c>
      <c r="K59" s="13"/>
    </row>
    <row r="60" customFormat="false" ht="15" hidden="false" customHeight="false" outlineLevel="0" collapsed="false">
      <c r="A60" s="14" t="s">
        <v>67</v>
      </c>
      <c r="B60" s="11" t="str">
        <f aca="false">INDEX(PRODUTOS!$E$4:$E$63,MATCH($A60,PRODUTOS!$B$4:$B$63,0))</f>
        <v>New Dots Ração Seca Premium para Cães Adultos de Raças Pequenas - 1 kg</v>
      </c>
      <c r="C60" s="11" t="str">
        <f aca="false">INDEX(PRODUTOS!$G$4:$G$63,MATCH($A60,PRODUTOS!$B$4:$B$63,0))</f>
        <v>1 kg</v>
      </c>
      <c r="D60" s="11" t="s">
        <v>305</v>
      </c>
      <c r="E60" s="15" t="str">
        <f aca="false">$A60&amp;"."&amp;$D60&amp;".jpg"</f>
        <v>7898968541511.PT02.jpg</v>
      </c>
      <c r="F60" s="11" t="str">
        <f aca="false">INDEX('O QUE MOSTRAR'!$B$4:$B$12,MATCH($D60,'O QUE MOSTRAR'!$A$4:$A$12,0))</f>
        <v>Posição 3</v>
      </c>
      <c r="G60" s="11" t="str">
        <f aca="false">IF(INDEX(PRODUTOS!$F$4:$F$63,MATCH($A60,PRODUTOS!$B$4:$B$63,0))="Ração",INDEX('O QUE MOSTRAR'!$C$4:$C$12,MATCH($D60,'O QUE MOSTRAR'!$A$4:$A$12,0)),INDEX('O QUE MOSTRAR'!$D$4:$D$12,MATCH($D60,'O QUE MOSTRAR'!$A$4:$A$12,0)))</f>
        <v>Benefícios com ícones (4 a 6, impressos na embalagem) + ingrediente</v>
      </c>
      <c r="H60" s="11" t="str">
        <f aca="false">INDEX('O QUE MOSTRAR'!$E$4:$E$12,MATCH($D60,'O QUE MOSTRAR'!$A$4:$A$12,0))</f>
        <v>2000 × 2000</v>
      </c>
      <c r="I60" s="11" t="str">
        <f aca="false">INDEX('O QUE MOSTRAR'!$F$4:$F$12,MATCH($D60,'O QUE MOSTRAR'!$A$4:$A$12,0))</f>
        <v>SIM</v>
      </c>
      <c r="J60" s="13" t="s">
        <v>303</v>
      </c>
      <c r="K60" s="13"/>
    </row>
    <row r="61" customFormat="false" ht="15" hidden="false" customHeight="false" outlineLevel="0" collapsed="false">
      <c r="A61" s="14" t="s">
        <v>67</v>
      </c>
      <c r="B61" s="11" t="str">
        <f aca="false">INDEX(PRODUTOS!$E$4:$E$63,MATCH($A61,PRODUTOS!$B$4:$B$63,0))</f>
        <v>New Dots Ração Seca Premium para Cães Adultos de Raças Pequenas - 1 kg</v>
      </c>
      <c r="C61" s="11" t="str">
        <f aca="false">INDEX(PRODUTOS!$G$4:$G$63,MATCH($A61,PRODUTOS!$B$4:$B$63,0))</f>
        <v>1 kg</v>
      </c>
      <c r="D61" s="11" t="s">
        <v>306</v>
      </c>
      <c r="E61" s="15" t="str">
        <f aca="false">$A61&amp;"."&amp;$D61&amp;".jpg"</f>
        <v>7898968541511.PT03.jpg</v>
      </c>
      <c r="F61" s="11" t="str">
        <f aca="false">INDEX('O QUE MOSTRAR'!$B$4:$B$12,MATCH($D61,'O QUE MOSTRAR'!$A$4:$A$12,0))</f>
        <v>Posição 4</v>
      </c>
      <c r="G61" s="11" t="str">
        <f aca="false">IF(INDEX(PRODUTOS!$F$4:$F$63,MATCH($A61,PRODUTOS!$B$4:$B$63,0))="Ração",INDEX('O QUE MOSTRAR'!$C$4:$C$12,MATCH($D61,'O QUE MOSTRAR'!$A$4:$A$12,0)),INDEX('O QUE MOSTRAR'!$D$4:$D$12,MATCH($D61,'O QUE MOSTRAR'!$A$4:$A$12,0)))</f>
        <v>Formato e tamanho do grão, com medida em mm e referência de tamanho</v>
      </c>
      <c r="H61" s="11" t="str">
        <f aca="false">INDEX('O QUE MOSTRAR'!$E$4:$E$12,MATCH($D61,'O QUE MOSTRAR'!$A$4:$A$12,0))</f>
        <v>2000 × 2000</v>
      </c>
      <c r="I61" s="11" t="str">
        <f aca="false">INDEX('O QUE MOSTRAR'!$F$4:$F$12,MATCH($D61,'O QUE MOSTRAR'!$A$4:$A$12,0))</f>
        <v>SIM</v>
      </c>
      <c r="J61" s="13" t="s">
        <v>303</v>
      </c>
      <c r="K61" s="13"/>
    </row>
    <row r="62" customFormat="false" ht="15" hidden="false" customHeight="false" outlineLevel="0" collapsed="false">
      <c r="A62" s="14" t="s">
        <v>67</v>
      </c>
      <c r="B62" s="11" t="str">
        <f aca="false">INDEX(PRODUTOS!$E$4:$E$63,MATCH($A62,PRODUTOS!$B$4:$B$63,0))</f>
        <v>New Dots Ração Seca Premium para Cães Adultos de Raças Pequenas - 1 kg</v>
      </c>
      <c r="C62" s="11" t="str">
        <f aca="false">INDEX(PRODUTOS!$G$4:$G$63,MATCH($A62,PRODUTOS!$B$4:$B$63,0))</f>
        <v>1 kg</v>
      </c>
      <c r="D62" s="11" t="s">
        <v>307</v>
      </c>
      <c r="E62" s="15" t="str">
        <f aca="false">$A62&amp;"."&amp;$D62&amp;".jpg"</f>
        <v>7898968541511.PT04.jpg</v>
      </c>
      <c r="F62" s="11" t="str">
        <f aca="false">INDEX('O QUE MOSTRAR'!$B$4:$B$12,MATCH($D62,'O QUE MOSTRAR'!$A$4:$A$12,0))</f>
        <v>Posição 5</v>
      </c>
      <c r="G62" s="11" t="str">
        <f aca="false">IF(INDEX(PRODUTOS!$F$4:$F$63,MATCH($A62,PRODUTOS!$B$4:$B$63,0))="Ração",INDEX('O QUE MOSTRAR'!$C$4:$C$12,MATCH($D62,'O QUE MOSTRAR'!$A$4:$A$12,0)),INDEX('O QUE MOSTRAR'!$D$4:$D$12,MATCH($D62,'O QUE MOSTRAR'!$A$4:$A$12,0)))</f>
        <v>Quantidade diária por peso do pet (números idênticos à embalagem)</v>
      </c>
      <c r="H62" s="11" t="str">
        <f aca="false">INDEX('O QUE MOSTRAR'!$E$4:$E$12,MATCH($D62,'O QUE MOSTRAR'!$A$4:$A$12,0))</f>
        <v>2000 × 2000</v>
      </c>
      <c r="I62" s="11" t="str">
        <f aca="false">INDEX('O QUE MOSTRAR'!$F$4:$F$12,MATCH($D62,'O QUE MOSTRAR'!$A$4:$A$12,0))</f>
        <v>SIM</v>
      </c>
      <c r="J62" s="13" t="s">
        <v>303</v>
      </c>
      <c r="K62" s="13"/>
    </row>
    <row r="63" customFormat="false" ht="15" hidden="false" customHeight="false" outlineLevel="0" collapsed="false">
      <c r="A63" s="14" t="s">
        <v>67</v>
      </c>
      <c r="B63" s="11" t="str">
        <f aca="false">INDEX(PRODUTOS!$E$4:$E$63,MATCH($A63,PRODUTOS!$B$4:$B$63,0))</f>
        <v>New Dots Ração Seca Premium para Cães Adultos de Raças Pequenas - 1 kg</v>
      </c>
      <c r="C63" s="11" t="str">
        <f aca="false">INDEX(PRODUTOS!$G$4:$G$63,MATCH($A63,PRODUTOS!$B$4:$B$63,0))</f>
        <v>1 kg</v>
      </c>
      <c r="D63" s="11" t="s">
        <v>308</v>
      </c>
      <c r="E63" s="15" t="str">
        <f aca="false">$A63&amp;"."&amp;$D63&amp;".jpg"</f>
        <v>7898968541511.PT05.jpg</v>
      </c>
      <c r="F63" s="11" t="str">
        <f aca="false">INDEX('O QUE MOSTRAR'!$B$4:$B$12,MATCH($D63,'O QUE MOSTRAR'!$A$4:$A$12,0))</f>
        <v>Posição 6</v>
      </c>
      <c r="G63" s="11" t="str">
        <f aca="false">IF(INDEX(PRODUTOS!$F$4:$F$63,MATCH($A63,PRODUTOS!$B$4:$B$63,0))="Ração",INDEX('O QUE MOSTRAR'!$C$4:$C$12,MATCH($D63,'O QUE MOSTRAR'!$A$4:$A$12,0)),INDEX('O QUE MOSTRAR'!$D$4:$D$12,MATCH($D63,'O QUE MOSTRAR'!$A$4:$A$12,0)))</f>
        <v>Transição alimentar dia a dia (igual ao verso da embalagem)</v>
      </c>
      <c r="H63" s="11" t="str">
        <f aca="false">INDEX('O QUE MOSTRAR'!$E$4:$E$12,MATCH($D63,'O QUE MOSTRAR'!$A$4:$A$12,0))</f>
        <v>2000 × 2000</v>
      </c>
      <c r="I63" s="11" t="str">
        <f aca="false">INDEX('O QUE MOSTRAR'!$F$4:$F$12,MATCH($D63,'O QUE MOSTRAR'!$A$4:$A$12,0))</f>
        <v>Recomendada</v>
      </c>
      <c r="J63" s="13" t="s">
        <v>303</v>
      </c>
      <c r="K63" s="13"/>
    </row>
    <row r="64" customFormat="false" ht="15" hidden="false" customHeight="false" outlineLevel="0" collapsed="false">
      <c r="A64" s="14" t="s">
        <v>67</v>
      </c>
      <c r="B64" s="11" t="str">
        <f aca="false">INDEX(PRODUTOS!$E$4:$E$63,MATCH($A64,PRODUTOS!$B$4:$B$63,0))</f>
        <v>New Dots Ração Seca Premium para Cães Adultos de Raças Pequenas - 1 kg</v>
      </c>
      <c r="C64" s="11" t="str">
        <f aca="false">INDEX(PRODUTOS!$G$4:$G$63,MATCH($A64,PRODUTOS!$B$4:$B$63,0))</f>
        <v>1 kg</v>
      </c>
      <c r="D64" s="11" t="s">
        <v>309</v>
      </c>
      <c r="E64" s="15" t="str">
        <f aca="false">$A64&amp;"."&amp;$D64&amp;".jpg"</f>
        <v>7898968541511.PT06.jpg</v>
      </c>
      <c r="F64" s="11" t="str">
        <f aca="false">INDEX('O QUE MOSTRAR'!$B$4:$B$12,MATCH($D64,'O QUE MOSTRAR'!$A$4:$A$12,0))</f>
        <v>Posição 7</v>
      </c>
      <c r="G64" s="11" t="str">
        <f aca="false">IF(INDEX(PRODUTOS!$F$4:$F$63,MATCH($A64,PRODUTOS!$B$4:$B$63,0))="Ração",INDEX('O QUE MOSTRAR'!$C$4:$C$12,MATCH($D64,'O QUE MOSTRAR'!$A$4:$A$12,0)),INDEX('O QUE MOSTRAR'!$D$4:$D$12,MATCH($D64,'O QUE MOSTRAR'!$A$4:$A$12,0)))</f>
        <v>Composição e níveis de garantia em letra grande</v>
      </c>
      <c r="H64" s="11" t="str">
        <f aca="false">INDEX('O QUE MOSTRAR'!$E$4:$E$12,MATCH($D64,'O QUE MOSTRAR'!$A$4:$A$12,0))</f>
        <v>2000 × 2000</v>
      </c>
      <c r="I64" s="11" t="str">
        <f aca="false">INDEX('O QUE MOSTRAR'!$F$4:$F$12,MATCH($D64,'O QUE MOSTRAR'!$A$4:$A$12,0))</f>
        <v>SIM</v>
      </c>
      <c r="J64" s="13" t="s">
        <v>303</v>
      </c>
      <c r="K64" s="13"/>
    </row>
    <row r="65" customFormat="false" ht="15" hidden="false" customHeight="false" outlineLevel="0" collapsed="false">
      <c r="A65" s="14" t="s">
        <v>67</v>
      </c>
      <c r="B65" s="11" t="str">
        <f aca="false">INDEX(PRODUTOS!$E$4:$E$63,MATCH($A65,PRODUTOS!$B$4:$B$63,0))</f>
        <v>New Dots Ração Seca Premium para Cães Adultos de Raças Pequenas - 1 kg</v>
      </c>
      <c r="C65" s="11" t="str">
        <f aca="false">INDEX(PRODUTOS!$G$4:$G$63,MATCH($A65,PRODUTOS!$B$4:$B$63,0))</f>
        <v>1 kg</v>
      </c>
      <c r="D65" s="11" t="s">
        <v>310</v>
      </c>
      <c r="E65" s="15" t="str">
        <f aca="false">$A65&amp;"."&amp;$D65&amp;".jpg"</f>
        <v>7898968541511.PT07.jpg</v>
      </c>
      <c r="F65" s="11" t="str">
        <f aca="false">INDEX('O QUE MOSTRAR'!$B$4:$B$12,MATCH($D65,'O QUE MOSTRAR'!$A$4:$A$12,0))</f>
        <v>Posição 8</v>
      </c>
      <c r="G65" s="11" t="str">
        <f aca="false">IF(INDEX(PRODUTOS!$F$4:$F$63,MATCH($A65,PRODUTOS!$B$4:$B$63,0))="Ração",INDEX('O QUE MOSTRAR'!$C$4:$C$12,MATCH($D65,'O QUE MOSTRAR'!$A$4:$A$12,0)),INDEX('O QUE MOSTRAR'!$D$4:$D$12,MATCH($D65,'O QUE MOSTRAR'!$A$4:$A$12,0)))</f>
        <v>Emocional / momento de uso (pet do porte certo, pote cheio)</v>
      </c>
      <c r="H65" s="11" t="str">
        <f aca="false">INDEX('O QUE MOSTRAR'!$E$4:$E$12,MATCH($D65,'O QUE MOSTRAR'!$A$4:$A$12,0))</f>
        <v>2000 × 2000</v>
      </c>
      <c r="I65" s="11" t="str">
        <f aca="false">INDEX('O QUE MOSTRAR'!$F$4:$F$12,MATCH($D65,'O QUE MOSTRAR'!$A$4:$A$12,0))</f>
        <v>Recomendada</v>
      </c>
      <c r="J65" s="13" t="s">
        <v>303</v>
      </c>
      <c r="K65" s="13"/>
    </row>
    <row r="66" customFormat="false" ht="15" hidden="false" customHeight="false" outlineLevel="0" collapsed="false">
      <c r="A66" s="14" t="s">
        <v>67</v>
      </c>
      <c r="B66" s="11" t="str">
        <f aca="false">INDEX(PRODUTOS!$E$4:$E$63,MATCH($A66,PRODUTOS!$B$4:$B$63,0))</f>
        <v>New Dots Ração Seca Premium para Cães Adultos de Raças Pequenas - 1 kg</v>
      </c>
      <c r="C66" s="11" t="str">
        <f aca="false">INDEX(PRODUTOS!$G$4:$G$63,MATCH($A66,PRODUTOS!$B$4:$B$63,0))</f>
        <v>1 kg</v>
      </c>
      <c r="D66" s="11" t="s">
        <v>311</v>
      </c>
      <c r="E66" s="15" t="str">
        <f aca="false">$A66&amp;"."&amp;$D66&amp;".jpg"</f>
        <v>7898968541511.PT08.jpg</v>
      </c>
      <c r="F66" s="11" t="str">
        <f aca="false">INDEX('O QUE MOSTRAR'!$B$4:$B$12,MATCH($D66,'O QUE MOSTRAR'!$A$4:$A$12,0))</f>
        <v>Posição 9</v>
      </c>
      <c r="G66" s="11" t="str">
        <f aca="false">IF(INDEX(PRODUTOS!$F$4:$F$63,MATCH($A66,PRODUTOS!$B$4:$B$63,0))="Ração",INDEX('O QUE MOSTRAR'!$C$4:$C$12,MATCH($D66,'O QUE MOSTRAR'!$A$4:$A$12,0)),INDEX('O QUE MOSTRAR'!$D$4:$D$12,MATCH($D66,'O QUE MOSTRAR'!$A$4:$A$12,0)))</f>
        <v>Linha da marca ou embalagem anterior × nova</v>
      </c>
      <c r="H66" s="11" t="str">
        <f aca="false">INDEX('O QUE MOSTRAR'!$E$4:$E$12,MATCH($D66,'O QUE MOSTRAR'!$A$4:$A$12,0))</f>
        <v>2000 × 2000</v>
      </c>
      <c r="I66" s="11" t="str">
        <f aca="false">INDEX('O QUE MOSTRAR'!$F$4:$F$12,MATCH($D66,'O QUE MOSTRAR'!$A$4:$A$12,0))</f>
        <v>Recomendada</v>
      </c>
      <c r="J66" s="13" t="s">
        <v>303</v>
      </c>
      <c r="K66" s="13"/>
    </row>
    <row r="67" customFormat="false" ht="15" hidden="false" customHeight="false" outlineLevel="0" collapsed="false">
      <c r="A67" s="14" t="s">
        <v>70</v>
      </c>
      <c r="B67" s="11" t="str">
        <f aca="false">INDEX(PRODUTOS!$E$4:$E$63,MATCH($A67,PRODUTOS!$B$4:$B$63,0))</f>
        <v>New Dots Ração Seca Premium para Cães Filhotes - 20 kg</v>
      </c>
      <c r="C67" s="11" t="str">
        <f aca="false">INDEX(PRODUTOS!$G$4:$G$63,MATCH($A67,PRODUTOS!$B$4:$B$63,0))</f>
        <v>20 kg</v>
      </c>
      <c r="D67" s="11" t="s">
        <v>302</v>
      </c>
      <c r="E67" s="15" t="str">
        <f aca="false">$A67&amp;"."&amp;$D67&amp;".jpg"</f>
        <v>7898968541566.MAIN.jpg</v>
      </c>
      <c r="F67" s="11" t="str">
        <f aca="false">INDEX('O QUE MOSTRAR'!$B$4:$B$12,MATCH($D67,'O QUE MOSTRAR'!$A$4:$A$12,0))</f>
        <v>Capa (posição 1)</v>
      </c>
      <c r="G67" s="11" t="str">
        <f aca="false">IF(INDEX(PRODUTOS!$F$4:$F$63,MATCH($A67,PRODUTOS!$B$4:$B$63,0))="Ração",INDEX('O QUE MOSTRAR'!$C$4:$C$12,MATCH($D67,'O QUE MOSTRAR'!$A$4:$A$12,0)),INDEX('O QUE MOSTRAR'!$D$4:$D$12,MATCH($D67,'O QUE MOSTRAR'!$A$4:$A$12,0)))</f>
        <v>Embalagem de frente, fundo branco puro, 85% da área, nada adicionado</v>
      </c>
      <c r="H67" s="11" t="str">
        <f aca="false">INDEX('O QUE MOSTRAR'!$E$4:$E$12,MATCH($D67,'O QUE MOSTRAR'!$A$4:$A$12,0))</f>
        <v>2000 × 2000</v>
      </c>
      <c r="I67" s="11" t="str">
        <f aca="false">INDEX('O QUE MOSTRAR'!$F$4:$F$12,MATCH($D67,'O QUE MOSTRAR'!$A$4:$A$12,0))</f>
        <v>SIM</v>
      </c>
      <c r="J67" s="13" t="s">
        <v>303</v>
      </c>
      <c r="K67" s="13"/>
    </row>
    <row r="68" customFormat="false" ht="15" hidden="false" customHeight="false" outlineLevel="0" collapsed="false">
      <c r="A68" s="14" t="s">
        <v>70</v>
      </c>
      <c r="B68" s="11" t="str">
        <f aca="false">INDEX(PRODUTOS!$E$4:$E$63,MATCH($A68,PRODUTOS!$B$4:$B$63,0))</f>
        <v>New Dots Ração Seca Premium para Cães Filhotes - 20 kg</v>
      </c>
      <c r="C68" s="11" t="str">
        <f aca="false">INDEX(PRODUTOS!$G$4:$G$63,MATCH($A68,PRODUTOS!$B$4:$B$63,0))</f>
        <v>20 kg</v>
      </c>
      <c r="D68" s="11" t="s">
        <v>304</v>
      </c>
      <c r="E68" s="15" t="str">
        <f aca="false">$A68&amp;"."&amp;$D68&amp;".jpg"</f>
        <v>7898968541566.PT01.jpg</v>
      </c>
      <c r="F68" s="11" t="str">
        <f aca="false">INDEX('O QUE MOSTRAR'!$B$4:$B$12,MATCH($D68,'O QUE MOSTRAR'!$A$4:$A$12,0))</f>
        <v>Posição 2</v>
      </c>
      <c r="G68" s="11" t="str">
        <f aca="false">IF(INDEX(PRODUTOS!$F$4:$F$63,MATCH($A68,PRODUTOS!$B$4:$B$63,0))="Ração",INDEX('O QUE MOSTRAR'!$C$4:$C$12,MATCH($D68,'O QUE MOSTRAR'!$A$4:$A$12,0)),INDEX('O QUE MOSTRAR'!$D$4:$D$12,MATCH($D68,'O QUE MOSTRAR'!$A$4:$A$12,0)))</f>
        <v>Grande diferencial da linha (número ou promessa forte + grão e ingrediente)</v>
      </c>
      <c r="H68" s="11" t="str">
        <f aca="false">INDEX('O QUE MOSTRAR'!$E$4:$E$12,MATCH($D68,'O QUE MOSTRAR'!$A$4:$A$12,0))</f>
        <v>2000 × 2000</v>
      </c>
      <c r="I68" s="11" t="str">
        <f aca="false">INDEX('O QUE MOSTRAR'!$F$4:$F$12,MATCH($D68,'O QUE MOSTRAR'!$A$4:$A$12,0))</f>
        <v>SIM</v>
      </c>
      <c r="J68" s="13" t="s">
        <v>303</v>
      </c>
      <c r="K68" s="13"/>
    </row>
    <row r="69" customFormat="false" ht="15" hidden="false" customHeight="false" outlineLevel="0" collapsed="false">
      <c r="A69" s="14" t="s">
        <v>70</v>
      </c>
      <c r="B69" s="11" t="str">
        <f aca="false">INDEX(PRODUTOS!$E$4:$E$63,MATCH($A69,PRODUTOS!$B$4:$B$63,0))</f>
        <v>New Dots Ração Seca Premium para Cães Filhotes - 20 kg</v>
      </c>
      <c r="C69" s="11" t="str">
        <f aca="false">INDEX(PRODUTOS!$G$4:$G$63,MATCH($A69,PRODUTOS!$B$4:$B$63,0))</f>
        <v>20 kg</v>
      </c>
      <c r="D69" s="11" t="s">
        <v>305</v>
      </c>
      <c r="E69" s="15" t="str">
        <f aca="false">$A69&amp;"."&amp;$D69&amp;".jpg"</f>
        <v>7898968541566.PT02.jpg</v>
      </c>
      <c r="F69" s="11" t="str">
        <f aca="false">INDEX('O QUE MOSTRAR'!$B$4:$B$12,MATCH($D69,'O QUE MOSTRAR'!$A$4:$A$12,0))</f>
        <v>Posição 3</v>
      </c>
      <c r="G69" s="11" t="str">
        <f aca="false">IF(INDEX(PRODUTOS!$F$4:$F$63,MATCH($A69,PRODUTOS!$B$4:$B$63,0))="Ração",INDEX('O QUE MOSTRAR'!$C$4:$C$12,MATCH($D69,'O QUE MOSTRAR'!$A$4:$A$12,0)),INDEX('O QUE MOSTRAR'!$D$4:$D$12,MATCH($D69,'O QUE MOSTRAR'!$A$4:$A$12,0)))</f>
        <v>Benefícios com ícones (4 a 6, impressos na embalagem) + ingrediente</v>
      </c>
      <c r="H69" s="11" t="str">
        <f aca="false">INDEX('O QUE MOSTRAR'!$E$4:$E$12,MATCH($D69,'O QUE MOSTRAR'!$A$4:$A$12,0))</f>
        <v>2000 × 2000</v>
      </c>
      <c r="I69" s="11" t="str">
        <f aca="false">INDEX('O QUE MOSTRAR'!$F$4:$F$12,MATCH($D69,'O QUE MOSTRAR'!$A$4:$A$12,0))</f>
        <v>SIM</v>
      </c>
      <c r="J69" s="13" t="s">
        <v>303</v>
      </c>
      <c r="K69" s="13"/>
    </row>
    <row r="70" customFormat="false" ht="15" hidden="false" customHeight="false" outlineLevel="0" collapsed="false">
      <c r="A70" s="14" t="s">
        <v>70</v>
      </c>
      <c r="B70" s="11" t="str">
        <f aca="false">INDEX(PRODUTOS!$E$4:$E$63,MATCH($A70,PRODUTOS!$B$4:$B$63,0))</f>
        <v>New Dots Ração Seca Premium para Cães Filhotes - 20 kg</v>
      </c>
      <c r="C70" s="11" t="str">
        <f aca="false">INDEX(PRODUTOS!$G$4:$G$63,MATCH($A70,PRODUTOS!$B$4:$B$63,0))</f>
        <v>20 kg</v>
      </c>
      <c r="D70" s="11" t="s">
        <v>306</v>
      </c>
      <c r="E70" s="15" t="str">
        <f aca="false">$A70&amp;"."&amp;$D70&amp;".jpg"</f>
        <v>7898968541566.PT03.jpg</v>
      </c>
      <c r="F70" s="11" t="str">
        <f aca="false">INDEX('O QUE MOSTRAR'!$B$4:$B$12,MATCH($D70,'O QUE MOSTRAR'!$A$4:$A$12,0))</f>
        <v>Posição 4</v>
      </c>
      <c r="G70" s="11" t="str">
        <f aca="false">IF(INDEX(PRODUTOS!$F$4:$F$63,MATCH($A70,PRODUTOS!$B$4:$B$63,0))="Ração",INDEX('O QUE MOSTRAR'!$C$4:$C$12,MATCH($D70,'O QUE MOSTRAR'!$A$4:$A$12,0)),INDEX('O QUE MOSTRAR'!$D$4:$D$12,MATCH($D70,'O QUE MOSTRAR'!$A$4:$A$12,0)))</f>
        <v>Formato e tamanho do grão, com medida em mm e referência de tamanho</v>
      </c>
      <c r="H70" s="11" t="str">
        <f aca="false">INDEX('O QUE MOSTRAR'!$E$4:$E$12,MATCH($D70,'O QUE MOSTRAR'!$A$4:$A$12,0))</f>
        <v>2000 × 2000</v>
      </c>
      <c r="I70" s="11" t="str">
        <f aca="false">INDEX('O QUE MOSTRAR'!$F$4:$F$12,MATCH($D70,'O QUE MOSTRAR'!$A$4:$A$12,0))</f>
        <v>SIM</v>
      </c>
      <c r="J70" s="13" t="s">
        <v>303</v>
      </c>
      <c r="K70" s="13"/>
    </row>
    <row r="71" customFormat="false" ht="15" hidden="false" customHeight="false" outlineLevel="0" collapsed="false">
      <c r="A71" s="14" t="s">
        <v>70</v>
      </c>
      <c r="B71" s="11" t="str">
        <f aca="false">INDEX(PRODUTOS!$E$4:$E$63,MATCH($A71,PRODUTOS!$B$4:$B$63,0))</f>
        <v>New Dots Ração Seca Premium para Cães Filhotes - 20 kg</v>
      </c>
      <c r="C71" s="11" t="str">
        <f aca="false">INDEX(PRODUTOS!$G$4:$G$63,MATCH($A71,PRODUTOS!$B$4:$B$63,0))</f>
        <v>20 kg</v>
      </c>
      <c r="D71" s="11" t="s">
        <v>307</v>
      </c>
      <c r="E71" s="15" t="str">
        <f aca="false">$A71&amp;"."&amp;$D71&amp;".jpg"</f>
        <v>7898968541566.PT04.jpg</v>
      </c>
      <c r="F71" s="11" t="str">
        <f aca="false">INDEX('O QUE MOSTRAR'!$B$4:$B$12,MATCH($D71,'O QUE MOSTRAR'!$A$4:$A$12,0))</f>
        <v>Posição 5</v>
      </c>
      <c r="G71" s="11" t="str">
        <f aca="false">IF(INDEX(PRODUTOS!$F$4:$F$63,MATCH($A71,PRODUTOS!$B$4:$B$63,0))="Ração",INDEX('O QUE MOSTRAR'!$C$4:$C$12,MATCH($D71,'O QUE MOSTRAR'!$A$4:$A$12,0)),INDEX('O QUE MOSTRAR'!$D$4:$D$12,MATCH($D71,'O QUE MOSTRAR'!$A$4:$A$12,0)))</f>
        <v>Quantidade diária por peso do pet (números idênticos à embalagem)</v>
      </c>
      <c r="H71" s="11" t="str">
        <f aca="false">INDEX('O QUE MOSTRAR'!$E$4:$E$12,MATCH($D71,'O QUE MOSTRAR'!$A$4:$A$12,0))</f>
        <v>2000 × 2000</v>
      </c>
      <c r="I71" s="11" t="str">
        <f aca="false">INDEX('O QUE MOSTRAR'!$F$4:$F$12,MATCH($D71,'O QUE MOSTRAR'!$A$4:$A$12,0))</f>
        <v>SIM</v>
      </c>
      <c r="J71" s="13" t="s">
        <v>303</v>
      </c>
      <c r="K71" s="13"/>
    </row>
    <row r="72" customFormat="false" ht="15" hidden="false" customHeight="false" outlineLevel="0" collapsed="false">
      <c r="A72" s="14" t="s">
        <v>70</v>
      </c>
      <c r="B72" s="11" t="str">
        <f aca="false">INDEX(PRODUTOS!$E$4:$E$63,MATCH($A72,PRODUTOS!$B$4:$B$63,0))</f>
        <v>New Dots Ração Seca Premium para Cães Filhotes - 20 kg</v>
      </c>
      <c r="C72" s="11" t="str">
        <f aca="false">INDEX(PRODUTOS!$G$4:$G$63,MATCH($A72,PRODUTOS!$B$4:$B$63,0))</f>
        <v>20 kg</v>
      </c>
      <c r="D72" s="11" t="s">
        <v>308</v>
      </c>
      <c r="E72" s="15" t="str">
        <f aca="false">$A72&amp;"."&amp;$D72&amp;".jpg"</f>
        <v>7898968541566.PT05.jpg</v>
      </c>
      <c r="F72" s="11" t="str">
        <f aca="false">INDEX('O QUE MOSTRAR'!$B$4:$B$12,MATCH($D72,'O QUE MOSTRAR'!$A$4:$A$12,0))</f>
        <v>Posição 6</v>
      </c>
      <c r="G72" s="11" t="str">
        <f aca="false">IF(INDEX(PRODUTOS!$F$4:$F$63,MATCH($A72,PRODUTOS!$B$4:$B$63,0))="Ração",INDEX('O QUE MOSTRAR'!$C$4:$C$12,MATCH($D72,'O QUE MOSTRAR'!$A$4:$A$12,0)),INDEX('O QUE MOSTRAR'!$D$4:$D$12,MATCH($D72,'O QUE MOSTRAR'!$A$4:$A$12,0)))</f>
        <v>Transição alimentar dia a dia (igual ao verso da embalagem)</v>
      </c>
      <c r="H72" s="11" t="str">
        <f aca="false">INDEX('O QUE MOSTRAR'!$E$4:$E$12,MATCH($D72,'O QUE MOSTRAR'!$A$4:$A$12,0))</f>
        <v>2000 × 2000</v>
      </c>
      <c r="I72" s="11" t="str">
        <f aca="false">INDEX('O QUE MOSTRAR'!$F$4:$F$12,MATCH($D72,'O QUE MOSTRAR'!$A$4:$A$12,0))</f>
        <v>Recomendada</v>
      </c>
      <c r="J72" s="13" t="s">
        <v>303</v>
      </c>
      <c r="K72" s="13"/>
    </row>
    <row r="73" customFormat="false" ht="15" hidden="false" customHeight="false" outlineLevel="0" collapsed="false">
      <c r="A73" s="14" t="s">
        <v>70</v>
      </c>
      <c r="B73" s="11" t="str">
        <f aca="false">INDEX(PRODUTOS!$E$4:$E$63,MATCH($A73,PRODUTOS!$B$4:$B$63,0))</f>
        <v>New Dots Ração Seca Premium para Cães Filhotes - 20 kg</v>
      </c>
      <c r="C73" s="11" t="str">
        <f aca="false">INDEX(PRODUTOS!$G$4:$G$63,MATCH($A73,PRODUTOS!$B$4:$B$63,0))</f>
        <v>20 kg</v>
      </c>
      <c r="D73" s="11" t="s">
        <v>309</v>
      </c>
      <c r="E73" s="15" t="str">
        <f aca="false">$A73&amp;"."&amp;$D73&amp;".jpg"</f>
        <v>7898968541566.PT06.jpg</v>
      </c>
      <c r="F73" s="11" t="str">
        <f aca="false">INDEX('O QUE MOSTRAR'!$B$4:$B$12,MATCH($D73,'O QUE MOSTRAR'!$A$4:$A$12,0))</f>
        <v>Posição 7</v>
      </c>
      <c r="G73" s="11" t="str">
        <f aca="false">IF(INDEX(PRODUTOS!$F$4:$F$63,MATCH($A73,PRODUTOS!$B$4:$B$63,0))="Ração",INDEX('O QUE MOSTRAR'!$C$4:$C$12,MATCH($D73,'O QUE MOSTRAR'!$A$4:$A$12,0)),INDEX('O QUE MOSTRAR'!$D$4:$D$12,MATCH($D73,'O QUE MOSTRAR'!$A$4:$A$12,0)))</f>
        <v>Composição e níveis de garantia em letra grande</v>
      </c>
      <c r="H73" s="11" t="str">
        <f aca="false">INDEX('O QUE MOSTRAR'!$E$4:$E$12,MATCH($D73,'O QUE MOSTRAR'!$A$4:$A$12,0))</f>
        <v>2000 × 2000</v>
      </c>
      <c r="I73" s="11" t="str">
        <f aca="false">INDEX('O QUE MOSTRAR'!$F$4:$F$12,MATCH($D73,'O QUE MOSTRAR'!$A$4:$A$12,0))</f>
        <v>SIM</v>
      </c>
      <c r="J73" s="13" t="s">
        <v>303</v>
      </c>
      <c r="K73" s="13"/>
    </row>
    <row r="74" customFormat="false" ht="15" hidden="false" customHeight="false" outlineLevel="0" collapsed="false">
      <c r="A74" s="14" t="s">
        <v>70</v>
      </c>
      <c r="B74" s="11" t="str">
        <f aca="false">INDEX(PRODUTOS!$E$4:$E$63,MATCH($A74,PRODUTOS!$B$4:$B$63,0))</f>
        <v>New Dots Ração Seca Premium para Cães Filhotes - 20 kg</v>
      </c>
      <c r="C74" s="11" t="str">
        <f aca="false">INDEX(PRODUTOS!$G$4:$G$63,MATCH($A74,PRODUTOS!$B$4:$B$63,0))</f>
        <v>20 kg</v>
      </c>
      <c r="D74" s="11" t="s">
        <v>310</v>
      </c>
      <c r="E74" s="15" t="str">
        <f aca="false">$A74&amp;"."&amp;$D74&amp;".jpg"</f>
        <v>7898968541566.PT07.jpg</v>
      </c>
      <c r="F74" s="11" t="str">
        <f aca="false">INDEX('O QUE MOSTRAR'!$B$4:$B$12,MATCH($D74,'O QUE MOSTRAR'!$A$4:$A$12,0))</f>
        <v>Posição 8</v>
      </c>
      <c r="G74" s="11" t="str">
        <f aca="false">IF(INDEX(PRODUTOS!$F$4:$F$63,MATCH($A74,PRODUTOS!$B$4:$B$63,0))="Ração",INDEX('O QUE MOSTRAR'!$C$4:$C$12,MATCH($D74,'O QUE MOSTRAR'!$A$4:$A$12,0)),INDEX('O QUE MOSTRAR'!$D$4:$D$12,MATCH($D74,'O QUE MOSTRAR'!$A$4:$A$12,0)))</f>
        <v>Emocional / momento de uso (pet do porte certo, pote cheio)</v>
      </c>
      <c r="H74" s="11" t="str">
        <f aca="false">INDEX('O QUE MOSTRAR'!$E$4:$E$12,MATCH($D74,'O QUE MOSTRAR'!$A$4:$A$12,0))</f>
        <v>2000 × 2000</v>
      </c>
      <c r="I74" s="11" t="str">
        <f aca="false">INDEX('O QUE MOSTRAR'!$F$4:$F$12,MATCH($D74,'O QUE MOSTRAR'!$A$4:$A$12,0))</f>
        <v>Recomendada</v>
      </c>
      <c r="J74" s="13" t="s">
        <v>303</v>
      </c>
      <c r="K74" s="13"/>
    </row>
    <row r="75" customFormat="false" ht="15" hidden="false" customHeight="false" outlineLevel="0" collapsed="false">
      <c r="A75" s="14" t="s">
        <v>70</v>
      </c>
      <c r="B75" s="11" t="str">
        <f aca="false">INDEX(PRODUTOS!$E$4:$E$63,MATCH($A75,PRODUTOS!$B$4:$B$63,0))</f>
        <v>New Dots Ração Seca Premium para Cães Filhotes - 20 kg</v>
      </c>
      <c r="C75" s="11" t="str">
        <f aca="false">INDEX(PRODUTOS!$G$4:$G$63,MATCH($A75,PRODUTOS!$B$4:$B$63,0))</f>
        <v>20 kg</v>
      </c>
      <c r="D75" s="11" t="s">
        <v>311</v>
      </c>
      <c r="E75" s="15" t="str">
        <f aca="false">$A75&amp;"."&amp;$D75&amp;".jpg"</f>
        <v>7898968541566.PT08.jpg</v>
      </c>
      <c r="F75" s="11" t="str">
        <f aca="false">INDEX('O QUE MOSTRAR'!$B$4:$B$12,MATCH($D75,'O QUE MOSTRAR'!$A$4:$A$12,0))</f>
        <v>Posição 9</v>
      </c>
      <c r="G75" s="11" t="str">
        <f aca="false">IF(INDEX(PRODUTOS!$F$4:$F$63,MATCH($A75,PRODUTOS!$B$4:$B$63,0))="Ração",INDEX('O QUE MOSTRAR'!$C$4:$C$12,MATCH($D75,'O QUE MOSTRAR'!$A$4:$A$12,0)),INDEX('O QUE MOSTRAR'!$D$4:$D$12,MATCH($D75,'O QUE MOSTRAR'!$A$4:$A$12,0)))</f>
        <v>Linha da marca ou embalagem anterior × nova</v>
      </c>
      <c r="H75" s="11" t="str">
        <f aca="false">INDEX('O QUE MOSTRAR'!$E$4:$E$12,MATCH($D75,'O QUE MOSTRAR'!$A$4:$A$12,0))</f>
        <v>2000 × 2000</v>
      </c>
      <c r="I75" s="11" t="str">
        <f aca="false">INDEX('O QUE MOSTRAR'!$F$4:$F$12,MATCH($D75,'O QUE MOSTRAR'!$A$4:$A$12,0))</f>
        <v>Recomendada</v>
      </c>
      <c r="J75" s="13" t="s">
        <v>303</v>
      </c>
      <c r="K75" s="13"/>
    </row>
    <row r="76" customFormat="false" ht="15" hidden="false" customHeight="false" outlineLevel="0" collapsed="false">
      <c r="A76" s="14" t="s">
        <v>73</v>
      </c>
      <c r="B76" s="11" t="str">
        <f aca="false">INDEX(PRODUTOS!$E$4:$E$63,MATCH($A76,PRODUTOS!$B$4:$B$63,0))</f>
        <v>New Dots Ração Seca Premium para Cães Filhotes - 5 kg</v>
      </c>
      <c r="C76" s="11" t="str">
        <f aca="false">INDEX(PRODUTOS!$G$4:$G$63,MATCH($A76,PRODUTOS!$B$4:$B$63,0))</f>
        <v>5 kg</v>
      </c>
      <c r="D76" s="11" t="s">
        <v>302</v>
      </c>
      <c r="E76" s="15" t="str">
        <f aca="false">$A76&amp;"."&amp;$D76&amp;".jpg"</f>
        <v>7898968541559.MAIN.jpg</v>
      </c>
      <c r="F76" s="11" t="str">
        <f aca="false">INDEX('O QUE MOSTRAR'!$B$4:$B$12,MATCH($D76,'O QUE MOSTRAR'!$A$4:$A$12,0))</f>
        <v>Capa (posição 1)</v>
      </c>
      <c r="G76" s="11" t="str">
        <f aca="false">IF(INDEX(PRODUTOS!$F$4:$F$63,MATCH($A76,PRODUTOS!$B$4:$B$63,0))="Ração",INDEX('O QUE MOSTRAR'!$C$4:$C$12,MATCH($D76,'O QUE MOSTRAR'!$A$4:$A$12,0)),INDEX('O QUE MOSTRAR'!$D$4:$D$12,MATCH($D76,'O QUE MOSTRAR'!$A$4:$A$12,0)))</f>
        <v>Embalagem de frente, fundo branco puro, 85% da área, nada adicionado</v>
      </c>
      <c r="H76" s="11" t="str">
        <f aca="false">INDEX('O QUE MOSTRAR'!$E$4:$E$12,MATCH($D76,'O QUE MOSTRAR'!$A$4:$A$12,0))</f>
        <v>2000 × 2000</v>
      </c>
      <c r="I76" s="11" t="str">
        <f aca="false">INDEX('O QUE MOSTRAR'!$F$4:$F$12,MATCH($D76,'O QUE MOSTRAR'!$A$4:$A$12,0))</f>
        <v>SIM</v>
      </c>
      <c r="J76" s="13" t="s">
        <v>303</v>
      </c>
      <c r="K76" s="13"/>
    </row>
    <row r="77" customFormat="false" ht="15" hidden="false" customHeight="false" outlineLevel="0" collapsed="false">
      <c r="A77" s="14" t="s">
        <v>73</v>
      </c>
      <c r="B77" s="11" t="str">
        <f aca="false">INDEX(PRODUTOS!$E$4:$E$63,MATCH($A77,PRODUTOS!$B$4:$B$63,0))</f>
        <v>New Dots Ração Seca Premium para Cães Filhotes - 5 kg</v>
      </c>
      <c r="C77" s="11" t="str">
        <f aca="false">INDEX(PRODUTOS!$G$4:$G$63,MATCH($A77,PRODUTOS!$B$4:$B$63,0))</f>
        <v>5 kg</v>
      </c>
      <c r="D77" s="11" t="s">
        <v>304</v>
      </c>
      <c r="E77" s="15" t="str">
        <f aca="false">$A77&amp;"."&amp;$D77&amp;".jpg"</f>
        <v>7898968541559.PT01.jpg</v>
      </c>
      <c r="F77" s="11" t="str">
        <f aca="false">INDEX('O QUE MOSTRAR'!$B$4:$B$12,MATCH($D77,'O QUE MOSTRAR'!$A$4:$A$12,0))</f>
        <v>Posição 2</v>
      </c>
      <c r="G77" s="11" t="str">
        <f aca="false">IF(INDEX(PRODUTOS!$F$4:$F$63,MATCH($A77,PRODUTOS!$B$4:$B$63,0))="Ração",INDEX('O QUE MOSTRAR'!$C$4:$C$12,MATCH($D77,'O QUE MOSTRAR'!$A$4:$A$12,0)),INDEX('O QUE MOSTRAR'!$D$4:$D$12,MATCH($D77,'O QUE MOSTRAR'!$A$4:$A$12,0)))</f>
        <v>Grande diferencial da linha (número ou promessa forte + grão e ingrediente)</v>
      </c>
      <c r="H77" s="11" t="str">
        <f aca="false">INDEX('O QUE MOSTRAR'!$E$4:$E$12,MATCH($D77,'O QUE MOSTRAR'!$A$4:$A$12,0))</f>
        <v>2000 × 2000</v>
      </c>
      <c r="I77" s="11" t="str">
        <f aca="false">INDEX('O QUE MOSTRAR'!$F$4:$F$12,MATCH($D77,'O QUE MOSTRAR'!$A$4:$A$12,0))</f>
        <v>SIM</v>
      </c>
      <c r="J77" s="13" t="s">
        <v>303</v>
      </c>
      <c r="K77" s="13"/>
    </row>
    <row r="78" customFormat="false" ht="15" hidden="false" customHeight="false" outlineLevel="0" collapsed="false">
      <c r="A78" s="14" t="s">
        <v>73</v>
      </c>
      <c r="B78" s="11" t="str">
        <f aca="false">INDEX(PRODUTOS!$E$4:$E$63,MATCH($A78,PRODUTOS!$B$4:$B$63,0))</f>
        <v>New Dots Ração Seca Premium para Cães Filhotes - 5 kg</v>
      </c>
      <c r="C78" s="11" t="str">
        <f aca="false">INDEX(PRODUTOS!$G$4:$G$63,MATCH($A78,PRODUTOS!$B$4:$B$63,0))</f>
        <v>5 kg</v>
      </c>
      <c r="D78" s="11" t="s">
        <v>305</v>
      </c>
      <c r="E78" s="15" t="str">
        <f aca="false">$A78&amp;"."&amp;$D78&amp;".jpg"</f>
        <v>7898968541559.PT02.jpg</v>
      </c>
      <c r="F78" s="11" t="str">
        <f aca="false">INDEX('O QUE MOSTRAR'!$B$4:$B$12,MATCH($D78,'O QUE MOSTRAR'!$A$4:$A$12,0))</f>
        <v>Posição 3</v>
      </c>
      <c r="G78" s="11" t="str">
        <f aca="false">IF(INDEX(PRODUTOS!$F$4:$F$63,MATCH($A78,PRODUTOS!$B$4:$B$63,0))="Ração",INDEX('O QUE MOSTRAR'!$C$4:$C$12,MATCH($D78,'O QUE MOSTRAR'!$A$4:$A$12,0)),INDEX('O QUE MOSTRAR'!$D$4:$D$12,MATCH($D78,'O QUE MOSTRAR'!$A$4:$A$12,0)))</f>
        <v>Benefícios com ícones (4 a 6, impressos na embalagem) + ingrediente</v>
      </c>
      <c r="H78" s="11" t="str">
        <f aca="false">INDEX('O QUE MOSTRAR'!$E$4:$E$12,MATCH($D78,'O QUE MOSTRAR'!$A$4:$A$12,0))</f>
        <v>2000 × 2000</v>
      </c>
      <c r="I78" s="11" t="str">
        <f aca="false">INDEX('O QUE MOSTRAR'!$F$4:$F$12,MATCH($D78,'O QUE MOSTRAR'!$A$4:$A$12,0))</f>
        <v>SIM</v>
      </c>
      <c r="J78" s="13" t="s">
        <v>303</v>
      </c>
      <c r="K78" s="13"/>
    </row>
    <row r="79" customFormat="false" ht="15" hidden="false" customHeight="false" outlineLevel="0" collapsed="false">
      <c r="A79" s="14" t="s">
        <v>73</v>
      </c>
      <c r="B79" s="11" t="str">
        <f aca="false">INDEX(PRODUTOS!$E$4:$E$63,MATCH($A79,PRODUTOS!$B$4:$B$63,0))</f>
        <v>New Dots Ração Seca Premium para Cães Filhotes - 5 kg</v>
      </c>
      <c r="C79" s="11" t="str">
        <f aca="false">INDEX(PRODUTOS!$G$4:$G$63,MATCH($A79,PRODUTOS!$B$4:$B$63,0))</f>
        <v>5 kg</v>
      </c>
      <c r="D79" s="11" t="s">
        <v>306</v>
      </c>
      <c r="E79" s="15" t="str">
        <f aca="false">$A79&amp;"."&amp;$D79&amp;".jpg"</f>
        <v>7898968541559.PT03.jpg</v>
      </c>
      <c r="F79" s="11" t="str">
        <f aca="false">INDEX('O QUE MOSTRAR'!$B$4:$B$12,MATCH($D79,'O QUE MOSTRAR'!$A$4:$A$12,0))</f>
        <v>Posição 4</v>
      </c>
      <c r="G79" s="11" t="str">
        <f aca="false">IF(INDEX(PRODUTOS!$F$4:$F$63,MATCH($A79,PRODUTOS!$B$4:$B$63,0))="Ração",INDEX('O QUE MOSTRAR'!$C$4:$C$12,MATCH($D79,'O QUE MOSTRAR'!$A$4:$A$12,0)),INDEX('O QUE MOSTRAR'!$D$4:$D$12,MATCH($D79,'O QUE MOSTRAR'!$A$4:$A$12,0)))</f>
        <v>Formato e tamanho do grão, com medida em mm e referência de tamanho</v>
      </c>
      <c r="H79" s="11" t="str">
        <f aca="false">INDEX('O QUE MOSTRAR'!$E$4:$E$12,MATCH($D79,'O QUE MOSTRAR'!$A$4:$A$12,0))</f>
        <v>2000 × 2000</v>
      </c>
      <c r="I79" s="11" t="str">
        <f aca="false">INDEX('O QUE MOSTRAR'!$F$4:$F$12,MATCH($D79,'O QUE MOSTRAR'!$A$4:$A$12,0))</f>
        <v>SIM</v>
      </c>
      <c r="J79" s="13" t="s">
        <v>303</v>
      </c>
      <c r="K79" s="13"/>
    </row>
    <row r="80" customFormat="false" ht="15" hidden="false" customHeight="false" outlineLevel="0" collapsed="false">
      <c r="A80" s="14" t="s">
        <v>73</v>
      </c>
      <c r="B80" s="11" t="str">
        <f aca="false">INDEX(PRODUTOS!$E$4:$E$63,MATCH($A80,PRODUTOS!$B$4:$B$63,0))</f>
        <v>New Dots Ração Seca Premium para Cães Filhotes - 5 kg</v>
      </c>
      <c r="C80" s="11" t="str">
        <f aca="false">INDEX(PRODUTOS!$G$4:$G$63,MATCH($A80,PRODUTOS!$B$4:$B$63,0))</f>
        <v>5 kg</v>
      </c>
      <c r="D80" s="11" t="s">
        <v>307</v>
      </c>
      <c r="E80" s="15" t="str">
        <f aca="false">$A80&amp;"."&amp;$D80&amp;".jpg"</f>
        <v>7898968541559.PT04.jpg</v>
      </c>
      <c r="F80" s="11" t="str">
        <f aca="false">INDEX('O QUE MOSTRAR'!$B$4:$B$12,MATCH($D80,'O QUE MOSTRAR'!$A$4:$A$12,0))</f>
        <v>Posição 5</v>
      </c>
      <c r="G80" s="11" t="str">
        <f aca="false">IF(INDEX(PRODUTOS!$F$4:$F$63,MATCH($A80,PRODUTOS!$B$4:$B$63,0))="Ração",INDEX('O QUE MOSTRAR'!$C$4:$C$12,MATCH($D80,'O QUE MOSTRAR'!$A$4:$A$12,0)),INDEX('O QUE MOSTRAR'!$D$4:$D$12,MATCH($D80,'O QUE MOSTRAR'!$A$4:$A$12,0)))</f>
        <v>Quantidade diária por peso do pet (números idênticos à embalagem)</v>
      </c>
      <c r="H80" s="11" t="str">
        <f aca="false">INDEX('O QUE MOSTRAR'!$E$4:$E$12,MATCH($D80,'O QUE MOSTRAR'!$A$4:$A$12,0))</f>
        <v>2000 × 2000</v>
      </c>
      <c r="I80" s="11" t="str">
        <f aca="false">INDEX('O QUE MOSTRAR'!$F$4:$F$12,MATCH($D80,'O QUE MOSTRAR'!$A$4:$A$12,0))</f>
        <v>SIM</v>
      </c>
      <c r="J80" s="13" t="s">
        <v>303</v>
      </c>
      <c r="K80" s="13"/>
    </row>
    <row r="81" customFormat="false" ht="15" hidden="false" customHeight="false" outlineLevel="0" collapsed="false">
      <c r="A81" s="14" t="s">
        <v>73</v>
      </c>
      <c r="B81" s="11" t="str">
        <f aca="false">INDEX(PRODUTOS!$E$4:$E$63,MATCH($A81,PRODUTOS!$B$4:$B$63,0))</f>
        <v>New Dots Ração Seca Premium para Cães Filhotes - 5 kg</v>
      </c>
      <c r="C81" s="11" t="str">
        <f aca="false">INDEX(PRODUTOS!$G$4:$G$63,MATCH($A81,PRODUTOS!$B$4:$B$63,0))</f>
        <v>5 kg</v>
      </c>
      <c r="D81" s="11" t="s">
        <v>308</v>
      </c>
      <c r="E81" s="15" t="str">
        <f aca="false">$A81&amp;"."&amp;$D81&amp;".jpg"</f>
        <v>7898968541559.PT05.jpg</v>
      </c>
      <c r="F81" s="11" t="str">
        <f aca="false">INDEX('O QUE MOSTRAR'!$B$4:$B$12,MATCH($D81,'O QUE MOSTRAR'!$A$4:$A$12,0))</f>
        <v>Posição 6</v>
      </c>
      <c r="G81" s="11" t="str">
        <f aca="false">IF(INDEX(PRODUTOS!$F$4:$F$63,MATCH($A81,PRODUTOS!$B$4:$B$63,0))="Ração",INDEX('O QUE MOSTRAR'!$C$4:$C$12,MATCH($D81,'O QUE MOSTRAR'!$A$4:$A$12,0)),INDEX('O QUE MOSTRAR'!$D$4:$D$12,MATCH($D81,'O QUE MOSTRAR'!$A$4:$A$12,0)))</f>
        <v>Transição alimentar dia a dia (igual ao verso da embalagem)</v>
      </c>
      <c r="H81" s="11" t="str">
        <f aca="false">INDEX('O QUE MOSTRAR'!$E$4:$E$12,MATCH($D81,'O QUE MOSTRAR'!$A$4:$A$12,0))</f>
        <v>2000 × 2000</v>
      </c>
      <c r="I81" s="11" t="str">
        <f aca="false">INDEX('O QUE MOSTRAR'!$F$4:$F$12,MATCH($D81,'O QUE MOSTRAR'!$A$4:$A$12,0))</f>
        <v>Recomendada</v>
      </c>
      <c r="J81" s="13" t="s">
        <v>303</v>
      </c>
      <c r="K81" s="13"/>
    </row>
    <row r="82" customFormat="false" ht="15" hidden="false" customHeight="false" outlineLevel="0" collapsed="false">
      <c r="A82" s="14" t="s">
        <v>73</v>
      </c>
      <c r="B82" s="11" t="str">
        <f aca="false">INDEX(PRODUTOS!$E$4:$E$63,MATCH($A82,PRODUTOS!$B$4:$B$63,0))</f>
        <v>New Dots Ração Seca Premium para Cães Filhotes - 5 kg</v>
      </c>
      <c r="C82" s="11" t="str">
        <f aca="false">INDEX(PRODUTOS!$G$4:$G$63,MATCH($A82,PRODUTOS!$B$4:$B$63,0))</f>
        <v>5 kg</v>
      </c>
      <c r="D82" s="11" t="s">
        <v>309</v>
      </c>
      <c r="E82" s="15" t="str">
        <f aca="false">$A82&amp;"."&amp;$D82&amp;".jpg"</f>
        <v>7898968541559.PT06.jpg</v>
      </c>
      <c r="F82" s="11" t="str">
        <f aca="false">INDEX('O QUE MOSTRAR'!$B$4:$B$12,MATCH($D82,'O QUE MOSTRAR'!$A$4:$A$12,0))</f>
        <v>Posição 7</v>
      </c>
      <c r="G82" s="11" t="str">
        <f aca="false">IF(INDEX(PRODUTOS!$F$4:$F$63,MATCH($A82,PRODUTOS!$B$4:$B$63,0))="Ração",INDEX('O QUE MOSTRAR'!$C$4:$C$12,MATCH($D82,'O QUE MOSTRAR'!$A$4:$A$12,0)),INDEX('O QUE MOSTRAR'!$D$4:$D$12,MATCH($D82,'O QUE MOSTRAR'!$A$4:$A$12,0)))</f>
        <v>Composição e níveis de garantia em letra grande</v>
      </c>
      <c r="H82" s="11" t="str">
        <f aca="false">INDEX('O QUE MOSTRAR'!$E$4:$E$12,MATCH($D82,'O QUE MOSTRAR'!$A$4:$A$12,0))</f>
        <v>2000 × 2000</v>
      </c>
      <c r="I82" s="11" t="str">
        <f aca="false">INDEX('O QUE MOSTRAR'!$F$4:$F$12,MATCH($D82,'O QUE MOSTRAR'!$A$4:$A$12,0))</f>
        <v>SIM</v>
      </c>
      <c r="J82" s="13" t="s">
        <v>303</v>
      </c>
      <c r="K82" s="13"/>
    </row>
    <row r="83" customFormat="false" ht="15" hidden="false" customHeight="false" outlineLevel="0" collapsed="false">
      <c r="A83" s="14" t="s">
        <v>73</v>
      </c>
      <c r="B83" s="11" t="str">
        <f aca="false">INDEX(PRODUTOS!$E$4:$E$63,MATCH($A83,PRODUTOS!$B$4:$B$63,0))</f>
        <v>New Dots Ração Seca Premium para Cães Filhotes - 5 kg</v>
      </c>
      <c r="C83" s="11" t="str">
        <f aca="false">INDEX(PRODUTOS!$G$4:$G$63,MATCH($A83,PRODUTOS!$B$4:$B$63,0))</f>
        <v>5 kg</v>
      </c>
      <c r="D83" s="11" t="s">
        <v>310</v>
      </c>
      <c r="E83" s="15" t="str">
        <f aca="false">$A83&amp;"."&amp;$D83&amp;".jpg"</f>
        <v>7898968541559.PT07.jpg</v>
      </c>
      <c r="F83" s="11" t="str">
        <f aca="false">INDEX('O QUE MOSTRAR'!$B$4:$B$12,MATCH($D83,'O QUE MOSTRAR'!$A$4:$A$12,0))</f>
        <v>Posição 8</v>
      </c>
      <c r="G83" s="11" t="str">
        <f aca="false">IF(INDEX(PRODUTOS!$F$4:$F$63,MATCH($A83,PRODUTOS!$B$4:$B$63,0))="Ração",INDEX('O QUE MOSTRAR'!$C$4:$C$12,MATCH($D83,'O QUE MOSTRAR'!$A$4:$A$12,0)),INDEX('O QUE MOSTRAR'!$D$4:$D$12,MATCH($D83,'O QUE MOSTRAR'!$A$4:$A$12,0)))</f>
        <v>Emocional / momento de uso (pet do porte certo, pote cheio)</v>
      </c>
      <c r="H83" s="11" t="str">
        <f aca="false">INDEX('O QUE MOSTRAR'!$E$4:$E$12,MATCH($D83,'O QUE MOSTRAR'!$A$4:$A$12,0))</f>
        <v>2000 × 2000</v>
      </c>
      <c r="I83" s="11" t="str">
        <f aca="false">INDEX('O QUE MOSTRAR'!$F$4:$F$12,MATCH($D83,'O QUE MOSTRAR'!$A$4:$A$12,0))</f>
        <v>Recomendada</v>
      </c>
      <c r="J83" s="13" t="s">
        <v>303</v>
      </c>
      <c r="K83" s="13"/>
    </row>
    <row r="84" customFormat="false" ht="15" hidden="false" customHeight="false" outlineLevel="0" collapsed="false">
      <c r="A84" s="14" t="s">
        <v>73</v>
      </c>
      <c r="B84" s="11" t="str">
        <f aca="false">INDEX(PRODUTOS!$E$4:$E$63,MATCH($A84,PRODUTOS!$B$4:$B$63,0))</f>
        <v>New Dots Ração Seca Premium para Cães Filhotes - 5 kg</v>
      </c>
      <c r="C84" s="11" t="str">
        <f aca="false">INDEX(PRODUTOS!$G$4:$G$63,MATCH($A84,PRODUTOS!$B$4:$B$63,0))</f>
        <v>5 kg</v>
      </c>
      <c r="D84" s="11" t="s">
        <v>311</v>
      </c>
      <c r="E84" s="15" t="str">
        <f aca="false">$A84&amp;"."&amp;$D84&amp;".jpg"</f>
        <v>7898968541559.PT08.jpg</v>
      </c>
      <c r="F84" s="11" t="str">
        <f aca="false">INDEX('O QUE MOSTRAR'!$B$4:$B$12,MATCH($D84,'O QUE MOSTRAR'!$A$4:$A$12,0))</f>
        <v>Posição 9</v>
      </c>
      <c r="G84" s="11" t="str">
        <f aca="false">IF(INDEX(PRODUTOS!$F$4:$F$63,MATCH($A84,PRODUTOS!$B$4:$B$63,0))="Ração",INDEX('O QUE MOSTRAR'!$C$4:$C$12,MATCH($D84,'O QUE MOSTRAR'!$A$4:$A$12,0)),INDEX('O QUE MOSTRAR'!$D$4:$D$12,MATCH($D84,'O QUE MOSTRAR'!$A$4:$A$12,0)))</f>
        <v>Linha da marca ou embalagem anterior × nova</v>
      </c>
      <c r="H84" s="11" t="str">
        <f aca="false">INDEX('O QUE MOSTRAR'!$E$4:$E$12,MATCH($D84,'O QUE MOSTRAR'!$A$4:$A$12,0))</f>
        <v>2000 × 2000</v>
      </c>
      <c r="I84" s="11" t="str">
        <f aca="false">INDEX('O QUE MOSTRAR'!$F$4:$F$12,MATCH($D84,'O QUE MOSTRAR'!$A$4:$A$12,0))</f>
        <v>Recomendada</v>
      </c>
      <c r="J84" s="13" t="s">
        <v>303</v>
      </c>
      <c r="K84" s="13"/>
    </row>
    <row r="85" customFormat="false" ht="15" hidden="false" customHeight="false" outlineLevel="0" collapsed="false">
      <c r="A85" s="14" t="s">
        <v>76</v>
      </c>
      <c r="B85" s="11" t="str">
        <f aca="false">INDEX(PRODUTOS!$E$4:$E$63,MATCH($A85,PRODUTOS!$B$4:$B$63,0))</f>
        <v>New Dots Ração Seca Premium para Cães Filhotes - 1 kg</v>
      </c>
      <c r="C85" s="11" t="str">
        <f aca="false">INDEX(PRODUTOS!$G$4:$G$63,MATCH($A85,PRODUTOS!$B$4:$B$63,0))</f>
        <v>1 kg</v>
      </c>
      <c r="D85" s="11" t="s">
        <v>302</v>
      </c>
      <c r="E85" s="15" t="str">
        <f aca="false">$A85&amp;"."&amp;$D85&amp;".jpg"</f>
        <v>7898968541542.MAIN.jpg</v>
      </c>
      <c r="F85" s="11" t="str">
        <f aca="false">INDEX('O QUE MOSTRAR'!$B$4:$B$12,MATCH($D85,'O QUE MOSTRAR'!$A$4:$A$12,0))</f>
        <v>Capa (posição 1)</v>
      </c>
      <c r="G85" s="11" t="str">
        <f aca="false">IF(INDEX(PRODUTOS!$F$4:$F$63,MATCH($A85,PRODUTOS!$B$4:$B$63,0))="Ração",INDEX('O QUE MOSTRAR'!$C$4:$C$12,MATCH($D85,'O QUE MOSTRAR'!$A$4:$A$12,0)),INDEX('O QUE MOSTRAR'!$D$4:$D$12,MATCH($D85,'O QUE MOSTRAR'!$A$4:$A$12,0)))</f>
        <v>Embalagem de frente, fundo branco puro, 85% da área, nada adicionado</v>
      </c>
      <c r="H85" s="11" t="str">
        <f aca="false">INDEX('O QUE MOSTRAR'!$E$4:$E$12,MATCH($D85,'O QUE MOSTRAR'!$A$4:$A$12,0))</f>
        <v>2000 × 2000</v>
      </c>
      <c r="I85" s="11" t="str">
        <f aca="false">INDEX('O QUE MOSTRAR'!$F$4:$F$12,MATCH($D85,'O QUE MOSTRAR'!$A$4:$A$12,0))</f>
        <v>SIM</v>
      </c>
      <c r="J85" s="13" t="s">
        <v>303</v>
      </c>
      <c r="K85" s="13"/>
    </row>
    <row r="86" customFormat="false" ht="15" hidden="false" customHeight="false" outlineLevel="0" collapsed="false">
      <c r="A86" s="14" t="s">
        <v>76</v>
      </c>
      <c r="B86" s="11" t="str">
        <f aca="false">INDEX(PRODUTOS!$E$4:$E$63,MATCH($A86,PRODUTOS!$B$4:$B$63,0))</f>
        <v>New Dots Ração Seca Premium para Cães Filhotes - 1 kg</v>
      </c>
      <c r="C86" s="11" t="str">
        <f aca="false">INDEX(PRODUTOS!$G$4:$G$63,MATCH($A86,PRODUTOS!$B$4:$B$63,0))</f>
        <v>1 kg</v>
      </c>
      <c r="D86" s="11" t="s">
        <v>304</v>
      </c>
      <c r="E86" s="15" t="str">
        <f aca="false">$A86&amp;"."&amp;$D86&amp;".jpg"</f>
        <v>7898968541542.PT01.jpg</v>
      </c>
      <c r="F86" s="11" t="str">
        <f aca="false">INDEX('O QUE MOSTRAR'!$B$4:$B$12,MATCH($D86,'O QUE MOSTRAR'!$A$4:$A$12,0))</f>
        <v>Posição 2</v>
      </c>
      <c r="G86" s="11" t="str">
        <f aca="false">IF(INDEX(PRODUTOS!$F$4:$F$63,MATCH($A86,PRODUTOS!$B$4:$B$63,0))="Ração",INDEX('O QUE MOSTRAR'!$C$4:$C$12,MATCH($D86,'O QUE MOSTRAR'!$A$4:$A$12,0)),INDEX('O QUE MOSTRAR'!$D$4:$D$12,MATCH($D86,'O QUE MOSTRAR'!$A$4:$A$12,0)))</f>
        <v>Grande diferencial da linha (número ou promessa forte + grão e ingrediente)</v>
      </c>
      <c r="H86" s="11" t="str">
        <f aca="false">INDEX('O QUE MOSTRAR'!$E$4:$E$12,MATCH($D86,'O QUE MOSTRAR'!$A$4:$A$12,0))</f>
        <v>2000 × 2000</v>
      </c>
      <c r="I86" s="11" t="str">
        <f aca="false">INDEX('O QUE MOSTRAR'!$F$4:$F$12,MATCH($D86,'O QUE MOSTRAR'!$A$4:$A$12,0))</f>
        <v>SIM</v>
      </c>
      <c r="J86" s="13" t="s">
        <v>303</v>
      </c>
      <c r="K86" s="13"/>
    </row>
    <row r="87" customFormat="false" ht="15" hidden="false" customHeight="false" outlineLevel="0" collapsed="false">
      <c r="A87" s="14" t="s">
        <v>76</v>
      </c>
      <c r="B87" s="11" t="str">
        <f aca="false">INDEX(PRODUTOS!$E$4:$E$63,MATCH($A87,PRODUTOS!$B$4:$B$63,0))</f>
        <v>New Dots Ração Seca Premium para Cães Filhotes - 1 kg</v>
      </c>
      <c r="C87" s="11" t="str">
        <f aca="false">INDEX(PRODUTOS!$G$4:$G$63,MATCH($A87,PRODUTOS!$B$4:$B$63,0))</f>
        <v>1 kg</v>
      </c>
      <c r="D87" s="11" t="s">
        <v>305</v>
      </c>
      <c r="E87" s="15" t="str">
        <f aca="false">$A87&amp;"."&amp;$D87&amp;".jpg"</f>
        <v>7898968541542.PT02.jpg</v>
      </c>
      <c r="F87" s="11" t="str">
        <f aca="false">INDEX('O QUE MOSTRAR'!$B$4:$B$12,MATCH($D87,'O QUE MOSTRAR'!$A$4:$A$12,0))</f>
        <v>Posição 3</v>
      </c>
      <c r="G87" s="11" t="str">
        <f aca="false">IF(INDEX(PRODUTOS!$F$4:$F$63,MATCH($A87,PRODUTOS!$B$4:$B$63,0))="Ração",INDEX('O QUE MOSTRAR'!$C$4:$C$12,MATCH($D87,'O QUE MOSTRAR'!$A$4:$A$12,0)),INDEX('O QUE MOSTRAR'!$D$4:$D$12,MATCH($D87,'O QUE MOSTRAR'!$A$4:$A$12,0)))</f>
        <v>Benefícios com ícones (4 a 6, impressos na embalagem) + ingrediente</v>
      </c>
      <c r="H87" s="11" t="str">
        <f aca="false">INDEX('O QUE MOSTRAR'!$E$4:$E$12,MATCH($D87,'O QUE MOSTRAR'!$A$4:$A$12,0))</f>
        <v>2000 × 2000</v>
      </c>
      <c r="I87" s="11" t="str">
        <f aca="false">INDEX('O QUE MOSTRAR'!$F$4:$F$12,MATCH($D87,'O QUE MOSTRAR'!$A$4:$A$12,0))</f>
        <v>SIM</v>
      </c>
      <c r="J87" s="13" t="s">
        <v>303</v>
      </c>
      <c r="K87" s="13"/>
    </row>
    <row r="88" customFormat="false" ht="15" hidden="false" customHeight="false" outlineLevel="0" collapsed="false">
      <c r="A88" s="14" t="s">
        <v>76</v>
      </c>
      <c r="B88" s="11" t="str">
        <f aca="false">INDEX(PRODUTOS!$E$4:$E$63,MATCH($A88,PRODUTOS!$B$4:$B$63,0))</f>
        <v>New Dots Ração Seca Premium para Cães Filhotes - 1 kg</v>
      </c>
      <c r="C88" s="11" t="str">
        <f aca="false">INDEX(PRODUTOS!$G$4:$G$63,MATCH($A88,PRODUTOS!$B$4:$B$63,0))</f>
        <v>1 kg</v>
      </c>
      <c r="D88" s="11" t="s">
        <v>306</v>
      </c>
      <c r="E88" s="15" t="str">
        <f aca="false">$A88&amp;"."&amp;$D88&amp;".jpg"</f>
        <v>7898968541542.PT03.jpg</v>
      </c>
      <c r="F88" s="11" t="str">
        <f aca="false">INDEX('O QUE MOSTRAR'!$B$4:$B$12,MATCH($D88,'O QUE MOSTRAR'!$A$4:$A$12,0))</f>
        <v>Posição 4</v>
      </c>
      <c r="G88" s="11" t="str">
        <f aca="false">IF(INDEX(PRODUTOS!$F$4:$F$63,MATCH($A88,PRODUTOS!$B$4:$B$63,0))="Ração",INDEX('O QUE MOSTRAR'!$C$4:$C$12,MATCH($D88,'O QUE MOSTRAR'!$A$4:$A$12,0)),INDEX('O QUE MOSTRAR'!$D$4:$D$12,MATCH($D88,'O QUE MOSTRAR'!$A$4:$A$12,0)))</f>
        <v>Formato e tamanho do grão, com medida em mm e referência de tamanho</v>
      </c>
      <c r="H88" s="11" t="str">
        <f aca="false">INDEX('O QUE MOSTRAR'!$E$4:$E$12,MATCH($D88,'O QUE MOSTRAR'!$A$4:$A$12,0))</f>
        <v>2000 × 2000</v>
      </c>
      <c r="I88" s="11" t="str">
        <f aca="false">INDEX('O QUE MOSTRAR'!$F$4:$F$12,MATCH($D88,'O QUE MOSTRAR'!$A$4:$A$12,0))</f>
        <v>SIM</v>
      </c>
      <c r="J88" s="13" t="s">
        <v>303</v>
      </c>
      <c r="K88" s="13"/>
    </row>
    <row r="89" customFormat="false" ht="15" hidden="false" customHeight="false" outlineLevel="0" collapsed="false">
      <c r="A89" s="14" t="s">
        <v>76</v>
      </c>
      <c r="B89" s="11" t="str">
        <f aca="false">INDEX(PRODUTOS!$E$4:$E$63,MATCH($A89,PRODUTOS!$B$4:$B$63,0))</f>
        <v>New Dots Ração Seca Premium para Cães Filhotes - 1 kg</v>
      </c>
      <c r="C89" s="11" t="str">
        <f aca="false">INDEX(PRODUTOS!$G$4:$G$63,MATCH($A89,PRODUTOS!$B$4:$B$63,0))</f>
        <v>1 kg</v>
      </c>
      <c r="D89" s="11" t="s">
        <v>307</v>
      </c>
      <c r="E89" s="15" t="str">
        <f aca="false">$A89&amp;"."&amp;$D89&amp;".jpg"</f>
        <v>7898968541542.PT04.jpg</v>
      </c>
      <c r="F89" s="11" t="str">
        <f aca="false">INDEX('O QUE MOSTRAR'!$B$4:$B$12,MATCH($D89,'O QUE MOSTRAR'!$A$4:$A$12,0))</f>
        <v>Posição 5</v>
      </c>
      <c r="G89" s="11" t="str">
        <f aca="false">IF(INDEX(PRODUTOS!$F$4:$F$63,MATCH($A89,PRODUTOS!$B$4:$B$63,0))="Ração",INDEX('O QUE MOSTRAR'!$C$4:$C$12,MATCH($D89,'O QUE MOSTRAR'!$A$4:$A$12,0)),INDEX('O QUE MOSTRAR'!$D$4:$D$12,MATCH($D89,'O QUE MOSTRAR'!$A$4:$A$12,0)))</f>
        <v>Quantidade diária por peso do pet (números idênticos à embalagem)</v>
      </c>
      <c r="H89" s="11" t="str">
        <f aca="false">INDEX('O QUE MOSTRAR'!$E$4:$E$12,MATCH($D89,'O QUE MOSTRAR'!$A$4:$A$12,0))</f>
        <v>2000 × 2000</v>
      </c>
      <c r="I89" s="11" t="str">
        <f aca="false">INDEX('O QUE MOSTRAR'!$F$4:$F$12,MATCH($D89,'O QUE MOSTRAR'!$A$4:$A$12,0))</f>
        <v>SIM</v>
      </c>
      <c r="J89" s="13" t="s">
        <v>303</v>
      </c>
      <c r="K89" s="13"/>
    </row>
    <row r="90" customFormat="false" ht="15" hidden="false" customHeight="false" outlineLevel="0" collapsed="false">
      <c r="A90" s="14" t="s">
        <v>76</v>
      </c>
      <c r="B90" s="11" t="str">
        <f aca="false">INDEX(PRODUTOS!$E$4:$E$63,MATCH($A90,PRODUTOS!$B$4:$B$63,0))</f>
        <v>New Dots Ração Seca Premium para Cães Filhotes - 1 kg</v>
      </c>
      <c r="C90" s="11" t="str">
        <f aca="false">INDEX(PRODUTOS!$G$4:$G$63,MATCH($A90,PRODUTOS!$B$4:$B$63,0))</f>
        <v>1 kg</v>
      </c>
      <c r="D90" s="11" t="s">
        <v>308</v>
      </c>
      <c r="E90" s="15" t="str">
        <f aca="false">$A90&amp;"."&amp;$D90&amp;".jpg"</f>
        <v>7898968541542.PT05.jpg</v>
      </c>
      <c r="F90" s="11" t="str">
        <f aca="false">INDEX('O QUE MOSTRAR'!$B$4:$B$12,MATCH($D90,'O QUE MOSTRAR'!$A$4:$A$12,0))</f>
        <v>Posição 6</v>
      </c>
      <c r="G90" s="11" t="str">
        <f aca="false">IF(INDEX(PRODUTOS!$F$4:$F$63,MATCH($A90,PRODUTOS!$B$4:$B$63,0))="Ração",INDEX('O QUE MOSTRAR'!$C$4:$C$12,MATCH($D90,'O QUE MOSTRAR'!$A$4:$A$12,0)),INDEX('O QUE MOSTRAR'!$D$4:$D$12,MATCH($D90,'O QUE MOSTRAR'!$A$4:$A$12,0)))</f>
        <v>Transição alimentar dia a dia (igual ao verso da embalagem)</v>
      </c>
      <c r="H90" s="11" t="str">
        <f aca="false">INDEX('O QUE MOSTRAR'!$E$4:$E$12,MATCH($D90,'O QUE MOSTRAR'!$A$4:$A$12,0))</f>
        <v>2000 × 2000</v>
      </c>
      <c r="I90" s="11" t="str">
        <f aca="false">INDEX('O QUE MOSTRAR'!$F$4:$F$12,MATCH($D90,'O QUE MOSTRAR'!$A$4:$A$12,0))</f>
        <v>Recomendada</v>
      </c>
      <c r="J90" s="13" t="s">
        <v>303</v>
      </c>
      <c r="K90" s="13"/>
    </row>
    <row r="91" customFormat="false" ht="15" hidden="false" customHeight="false" outlineLevel="0" collapsed="false">
      <c r="A91" s="14" t="s">
        <v>76</v>
      </c>
      <c r="B91" s="11" t="str">
        <f aca="false">INDEX(PRODUTOS!$E$4:$E$63,MATCH($A91,PRODUTOS!$B$4:$B$63,0))</f>
        <v>New Dots Ração Seca Premium para Cães Filhotes - 1 kg</v>
      </c>
      <c r="C91" s="11" t="str">
        <f aca="false">INDEX(PRODUTOS!$G$4:$G$63,MATCH($A91,PRODUTOS!$B$4:$B$63,0))</f>
        <v>1 kg</v>
      </c>
      <c r="D91" s="11" t="s">
        <v>309</v>
      </c>
      <c r="E91" s="15" t="str">
        <f aca="false">$A91&amp;"."&amp;$D91&amp;".jpg"</f>
        <v>7898968541542.PT06.jpg</v>
      </c>
      <c r="F91" s="11" t="str">
        <f aca="false">INDEX('O QUE MOSTRAR'!$B$4:$B$12,MATCH($D91,'O QUE MOSTRAR'!$A$4:$A$12,0))</f>
        <v>Posição 7</v>
      </c>
      <c r="G91" s="11" t="str">
        <f aca="false">IF(INDEX(PRODUTOS!$F$4:$F$63,MATCH($A91,PRODUTOS!$B$4:$B$63,0))="Ração",INDEX('O QUE MOSTRAR'!$C$4:$C$12,MATCH($D91,'O QUE MOSTRAR'!$A$4:$A$12,0)),INDEX('O QUE MOSTRAR'!$D$4:$D$12,MATCH($D91,'O QUE MOSTRAR'!$A$4:$A$12,0)))</f>
        <v>Composição e níveis de garantia em letra grande</v>
      </c>
      <c r="H91" s="11" t="str">
        <f aca="false">INDEX('O QUE MOSTRAR'!$E$4:$E$12,MATCH($D91,'O QUE MOSTRAR'!$A$4:$A$12,0))</f>
        <v>2000 × 2000</v>
      </c>
      <c r="I91" s="11" t="str">
        <f aca="false">INDEX('O QUE MOSTRAR'!$F$4:$F$12,MATCH($D91,'O QUE MOSTRAR'!$A$4:$A$12,0))</f>
        <v>SIM</v>
      </c>
      <c r="J91" s="13" t="s">
        <v>303</v>
      </c>
      <c r="K91" s="13"/>
    </row>
    <row r="92" customFormat="false" ht="15" hidden="false" customHeight="false" outlineLevel="0" collapsed="false">
      <c r="A92" s="14" t="s">
        <v>76</v>
      </c>
      <c r="B92" s="11" t="str">
        <f aca="false">INDEX(PRODUTOS!$E$4:$E$63,MATCH($A92,PRODUTOS!$B$4:$B$63,0))</f>
        <v>New Dots Ração Seca Premium para Cães Filhotes - 1 kg</v>
      </c>
      <c r="C92" s="11" t="str">
        <f aca="false">INDEX(PRODUTOS!$G$4:$G$63,MATCH($A92,PRODUTOS!$B$4:$B$63,0))</f>
        <v>1 kg</v>
      </c>
      <c r="D92" s="11" t="s">
        <v>310</v>
      </c>
      <c r="E92" s="15" t="str">
        <f aca="false">$A92&amp;"."&amp;$D92&amp;".jpg"</f>
        <v>7898968541542.PT07.jpg</v>
      </c>
      <c r="F92" s="11" t="str">
        <f aca="false">INDEX('O QUE MOSTRAR'!$B$4:$B$12,MATCH($D92,'O QUE MOSTRAR'!$A$4:$A$12,0))</f>
        <v>Posição 8</v>
      </c>
      <c r="G92" s="11" t="str">
        <f aca="false">IF(INDEX(PRODUTOS!$F$4:$F$63,MATCH($A92,PRODUTOS!$B$4:$B$63,0))="Ração",INDEX('O QUE MOSTRAR'!$C$4:$C$12,MATCH($D92,'O QUE MOSTRAR'!$A$4:$A$12,0)),INDEX('O QUE MOSTRAR'!$D$4:$D$12,MATCH($D92,'O QUE MOSTRAR'!$A$4:$A$12,0)))</f>
        <v>Emocional / momento de uso (pet do porte certo, pote cheio)</v>
      </c>
      <c r="H92" s="11" t="str">
        <f aca="false">INDEX('O QUE MOSTRAR'!$E$4:$E$12,MATCH($D92,'O QUE MOSTRAR'!$A$4:$A$12,0))</f>
        <v>2000 × 2000</v>
      </c>
      <c r="I92" s="11" t="str">
        <f aca="false">INDEX('O QUE MOSTRAR'!$F$4:$F$12,MATCH($D92,'O QUE MOSTRAR'!$A$4:$A$12,0))</f>
        <v>Recomendada</v>
      </c>
      <c r="J92" s="13" t="s">
        <v>303</v>
      </c>
      <c r="K92" s="13"/>
    </row>
    <row r="93" customFormat="false" ht="15" hidden="false" customHeight="false" outlineLevel="0" collapsed="false">
      <c r="A93" s="14" t="s">
        <v>76</v>
      </c>
      <c r="B93" s="11" t="str">
        <f aca="false">INDEX(PRODUTOS!$E$4:$E$63,MATCH($A93,PRODUTOS!$B$4:$B$63,0))</f>
        <v>New Dots Ração Seca Premium para Cães Filhotes - 1 kg</v>
      </c>
      <c r="C93" s="11" t="str">
        <f aca="false">INDEX(PRODUTOS!$G$4:$G$63,MATCH($A93,PRODUTOS!$B$4:$B$63,0))</f>
        <v>1 kg</v>
      </c>
      <c r="D93" s="11" t="s">
        <v>311</v>
      </c>
      <c r="E93" s="15" t="str">
        <f aca="false">$A93&amp;"."&amp;$D93&amp;".jpg"</f>
        <v>7898968541542.PT08.jpg</v>
      </c>
      <c r="F93" s="11" t="str">
        <f aca="false">INDEX('O QUE MOSTRAR'!$B$4:$B$12,MATCH($D93,'O QUE MOSTRAR'!$A$4:$A$12,0))</f>
        <v>Posição 9</v>
      </c>
      <c r="G93" s="11" t="str">
        <f aca="false">IF(INDEX(PRODUTOS!$F$4:$F$63,MATCH($A93,PRODUTOS!$B$4:$B$63,0))="Ração",INDEX('O QUE MOSTRAR'!$C$4:$C$12,MATCH($D93,'O QUE MOSTRAR'!$A$4:$A$12,0)),INDEX('O QUE MOSTRAR'!$D$4:$D$12,MATCH($D93,'O QUE MOSTRAR'!$A$4:$A$12,0)))</f>
        <v>Linha da marca ou embalagem anterior × nova</v>
      </c>
      <c r="H93" s="11" t="str">
        <f aca="false">INDEX('O QUE MOSTRAR'!$E$4:$E$12,MATCH($D93,'O QUE MOSTRAR'!$A$4:$A$12,0))</f>
        <v>2000 × 2000</v>
      </c>
      <c r="I93" s="11" t="str">
        <f aca="false">INDEX('O QUE MOSTRAR'!$F$4:$F$12,MATCH($D93,'O QUE MOSTRAR'!$A$4:$A$12,0))</f>
        <v>Recomendada</v>
      </c>
      <c r="J93" s="13" t="s">
        <v>303</v>
      </c>
      <c r="K93" s="13"/>
    </row>
    <row r="94" customFormat="false" ht="15" hidden="false" customHeight="false" outlineLevel="0" collapsed="false">
      <c r="A94" s="14" t="s">
        <v>79</v>
      </c>
      <c r="B94" s="11" t="str">
        <f aca="false">INDEX(PRODUTOS!$E$4:$E$63,MATCH($A94,PRODUTOS!$B$4:$B$63,0))</f>
        <v>New Dots Ração Seca Premium para Gatos Adultos - 20 kg</v>
      </c>
      <c r="C94" s="11" t="str">
        <f aca="false">INDEX(PRODUTOS!$G$4:$G$63,MATCH($A94,PRODUTOS!$B$4:$B$63,0))</f>
        <v>20 kg</v>
      </c>
      <c r="D94" s="11" t="s">
        <v>302</v>
      </c>
      <c r="E94" s="15" t="str">
        <f aca="false">$A94&amp;"."&amp;$D94&amp;".jpg"</f>
        <v>7898968541597.MAIN.jpg</v>
      </c>
      <c r="F94" s="11" t="str">
        <f aca="false">INDEX('O QUE MOSTRAR'!$B$4:$B$12,MATCH($D94,'O QUE MOSTRAR'!$A$4:$A$12,0))</f>
        <v>Capa (posição 1)</v>
      </c>
      <c r="G94" s="11" t="str">
        <f aca="false">IF(INDEX(PRODUTOS!$F$4:$F$63,MATCH($A94,PRODUTOS!$B$4:$B$63,0))="Ração",INDEX('O QUE MOSTRAR'!$C$4:$C$12,MATCH($D94,'O QUE MOSTRAR'!$A$4:$A$12,0)),INDEX('O QUE MOSTRAR'!$D$4:$D$12,MATCH($D94,'O QUE MOSTRAR'!$A$4:$A$12,0)))</f>
        <v>Embalagem de frente, fundo branco puro, 85% da área, nada adicionado</v>
      </c>
      <c r="H94" s="11" t="str">
        <f aca="false">INDEX('O QUE MOSTRAR'!$E$4:$E$12,MATCH($D94,'O QUE MOSTRAR'!$A$4:$A$12,0))</f>
        <v>2000 × 2000</v>
      </c>
      <c r="I94" s="11" t="str">
        <f aca="false">INDEX('O QUE MOSTRAR'!$F$4:$F$12,MATCH($D94,'O QUE MOSTRAR'!$A$4:$A$12,0))</f>
        <v>SIM</v>
      </c>
      <c r="J94" s="13" t="s">
        <v>303</v>
      </c>
      <c r="K94" s="13"/>
    </row>
    <row r="95" customFormat="false" ht="15" hidden="false" customHeight="false" outlineLevel="0" collapsed="false">
      <c r="A95" s="14" t="s">
        <v>79</v>
      </c>
      <c r="B95" s="11" t="str">
        <f aca="false">INDEX(PRODUTOS!$E$4:$E$63,MATCH($A95,PRODUTOS!$B$4:$B$63,0))</f>
        <v>New Dots Ração Seca Premium para Gatos Adultos - 20 kg</v>
      </c>
      <c r="C95" s="11" t="str">
        <f aca="false">INDEX(PRODUTOS!$G$4:$G$63,MATCH($A95,PRODUTOS!$B$4:$B$63,0))</f>
        <v>20 kg</v>
      </c>
      <c r="D95" s="11" t="s">
        <v>304</v>
      </c>
      <c r="E95" s="15" t="str">
        <f aca="false">$A95&amp;"."&amp;$D95&amp;".jpg"</f>
        <v>7898968541597.PT01.jpg</v>
      </c>
      <c r="F95" s="11" t="str">
        <f aca="false">INDEX('O QUE MOSTRAR'!$B$4:$B$12,MATCH($D95,'O QUE MOSTRAR'!$A$4:$A$12,0))</f>
        <v>Posição 2</v>
      </c>
      <c r="G95" s="11" t="str">
        <f aca="false">IF(INDEX(PRODUTOS!$F$4:$F$63,MATCH($A95,PRODUTOS!$B$4:$B$63,0))="Ração",INDEX('O QUE MOSTRAR'!$C$4:$C$12,MATCH($D95,'O QUE MOSTRAR'!$A$4:$A$12,0)),INDEX('O QUE MOSTRAR'!$D$4:$D$12,MATCH($D95,'O QUE MOSTRAR'!$A$4:$A$12,0)))</f>
        <v>Grande diferencial da linha (número ou promessa forte + grão e ingrediente)</v>
      </c>
      <c r="H95" s="11" t="str">
        <f aca="false">INDEX('O QUE MOSTRAR'!$E$4:$E$12,MATCH($D95,'O QUE MOSTRAR'!$A$4:$A$12,0))</f>
        <v>2000 × 2000</v>
      </c>
      <c r="I95" s="11" t="str">
        <f aca="false">INDEX('O QUE MOSTRAR'!$F$4:$F$12,MATCH($D95,'O QUE MOSTRAR'!$A$4:$A$12,0))</f>
        <v>SIM</v>
      </c>
      <c r="J95" s="13" t="s">
        <v>303</v>
      </c>
      <c r="K95" s="13"/>
    </row>
    <row r="96" customFormat="false" ht="15" hidden="false" customHeight="false" outlineLevel="0" collapsed="false">
      <c r="A96" s="14" t="s">
        <v>79</v>
      </c>
      <c r="B96" s="11" t="str">
        <f aca="false">INDEX(PRODUTOS!$E$4:$E$63,MATCH($A96,PRODUTOS!$B$4:$B$63,0))</f>
        <v>New Dots Ração Seca Premium para Gatos Adultos - 20 kg</v>
      </c>
      <c r="C96" s="11" t="str">
        <f aca="false">INDEX(PRODUTOS!$G$4:$G$63,MATCH($A96,PRODUTOS!$B$4:$B$63,0))</f>
        <v>20 kg</v>
      </c>
      <c r="D96" s="11" t="s">
        <v>305</v>
      </c>
      <c r="E96" s="15" t="str">
        <f aca="false">$A96&amp;"."&amp;$D96&amp;".jpg"</f>
        <v>7898968541597.PT02.jpg</v>
      </c>
      <c r="F96" s="11" t="str">
        <f aca="false">INDEX('O QUE MOSTRAR'!$B$4:$B$12,MATCH($D96,'O QUE MOSTRAR'!$A$4:$A$12,0))</f>
        <v>Posição 3</v>
      </c>
      <c r="G96" s="11" t="str">
        <f aca="false">IF(INDEX(PRODUTOS!$F$4:$F$63,MATCH($A96,PRODUTOS!$B$4:$B$63,0))="Ração",INDEX('O QUE MOSTRAR'!$C$4:$C$12,MATCH($D96,'O QUE MOSTRAR'!$A$4:$A$12,0)),INDEX('O QUE MOSTRAR'!$D$4:$D$12,MATCH($D96,'O QUE MOSTRAR'!$A$4:$A$12,0)))</f>
        <v>Benefícios com ícones (4 a 6, impressos na embalagem) + ingrediente</v>
      </c>
      <c r="H96" s="11" t="str">
        <f aca="false">INDEX('O QUE MOSTRAR'!$E$4:$E$12,MATCH($D96,'O QUE MOSTRAR'!$A$4:$A$12,0))</f>
        <v>2000 × 2000</v>
      </c>
      <c r="I96" s="11" t="str">
        <f aca="false">INDEX('O QUE MOSTRAR'!$F$4:$F$12,MATCH($D96,'O QUE MOSTRAR'!$A$4:$A$12,0))</f>
        <v>SIM</v>
      </c>
      <c r="J96" s="13" t="s">
        <v>303</v>
      </c>
      <c r="K96" s="13"/>
    </row>
    <row r="97" customFormat="false" ht="15" hidden="false" customHeight="false" outlineLevel="0" collapsed="false">
      <c r="A97" s="14" t="s">
        <v>79</v>
      </c>
      <c r="B97" s="11" t="str">
        <f aca="false">INDEX(PRODUTOS!$E$4:$E$63,MATCH($A97,PRODUTOS!$B$4:$B$63,0))</f>
        <v>New Dots Ração Seca Premium para Gatos Adultos - 20 kg</v>
      </c>
      <c r="C97" s="11" t="str">
        <f aca="false">INDEX(PRODUTOS!$G$4:$G$63,MATCH($A97,PRODUTOS!$B$4:$B$63,0))</f>
        <v>20 kg</v>
      </c>
      <c r="D97" s="11" t="s">
        <v>306</v>
      </c>
      <c r="E97" s="15" t="str">
        <f aca="false">$A97&amp;"."&amp;$D97&amp;".jpg"</f>
        <v>7898968541597.PT03.jpg</v>
      </c>
      <c r="F97" s="11" t="str">
        <f aca="false">INDEX('O QUE MOSTRAR'!$B$4:$B$12,MATCH($D97,'O QUE MOSTRAR'!$A$4:$A$12,0))</f>
        <v>Posição 4</v>
      </c>
      <c r="G97" s="11" t="str">
        <f aca="false">IF(INDEX(PRODUTOS!$F$4:$F$63,MATCH($A97,PRODUTOS!$B$4:$B$63,0))="Ração",INDEX('O QUE MOSTRAR'!$C$4:$C$12,MATCH($D97,'O QUE MOSTRAR'!$A$4:$A$12,0)),INDEX('O QUE MOSTRAR'!$D$4:$D$12,MATCH($D97,'O QUE MOSTRAR'!$A$4:$A$12,0)))</f>
        <v>Formato e tamanho do grão, com medida em mm e referência de tamanho</v>
      </c>
      <c r="H97" s="11" t="str">
        <f aca="false">INDEX('O QUE MOSTRAR'!$E$4:$E$12,MATCH($D97,'O QUE MOSTRAR'!$A$4:$A$12,0))</f>
        <v>2000 × 2000</v>
      </c>
      <c r="I97" s="11" t="str">
        <f aca="false">INDEX('O QUE MOSTRAR'!$F$4:$F$12,MATCH($D97,'O QUE MOSTRAR'!$A$4:$A$12,0))</f>
        <v>SIM</v>
      </c>
      <c r="J97" s="13" t="s">
        <v>303</v>
      </c>
      <c r="K97" s="13"/>
    </row>
    <row r="98" customFormat="false" ht="15" hidden="false" customHeight="false" outlineLevel="0" collapsed="false">
      <c r="A98" s="14" t="s">
        <v>79</v>
      </c>
      <c r="B98" s="11" t="str">
        <f aca="false">INDEX(PRODUTOS!$E$4:$E$63,MATCH($A98,PRODUTOS!$B$4:$B$63,0))</f>
        <v>New Dots Ração Seca Premium para Gatos Adultos - 20 kg</v>
      </c>
      <c r="C98" s="11" t="str">
        <f aca="false">INDEX(PRODUTOS!$G$4:$G$63,MATCH($A98,PRODUTOS!$B$4:$B$63,0))</f>
        <v>20 kg</v>
      </c>
      <c r="D98" s="11" t="s">
        <v>307</v>
      </c>
      <c r="E98" s="15" t="str">
        <f aca="false">$A98&amp;"."&amp;$D98&amp;".jpg"</f>
        <v>7898968541597.PT04.jpg</v>
      </c>
      <c r="F98" s="11" t="str">
        <f aca="false">INDEX('O QUE MOSTRAR'!$B$4:$B$12,MATCH($D98,'O QUE MOSTRAR'!$A$4:$A$12,0))</f>
        <v>Posição 5</v>
      </c>
      <c r="G98" s="11" t="str">
        <f aca="false">IF(INDEX(PRODUTOS!$F$4:$F$63,MATCH($A98,PRODUTOS!$B$4:$B$63,0))="Ração",INDEX('O QUE MOSTRAR'!$C$4:$C$12,MATCH($D98,'O QUE MOSTRAR'!$A$4:$A$12,0)),INDEX('O QUE MOSTRAR'!$D$4:$D$12,MATCH($D98,'O QUE MOSTRAR'!$A$4:$A$12,0)))</f>
        <v>Quantidade diária por peso do pet (números idênticos à embalagem)</v>
      </c>
      <c r="H98" s="11" t="str">
        <f aca="false">INDEX('O QUE MOSTRAR'!$E$4:$E$12,MATCH($D98,'O QUE MOSTRAR'!$A$4:$A$12,0))</f>
        <v>2000 × 2000</v>
      </c>
      <c r="I98" s="11" t="str">
        <f aca="false">INDEX('O QUE MOSTRAR'!$F$4:$F$12,MATCH($D98,'O QUE MOSTRAR'!$A$4:$A$12,0))</f>
        <v>SIM</v>
      </c>
      <c r="J98" s="13" t="s">
        <v>303</v>
      </c>
      <c r="K98" s="13"/>
    </row>
    <row r="99" customFormat="false" ht="15" hidden="false" customHeight="false" outlineLevel="0" collapsed="false">
      <c r="A99" s="14" t="s">
        <v>79</v>
      </c>
      <c r="B99" s="11" t="str">
        <f aca="false">INDEX(PRODUTOS!$E$4:$E$63,MATCH($A99,PRODUTOS!$B$4:$B$63,0))</f>
        <v>New Dots Ração Seca Premium para Gatos Adultos - 20 kg</v>
      </c>
      <c r="C99" s="11" t="str">
        <f aca="false">INDEX(PRODUTOS!$G$4:$G$63,MATCH($A99,PRODUTOS!$B$4:$B$63,0))</f>
        <v>20 kg</v>
      </c>
      <c r="D99" s="11" t="s">
        <v>308</v>
      </c>
      <c r="E99" s="15" t="str">
        <f aca="false">$A99&amp;"."&amp;$D99&amp;".jpg"</f>
        <v>7898968541597.PT05.jpg</v>
      </c>
      <c r="F99" s="11" t="str">
        <f aca="false">INDEX('O QUE MOSTRAR'!$B$4:$B$12,MATCH($D99,'O QUE MOSTRAR'!$A$4:$A$12,0))</f>
        <v>Posição 6</v>
      </c>
      <c r="G99" s="11" t="str">
        <f aca="false">IF(INDEX(PRODUTOS!$F$4:$F$63,MATCH($A99,PRODUTOS!$B$4:$B$63,0))="Ração",INDEX('O QUE MOSTRAR'!$C$4:$C$12,MATCH($D99,'O QUE MOSTRAR'!$A$4:$A$12,0)),INDEX('O QUE MOSTRAR'!$D$4:$D$12,MATCH($D99,'O QUE MOSTRAR'!$A$4:$A$12,0)))</f>
        <v>Transição alimentar dia a dia (igual ao verso da embalagem)</v>
      </c>
      <c r="H99" s="11" t="str">
        <f aca="false">INDEX('O QUE MOSTRAR'!$E$4:$E$12,MATCH($D99,'O QUE MOSTRAR'!$A$4:$A$12,0))</f>
        <v>2000 × 2000</v>
      </c>
      <c r="I99" s="11" t="str">
        <f aca="false">INDEX('O QUE MOSTRAR'!$F$4:$F$12,MATCH($D99,'O QUE MOSTRAR'!$A$4:$A$12,0))</f>
        <v>Recomendada</v>
      </c>
      <c r="J99" s="13" t="s">
        <v>303</v>
      </c>
      <c r="K99" s="13"/>
    </row>
    <row r="100" customFormat="false" ht="15" hidden="false" customHeight="false" outlineLevel="0" collapsed="false">
      <c r="A100" s="14" t="s">
        <v>79</v>
      </c>
      <c r="B100" s="11" t="str">
        <f aca="false">INDEX(PRODUTOS!$E$4:$E$63,MATCH($A100,PRODUTOS!$B$4:$B$63,0))</f>
        <v>New Dots Ração Seca Premium para Gatos Adultos - 20 kg</v>
      </c>
      <c r="C100" s="11" t="str">
        <f aca="false">INDEX(PRODUTOS!$G$4:$G$63,MATCH($A100,PRODUTOS!$B$4:$B$63,0))</f>
        <v>20 kg</v>
      </c>
      <c r="D100" s="11" t="s">
        <v>309</v>
      </c>
      <c r="E100" s="15" t="str">
        <f aca="false">$A100&amp;"."&amp;$D100&amp;".jpg"</f>
        <v>7898968541597.PT06.jpg</v>
      </c>
      <c r="F100" s="11" t="str">
        <f aca="false">INDEX('O QUE MOSTRAR'!$B$4:$B$12,MATCH($D100,'O QUE MOSTRAR'!$A$4:$A$12,0))</f>
        <v>Posição 7</v>
      </c>
      <c r="G100" s="11" t="str">
        <f aca="false">IF(INDEX(PRODUTOS!$F$4:$F$63,MATCH($A100,PRODUTOS!$B$4:$B$63,0))="Ração",INDEX('O QUE MOSTRAR'!$C$4:$C$12,MATCH($D100,'O QUE MOSTRAR'!$A$4:$A$12,0)),INDEX('O QUE MOSTRAR'!$D$4:$D$12,MATCH($D100,'O QUE MOSTRAR'!$A$4:$A$12,0)))</f>
        <v>Composição e níveis de garantia em letra grande</v>
      </c>
      <c r="H100" s="11" t="str">
        <f aca="false">INDEX('O QUE MOSTRAR'!$E$4:$E$12,MATCH($D100,'O QUE MOSTRAR'!$A$4:$A$12,0))</f>
        <v>2000 × 2000</v>
      </c>
      <c r="I100" s="11" t="str">
        <f aca="false">INDEX('O QUE MOSTRAR'!$F$4:$F$12,MATCH($D100,'O QUE MOSTRAR'!$A$4:$A$12,0))</f>
        <v>SIM</v>
      </c>
      <c r="J100" s="13" t="s">
        <v>303</v>
      </c>
      <c r="K100" s="13"/>
    </row>
    <row r="101" customFormat="false" ht="15" hidden="false" customHeight="false" outlineLevel="0" collapsed="false">
      <c r="A101" s="14" t="s">
        <v>79</v>
      </c>
      <c r="B101" s="11" t="str">
        <f aca="false">INDEX(PRODUTOS!$E$4:$E$63,MATCH($A101,PRODUTOS!$B$4:$B$63,0))</f>
        <v>New Dots Ração Seca Premium para Gatos Adultos - 20 kg</v>
      </c>
      <c r="C101" s="11" t="str">
        <f aca="false">INDEX(PRODUTOS!$G$4:$G$63,MATCH($A101,PRODUTOS!$B$4:$B$63,0))</f>
        <v>20 kg</v>
      </c>
      <c r="D101" s="11" t="s">
        <v>310</v>
      </c>
      <c r="E101" s="15" t="str">
        <f aca="false">$A101&amp;"."&amp;$D101&amp;".jpg"</f>
        <v>7898968541597.PT07.jpg</v>
      </c>
      <c r="F101" s="11" t="str">
        <f aca="false">INDEX('O QUE MOSTRAR'!$B$4:$B$12,MATCH($D101,'O QUE MOSTRAR'!$A$4:$A$12,0))</f>
        <v>Posição 8</v>
      </c>
      <c r="G101" s="11" t="str">
        <f aca="false">IF(INDEX(PRODUTOS!$F$4:$F$63,MATCH($A101,PRODUTOS!$B$4:$B$63,0))="Ração",INDEX('O QUE MOSTRAR'!$C$4:$C$12,MATCH($D101,'O QUE MOSTRAR'!$A$4:$A$12,0)),INDEX('O QUE MOSTRAR'!$D$4:$D$12,MATCH($D101,'O QUE MOSTRAR'!$A$4:$A$12,0)))</f>
        <v>Emocional / momento de uso (pet do porte certo, pote cheio)</v>
      </c>
      <c r="H101" s="11" t="str">
        <f aca="false">INDEX('O QUE MOSTRAR'!$E$4:$E$12,MATCH($D101,'O QUE MOSTRAR'!$A$4:$A$12,0))</f>
        <v>2000 × 2000</v>
      </c>
      <c r="I101" s="11" t="str">
        <f aca="false">INDEX('O QUE MOSTRAR'!$F$4:$F$12,MATCH($D101,'O QUE MOSTRAR'!$A$4:$A$12,0))</f>
        <v>Recomendada</v>
      </c>
      <c r="J101" s="13" t="s">
        <v>303</v>
      </c>
      <c r="K101" s="13"/>
    </row>
    <row r="102" customFormat="false" ht="15" hidden="false" customHeight="false" outlineLevel="0" collapsed="false">
      <c r="A102" s="14" t="s">
        <v>79</v>
      </c>
      <c r="B102" s="11" t="str">
        <f aca="false">INDEX(PRODUTOS!$E$4:$E$63,MATCH($A102,PRODUTOS!$B$4:$B$63,0))</f>
        <v>New Dots Ração Seca Premium para Gatos Adultos - 20 kg</v>
      </c>
      <c r="C102" s="11" t="str">
        <f aca="false">INDEX(PRODUTOS!$G$4:$G$63,MATCH($A102,PRODUTOS!$B$4:$B$63,0))</f>
        <v>20 kg</v>
      </c>
      <c r="D102" s="11" t="s">
        <v>311</v>
      </c>
      <c r="E102" s="15" t="str">
        <f aca="false">$A102&amp;"."&amp;$D102&amp;".jpg"</f>
        <v>7898968541597.PT08.jpg</v>
      </c>
      <c r="F102" s="11" t="str">
        <f aca="false">INDEX('O QUE MOSTRAR'!$B$4:$B$12,MATCH($D102,'O QUE MOSTRAR'!$A$4:$A$12,0))</f>
        <v>Posição 9</v>
      </c>
      <c r="G102" s="11" t="str">
        <f aca="false">IF(INDEX(PRODUTOS!$F$4:$F$63,MATCH($A102,PRODUTOS!$B$4:$B$63,0))="Ração",INDEX('O QUE MOSTRAR'!$C$4:$C$12,MATCH($D102,'O QUE MOSTRAR'!$A$4:$A$12,0)),INDEX('O QUE MOSTRAR'!$D$4:$D$12,MATCH($D102,'O QUE MOSTRAR'!$A$4:$A$12,0)))</f>
        <v>Linha da marca ou embalagem anterior × nova</v>
      </c>
      <c r="H102" s="11" t="str">
        <f aca="false">INDEX('O QUE MOSTRAR'!$E$4:$E$12,MATCH($D102,'O QUE MOSTRAR'!$A$4:$A$12,0))</f>
        <v>2000 × 2000</v>
      </c>
      <c r="I102" s="11" t="str">
        <f aca="false">INDEX('O QUE MOSTRAR'!$F$4:$F$12,MATCH($D102,'O QUE MOSTRAR'!$A$4:$A$12,0))</f>
        <v>Recomendada</v>
      </c>
      <c r="J102" s="13" t="s">
        <v>303</v>
      </c>
      <c r="K102" s="13"/>
    </row>
    <row r="103" customFormat="false" ht="15" hidden="false" customHeight="false" outlineLevel="0" collapsed="false">
      <c r="A103" s="14" t="s">
        <v>82</v>
      </c>
      <c r="B103" s="11" t="str">
        <f aca="false">INDEX(PRODUTOS!$E$4:$E$63,MATCH($A103,PRODUTOS!$B$4:$B$63,0))</f>
        <v>New Dots Ração Seca Premium para Gatos Adultos - 1 kg</v>
      </c>
      <c r="C103" s="11" t="str">
        <f aca="false">INDEX(PRODUTOS!$G$4:$G$63,MATCH($A103,PRODUTOS!$B$4:$B$63,0))</f>
        <v>1 kg</v>
      </c>
      <c r="D103" s="11" t="s">
        <v>302</v>
      </c>
      <c r="E103" s="15" t="str">
        <f aca="false">$A103&amp;"."&amp;$D103&amp;".jpg"</f>
        <v>7898968541573.MAIN.jpg</v>
      </c>
      <c r="F103" s="11" t="str">
        <f aca="false">INDEX('O QUE MOSTRAR'!$B$4:$B$12,MATCH($D103,'O QUE MOSTRAR'!$A$4:$A$12,0))</f>
        <v>Capa (posição 1)</v>
      </c>
      <c r="G103" s="11" t="str">
        <f aca="false">IF(INDEX(PRODUTOS!$F$4:$F$63,MATCH($A103,PRODUTOS!$B$4:$B$63,0))="Ração",INDEX('O QUE MOSTRAR'!$C$4:$C$12,MATCH($D103,'O QUE MOSTRAR'!$A$4:$A$12,0)),INDEX('O QUE MOSTRAR'!$D$4:$D$12,MATCH($D103,'O QUE MOSTRAR'!$A$4:$A$12,0)))</f>
        <v>Embalagem de frente, fundo branco puro, 85% da área, nada adicionado</v>
      </c>
      <c r="H103" s="11" t="str">
        <f aca="false">INDEX('O QUE MOSTRAR'!$E$4:$E$12,MATCH($D103,'O QUE MOSTRAR'!$A$4:$A$12,0))</f>
        <v>2000 × 2000</v>
      </c>
      <c r="I103" s="11" t="str">
        <f aca="false">INDEX('O QUE MOSTRAR'!$F$4:$F$12,MATCH($D103,'O QUE MOSTRAR'!$A$4:$A$12,0))</f>
        <v>SIM</v>
      </c>
      <c r="J103" s="13" t="s">
        <v>303</v>
      </c>
      <c r="K103" s="13"/>
    </row>
    <row r="104" customFormat="false" ht="15" hidden="false" customHeight="false" outlineLevel="0" collapsed="false">
      <c r="A104" s="14" t="s">
        <v>82</v>
      </c>
      <c r="B104" s="11" t="str">
        <f aca="false">INDEX(PRODUTOS!$E$4:$E$63,MATCH($A104,PRODUTOS!$B$4:$B$63,0))</f>
        <v>New Dots Ração Seca Premium para Gatos Adultos - 1 kg</v>
      </c>
      <c r="C104" s="11" t="str">
        <f aca="false">INDEX(PRODUTOS!$G$4:$G$63,MATCH($A104,PRODUTOS!$B$4:$B$63,0))</f>
        <v>1 kg</v>
      </c>
      <c r="D104" s="11" t="s">
        <v>304</v>
      </c>
      <c r="E104" s="15" t="str">
        <f aca="false">$A104&amp;"."&amp;$D104&amp;".jpg"</f>
        <v>7898968541573.PT01.jpg</v>
      </c>
      <c r="F104" s="11" t="str">
        <f aca="false">INDEX('O QUE MOSTRAR'!$B$4:$B$12,MATCH($D104,'O QUE MOSTRAR'!$A$4:$A$12,0))</f>
        <v>Posição 2</v>
      </c>
      <c r="G104" s="11" t="str">
        <f aca="false">IF(INDEX(PRODUTOS!$F$4:$F$63,MATCH($A104,PRODUTOS!$B$4:$B$63,0))="Ração",INDEX('O QUE MOSTRAR'!$C$4:$C$12,MATCH($D104,'O QUE MOSTRAR'!$A$4:$A$12,0)),INDEX('O QUE MOSTRAR'!$D$4:$D$12,MATCH($D104,'O QUE MOSTRAR'!$A$4:$A$12,0)))</f>
        <v>Grande diferencial da linha (número ou promessa forte + grão e ingrediente)</v>
      </c>
      <c r="H104" s="11" t="str">
        <f aca="false">INDEX('O QUE MOSTRAR'!$E$4:$E$12,MATCH($D104,'O QUE MOSTRAR'!$A$4:$A$12,0))</f>
        <v>2000 × 2000</v>
      </c>
      <c r="I104" s="11" t="str">
        <f aca="false">INDEX('O QUE MOSTRAR'!$F$4:$F$12,MATCH($D104,'O QUE MOSTRAR'!$A$4:$A$12,0))</f>
        <v>SIM</v>
      </c>
      <c r="J104" s="13" t="s">
        <v>303</v>
      </c>
      <c r="K104" s="13"/>
    </row>
    <row r="105" customFormat="false" ht="15" hidden="false" customHeight="false" outlineLevel="0" collapsed="false">
      <c r="A105" s="14" t="s">
        <v>82</v>
      </c>
      <c r="B105" s="11" t="str">
        <f aca="false">INDEX(PRODUTOS!$E$4:$E$63,MATCH($A105,PRODUTOS!$B$4:$B$63,0))</f>
        <v>New Dots Ração Seca Premium para Gatos Adultos - 1 kg</v>
      </c>
      <c r="C105" s="11" t="str">
        <f aca="false">INDEX(PRODUTOS!$G$4:$G$63,MATCH($A105,PRODUTOS!$B$4:$B$63,0))</f>
        <v>1 kg</v>
      </c>
      <c r="D105" s="11" t="s">
        <v>305</v>
      </c>
      <c r="E105" s="15" t="str">
        <f aca="false">$A105&amp;"."&amp;$D105&amp;".jpg"</f>
        <v>7898968541573.PT02.jpg</v>
      </c>
      <c r="F105" s="11" t="str">
        <f aca="false">INDEX('O QUE MOSTRAR'!$B$4:$B$12,MATCH($D105,'O QUE MOSTRAR'!$A$4:$A$12,0))</f>
        <v>Posição 3</v>
      </c>
      <c r="G105" s="11" t="str">
        <f aca="false">IF(INDEX(PRODUTOS!$F$4:$F$63,MATCH($A105,PRODUTOS!$B$4:$B$63,0))="Ração",INDEX('O QUE MOSTRAR'!$C$4:$C$12,MATCH($D105,'O QUE MOSTRAR'!$A$4:$A$12,0)),INDEX('O QUE MOSTRAR'!$D$4:$D$12,MATCH($D105,'O QUE MOSTRAR'!$A$4:$A$12,0)))</f>
        <v>Benefícios com ícones (4 a 6, impressos na embalagem) + ingrediente</v>
      </c>
      <c r="H105" s="11" t="str">
        <f aca="false">INDEX('O QUE MOSTRAR'!$E$4:$E$12,MATCH($D105,'O QUE MOSTRAR'!$A$4:$A$12,0))</f>
        <v>2000 × 2000</v>
      </c>
      <c r="I105" s="11" t="str">
        <f aca="false">INDEX('O QUE MOSTRAR'!$F$4:$F$12,MATCH($D105,'O QUE MOSTRAR'!$A$4:$A$12,0))</f>
        <v>SIM</v>
      </c>
      <c r="J105" s="13" t="s">
        <v>303</v>
      </c>
      <c r="K105" s="13"/>
    </row>
    <row r="106" customFormat="false" ht="15" hidden="false" customHeight="false" outlineLevel="0" collapsed="false">
      <c r="A106" s="14" t="s">
        <v>82</v>
      </c>
      <c r="B106" s="11" t="str">
        <f aca="false">INDEX(PRODUTOS!$E$4:$E$63,MATCH($A106,PRODUTOS!$B$4:$B$63,0))</f>
        <v>New Dots Ração Seca Premium para Gatos Adultos - 1 kg</v>
      </c>
      <c r="C106" s="11" t="str">
        <f aca="false">INDEX(PRODUTOS!$G$4:$G$63,MATCH($A106,PRODUTOS!$B$4:$B$63,0))</f>
        <v>1 kg</v>
      </c>
      <c r="D106" s="11" t="s">
        <v>306</v>
      </c>
      <c r="E106" s="15" t="str">
        <f aca="false">$A106&amp;"."&amp;$D106&amp;".jpg"</f>
        <v>7898968541573.PT03.jpg</v>
      </c>
      <c r="F106" s="11" t="str">
        <f aca="false">INDEX('O QUE MOSTRAR'!$B$4:$B$12,MATCH($D106,'O QUE MOSTRAR'!$A$4:$A$12,0))</f>
        <v>Posição 4</v>
      </c>
      <c r="G106" s="11" t="str">
        <f aca="false">IF(INDEX(PRODUTOS!$F$4:$F$63,MATCH($A106,PRODUTOS!$B$4:$B$63,0))="Ração",INDEX('O QUE MOSTRAR'!$C$4:$C$12,MATCH($D106,'O QUE MOSTRAR'!$A$4:$A$12,0)),INDEX('O QUE MOSTRAR'!$D$4:$D$12,MATCH($D106,'O QUE MOSTRAR'!$A$4:$A$12,0)))</f>
        <v>Formato e tamanho do grão, com medida em mm e referência de tamanho</v>
      </c>
      <c r="H106" s="11" t="str">
        <f aca="false">INDEX('O QUE MOSTRAR'!$E$4:$E$12,MATCH($D106,'O QUE MOSTRAR'!$A$4:$A$12,0))</f>
        <v>2000 × 2000</v>
      </c>
      <c r="I106" s="11" t="str">
        <f aca="false">INDEX('O QUE MOSTRAR'!$F$4:$F$12,MATCH($D106,'O QUE MOSTRAR'!$A$4:$A$12,0))</f>
        <v>SIM</v>
      </c>
      <c r="J106" s="13" t="s">
        <v>303</v>
      </c>
      <c r="K106" s="13"/>
    </row>
    <row r="107" customFormat="false" ht="15" hidden="false" customHeight="false" outlineLevel="0" collapsed="false">
      <c r="A107" s="14" t="s">
        <v>82</v>
      </c>
      <c r="B107" s="11" t="str">
        <f aca="false">INDEX(PRODUTOS!$E$4:$E$63,MATCH($A107,PRODUTOS!$B$4:$B$63,0))</f>
        <v>New Dots Ração Seca Premium para Gatos Adultos - 1 kg</v>
      </c>
      <c r="C107" s="11" t="str">
        <f aca="false">INDEX(PRODUTOS!$G$4:$G$63,MATCH($A107,PRODUTOS!$B$4:$B$63,0))</f>
        <v>1 kg</v>
      </c>
      <c r="D107" s="11" t="s">
        <v>307</v>
      </c>
      <c r="E107" s="15" t="str">
        <f aca="false">$A107&amp;"."&amp;$D107&amp;".jpg"</f>
        <v>7898968541573.PT04.jpg</v>
      </c>
      <c r="F107" s="11" t="str">
        <f aca="false">INDEX('O QUE MOSTRAR'!$B$4:$B$12,MATCH($D107,'O QUE MOSTRAR'!$A$4:$A$12,0))</f>
        <v>Posição 5</v>
      </c>
      <c r="G107" s="11" t="str">
        <f aca="false">IF(INDEX(PRODUTOS!$F$4:$F$63,MATCH($A107,PRODUTOS!$B$4:$B$63,0))="Ração",INDEX('O QUE MOSTRAR'!$C$4:$C$12,MATCH($D107,'O QUE MOSTRAR'!$A$4:$A$12,0)),INDEX('O QUE MOSTRAR'!$D$4:$D$12,MATCH($D107,'O QUE MOSTRAR'!$A$4:$A$12,0)))</f>
        <v>Quantidade diária por peso do pet (números idênticos à embalagem)</v>
      </c>
      <c r="H107" s="11" t="str">
        <f aca="false">INDEX('O QUE MOSTRAR'!$E$4:$E$12,MATCH($D107,'O QUE MOSTRAR'!$A$4:$A$12,0))</f>
        <v>2000 × 2000</v>
      </c>
      <c r="I107" s="11" t="str">
        <f aca="false">INDEX('O QUE MOSTRAR'!$F$4:$F$12,MATCH($D107,'O QUE MOSTRAR'!$A$4:$A$12,0))</f>
        <v>SIM</v>
      </c>
      <c r="J107" s="13" t="s">
        <v>303</v>
      </c>
      <c r="K107" s="13"/>
    </row>
    <row r="108" customFormat="false" ht="15" hidden="false" customHeight="false" outlineLevel="0" collapsed="false">
      <c r="A108" s="14" t="s">
        <v>82</v>
      </c>
      <c r="B108" s="11" t="str">
        <f aca="false">INDEX(PRODUTOS!$E$4:$E$63,MATCH($A108,PRODUTOS!$B$4:$B$63,0))</f>
        <v>New Dots Ração Seca Premium para Gatos Adultos - 1 kg</v>
      </c>
      <c r="C108" s="11" t="str">
        <f aca="false">INDEX(PRODUTOS!$G$4:$G$63,MATCH($A108,PRODUTOS!$B$4:$B$63,0))</f>
        <v>1 kg</v>
      </c>
      <c r="D108" s="11" t="s">
        <v>308</v>
      </c>
      <c r="E108" s="15" t="str">
        <f aca="false">$A108&amp;"."&amp;$D108&amp;".jpg"</f>
        <v>7898968541573.PT05.jpg</v>
      </c>
      <c r="F108" s="11" t="str">
        <f aca="false">INDEX('O QUE MOSTRAR'!$B$4:$B$12,MATCH($D108,'O QUE MOSTRAR'!$A$4:$A$12,0))</f>
        <v>Posição 6</v>
      </c>
      <c r="G108" s="11" t="str">
        <f aca="false">IF(INDEX(PRODUTOS!$F$4:$F$63,MATCH($A108,PRODUTOS!$B$4:$B$63,0))="Ração",INDEX('O QUE MOSTRAR'!$C$4:$C$12,MATCH($D108,'O QUE MOSTRAR'!$A$4:$A$12,0)),INDEX('O QUE MOSTRAR'!$D$4:$D$12,MATCH($D108,'O QUE MOSTRAR'!$A$4:$A$12,0)))</f>
        <v>Transição alimentar dia a dia (igual ao verso da embalagem)</v>
      </c>
      <c r="H108" s="11" t="str">
        <f aca="false">INDEX('O QUE MOSTRAR'!$E$4:$E$12,MATCH($D108,'O QUE MOSTRAR'!$A$4:$A$12,0))</f>
        <v>2000 × 2000</v>
      </c>
      <c r="I108" s="11" t="str">
        <f aca="false">INDEX('O QUE MOSTRAR'!$F$4:$F$12,MATCH($D108,'O QUE MOSTRAR'!$A$4:$A$12,0))</f>
        <v>Recomendada</v>
      </c>
      <c r="J108" s="13" t="s">
        <v>303</v>
      </c>
      <c r="K108" s="13"/>
    </row>
    <row r="109" customFormat="false" ht="15" hidden="false" customHeight="false" outlineLevel="0" collapsed="false">
      <c r="A109" s="14" t="s">
        <v>82</v>
      </c>
      <c r="B109" s="11" t="str">
        <f aca="false">INDEX(PRODUTOS!$E$4:$E$63,MATCH($A109,PRODUTOS!$B$4:$B$63,0))</f>
        <v>New Dots Ração Seca Premium para Gatos Adultos - 1 kg</v>
      </c>
      <c r="C109" s="11" t="str">
        <f aca="false">INDEX(PRODUTOS!$G$4:$G$63,MATCH($A109,PRODUTOS!$B$4:$B$63,0))</f>
        <v>1 kg</v>
      </c>
      <c r="D109" s="11" t="s">
        <v>309</v>
      </c>
      <c r="E109" s="15" t="str">
        <f aca="false">$A109&amp;"."&amp;$D109&amp;".jpg"</f>
        <v>7898968541573.PT06.jpg</v>
      </c>
      <c r="F109" s="11" t="str">
        <f aca="false">INDEX('O QUE MOSTRAR'!$B$4:$B$12,MATCH($D109,'O QUE MOSTRAR'!$A$4:$A$12,0))</f>
        <v>Posição 7</v>
      </c>
      <c r="G109" s="11" t="str">
        <f aca="false">IF(INDEX(PRODUTOS!$F$4:$F$63,MATCH($A109,PRODUTOS!$B$4:$B$63,0))="Ração",INDEX('O QUE MOSTRAR'!$C$4:$C$12,MATCH($D109,'O QUE MOSTRAR'!$A$4:$A$12,0)),INDEX('O QUE MOSTRAR'!$D$4:$D$12,MATCH($D109,'O QUE MOSTRAR'!$A$4:$A$12,0)))</f>
        <v>Composição e níveis de garantia em letra grande</v>
      </c>
      <c r="H109" s="11" t="str">
        <f aca="false">INDEX('O QUE MOSTRAR'!$E$4:$E$12,MATCH($D109,'O QUE MOSTRAR'!$A$4:$A$12,0))</f>
        <v>2000 × 2000</v>
      </c>
      <c r="I109" s="11" t="str">
        <f aca="false">INDEX('O QUE MOSTRAR'!$F$4:$F$12,MATCH($D109,'O QUE MOSTRAR'!$A$4:$A$12,0))</f>
        <v>SIM</v>
      </c>
      <c r="J109" s="13" t="s">
        <v>303</v>
      </c>
      <c r="K109" s="13"/>
    </row>
    <row r="110" customFormat="false" ht="15" hidden="false" customHeight="false" outlineLevel="0" collapsed="false">
      <c r="A110" s="14" t="s">
        <v>82</v>
      </c>
      <c r="B110" s="11" t="str">
        <f aca="false">INDEX(PRODUTOS!$E$4:$E$63,MATCH($A110,PRODUTOS!$B$4:$B$63,0))</f>
        <v>New Dots Ração Seca Premium para Gatos Adultos - 1 kg</v>
      </c>
      <c r="C110" s="11" t="str">
        <f aca="false">INDEX(PRODUTOS!$G$4:$G$63,MATCH($A110,PRODUTOS!$B$4:$B$63,0))</f>
        <v>1 kg</v>
      </c>
      <c r="D110" s="11" t="s">
        <v>310</v>
      </c>
      <c r="E110" s="15" t="str">
        <f aca="false">$A110&amp;"."&amp;$D110&amp;".jpg"</f>
        <v>7898968541573.PT07.jpg</v>
      </c>
      <c r="F110" s="11" t="str">
        <f aca="false">INDEX('O QUE MOSTRAR'!$B$4:$B$12,MATCH($D110,'O QUE MOSTRAR'!$A$4:$A$12,0))</f>
        <v>Posição 8</v>
      </c>
      <c r="G110" s="11" t="str">
        <f aca="false">IF(INDEX(PRODUTOS!$F$4:$F$63,MATCH($A110,PRODUTOS!$B$4:$B$63,0))="Ração",INDEX('O QUE MOSTRAR'!$C$4:$C$12,MATCH($D110,'O QUE MOSTRAR'!$A$4:$A$12,0)),INDEX('O QUE MOSTRAR'!$D$4:$D$12,MATCH($D110,'O QUE MOSTRAR'!$A$4:$A$12,0)))</f>
        <v>Emocional / momento de uso (pet do porte certo, pote cheio)</v>
      </c>
      <c r="H110" s="11" t="str">
        <f aca="false">INDEX('O QUE MOSTRAR'!$E$4:$E$12,MATCH($D110,'O QUE MOSTRAR'!$A$4:$A$12,0))</f>
        <v>2000 × 2000</v>
      </c>
      <c r="I110" s="11" t="str">
        <f aca="false">INDEX('O QUE MOSTRAR'!$F$4:$F$12,MATCH($D110,'O QUE MOSTRAR'!$A$4:$A$12,0))</f>
        <v>Recomendada</v>
      </c>
      <c r="J110" s="13" t="s">
        <v>303</v>
      </c>
      <c r="K110" s="13"/>
    </row>
    <row r="111" customFormat="false" ht="15" hidden="false" customHeight="false" outlineLevel="0" collapsed="false">
      <c r="A111" s="14" t="s">
        <v>82</v>
      </c>
      <c r="B111" s="11" t="str">
        <f aca="false">INDEX(PRODUTOS!$E$4:$E$63,MATCH($A111,PRODUTOS!$B$4:$B$63,0))</f>
        <v>New Dots Ração Seca Premium para Gatos Adultos - 1 kg</v>
      </c>
      <c r="C111" s="11" t="str">
        <f aca="false">INDEX(PRODUTOS!$G$4:$G$63,MATCH($A111,PRODUTOS!$B$4:$B$63,0))</f>
        <v>1 kg</v>
      </c>
      <c r="D111" s="11" t="s">
        <v>311</v>
      </c>
      <c r="E111" s="15" t="str">
        <f aca="false">$A111&amp;"."&amp;$D111&amp;".jpg"</f>
        <v>7898968541573.PT08.jpg</v>
      </c>
      <c r="F111" s="11" t="str">
        <f aca="false">INDEX('O QUE MOSTRAR'!$B$4:$B$12,MATCH($D111,'O QUE MOSTRAR'!$A$4:$A$12,0))</f>
        <v>Posição 9</v>
      </c>
      <c r="G111" s="11" t="str">
        <f aca="false">IF(INDEX(PRODUTOS!$F$4:$F$63,MATCH($A111,PRODUTOS!$B$4:$B$63,0))="Ração",INDEX('O QUE MOSTRAR'!$C$4:$C$12,MATCH($D111,'O QUE MOSTRAR'!$A$4:$A$12,0)),INDEX('O QUE MOSTRAR'!$D$4:$D$12,MATCH($D111,'O QUE MOSTRAR'!$A$4:$A$12,0)))</f>
        <v>Linha da marca ou embalagem anterior × nova</v>
      </c>
      <c r="H111" s="11" t="str">
        <f aca="false">INDEX('O QUE MOSTRAR'!$E$4:$E$12,MATCH($D111,'O QUE MOSTRAR'!$A$4:$A$12,0))</f>
        <v>2000 × 2000</v>
      </c>
      <c r="I111" s="11" t="str">
        <f aca="false">INDEX('O QUE MOSTRAR'!$F$4:$F$12,MATCH($D111,'O QUE MOSTRAR'!$A$4:$A$12,0))</f>
        <v>Recomendada</v>
      </c>
      <c r="J111" s="13" t="s">
        <v>303</v>
      </c>
      <c r="K111" s="13"/>
    </row>
    <row r="112" customFormat="false" ht="15" hidden="false" customHeight="false" outlineLevel="0" collapsed="false">
      <c r="A112" s="14" t="s">
        <v>85</v>
      </c>
      <c r="B112" s="11" t="str">
        <f aca="false">INDEX(PRODUTOS!$E$4:$E$63,MATCH($A112,PRODUTOS!$B$4:$B$63,0))</f>
        <v>New Dots Ração Seca Premium para Gatos Adultos Castrados - 20 kg</v>
      </c>
      <c r="C112" s="11" t="str">
        <f aca="false">INDEX(PRODUTOS!$G$4:$G$63,MATCH($A112,PRODUTOS!$B$4:$B$63,0))</f>
        <v>20 kg</v>
      </c>
      <c r="D112" s="11" t="s">
        <v>302</v>
      </c>
      <c r="E112" s="15" t="str">
        <f aca="false">$A112&amp;"."&amp;$D112&amp;".jpg"</f>
        <v>7908591300666.MAIN.jpg</v>
      </c>
      <c r="F112" s="11" t="str">
        <f aca="false">INDEX('O QUE MOSTRAR'!$B$4:$B$12,MATCH($D112,'O QUE MOSTRAR'!$A$4:$A$12,0))</f>
        <v>Capa (posição 1)</v>
      </c>
      <c r="G112" s="11" t="str">
        <f aca="false">IF(INDEX(PRODUTOS!$F$4:$F$63,MATCH($A112,PRODUTOS!$B$4:$B$63,0))="Ração",INDEX('O QUE MOSTRAR'!$C$4:$C$12,MATCH($D112,'O QUE MOSTRAR'!$A$4:$A$12,0)),INDEX('O QUE MOSTRAR'!$D$4:$D$12,MATCH($D112,'O QUE MOSTRAR'!$A$4:$A$12,0)))</f>
        <v>Embalagem de frente, fundo branco puro, 85% da área, nada adicionado</v>
      </c>
      <c r="H112" s="11" t="str">
        <f aca="false">INDEX('O QUE MOSTRAR'!$E$4:$E$12,MATCH($D112,'O QUE MOSTRAR'!$A$4:$A$12,0))</f>
        <v>2000 × 2000</v>
      </c>
      <c r="I112" s="11" t="str">
        <f aca="false">INDEX('O QUE MOSTRAR'!$F$4:$F$12,MATCH($D112,'O QUE MOSTRAR'!$A$4:$A$12,0))</f>
        <v>SIM</v>
      </c>
      <c r="J112" s="13" t="s">
        <v>303</v>
      </c>
      <c r="K112" s="13"/>
    </row>
    <row r="113" customFormat="false" ht="15" hidden="false" customHeight="false" outlineLevel="0" collapsed="false">
      <c r="A113" s="14" t="s">
        <v>85</v>
      </c>
      <c r="B113" s="11" t="str">
        <f aca="false">INDEX(PRODUTOS!$E$4:$E$63,MATCH($A113,PRODUTOS!$B$4:$B$63,0))</f>
        <v>New Dots Ração Seca Premium para Gatos Adultos Castrados - 20 kg</v>
      </c>
      <c r="C113" s="11" t="str">
        <f aca="false">INDEX(PRODUTOS!$G$4:$G$63,MATCH($A113,PRODUTOS!$B$4:$B$63,0))</f>
        <v>20 kg</v>
      </c>
      <c r="D113" s="11" t="s">
        <v>304</v>
      </c>
      <c r="E113" s="15" t="str">
        <f aca="false">$A113&amp;"."&amp;$D113&amp;".jpg"</f>
        <v>7908591300666.PT01.jpg</v>
      </c>
      <c r="F113" s="11" t="str">
        <f aca="false">INDEX('O QUE MOSTRAR'!$B$4:$B$12,MATCH($D113,'O QUE MOSTRAR'!$A$4:$A$12,0))</f>
        <v>Posição 2</v>
      </c>
      <c r="G113" s="11" t="str">
        <f aca="false">IF(INDEX(PRODUTOS!$F$4:$F$63,MATCH($A113,PRODUTOS!$B$4:$B$63,0))="Ração",INDEX('O QUE MOSTRAR'!$C$4:$C$12,MATCH($D113,'O QUE MOSTRAR'!$A$4:$A$12,0)),INDEX('O QUE MOSTRAR'!$D$4:$D$12,MATCH($D113,'O QUE MOSTRAR'!$A$4:$A$12,0)))</f>
        <v>Grande diferencial da linha (número ou promessa forte + grão e ingrediente)</v>
      </c>
      <c r="H113" s="11" t="str">
        <f aca="false">INDEX('O QUE MOSTRAR'!$E$4:$E$12,MATCH($D113,'O QUE MOSTRAR'!$A$4:$A$12,0))</f>
        <v>2000 × 2000</v>
      </c>
      <c r="I113" s="11" t="str">
        <f aca="false">INDEX('O QUE MOSTRAR'!$F$4:$F$12,MATCH($D113,'O QUE MOSTRAR'!$A$4:$A$12,0))</f>
        <v>SIM</v>
      </c>
      <c r="J113" s="13" t="s">
        <v>303</v>
      </c>
      <c r="K113" s="13"/>
    </row>
    <row r="114" customFormat="false" ht="15" hidden="false" customHeight="false" outlineLevel="0" collapsed="false">
      <c r="A114" s="14" t="s">
        <v>85</v>
      </c>
      <c r="B114" s="11" t="str">
        <f aca="false">INDEX(PRODUTOS!$E$4:$E$63,MATCH($A114,PRODUTOS!$B$4:$B$63,0))</f>
        <v>New Dots Ração Seca Premium para Gatos Adultos Castrados - 20 kg</v>
      </c>
      <c r="C114" s="11" t="str">
        <f aca="false">INDEX(PRODUTOS!$G$4:$G$63,MATCH($A114,PRODUTOS!$B$4:$B$63,0))</f>
        <v>20 kg</v>
      </c>
      <c r="D114" s="11" t="s">
        <v>305</v>
      </c>
      <c r="E114" s="15" t="str">
        <f aca="false">$A114&amp;"."&amp;$D114&amp;".jpg"</f>
        <v>7908591300666.PT02.jpg</v>
      </c>
      <c r="F114" s="11" t="str">
        <f aca="false">INDEX('O QUE MOSTRAR'!$B$4:$B$12,MATCH($D114,'O QUE MOSTRAR'!$A$4:$A$12,0))</f>
        <v>Posição 3</v>
      </c>
      <c r="G114" s="11" t="str">
        <f aca="false">IF(INDEX(PRODUTOS!$F$4:$F$63,MATCH($A114,PRODUTOS!$B$4:$B$63,0))="Ração",INDEX('O QUE MOSTRAR'!$C$4:$C$12,MATCH($D114,'O QUE MOSTRAR'!$A$4:$A$12,0)),INDEX('O QUE MOSTRAR'!$D$4:$D$12,MATCH($D114,'O QUE MOSTRAR'!$A$4:$A$12,0)))</f>
        <v>Benefícios com ícones (4 a 6, impressos na embalagem) + ingrediente</v>
      </c>
      <c r="H114" s="11" t="str">
        <f aca="false">INDEX('O QUE MOSTRAR'!$E$4:$E$12,MATCH($D114,'O QUE MOSTRAR'!$A$4:$A$12,0))</f>
        <v>2000 × 2000</v>
      </c>
      <c r="I114" s="11" t="str">
        <f aca="false">INDEX('O QUE MOSTRAR'!$F$4:$F$12,MATCH($D114,'O QUE MOSTRAR'!$A$4:$A$12,0))</f>
        <v>SIM</v>
      </c>
      <c r="J114" s="13" t="s">
        <v>303</v>
      </c>
      <c r="K114" s="13"/>
    </row>
    <row r="115" customFormat="false" ht="15" hidden="false" customHeight="false" outlineLevel="0" collapsed="false">
      <c r="A115" s="14" t="s">
        <v>85</v>
      </c>
      <c r="B115" s="11" t="str">
        <f aca="false">INDEX(PRODUTOS!$E$4:$E$63,MATCH($A115,PRODUTOS!$B$4:$B$63,0))</f>
        <v>New Dots Ração Seca Premium para Gatos Adultos Castrados - 20 kg</v>
      </c>
      <c r="C115" s="11" t="str">
        <f aca="false">INDEX(PRODUTOS!$G$4:$G$63,MATCH($A115,PRODUTOS!$B$4:$B$63,0))</f>
        <v>20 kg</v>
      </c>
      <c r="D115" s="11" t="s">
        <v>306</v>
      </c>
      <c r="E115" s="15" t="str">
        <f aca="false">$A115&amp;"."&amp;$D115&amp;".jpg"</f>
        <v>7908591300666.PT03.jpg</v>
      </c>
      <c r="F115" s="11" t="str">
        <f aca="false">INDEX('O QUE MOSTRAR'!$B$4:$B$12,MATCH($D115,'O QUE MOSTRAR'!$A$4:$A$12,0))</f>
        <v>Posição 4</v>
      </c>
      <c r="G115" s="11" t="str">
        <f aca="false">IF(INDEX(PRODUTOS!$F$4:$F$63,MATCH($A115,PRODUTOS!$B$4:$B$63,0))="Ração",INDEX('O QUE MOSTRAR'!$C$4:$C$12,MATCH($D115,'O QUE MOSTRAR'!$A$4:$A$12,0)),INDEX('O QUE MOSTRAR'!$D$4:$D$12,MATCH($D115,'O QUE MOSTRAR'!$A$4:$A$12,0)))</f>
        <v>Formato e tamanho do grão, com medida em mm e referência de tamanho</v>
      </c>
      <c r="H115" s="11" t="str">
        <f aca="false">INDEX('O QUE MOSTRAR'!$E$4:$E$12,MATCH($D115,'O QUE MOSTRAR'!$A$4:$A$12,0))</f>
        <v>2000 × 2000</v>
      </c>
      <c r="I115" s="11" t="str">
        <f aca="false">INDEX('O QUE MOSTRAR'!$F$4:$F$12,MATCH($D115,'O QUE MOSTRAR'!$A$4:$A$12,0))</f>
        <v>SIM</v>
      </c>
      <c r="J115" s="13" t="s">
        <v>303</v>
      </c>
      <c r="K115" s="13"/>
    </row>
    <row r="116" customFormat="false" ht="15" hidden="false" customHeight="false" outlineLevel="0" collapsed="false">
      <c r="A116" s="14" t="s">
        <v>85</v>
      </c>
      <c r="B116" s="11" t="str">
        <f aca="false">INDEX(PRODUTOS!$E$4:$E$63,MATCH($A116,PRODUTOS!$B$4:$B$63,0))</f>
        <v>New Dots Ração Seca Premium para Gatos Adultos Castrados - 20 kg</v>
      </c>
      <c r="C116" s="11" t="str">
        <f aca="false">INDEX(PRODUTOS!$G$4:$G$63,MATCH($A116,PRODUTOS!$B$4:$B$63,0))</f>
        <v>20 kg</v>
      </c>
      <c r="D116" s="11" t="s">
        <v>307</v>
      </c>
      <c r="E116" s="15" t="str">
        <f aca="false">$A116&amp;"."&amp;$D116&amp;".jpg"</f>
        <v>7908591300666.PT04.jpg</v>
      </c>
      <c r="F116" s="11" t="str">
        <f aca="false">INDEX('O QUE MOSTRAR'!$B$4:$B$12,MATCH($D116,'O QUE MOSTRAR'!$A$4:$A$12,0))</f>
        <v>Posição 5</v>
      </c>
      <c r="G116" s="11" t="str">
        <f aca="false">IF(INDEX(PRODUTOS!$F$4:$F$63,MATCH($A116,PRODUTOS!$B$4:$B$63,0))="Ração",INDEX('O QUE MOSTRAR'!$C$4:$C$12,MATCH($D116,'O QUE MOSTRAR'!$A$4:$A$12,0)),INDEX('O QUE MOSTRAR'!$D$4:$D$12,MATCH($D116,'O QUE MOSTRAR'!$A$4:$A$12,0)))</f>
        <v>Quantidade diária por peso do pet (números idênticos à embalagem)</v>
      </c>
      <c r="H116" s="11" t="str">
        <f aca="false">INDEX('O QUE MOSTRAR'!$E$4:$E$12,MATCH($D116,'O QUE MOSTRAR'!$A$4:$A$12,0))</f>
        <v>2000 × 2000</v>
      </c>
      <c r="I116" s="11" t="str">
        <f aca="false">INDEX('O QUE MOSTRAR'!$F$4:$F$12,MATCH($D116,'O QUE MOSTRAR'!$A$4:$A$12,0))</f>
        <v>SIM</v>
      </c>
      <c r="J116" s="13" t="s">
        <v>303</v>
      </c>
      <c r="K116" s="13"/>
    </row>
    <row r="117" customFormat="false" ht="15" hidden="false" customHeight="false" outlineLevel="0" collapsed="false">
      <c r="A117" s="14" t="s">
        <v>85</v>
      </c>
      <c r="B117" s="11" t="str">
        <f aca="false">INDEX(PRODUTOS!$E$4:$E$63,MATCH($A117,PRODUTOS!$B$4:$B$63,0))</f>
        <v>New Dots Ração Seca Premium para Gatos Adultos Castrados - 20 kg</v>
      </c>
      <c r="C117" s="11" t="str">
        <f aca="false">INDEX(PRODUTOS!$G$4:$G$63,MATCH($A117,PRODUTOS!$B$4:$B$63,0))</f>
        <v>20 kg</v>
      </c>
      <c r="D117" s="11" t="s">
        <v>308</v>
      </c>
      <c r="E117" s="15" t="str">
        <f aca="false">$A117&amp;"."&amp;$D117&amp;".jpg"</f>
        <v>7908591300666.PT05.jpg</v>
      </c>
      <c r="F117" s="11" t="str">
        <f aca="false">INDEX('O QUE MOSTRAR'!$B$4:$B$12,MATCH($D117,'O QUE MOSTRAR'!$A$4:$A$12,0))</f>
        <v>Posição 6</v>
      </c>
      <c r="G117" s="11" t="str">
        <f aca="false">IF(INDEX(PRODUTOS!$F$4:$F$63,MATCH($A117,PRODUTOS!$B$4:$B$63,0))="Ração",INDEX('O QUE MOSTRAR'!$C$4:$C$12,MATCH($D117,'O QUE MOSTRAR'!$A$4:$A$12,0)),INDEX('O QUE MOSTRAR'!$D$4:$D$12,MATCH($D117,'O QUE MOSTRAR'!$A$4:$A$12,0)))</f>
        <v>Transição alimentar dia a dia (igual ao verso da embalagem)</v>
      </c>
      <c r="H117" s="11" t="str">
        <f aca="false">INDEX('O QUE MOSTRAR'!$E$4:$E$12,MATCH($D117,'O QUE MOSTRAR'!$A$4:$A$12,0))</f>
        <v>2000 × 2000</v>
      </c>
      <c r="I117" s="11" t="str">
        <f aca="false">INDEX('O QUE MOSTRAR'!$F$4:$F$12,MATCH($D117,'O QUE MOSTRAR'!$A$4:$A$12,0))</f>
        <v>Recomendada</v>
      </c>
      <c r="J117" s="13" t="s">
        <v>303</v>
      </c>
      <c r="K117" s="13"/>
    </row>
    <row r="118" customFormat="false" ht="15" hidden="false" customHeight="false" outlineLevel="0" collapsed="false">
      <c r="A118" s="14" t="s">
        <v>85</v>
      </c>
      <c r="B118" s="11" t="str">
        <f aca="false">INDEX(PRODUTOS!$E$4:$E$63,MATCH($A118,PRODUTOS!$B$4:$B$63,0))</f>
        <v>New Dots Ração Seca Premium para Gatos Adultos Castrados - 20 kg</v>
      </c>
      <c r="C118" s="11" t="str">
        <f aca="false">INDEX(PRODUTOS!$G$4:$G$63,MATCH($A118,PRODUTOS!$B$4:$B$63,0))</f>
        <v>20 kg</v>
      </c>
      <c r="D118" s="11" t="s">
        <v>309</v>
      </c>
      <c r="E118" s="15" t="str">
        <f aca="false">$A118&amp;"."&amp;$D118&amp;".jpg"</f>
        <v>7908591300666.PT06.jpg</v>
      </c>
      <c r="F118" s="11" t="str">
        <f aca="false">INDEX('O QUE MOSTRAR'!$B$4:$B$12,MATCH($D118,'O QUE MOSTRAR'!$A$4:$A$12,0))</f>
        <v>Posição 7</v>
      </c>
      <c r="G118" s="11" t="str">
        <f aca="false">IF(INDEX(PRODUTOS!$F$4:$F$63,MATCH($A118,PRODUTOS!$B$4:$B$63,0))="Ração",INDEX('O QUE MOSTRAR'!$C$4:$C$12,MATCH($D118,'O QUE MOSTRAR'!$A$4:$A$12,0)),INDEX('O QUE MOSTRAR'!$D$4:$D$12,MATCH($D118,'O QUE MOSTRAR'!$A$4:$A$12,0)))</f>
        <v>Composição e níveis de garantia em letra grande</v>
      </c>
      <c r="H118" s="11" t="str">
        <f aca="false">INDEX('O QUE MOSTRAR'!$E$4:$E$12,MATCH($D118,'O QUE MOSTRAR'!$A$4:$A$12,0))</f>
        <v>2000 × 2000</v>
      </c>
      <c r="I118" s="11" t="str">
        <f aca="false">INDEX('O QUE MOSTRAR'!$F$4:$F$12,MATCH($D118,'O QUE MOSTRAR'!$A$4:$A$12,0))</f>
        <v>SIM</v>
      </c>
      <c r="J118" s="13" t="s">
        <v>303</v>
      </c>
      <c r="K118" s="13"/>
    </row>
    <row r="119" customFormat="false" ht="15" hidden="false" customHeight="false" outlineLevel="0" collapsed="false">
      <c r="A119" s="14" t="s">
        <v>85</v>
      </c>
      <c r="B119" s="11" t="str">
        <f aca="false">INDEX(PRODUTOS!$E$4:$E$63,MATCH($A119,PRODUTOS!$B$4:$B$63,0))</f>
        <v>New Dots Ração Seca Premium para Gatos Adultos Castrados - 20 kg</v>
      </c>
      <c r="C119" s="11" t="str">
        <f aca="false">INDEX(PRODUTOS!$G$4:$G$63,MATCH($A119,PRODUTOS!$B$4:$B$63,0))</f>
        <v>20 kg</v>
      </c>
      <c r="D119" s="11" t="s">
        <v>310</v>
      </c>
      <c r="E119" s="15" t="str">
        <f aca="false">$A119&amp;"."&amp;$D119&amp;".jpg"</f>
        <v>7908591300666.PT07.jpg</v>
      </c>
      <c r="F119" s="11" t="str">
        <f aca="false">INDEX('O QUE MOSTRAR'!$B$4:$B$12,MATCH($D119,'O QUE MOSTRAR'!$A$4:$A$12,0))</f>
        <v>Posição 8</v>
      </c>
      <c r="G119" s="11" t="str">
        <f aca="false">IF(INDEX(PRODUTOS!$F$4:$F$63,MATCH($A119,PRODUTOS!$B$4:$B$63,0))="Ração",INDEX('O QUE MOSTRAR'!$C$4:$C$12,MATCH($D119,'O QUE MOSTRAR'!$A$4:$A$12,0)),INDEX('O QUE MOSTRAR'!$D$4:$D$12,MATCH($D119,'O QUE MOSTRAR'!$A$4:$A$12,0)))</f>
        <v>Emocional / momento de uso (pet do porte certo, pote cheio)</v>
      </c>
      <c r="H119" s="11" t="str">
        <f aca="false">INDEX('O QUE MOSTRAR'!$E$4:$E$12,MATCH($D119,'O QUE MOSTRAR'!$A$4:$A$12,0))</f>
        <v>2000 × 2000</v>
      </c>
      <c r="I119" s="11" t="str">
        <f aca="false">INDEX('O QUE MOSTRAR'!$F$4:$F$12,MATCH($D119,'O QUE MOSTRAR'!$A$4:$A$12,0))</f>
        <v>Recomendada</v>
      </c>
      <c r="J119" s="13" t="s">
        <v>303</v>
      </c>
      <c r="K119" s="13"/>
    </row>
    <row r="120" customFormat="false" ht="15" hidden="false" customHeight="false" outlineLevel="0" collapsed="false">
      <c r="A120" s="14" t="s">
        <v>85</v>
      </c>
      <c r="B120" s="11" t="str">
        <f aca="false">INDEX(PRODUTOS!$E$4:$E$63,MATCH($A120,PRODUTOS!$B$4:$B$63,0))</f>
        <v>New Dots Ração Seca Premium para Gatos Adultos Castrados - 20 kg</v>
      </c>
      <c r="C120" s="11" t="str">
        <f aca="false">INDEX(PRODUTOS!$G$4:$G$63,MATCH($A120,PRODUTOS!$B$4:$B$63,0))</f>
        <v>20 kg</v>
      </c>
      <c r="D120" s="11" t="s">
        <v>311</v>
      </c>
      <c r="E120" s="15" t="str">
        <f aca="false">$A120&amp;"."&amp;$D120&amp;".jpg"</f>
        <v>7908591300666.PT08.jpg</v>
      </c>
      <c r="F120" s="11" t="str">
        <f aca="false">INDEX('O QUE MOSTRAR'!$B$4:$B$12,MATCH($D120,'O QUE MOSTRAR'!$A$4:$A$12,0))</f>
        <v>Posição 9</v>
      </c>
      <c r="G120" s="11" t="str">
        <f aca="false">IF(INDEX(PRODUTOS!$F$4:$F$63,MATCH($A120,PRODUTOS!$B$4:$B$63,0))="Ração",INDEX('O QUE MOSTRAR'!$C$4:$C$12,MATCH($D120,'O QUE MOSTRAR'!$A$4:$A$12,0)),INDEX('O QUE MOSTRAR'!$D$4:$D$12,MATCH($D120,'O QUE MOSTRAR'!$A$4:$A$12,0)))</f>
        <v>Linha da marca ou embalagem anterior × nova</v>
      </c>
      <c r="H120" s="11" t="str">
        <f aca="false">INDEX('O QUE MOSTRAR'!$E$4:$E$12,MATCH($D120,'O QUE MOSTRAR'!$A$4:$A$12,0))</f>
        <v>2000 × 2000</v>
      </c>
      <c r="I120" s="11" t="str">
        <f aca="false">INDEX('O QUE MOSTRAR'!$F$4:$F$12,MATCH($D120,'O QUE MOSTRAR'!$A$4:$A$12,0))</f>
        <v>Recomendada</v>
      </c>
      <c r="J120" s="13" t="s">
        <v>303</v>
      </c>
      <c r="K120" s="13"/>
    </row>
    <row r="121" customFormat="false" ht="15" hidden="false" customHeight="false" outlineLevel="0" collapsed="false">
      <c r="A121" s="14" t="s">
        <v>88</v>
      </c>
      <c r="B121" s="11" t="str">
        <f aca="false">INDEX(PRODUTOS!$E$4:$E$63,MATCH($A121,PRODUTOS!$B$4:$B$63,0))</f>
        <v>New Dots Ração Seca Premium para Gatos Adultos Castrados - 11 kg</v>
      </c>
      <c r="C121" s="11" t="str">
        <f aca="false">INDEX(PRODUTOS!$G$4:$G$63,MATCH($A121,PRODUTOS!$B$4:$B$63,0))</f>
        <v>11 kg</v>
      </c>
      <c r="D121" s="11" t="s">
        <v>302</v>
      </c>
      <c r="E121" s="15" t="str">
        <f aca="false">$A121&amp;"."&amp;$D121&amp;".jpg"</f>
        <v>7908591300413.MAIN.jpg</v>
      </c>
      <c r="F121" s="11" t="str">
        <f aca="false">INDEX('O QUE MOSTRAR'!$B$4:$B$12,MATCH($D121,'O QUE MOSTRAR'!$A$4:$A$12,0))</f>
        <v>Capa (posição 1)</v>
      </c>
      <c r="G121" s="11" t="str">
        <f aca="false">IF(INDEX(PRODUTOS!$F$4:$F$63,MATCH($A121,PRODUTOS!$B$4:$B$63,0))="Ração",INDEX('O QUE MOSTRAR'!$C$4:$C$12,MATCH($D121,'O QUE MOSTRAR'!$A$4:$A$12,0)),INDEX('O QUE MOSTRAR'!$D$4:$D$12,MATCH($D121,'O QUE MOSTRAR'!$A$4:$A$12,0)))</f>
        <v>Embalagem de frente, fundo branco puro, 85% da área, nada adicionado</v>
      </c>
      <c r="H121" s="11" t="str">
        <f aca="false">INDEX('O QUE MOSTRAR'!$E$4:$E$12,MATCH($D121,'O QUE MOSTRAR'!$A$4:$A$12,0))</f>
        <v>2000 × 2000</v>
      </c>
      <c r="I121" s="11" t="str">
        <f aca="false">INDEX('O QUE MOSTRAR'!$F$4:$F$12,MATCH($D121,'O QUE MOSTRAR'!$A$4:$A$12,0))</f>
        <v>SIM</v>
      </c>
      <c r="J121" s="13" t="s">
        <v>303</v>
      </c>
      <c r="K121" s="13"/>
    </row>
    <row r="122" customFormat="false" ht="15" hidden="false" customHeight="false" outlineLevel="0" collapsed="false">
      <c r="A122" s="14" t="s">
        <v>88</v>
      </c>
      <c r="B122" s="11" t="str">
        <f aca="false">INDEX(PRODUTOS!$E$4:$E$63,MATCH($A122,PRODUTOS!$B$4:$B$63,0))</f>
        <v>New Dots Ração Seca Premium para Gatos Adultos Castrados - 11 kg</v>
      </c>
      <c r="C122" s="11" t="str">
        <f aca="false">INDEX(PRODUTOS!$G$4:$G$63,MATCH($A122,PRODUTOS!$B$4:$B$63,0))</f>
        <v>11 kg</v>
      </c>
      <c r="D122" s="11" t="s">
        <v>304</v>
      </c>
      <c r="E122" s="15" t="str">
        <f aca="false">$A122&amp;"."&amp;$D122&amp;".jpg"</f>
        <v>7908591300413.PT01.jpg</v>
      </c>
      <c r="F122" s="11" t="str">
        <f aca="false">INDEX('O QUE MOSTRAR'!$B$4:$B$12,MATCH($D122,'O QUE MOSTRAR'!$A$4:$A$12,0))</f>
        <v>Posição 2</v>
      </c>
      <c r="G122" s="11" t="str">
        <f aca="false">IF(INDEX(PRODUTOS!$F$4:$F$63,MATCH($A122,PRODUTOS!$B$4:$B$63,0))="Ração",INDEX('O QUE MOSTRAR'!$C$4:$C$12,MATCH($D122,'O QUE MOSTRAR'!$A$4:$A$12,0)),INDEX('O QUE MOSTRAR'!$D$4:$D$12,MATCH($D122,'O QUE MOSTRAR'!$A$4:$A$12,0)))</f>
        <v>Grande diferencial da linha (número ou promessa forte + grão e ingrediente)</v>
      </c>
      <c r="H122" s="11" t="str">
        <f aca="false">INDEX('O QUE MOSTRAR'!$E$4:$E$12,MATCH($D122,'O QUE MOSTRAR'!$A$4:$A$12,0))</f>
        <v>2000 × 2000</v>
      </c>
      <c r="I122" s="11" t="str">
        <f aca="false">INDEX('O QUE MOSTRAR'!$F$4:$F$12,MATCH($D122,'O QUE MOSTRAR'!$A$4:$A$12,0))</f>
        <v>SIM</v>
      </c>
      <c r="J122" s="13" t="s">
        <v>303</v>
      </c>
      <c r="K122" s="13"/>
    </row>
    <row r="123" customFormat="false" ht="15" hidden="false" customHeight="false" outlineLevel="0" collapsed="false">
      <c r="A123" s="14" t="s">
        <v>88</v>
      </c>
      <c r="B123" s="11" t="str">
        <f aca="false">INDEX(PRODUTOS!$E$4:$E$63,MATCH($A123,PRODUTOS!$B$4:$B$63,0))</f>
        <v>New Dots Ração Seca Premium para Gatos Adultos Castrados - 11 kg</v>
      </c>
      <c r="C123" s="11" t="str">
        <f aca="false">INDEX(PRODUTOS!$G$4:$G$63,MATCH($A123,PRODUTOS!$B$4:$B$63,0))</f>
        <v>11 kg</v>
      </c>
      <c r="D123" s="11" t="s">
        <v>305</v>
      </c>
      <c r="E123" s="15" t="str">
        <f aca="false">$A123&amp;"."&amp;$D123&amp;".jpg"</f>
        <v>7908591300413.PT02.jpg</v>
      </c>
      <c r="F123" s="11" t="str">
        <f aca="false">INDEX('O QUE MOSTRAR'!$B$4:$B$12,MATCH($D123,'O QUE MOSTRAR'!$A$4:$A$12,0))</f>
        <v>Posição 3</v>
      </c>
      <c r="G123" s="11" t="str">
        <f aca="false">IF(INDEX(PRODUTOS!$F$4:$F$63,MATCH($A123,PRODUTOS!$B$4:$B$63,0))="Ração",INDEX('O QUE MOSTRAR'!$C$4:$C$12,MATCH($D123,'O QUE MOSTRAR'!$A$4:$A$12,0)),INDEX('O QUE MOSTRAR'!$D$4:$D$12,MATCH($D123,'O QUE MOSTRAR'!$A$4:$A$12,0)))</f>
        <v>Benefícios com ícones (4 a 6, impressos na embalagem) + ingrediente</v>
      </c>
      <c r="H123" s="11" t="str">
        <f aca="false">INDEX('O QUE MOSTRAR'!$E$4:$E$12,MATCH($D123,'O QUE MOSTRAR'!$A$4:$A$12,0))</f>
        <v>2000 × 2000</v>
      </c>
      <c r="I123" s="11" t="str">
        <f aca="false">INDEX('O QUE MOSTRAR'!$F$4:$F$12,MATCH($D123,'O QUE MOSTRAR'!$A$4:$A$12,0))</f>
        <v>SIM</v>
      </c>
      <c r="J123" s="13" t="s">
        <v>303</v>
      </c>
      <c r="K123" s="13"/>
    </row>
    <row r="124" customFormat="false" ht="15" hidden="false" customHeight="false" outlineLevel="0" collapsed="false">
      <c r="A124" s="14" t="s">
        <v>88</v>
      </c>
      <c r="B124" s="11" t="str">
        <f aca="false">INDEX(PRODUTOS!$E$4:$E$63,MATCH($A124,PRODUTOS!$B$4:$B$63,0))</f>
        <v>New Dots Ração Seca Premium para Gatos Adultos Castrados - 11 kg</v>
      </c>
      <c r="C124" s="11" t="str">
        <f aca="false">INDEX(PRODUTOS!$G$4:$G$63,MATCH($A124,PRODUTOS!$B$4:$B$63,0))</f>
        <v>11 kg</v>
      </c>
      <c r="D124" s="11" t="s">
        <v>306</v>
      </c>
      <c r="E124" s="15" t="str">
        <f aca="false">$A124&amp;"."&amp;$D124&amp;".jpg"</f>
        <v>7908591300413.PT03.jpg</v>
      </c>
      <c r="F124" s="11" t="str">
        <f aca="false">INDEX('O QUE MOSTRAR'!$B$4:$B$12,MATCH($D124,'O QUE MOSTRAR'!$A$4:$A$12,0))</f>
        <v>Posição 4</v>
      </c>
      <c r="G124" s="11" t="str">
        <f aca="false">IF(INDEX(PRODUTOS!$F$4:$F$63,MATCH($A124,PRODUTOS!$B$4:$B$63,0))="Ração",INDEX('O QUE MOSTRAR'!$C$4:$C$12,MATCH($D124,'O QUE MOSTRAR'!$A$4:$A$12,0)),INDEX('O QUE MOSTRAR'!$D$4:$D$12,MATCH($D124,'O QUE MOSTRAR'!$A$4:$A$12,0)))</f>
        <v>Formato e tamanho do grão, com medida em mm e referência de tamanho</v>
      </c>
      <c r="H124" s="11" t="str">
        <f aca="false">INDEX('O QUE MOSTRAR'!$E$4:$E$12,MATCH($D124,'O QUE MOSTRAR'!$A$4:$A$12,0))</f>
        <v>2000 × 2000</v>
      </c>
      <c r="I124" s="11" t="str">
        <f aca="false">INDEX('O QUE MOSTRAR'!$F$4:$F$12,MATCH($D124,'O QUE MOSTRAR'!$A$4:$A$12,0))</f>
        <v>SIM</v>
      </c>
      <c r="J124" s="13" t="s">
        <v>303</v>
      </c>
      <c r="K124" s="13"/>
    </row>
    <row r="125" customFormat="false" ht="15" hidden="false" customHeight="false" outlineLevel="0" collapsed="false">
      <c r="A125" s="14" t="s">
        <v>88</v>
      </c>
      <c r="B125" s="11" t="str">
        <f aca="false">INDEX(PRODUTOS!$E$4:$E$63,MATCH($A125,PRODUTOS!$B$4:$B$63,0))</f>
        <v>New Dots Ração Seca Premium para Gatos Adultos Castrados - 11 kg</v>
      </c>
      <c r="C125" s="11" t="str">
        <f aca="false">INDEX(PRODUTOS!$G$4:$G$63,MATCH($A125,PRODUTOS!$B$4:$B$63,0))</f>
        <v>11 kg</v>
      </c>
      <c r="D125" s="11" t="s">
        <v>307</v>
      </c>
      <c r="E125" s="15" t="str">
        <f aca="false">$A125&amp;"."&amp;$D125&amp;".jpg"</f>
        <v>7908591300413.PT04.jpg</v>
      </c>
      <c r="F125" s="11" t="str">
        <f aca="false">INDEX('O QUE MOSTRAR'!$B$4:$B$12,MATCH($D125,'O QUE MOSTRAR'!$A$4:$A$12,0))</f>
        <v>Posição 5</v>
      </c>
      <c r="G125" s="11" t="str">
        <f aca="false">IF(INDEX(PRODUTOS!$F$4:$F$63,MATCH($A125,PRODUTOS!$B$4:$B$63,0))="Ração",INDEX('O QUE MOSTRAR'!$C$4:$C$12,MATCH($D125,'O QUE MOSTRAR'!$A$4:$A$12,0)),INDEX('O QUE MOSTRAR'!$D$4:$D$12,MATCH($D125,'O QUE MOSTRAR'!$A$4:$A$12,0)))</f>
        <v>Quantidade diária por peso do pet (números idênticos à embalagem)</v>
      </c>
      <c r="H125" s="11" t="str">
        <f aca="false">INDEX('O QUE MOSTRAR'!$E$4:$E$12,MATCH($D125,'O QUE MOSTRAR'!$A$4:$A$12,0))</f>
        <v>2000 × 2000</v>
      </c>
      <c r="I125" s="11" t="str">
        <f aca="false">INDEX('O QUE MOSTRAR'!$F$4:$F$12,MATCH($D125,'O QUE MOSTRAR'!$A$4:$A$12,0))</f>
        <v>SIM</v>
      </c>
      <c r="J125" s="13" t="s">
        <v>303</v>
      </c>
      <c r="K125" s="13"/>
    </row>
    <row r="126" customFormat="false" ht="15" hidden="false" customHeight="false" outlineLevel="0" collapsed="false">
      <c r="A126" s="14" t="s">
        <v>88</v>
      </c>
      <c r="B126" s="11" t="str">
        <f aca="false">INDEX(PRODUTOS!$E$4:$E$63,MATCH($A126,PRODUTOS!$B$4:$B$63,0))</f>
        <v>New Dots Ração Seca Premium para Gatos Adultos Castrados - 11 kg</v>
      </c>
      <c r="C126" s="11" t="str">
        <f aca="false">INDEX(PRODUTOS!$G$4:$G$63,MATCH($A126,PRODUTOS!$B$4:$B$63,0))</f>
        <v>11 kg</v>
      </c>
      <c r="D126" s="11" t="s">
        <v>308</v>
      </c>
      <c r="E126" s="15" t="str">
        <f aca="false">$A126&amp;"."&amp;$D126&amp;".jpg"</f>
        <v>7908591300413.PT05.jpg</v>
      </c>
      <c r="F126" s="11" t="str">
        <f aca="false">INDEX('O QUE MOSTRAR'!$B$4:$B$12,MATCH($D126,'O QUE MOSTRAR'!$A$4:$A$12,0))</f>
        <v>Posição 6</v>
      </c>
      <c r="G126" s="11" t="str">
        <f aca="false">IF(INDEX(PRODUTOS!$F$4:$F$63,MATCH($A126,PRODUTOS!$B$4:$B$63,0))="Ração",INDEX('O QUE MOSTRAR'!$C$4:$C$12,MATCH($D126,'O QUE MOSTRAR'!$A$4:$A$12,0)),INDEX('O QUE MOSTRAR'!$D$4:$D$12,MATCH($D126,'O QUE MOSTRAR'!$A$4:$A$12,0)))</f>
        <v>Transição alimentar dia a dia (igual ao verso da embalagem)</v>
      </c>
      <c r="H126" s="11" t="str">
        <f aca="false">INDEX('O QUE MOSTRAR'!$E$4:$E$12,MATCH($D126,'O QUE MOSTRAR'!$A$4:$A$12,0))</f>
        <v>2000 × 2000</v>
      </c>
      <c r="I126" s="11" t="str">
        <f aca="false">INDEX('O QUE MOSTRAR'!$F$4:$F$12,MATCH($D126,'O QUE MOSTRAR'!$A$4:$A$12,0))</f>
        <v>Recomendada</v>
      </c>
      <c r="J126" s="13" t="s">
        <v>303</v>
      </c>
      <c r="K126" s="13"/>
    </row>
    <row r="127" customFormat="false" ht="15" hidden="false" customHeight="false" outlineLevel="0" collapsed="false">
      <c r="A127" s="14" t="s">
        <v>88</v>
      </c>
      <c r="B127" s="11" t="str">
        <f aca="false">INDEX(PRODUTOS!$E$4:$E$63,MATCH($A127,PRODUTOS!$B$4:$B$63,0))</f>
        <v>New Dots Ração Seca Premium para Gatos Adultos Castrados - 11 kg</v>
      </c>
      <c r="C127" s="11" t="str">
        <f aca="false">INDEX(PRODUTOS!$G$4:$G$63,MATCH($A127,PRODUTOS!$B$4:$B$63,0))</f>
        <v>11 kg</v>
      </c>
      <c r="D127" s="11" t="s">
        <v>309</v>
      </c>
      <c r="E127" s="15" t="str">
        <f aca="false">$A127&amp;"."&amp;$D127&amp;".jpg"</f>
        <v>7908591300413.PT06.jpg</v>
      </c>
      <c r="F127" s="11" t="str">
        <f aca="false">INDEX('O QUE MOSTRAR'!$B$4:$B$12,MATCH($D127,'O QUE MOSTRAR'!$A$4:$A$12,0))</f>
        <v>Posição 7</v>
      </c>
      <c r="G127" s="11" t="str">
        <f aca="false">IF(INDEX(PRODUTOS!$F$4:$F$63,MATCH($A127,PRODUTOS!$B$4:$B$63,0))="Ração",INDEX('O QUE MOSTRAR'!$C$4:$C$12,MATCH($D127,'O QUE MOSTRAR'!$A$4:$A$12,0)),INDEX('O QUE MOSTRAR'!$D$4:$D$12,MATCH($D127,'O QUE MOSTRAR'!$A$4:$A$12,0)))</f>
        <v>Composição e níveis de garantia em letra grande</v>
      </c>
      <c r="H127" s="11" t="str">
        <f aca="false">INDEX('O QUE MOSTRAR'!$E$4:$E$12,MATCH($D127,'O QUE MOSTRAR'!$A$4:$A$12,0))</f>
        <v>2000 × 2000</v>
      </c>
      <c r="I127" s="11" t="str">
        <f aca="false">INDEX('O QUE MOSTRAR'!$F$4:$F$12,MATCH($D127,'O QUE MOSTRAR'!$A$4:$A$12,0))</f>
        <v>SIM</v>
      </c>
      <c r="J127" s="13" t="s">
        <v>303</v>
      </c>
      <c r="K127" s="13"/>
    </row>
    <row r="128" customFormat="false" ht="15" hidden="false" customHeight="false" outlineLevel="0" collapsed="false">
      <c r="A128" s="14" t="s">
        <v>88</v>
      </c>
      <c r="B128" s="11" t="str">
        <f aca="false">INDEX(PRODUTOS!$E$4:$E$63,MATCH($A128,PRODUTOS!$B$4:$B$63,0))</f>
        <v>New Dots Ração Seca Premium para Gatos Adultos Castrados - 11 kg</v>
      </c>
      <c r="C128" s="11" t="str">
        <f aca="false">INDEX(PRODUTOS!$G$4:$G$63,MATCH($A128,PRODUTOS!$B$4:$B$63,0))</f>
        <v>11 kg</v>
      </c>
      <c r="D128" s="11" t="s">
        <v>310</v>
      </c>
      <c r="E128" s="15" t="str">
        <f aca="false">$A128&amp;"."&amp;$D128&amp;".jpg"</f>
        <v>7908591300413.PT07.jpg</v>
      </c>
      <c r="F128" s="11" t="str">
        <f aca="false">INDEX('O QUE MOSTRAR'!$B$4:$B$12,MATCH($D128,'O QUE MOSTRAR'!$A$4:$A$12,0))</f>
        <v>Posição 8</v>
      </c>
      <c r="G128" s="11" t="str">
        <f aca="false">IF(INDEX(PRODUTOS!$F$4:$F$63,MATCH($A128,PRODUTOS!$B$4:$B$63,0))="Ração",INDEX('O QUE MOSTRAR'!$C$4:$C$12,MATCH($D128,'O QUE MOSTRAR'!$A$4:$A$12,0)),INDEX('O QUE MOSTRAR'!$D$4:$D$12,MATCH($D128,'O QUE MOSTRAR'!$A$4:$A$12,0)))</f>
        <v>Emocional / momento de uso (pet do porte certo, pote cheio)</v>
      </c>
      <c r="H128" s="11" t="str">
        <f aca="false">INDEX('O QUE MOSTRAR'!$E$4:$E$12,MATCH($D128,'O QUE MOSTRAR'!$A$4:$A$12,0))</f>
        <v>2000 × 2000</v>
      </c>
      <c r="I128" s="11" t="str">
        <f aca="false">INDEX('O QUE MOSTRAR'!$F$4:$F$12,MATCH($D128,'O QUE MOSTRAR'!$A$4:$A$12,0))</f>
        <v>Recomendada</v>
      </c>
      <c r="J128" s="13" t="s">
        <v>303</v>
      </c>
      <c r="K128" s="13"/>
    </row>
    <row r="129" customFormat="false" ht="15" hidden="false" customHeight="false" outlineLevel="0" collapsed="false">
      <c r="A129" s="14" t="s">
        <v>88</v>
      </c>
      <c r="B129" s="11" t="str">
        <f aca="false">INDEX(PRODUTOS!$E$4:$E$63,MATCH($A129,PRODUTOS!$B$4:$B$63,0))</f>
        <v>New Dots Ração Seca Premium para Gatos Adultos Castrados - 11 kg</v>
      </c>
      <c r="C129" s="11" t="str">
        <f aca="false">INDEX(PRODUTOS!$G$4:$G$63,MATCH($A129,PRODUTOS!$B$4:$B$63,0))</f>
        <v>11 kg</v>
      </c>
      <c r="D129" s="11" t="s">
        <v>311</v>
      </c>
      <c r="E129" s="15" t="str">
        <f aca="false">$A129&amp;"."&amp;$D129&amp;".jpg"</f>
        <v>7908591300413.PT08.jpg</v>
      </c>
      <c r="F129" s="11" t="str">
        <f aca="false">INDEX('O QUE MOSTRAR'!$B$4:$B$12,MATCH($D129,'O QUE MOSTRAR'!$A$4:$A$12,0))</f>
        <v>Posição 9</v>
      </c>
      <c r="G129" s="11" t="str">
        <f aca="false">IF(INDEX(PRODUTOS!$F$4:$F$63,MATCH($A129,PRODUTOS!$B$4:$B$63,0))="Ração",INDEX('O QUE MOSTRAR'!$C$4:$C$12,MATCH($D129,'O QUE MOSTRAR'!$A$4:$A$12,0)),INDEX('O QUE MOSTRAR'!$D$4:$D$12,MATCH($D129,'O QUE MOSTRAR'!$A$4:$A$12,0)))</f>
        <v>Linha da marca ou embalagem anterior × nova</v>
      </c>
      <c r="H129" s="11" t="str">
        <f aca="false">INDEX('O QUE MOSTRAR'!$E$4:$E$12,MATCH($D129,'O QUE MOSTRAR'!$A$4:$A$12,0))</f>
        <v>2000 × 2000</v>
      </c>
      <c r="I129" s="11" t="str">
        <f aca="false">INDEX('O QUE MOSTRAR'!$F$4:$F$12,MATCH($D129,'O QUE MOSTRAR'!$A$4:$A$12,0))</f>
        <v>Recomendada</v>
      </c>
      <c r="J129" s="13" t="s">
        <v>303</v>
      </c>
      <c r="K129" s="13"/>
    </row>
    <row r="130" customFormat="false" ht="15" hidden="false" customHeight="false" outlineLevel="0" collapsed="false">
      <c r="A130" s="14" t="s">
        <v>92</v>
      </c>
      <c r="B130" s="11" t="str">
        <f aca="false">INDEX(PRODUTOS!$E$4:$E$63,MATCH($A130,PRODUTOS!$B$4:$B$63,0))</f>
        <v>New Dots Ração Seca Premium para Gatos Adultos Castrados - 1 kg</v>
      </c>
      <c r="C130" s="11" t="str">
        <f aca="false">INDEX(PRODUTOS!$G$4:$G$63,MATCH($A130,PRODUTOS!$B$4:$B$63,0))</f>
        <v>1 kg</v>
      </c>
      <c r="D130" s="11" t="s">
        <v>302</v>
      </c>
      <c r="E130" s="15" t="str">
        <f aca="false">$A130&amp;"."&amp;$D130&amp;".jpg"</f>
        <v>7908591300406.MAIN.jpg</v>
      </c>
      <c r="F130" s="11" t="str">
        <f aca="false">INDEX('O QUE MOSTRAR'!$B$4:$B$12,MATCH($D130,'O QUE MOSTRAR'!$A$4:$A$12,0))</f>
        <v>Capa (posição 1)</v>
      </c>
      <c r="G130" s="11" t="str">
        <f aca="false">IF(INDEX(PRODUTOS!$F$4:$F$63,MATCH($A130,PRODUTOS!$B$4:$B$63,0))="Ração",INDEX('O QUE MOSTRAR'!$C$4:$C$12,MATCH($D130,'O QUE MOSTRAR'!$A$4:$A$12,0)),INDEX('O QUE MOSTRAR'!$D$4:$D$12,MATCH($D130,'O QUE MOSTRAR'!$A$4:$A$12,0)))</f>
        <v>Embalagem de frente, fundo branco puro, 85% da área, nada adicionado</v>
      </c>
      <c r="H130" s="11" t="str">
        <f aca="false">INDEX('O QUE MOSTRAR'!$E$4:$E$12,MATCH($D130,'O QUE MOSTRAR'!$A$4:$A$12,0))</f>
        <v>2000 × 2000</v>
      </c>
      <c r="I130" s="11" t="str">
        <f aca="false">INDEX('O QUE MOSTRAR'!$F$4:$F$12,MATCH($D130,'O QUE MOSTRAR'!$A$4:$A$12,0))</f>
        <v>SIM</v>
      </c>
      <c r="J130" s="13" t="s">
        <v>303</v>
      </c>
      <c r="K130" s="13"/>
    </row>
    <row r="131" customFormat="false" ht="15" hidden="false" customHeight="false" outlineLevel="0" collapsed="false">
      <c r="A131" s="14" t="s">
        <v>92</v>
      </c>
      <c r="B131" s="11" t="str">
        <f aca="false">INDEX(PRODUTOS!$E$4:$E$63,MATCH($A131,PRODUTOS!$B$4:$B$63,0))</f>
        <v>New Dots Ração Seca Premium para Gatos Adultos Castrados - 1 kg</v>
      </c>
      <c r="C131" s="11" t="str">
        <f aca="false">INDEX(PRODUTOS!$G$4:$G$63,MATCH($A131,PRODUTOS!$B$4:$B$63,0))</f>
        <v>1 kg</v>
      </c>
      <c r="D131" s="11" t="s">
        <v>304</v>
      </c>
      <c r="E131" s="15" t="str">
        <f aca="false">$A131&amp;"."&amp;$D131&amp;".jpg"</f>
        <v>7908591300406.PT01.jpg</v>
      </c>
      <c r="F131" s="11" t="str">
        <f aca="false">INDEX('O QUE MOSTRAR'!$B$4:$B$12,MATCH($D131,'O QUE MOSTRAR'!$A$4:$A$12,0))</f>
        <v>Posição 2</v>
      </c>
      <c r="G131" s="11" t="str">
        <f aca="false">IF(INDEX(PRODUTOS!$F$4:$F$63,MATCH($A131,PRODUTOS!$B$4:$B$63,0))="Ração",INDEX('O QUE MOSTRAR'!$C$4:$C$12,MATCH($D131,'O QUE MOSTRAR'!$A$4:$A$12,0)),INDEX('O QUE MOSTRAR'!$D$4:$D$12,MATCH($D131,'O QUE MOSTRAR'!$A$4:$A$12,0)))</f>
        <v>Grande diferencial da linha (número ou promessa forte + grão e ingrediente)</v>
      </c>
      <c r="H131" s="11" t="str">
        <f aca="false">INDEX('O QUE MOSTRAR'!$E$4:$E$12,MATCH($D131,'O QUE MOSTRAR'!$A$4:$A$12,0))</f>
        <v>2000 × 2000</v>
      </c>
      <c r="I131" s="11" t="str">
        <f aca="false">INDEX('O QUE MOSTRAR'!$F$4:$F$12,MATCH($D131,'O QUE MOSTRAR'!$A$4:$A$12,0))</f>
        <v>SIM</v>
      </c>
      <c r="J131" s="13" t="s">
        <v>303</v>
      </c>
      <c r="K131" s="13"/>
    </row>
    <row r="132" customFormat="false" ht="15" hidden="false" customHeight="false" outlineLevel="0" collapsed="false">
      <c r="A132" s="14" t="s">
        <v>92</v>
      </c>
      <c r="B132" s="11" t="str">
        <f aca="false">INDEX(PRODUTOS!$E$4:$E$63,MATCH($A132,PRODUTOS!$B$4:$B$63,0))</f>
        <v>New Dots Ração Seca Premium para Gatos Adultos Castrados - 1 kg</v>
      </c>
      <c r="C132" s="11" t="str">
        <f aca="false">INDEX(PRODUTOS!$G$4:$G$63,MATCH($A132,PRODUTOS!$B$4:$B$63,0))</f>
        <v>1 kg</v>
      </c>
      <c r="D132" s="11" t="s">
        <v>305</v>
      </c>
      <c r="E132" s="15" t="str">
        <f aca="false">$A132&amp;"."&amp;$D132&amp;".jpg"</f>
        <v>7908591300406.PT02.jpg</v>
      </c>
      <c r="F132" s="11" t="str">
        <f aca="false">INDEX('O QUE MOSTRAR'!$B$4:$B$12,MATCH($D132,'O QUE MOSTRAR'!$A$4:$A$12,0))</f>
        <v>Posição 3</v>
      </c>
      <c r="G132" s="11" t="str">
        <f aca="false">IF(INDEX(PRODUTOS!$F$4:$F$63,MATCH($A132,PRODUTOS!$B$4:$B$63,0))="Ração",INDEX('O QUE MOSTRAR'!$C$4:$C$12,MATCH($D132,'O QUE MOSTRAR'!$A$4:$A$12,0)),INDEX('O QUE MOSTRAR'!$D$4:$D$12,MATCH($D132,'O QUE MOSTRAR'!$A$4:$A$12,0)))</f>
        <v>Benefícios com ícones (4 a 6, impressos na embalagem) + ingrediente</v>
      </c>
      <c r="H132" s="11" t="str">
        <f aca="false">INDEX('O QUE MOSTRAR'!$E$4:$E$12,MATCH($D132,'O QUE MOSTRAR'!$A$4:$A$12,0))</f>
        <v>2000 × 2000</v>
      </c>
      <c r="I132" s="11" t="str">
        <f aca="false">INDEX('O QUE MOSTRAR'!$F$4:$F$12,MATCH($D132,'O QUE MOSTRAR'!$A$4:$A$12,0))</f>
        <v>SIM</v>
      </c>
      <c r="J132" s="13" t="s">
        <v>303</v>
      </c>
      <c r="K132" s="13"/>
    </row>
    <row r="133" customFormat="false" ht="15" hidden="false" customHeight="false" outlineLevel="0" collapsed="false">
      <c r="A133" s="14" t="s">
        <v>92</v>
      </c>
      <c r="B133" s="11" t="str">
        <f aca="false">INDEX(PRODUTOS!$E$4:$E$63,MATCH($A133,PRODUTOS!$B$4:$B$63,0))</f>
        <v>New Dots Ração Seca Premium para Gatos Adultos Castrados - 1 kg</v>
      </c>
      <c r="C133" s="11" t="str">
        <f aca="false">INDEX(PRODUTOS!$G$4:$G$63,MATCH($A133,PRODUTOS!$B$4:$B$63,0))</f>
        <v>1 kg</v>
      </c>
      <c r="D133" s="11" t="s">
        <v>306</v>
      </c>
      <c r="E133" s="15" t="str">
        <f aca="false">$A133&amp;"."&amp;$D133&amp;".jpg"</f>
        <v>7908591300406.PT03.jpg</v>
      </c>
      <c r="F133" s="11" t="str">
        <f aca="false">INDEX('O QUE MOSTRAR'!$B$4:$B$12,MATCH($D133,'O QUE MOSTRAR'!$A$4:$A$12,0))</f>
        <v>Posição 4</v>
      </c>
      <c r="G133" s="11" t="str">
        <f aca="false">IF(INDEX(PRODUTOS!$F$4:$F$63,MATCH($A133,PRODUTOS!$B$4:$B$63,0))="Ração",INDEX('O QUE MOSTRAR'!$C$4:$C$12,MATCH($D133,'O QUE MOSTRAR'!$A$4:$A$12,0)),INDEX('O QUE MOSTRAR'!$D$4:$D$12,MATCH($D133,'O QUE MOSTRAR'!$A$4:$A$12,0)))</f>
        <v>Formato e tamanho do grão, com medida em mm e referência de tamanho</v>
      </c>
      <c r="H133" s="11" t="str">
        <f aca="false">INDEX('O QUE MOSTRAR'!$E$4:$E$12,MATCH($D133,'O QUE MOSTRAR'!$A$4:$A$12,0))</f>
        <v>2000 × 2000</v>
      </c>
      <c r="I133" s="11" t="str">
        <f aca="false">INDEX('O QUE MOSTRAR'!$F$4:$F$12,MATCH($D133,'O QUE MOSTRAR'!$A$4:$A$12,0))</f>
        <v>SIM</v>
      </c>
      <c r="J133" s="13" t="s">
        <v>303</v>
      </c>
      <c r="K133" s="13"/>
    </row>
    <row r="134" customFormat="false" ht="15" hidden="false" customHeight="false" outlineLevel="0" collapsed="false">
      <c r="A134" s="14" t="s">
        <v>92</v>
      </c>
      <c r="B134" s="11" t="str">
        <f aca="false">INDEX(PRODUTOS!$E$4:$E$63,MATCH($A134,PRODUTOS!$B$4:$B$63,0))</f>
        <v>New Dots Ração Seca Premium para Gatos Adultos Castrados - 1 kg</v>
      </c>
      <c r="C134" s="11" t="str">
        <f aca="false">INDEX(PRODUTOS!$G$4:$G$63,MATCH($A134,PRODUTOS!$B$4:$B$63,0))</f>
        <v>1 kg</v>
      </c>
      <c r="D134" s="11" t="s">
        <v>307</v>
      </c>
      <c r="E134" s="15" t="str">
        <f aca="false">$A134&amp;"."&amp;$D134&amp;".jpg"</f>
        <v>7908591300406.PT04.jpg</v>
      </c>
      <c r="F134" s="11" t="str">
        <f aca="false">INDEX('O QUE MOSTRAR'!$B$4:$B$12,MATCH($D134,'O QUE MOSTRAR'!$A$4:$A$12,0))</f>
        <v>Posição 5</v>
      </c>
      <c r="G134" s="11" t="str">
        <f aca="false">IF(INDEX(PRODUTOS!$F$4:$F$63,MATCH($A134,PRODUTOS!$B$4:$B$63,0))="Ração",INDEX('O QUE MOSTRAR'!$C$4:$C$12,MATCH($D134,'O QUE MOSTRAR'!$A$4:$A$12,0)),INDEX('O QUE MOSTRAR'!$D$4:$D$12,MATCH($D134,'O QUE MOSTRAR'!$A$4:$A$12,0)))</f>
        <v>Quantidade diária por peso do pet (números idênticos à embalagem)</v>
      </c>
      <c r="H134" s="11" t="str">
        <f aca="false">INDEX('O QUE MOSTRAR'!$E$4:$E$12,MATCH($D134,'O QUE MOSTRAR'!$A$4:$A$12,0))</f>
        <v>2000 × 2000</v>
      </c>
      <c r="I134" s="11" t="str">
        <f aca="false">INDEX('O QUE MOSTRAR'!$F$4:$F$12,MATCH($D134,'O QUE MOSTRAR'!$A$4:$A$12,0))</f>
        <v>SIM</v>
      </c>
      <c r="J134" s="13" t="s">
        <v>303</v>
      </c>
      <c r="K134" s="13"/>
    </row>
    <row r="135" customFormat="false" ht="15" hidden="false" customHeight="false" outlineLevel="0" collapsed="false">
      <c r="A135" s="14" t="s">
        <v>92</v>
      </c>
      <c r="B135" s="11" t="str">
        <f aca="false">INDEX(PRODUTOS!$E$4:$E$63,MATCH($A135,PRODUTOS!$B$4:$B$63,0))</f>
        <v>New Dots Ração Seca Premium para Gatos Adultos Castrados - 1 kg</v>
      </c>
      <c r="C135" s="11" t="str">
        <f aca="false">INDEX(PRODUTOS!$G$4:$G$63,MATCH($A135,PRODUTOS!$B$4:$B$63,0))</f>
        <v>1 kg</v>
      </c>
      <c r="D135" s="11" t="s">
        <v>308</v>
      </c>
      <c r="E135" s="15" t="str">
        <f aca="false">$A135&amp;"."&amp;$D135&amp;".jpg"</f>
        <v>7908591300406.PT05.jpg</v>
      </c>
      <c r="F135" s="11" t="str">
        <f aca="false">INDEX('O QUE MOSTRAR'!$B$4:$B$12,MATCH($D135,'O QUE MOSTRAR'!$A$4:$A$12,0))</f>
        <v>Posição 6</v>
      </c>
      <c r="G135" s="11" t="str">
        <f aca="false">IF(INDEX(PRODUTOS!$F$4:$F$63,MATCH($A135,PRODUTOS!$B$4:$B$63,0))="Ração",INDEX('O QUE MOSTRAR'!$C$4:$C$12,MATCH($D135,'O QUE MOSTRAR'!$A$4:$A$12,0)),INDEX('O QUE MOSTRAR'!$D$4:$D$12,MATCH($D135,'O QUE MOSTRAR'!$A$4:$A$12,0)))</f>
        <v>Transição alimentar dia a dia (igual ao verso da embalagem)</v>
      </c>
      <c r="H135" s="11" t="str">
        <f aca="false">INDEX('O QUE MOSTRAR'!$E$4:$E$12,MATCH($D135,'O QUE MOSTRAR'!$A$4:$A$12,0))</f>
        <v>2000 × 2000</v>
      </c>
      <c r="I135" s="11" t="str">
        <f aca="false">INDEX('O QUE MOSTRAR'!$F$4:$F$12,MATCH($D135,'O QUE MOSTRAR'!$A$4:$A$12,0))</f>
        <v>Recomendada</v>
      </c>
      <c r="J135" s="13" t="s">
        <v>303</v>
      </c>
      <c r="K135" s="13"/>
    </row>
    <row r="136" customFormat="false" ht="15" hidden="false" customHeight="false" outlineLevel="0" collapsed="false">
      <c r="A136" s="14" t="s">
        <v>92</v>
      </c>
      <c r="B136" s="11" t="str">
        <f aca="false">INDEX(PRODUTOS!$E$4:$E$63,MATCH($A136,PRODUTOS!$B$4:$B$63,0))</f>
        <v>New Dots Ração Seca Premium para Gatos Adultos Castrados - 1 kg</v>
      </c>
      <c r="C136" s="11" t="str">
        <f aca="false">INDEX(PRODUTOS!$G$4:$G$63,MATCH($A136,PRODUTOS!$B$4:$B$63,0))</f>
        <v>1 kg</v>
      </c>
      <c r="D136" s="11" t="s">
        <v>309</v>
      </c>
      <c r="E136" s="15" t="str">
        <f aca="false">$A136&amp;"."&amp;$D136&amp;".jpg"</f>
        <v>7908591300406.PT06.jpg</v>
      </c>
      <c r="F136" s="11" t="str">
        <f aca="false">INDEX('O QUE MOSTRAR'!$B$4:$B$12,MATCH($D136,'O QUE MOSTRAR'!$A$4:$A$12,0))</f>
        <v>Posição 7</v>
      </c>
      <c r="G136" s="11" t="str">
        <f aca="false">IF(INDEX(PRODUTOS!$F$4:$F$63,MATCH($A136,PRODUTOS!$B$4:$B$63,0))="Ração",INDEX('O QUE MOSTRAR'!$C$4:$C$12,MATCH($D136,'O QUE MOSTRAR'!$A$4:$A$12,0)),INDEX('O QUE MOSTRAR'!$D$4:$D$12,MATCH($D136,'O QUE MOSTRAR'!$A$4:$A$12,0)))</f>
        <v>Composição e níveis de garantia em letra grande</v>
      </c>
      <c r="H136" s="11" t="str">
        <f aca="false">INDEX('O QUE MOSTRAR'!$E$4:$E$12,MATCH($D136,'O QUE MOSTRAR'!$A$4:$A$12,0))</f>
        <v>2000 × 2000</v>
      </c>
      <c r="I136" s="11" t="str">
        <f aca="false">INDEX('O QUE MOSTRAR'!$F$4:$F$12,MATCH($D136,'O QUE MOSTRAR'!$A$4:$A$12,0))</f>
        <v>SIM</v>
      </c>
      <c r="J136" s="13" t="s">
        <v>303</v>
      </c>
      <c r="K136" s="13"/>
    </row>
    <row r="137" customFormat="false" ht="15" hidden="false" customHeight="false" outlineLevel="0" collapsed="false">
      <c r="A137" s="14" t="s">
        <v>92</v>
      </c>
      <c r="B137" s="11" t="str">
        <f aca="false">INDEX(PRODUTOS!$E$4:$E$63,MATCH($A137,PRODUTOS!$B$4:$B$63,0))</f>
        <v>New Dots Ração Seca Premium para Gatos Adultos Castrados - 1 kg</v>
      </c>
      <c r="C137" s="11" t="str">
        <f aca="false">INDEX(PRODUTOS!$G$4:$G$63,MATCH($A137,PRODUTOS!$B$4:$B$63,0))</f>
        <v>1 kg</v>
      </c>
      <c r="D137" s="11" t="s">
        <v>310</v>
      </c>
      <c r="E137" s="15" t="str">
        <f aca="false">$A137&amp;"."&amp;$D137&amp;".jpg"</f>
        <v>7908591300406.PT07.jpg</v>
      </c>
      <c r="F137" s="11" t="str">
        <f aca="false">INDEX('O QUE MOSTRAR'!$B$4:$B$12,MATCH($D137,'O QUE MOSTRAR'!$A$4:$A$12,0))</f>
        <v>Posição 8</v>
      </c>
      <c r="G137" s="11" t="str">
        <f aca="false">IF(INDEX(PRODUTOS!$F$4:$F$63,MATCH($A137,PRODUTOS!$B$4:$B$63,0))="Ração",INDEX('O QUE MOSTRAR'!$C$4:$C$12,MATCH($D137,'O QUE MOSTRAR'!$A$4:$A$12,0)),INDEX('O QUE MOSTRAR'!$D$4:$D$12,MATCH($D137,'O QUE MOSTRAR'!$A$4:$A$12,0)))</f>
        <v>Emocional / momento de uso (pet do porte certo, pote cheio)</v>
      </c>
      <c r="H137" s="11" t="str">
        <f aca="false">INDEX('O QUE MOSTRAR'!$E$4:$E$12,MATCH($D137,'O QUE MOSTRAR'!$A$4:$A$12,0))</f>
        <v>2000 × 2000</v>
      </c>
      <c r="I137" s="11" t="str">
        <f aca="false">INDEX('O QUE MOSTRAR'!$F$4:$F$12,MATCH($D137,'O QUE MOSTRAR'!$A$4:$A$12,0))</f>
        <v>Recomendada</v>
      </c>
      <c r="J137" s="13" t="s">
        <v>303</v>
      </c>
      <c r="K137" s="13"/>
    </row>
    <row r="138" customFormat="false" ht="15" hidden="false" customHeight="false" outlineLevel="0" collapsed="false">
      <c r="A138" s="14" t="s">
        <v>92</v>
      </c>
      <c r="B138" s="11" t="str">
        <f aca="false">INDEX(PRODUTOS!$E$4:$E$63,MATCH($A138,PRODUTOS!$B$4:$B$63,0))</f>
        <v>New Dots Ração Seca Premium para Gatos Adultos Castrados - 1 kg</v>
      </c>
      <c r="C138" s="11" t="str">
        <f aca="false">INDEX(PRODUTOS!$G$4:$G$63,MATCH($A138,PRODUTOS!$B$4:$B$63,0))</f>
        <v>1 kg</v>
      </c>
      <c r="D138" s="11" t="s">
        <v>311</v>
      </c>
      <c r="E138" s="15" t="str">
        <f aca="false">$A138&amp;"."&amp;$D138&amp;".jpg"</f>
        <v>7908591300406.PT08.jpg</v>
      </c>
      <c r="F138" s="11" t="str">
        <f aca="false">INDEX('O QUE MOSTRAR'!$B$4:$B$12,MATCH($D138,'O QUE MOSTRAR'!$A$4:$A$12,0))</f>
        <v>Posição 9</v>
      </c>
      <c r="G138" s="11" t="str">
        <f aca="false">IF(INDEX(PRODUTOS!$F$4:$F$63,MATCH($A138,PRODUTOS!$B$4:$B$63,0))="Ração",INDEX('O QUE MOSTRAR'!$C$4:$C$12,MATCH($D138,'O QUE MOSTRAR'!$A$4:$A$12,0)),INDEX('O QUE MOSTRAR'!$D$4:$D$12,MATCH($D138,'O QUE MOSTRAR'!$A$4:$A$12,0)))</f>
        <v>Linha da marca ou embalagem anterior × nova</v>
      </c>
      <c r="H138" s="11" t="str">
        <f aca="false">INDEX('O QUE MOSTRAR'!$E$4:$E$12,MATCH($D138,'O QUE MOSTRAR'!$A$4:$A$12,0))</f>
        <v>2000 × 2000</v>
      </c>
      <c r="I138" s="11" t="str">
        <f aca="false">INDEX('O QUE MOSTRAR'!$F$4:$F$12,MATCH($D138,'O QUE MOSTRAR'!$A$4:$A$12,0))</f>
        <v>Recomendada</v>
      </c>
      <c r="J138" s="13" t="s">
        <v>303</v>
      </c>
      <c r="K138" s="13"/>
    </row>
    <row r="139" customFormat="false" ht="15" hidden="false" customHeight="false" outlineLevel="0" collapsed="false">
      <c r="A139" s="14" t="s">
        <v>95</v>
      </c>
      <c r="B139" s="11" t="str">
        <f aca="false">INDEX(PRODUTOS!$E$4:$E$63,MATCH($A139,PRODUTOS!$B$4:$B$63,0))</f>
        <v>Ração Seca Natural Dots para Cães Adultos - Pacote 15 kg</v>
      </c>
      <c r="C139" s="11" t="str">
        <f aca="false">INDEX(PRODUTOS!$G$4:$G$63,MATCH($A139,PRODUTOS!$B$4:$B$63,0))</f>
        <v>15 kg</v>
      </c>
      <c r="D139" s="11" t="s">
        <v>302</v>
      </c>
      <c r="E139" s="15" t="str">
        <f aca="false">$A139&amp;"."&amp;$D139&amp;".jpg"</f>
        <v>7898968541283.MAIN.jpg</v>
      </c>
      <c r="F139" s="11" t="str">
        <f aca="false">INDEX('O QUE MOSTRAR'!$B$4:$B$12,MATCH($D139,'O QUE MOSTRAR'!$A$4:$A$12,0))</f>
        <v>Capa (posição 1)</v>
      </c>
      <c r="G139" s="11" t="str">
        <f aca="false">IF(INDEX(PRODUTOS!$F$4:$F$63,MATCH($A139,PRODUTOS!$B$4:$B$63,0))="Ração",INDEX('O QUE MOSTRAR'!$C$4:$C$12,MATCH($D139,'O QUE MOSTRAR'!$A$4:$A$12,0)),INDEX('O QUE MOSTRAR'!$D$4:$D$12,MATCH($D139,'O QUE MOSTRAR'!$A$4:$A$12,0)))</f>
        <v>Embalagem de frente, fundo branco puro, 85% da área, nada adicionado</v>
      </c>
      <c r="H139" s="11" t="str">
        <f aca="false">INDEX('O QUE MOSTRAR'!$E$4:$E$12,MATCH($D139,'O QUE MOSTRAR'!$A$4:$A$12,0))</f>
        <v>2000 × 2000</v>
      </c>
      <c r="I139" s="11" t="str">
        <f aca="false">INDEX('O QUE MOSTRAR'!$F$4:$F$12,MATCH($D139,'O QUE MOSTRAR'!$A$4:$A$12,0))</f>
        <v>SIM</v>
      </c>
      <c r="J139" s="13" t="s">
        <v>303</v>
      </c>
      <c r="K139" s="13"/>
    </row>
    <row r="140" customFormat="false" ht="15" hidden="false" customHeight="false" outlineLevel="0" collapsed="false">
      <c r="A140" s="14" t="s">
        <v>95</v>
      </c>
      <c r="B140" s="11" t="str">
        <f aca="false">INDEX(PRODUTOS!$E$4:$E$63,MATCH($A140,PRODUTOS!$B$4:$B$63,0))</f>
        <v>Ração Seca Natural Dots para Cães Adultos - Pacote 15 kg</v>
      </c>
      <c r="C140" s="11" t="str">
        <f aca="false">INDEX(PRODUTOS!$G$4:$G$63,MATCH($A140,PRODUTOS!$B$4:$B$63,0))</f>
        <v>15 kg</v>
      </c>
      <c r="D140" s="11" t="s">
        <v>304</v>
      </c>
      <c r="E140" s="15" t="str">
        <f aca="false">$A140&amp;"."&amp;$D140&amp;".jpg"</f>
        <v>7898968541283.PT01.jpg</v>
      </c>
      <c r="F140" s="11" t="str">
        <f aca="false">INDEX('O QUE MOSTRAR'!$B$4:$B$12,MATCH($D140,'O QUE MOSTRAR'!$A$4:$A$12,0))</f>
        <v>Posição 2</v>
      </c>
      <c r="G140" s="11" t="str">
        <f aca="false">IF(INDEX(PRODUTOS!$F$4:$F$63,MATCH($A140,PRODUTOS!$B$4:$B$63,0))="Ração",INDEX('O QUE MOSTRAR'!$C$4:$C$12,MATCH($D140,'O QUE MOSTRAR'!$A$4:$A$12,0)),INDEX('O QUE MOSTRAR'!$D$4:$D$12,MATCH($D140,'O QUE MOSTRAR'!$A$4:$A$12,0)))</f>
        <v>Grande diferencial da linha (número ou promessa forte + grão e ingrediente)</v>
      </c>
      <c r="H140" s="11" t="str">
        <f aca="false">INDEX('O QUE MOSTRAR'!$E$4:$E$12,MATCH($D140,'O QUE MOSTRAR'!$A$4:$A$12,0))</f>
        <v>2000 × 2000</v>
      </c>
      <c r="I140" s="11" t="str">
        <f aca="false">INDEX('O QUE MOSTRAR'!$F$4:$F$12,MATCH($D140,'O QUE MOSTRAR'!$A$4:$A$12,0))</f>
        <v>SIM</v>
      </c>
      <c r="J140" s="13" t="s">
        <v>303</v>
      </c>
      <c r="K140" s="13"/>
    </row>
    <row r="141" customFormat="false" ht="15" hidden="false" customHeight="false" outlineLevel="0" collapsed="false">
      <c r="A141" s="14" t="s">
        <v>95</v>
      </c>
      <c r="B141" s="11" t="str">
        <f aca="false">INDEX(PRODUTOS!$E$4:$E$63,MATCH($A141,PRODUTOS!$B$4:$B$63,0))</f>
        <v>Ração Seca Natural Dots para Cães Adultos - Pacote 15 kg</v>
      </c>
      <c r="C141" s="11" t="str">
        <f aca="false">INDEX(PRODUTOS!$G$4:$G$63,MATCH($A141,PRODUTOS!$B$4:$B$63,0))</f>
        <v>15 kg</v>
      </c>
      <c r="D141" s="11" t="s">
        <v>305</v>
      </c>
      <c r="E141" s="15" t="str">
        <f aca="false">$A141&amp;"."&amp;$D141&amp;".jpg"</f>
        <v>7898968541283.PT02.jpg</v>
      </c>
      <c r="F141" s="11" t="str">
        <f aca="false">INDEX('O QUE MOSTRAR'!$B$4:$B$12,MATCH($D141,'O QUE MOSTRAR'!$A$4:$A$12,0))</f>
        <v>Posição 3</v>
      </c>
      <c r="G141" s="11" t="str">
        <f aca="false">IF(INDEX(PRODUTOS!$F$4:$F$63,MATCH($A141,PRODUTOS!$B$4:$B$63,0))="Ração",INDEX('O QUE MOSTRAR'!$C$4:$C$12,MATCH($D141,'O QUE MOSTRAR'!$A$4:$A$12,0)),INDEX('O QUE MOSTRAR'!$D$4:$D$12,MATCH($D141,'O QUE MOSTRAR'!$A$4:$A$12,0)))</f>
        <v>Benefícios com ícones (4 a 6, impressos na embalagem) + ingrediente</v>
      </c>
      <c r="H141" s="11" t="str">
        <f aca="false">INDEX('O QUE MOSTRAR'!$E$4:$E$12,MATCH($D141,'O QUE MOSTRAR'!$A$4:$A$12,0))</f>
        <v>2000 × 2000</v>
      </c>
      <c r="I141" s="11" t="str">
        <f aca="false">INDEX('O QUE MOSTRAR'!$F$4:$F$12,MATCH($D141,'O QUE MOSTRAR'!$A$4:$A$12,0))</f>
        <v>SIM</v>
      </c>
      <c r="J141" s="13" t="s">
        <v>303</v>
      </c>
      <c r="K141" s="13"/>
    </row>
    <row r="142" customFormat="false" ht="15" hidden="false" customHeight="false" outlineLevel="0" collapsed="false">
      <c r="A142" s="14" t="s">
        <v>95</v>
      </c>
      <c r="B142" s="11" t="str">
        <f aca="false">INDEX(PRODUTOS!$E$4:$E$63,MATCH($A142,PRODUTOS!$B$4:$B$63,0))</f>
        <v>Ração Seca Natural Dots para Cães Adultos - Pacote 15 kg</v>
      </c>
      <c r="C142" s="11" t="str">
        <f aca="false">INDEX(PRODUTOS!$G$4:$G$63,MATCH($A142,PRODUTOS!$B$4:$B$63,0))</f>
        <v>15 kg</v>
      </c>
      <c r="D142" s="11" t="s">
        <v>306</v>
      </c>
      <c r="E142" s="15" t="str">
        <f aca="false">$A142&amp;"."&amp;$D142&amp;".jpg"</f>
        <v>7898968541283.PT03.jpg</v>
      </c>
      <c r="F142" s="11" t="str">
        <f aca="false">INDEX('O QUE MOSTRAR'!$B$4:$B$12,MATCH($D142,'O QUE MOSTRAR'!$A$4:$A$12,0))</f>
        <v>Posição 4</v>
      </c>
      <c r="G142" s="11" t="str">
        <f aca="false">IF(INDEX(PRODUTOS!$F$4:$F$63,MATCH($A142,PRODUTOS!$B$4:$B$63,0))="Ração",INDEX('O QUE MOSTRAR'!$C$4:$C$12,MATCH($D142,'O QUE MOSTRAR'!$A$4:$A$12,0)),INDEX('O QUE MOSTRAR'!$D$4:$D$12,MATCH($D142,'O QUE MOSTRAR'!$A$4:$A$12,0)))</f>
        <v>Formato e tamanho do grão, com medida em mm e referência de tamanho</v>
      </c>
      <c r="H142" s="11" t="str">
        <f aca="false">INDEX('O QUE MOSTRAR'!$E$4:$E$12,MATCH($D142,'O QUE MOSTRAR'!$A$4:$A$12,0))</f>
        <v>2000 × 2000</v>
      </c>
      <c r="I142" s="11" t="str">
        <f aca="false">INDEX('O QUE MOSTRAR'!$F$4:$F$12,MATCH($D142,'O QUE MOSTRAR'!$A$4:$A$12,0))</f>
        <v>SIM</v>
      </c>
      <c r="J142" s="13" t="s">
        <v>303</v>
      </c>
      <c r="K142" s="13"/>
    </row>
    <row r="143" customFormat="false" ht="15" hidden="false" customHeight="false" outlineLevel="0" collapsed="false">
      <c r="A143" s="14" t="s">
        <v>95</v>
      </c>
      <c r="B143" s="11" t="str">
        <f aca="false">INDEX(PRODUTOS!$E$4:$E$63,MATCH($A143,PRODUTOS!$B$4:$B$63,0))</f>
        <v>Ração Seca Natural Dots para Cães Adultos - Pacote 15 kg</v>
      </c>
      <c r="C143" s="11" t="str">
        <f aca="false">INDEX(PRODUTOS!$G$4:$G$63,MATCH($A143,PRODUTOS!$B$4:$B$63,0))</f>
        <v>15 kg</v>
      </c>
      <c r="D143" s="11" t="s">
        <v>307</v>
      </c>
      <c r="E143" s="15" t="str">
        <f aca="false">$A143&amp;"."&amp;$D143&amp;".jpg"</f>
        <v>7898968541283.PT04.jpg</v>
      </c>
      <c r="F143" s="11" t="str">
        <f aca="false">INDEX('O QUE MOSTRAR'!$B$4:$B$12,MATCH($D143,'O QUE MOSTRAR'!$A$4:$A$12,0))</f>
        <v>Posição 5</v>
      </c>
      <c r="G143" s="11" t="str">
        <f aca="false">IF(INDEX(PRODUTOS!$F$4:$F$63,MATCH($A143,PRODUTOS!$B$4:$B$63,0))="Ração",INDEX('O QUE MOSTRAR'!$C$4:$C$12,MATCH($D143,'O QUE MOSTRAR'!$A$4:$A$12,0)),INDEX('O QUE MOSTRAR'!$D$4:$D$12,MATCH($D143,'O QUE MOSTRAR'!$A$4:$A$12,0)))</f>
        <v>Quantidade diária por peso do pet (números idênticos à embalagem)</v>
      </c>
      <c r="H143" s="11" t="str">
        <f aca="false">INDEX('O QUE MOSTRAR'!$E$4:$E$12,MATCH($D143,'O QUE MOSTRAR'!$A$4:$A$12,0))</f>
        <v>2000 × 2000</v>
      </c>
      <c r="I143" s="11" t="str">
        <f aca="false">INDEX('O QUE MOSTRAR'!$F$4:$F$12,MATCH($D143,'O QUE MOSTRAR'!$A$4:$A$12,0))</f>
        <v>SIM</v>
      </c>
      <c r="J143" s="13" t="s">
        <v>303</v>
      </c>
      <c r="K143" s="13"/>
    </row>
    <row r="144" customFormat="false" ht="15" hidden="false" customHeight="false" outlineLevel="0" collapsed="false">
      <c r="A144" s="14" t="s">
        <v>95</v>
      </c>
      <c r="B144" s="11" t="str">
        <f aca="false">INDEX(PRODUTOS!$E$4:$E$63,MATCH($A144,PRODUTOS!$B$4:$B$63,0))</f>
        <v>Ração Seca Natural Dots para Cães Adultos - Pacote 15 kg</v>
      </c>
      <c r="C144" s="11" t="str">
        <f aca="false">INDEX(PRODUTOS!$G$4:$G$63,MATCH($A144,PRODUTOS!$B$4:$B$63,0))</f>
        <v>15 kg</v>
      </c>
      <c r="D144" s="11" t="s">
        <v>308</v>
      </c>
      <c r="E144" s="15" t="str">
        <f aca="false">$A144&amp;"."&amp;$D144&amp;".jpg"</f>
        <v>7898968541283.PT05.jpg</v>
      </c>
      <c r="F144" s="11" t="str">
        <f aca="false">INDEX('O QUE MOSTRAR'!$B$4:$B$12,MATCH($D144,'O QUE MOSTRAR'!$A$4:$A$12,0))</f>
        <v>Posição 6</v>
      </c>
      <c r="G144" s="11" t="str">
        <f aca="false">IF(INDEX(PRODUTOS!$F$4:$F$63,MATCH($A144,PRODUTOS!$B$4:$B$63,0))="Ração",INDEX('O QUE MOSTRAR'!$C$4:$C$12,MATCH($D144,'O QUE MOSTRAR'!$A$4:$A$12,0)),INDEX('O QUE MOSTRAR'!$D$4:$D$12,MATCH($D144,'O QUE MOSTRAR'!$A$4:$A$12,0)))</f>
        <v>Transição alimentar dia a dia (igual ao verso da embalagem)</v>
      </c>
      <c r="H144" s="11" t="str">
        <f aca="false">INDEX('O QUE MOSTRAR'!$E$4:$E$12,MATCH($D144,'O QUE MOSTRAR'!$A$4:$A$12,0))</f>
        <v>2000 × 2000</v>
      </c>
      <c r="I144" s="11" t="str">
        <f aca="false">INDEX('O QUE MOSTRAR'!$F$4:$F$12,MATCH($D144,'O QUE MOSTRAR'!$A$4:$A$12,0))</f>
        <v>Recomendada</v>
      </c>
      <c r="J144" s="13" t="s">
        <v>303</v>
      </c>
      <c r="K144" s="13"/>
    </row>
    <row r="145" customFormat="false" ht="15" hidden="false" customHeight="false" outlineLevel="0" collapsed="false">
      <c r="A145" s="14" t="s">
        <v>95</v>
      </c>
      <c r="B145" s="11" t="str">
        <f aca="false">INDEX(PRODUTOS!$E$4:$E$63,MATCH($A145,PRODUTOS!$B$4:$B$63,0))</f>
        <v>Ração Seca Natural Dots para Cães Adultos - Pacote 15 kg</v>
      </c>
      <c r="C145" s="11" t="str">
        <f aca="false">INDEX(PRODUTOS!$G$4:$G$63,MATCH($A145,PRODUTOS!$B$4:$B$63,0))</f>
        <v>15 kg</v>
      </c>
      <c r="D145" s="11" t="s">
        <v>309</v>
      </c>
      <c r="E145" s="15" t="str">
        <f aca="false">$A145&amp;"."&amp;$D145&amp;".jpg"</f>
        <v>7898968541283.PT06.jpg</v>
      </c>
      <c r="F145" s="11" t="str">
        <f aca="false">INDEX('O QUE MOSTRAR'!$B$4:$B$12,MATCH($D145,'O QUE MOSTRAR'!$A$4:$A$12,0))</f>
        <v>Posição 7</v>
      </c>
      <c r="G145" s="11" t="str">
        <f aca="false">IF(INDEX(PRODUTOS!$F$4:$F$63,MATCH($A145,PRODUTOS!$B$4:$B$63,0))="Ração",INDEX('O QUE MOSTRAR'!$C$4:$C$12,MATCH($D145,'O QUE MOSTRAR'!$A$4:$A$12,0)),INDEX('O QUE MOSTRAR'!$D$4:$D$12,MATCH($D145,'O QUE MOSTRAR'!$A$4:$A$12,0)))</f>
        <v>Composição e níveis de garantia em letra grande</v>
      </c>
      <c r="H145" s="11" t="str">
        <f aca="false">INDEX('O QUE MOSTRAR'!$E$4:$E$12,MATCH($D145,'O QUE MOSTRAR'!$A$4:$A$12,0))</f>
        <v>2000 × 2000</v>
      </c>
      <c r="I145" s="11" t="str">
        <f aca="false">INDEX('O QUE MOSTRAR'!$F$4:$F$12,MATCH($D145,'O QUE MOSTRAR'!$A$4:$A$12,0))</f>
        <v>SIM</v>
      </c>
      <c r="J145" s="13" t="s">
        <v>303</v>
      </c>
      <c r="K145" s="13"/>
    </row>
    <row r="146" customFormat="false" ht="15" hidden="false" customHeight="false" outlineLevel="0" collapsed="false">
      <c r="A146" s="14" t="s">
        <v>95</v>
      </c>
      <c r="B146" s="11" t="str">
        <f aca="false">INDEX(PRODUTOS!$E$4:$E$63,MATCH($A146,PRODUTOS!$B$4:$B$63,0))</f>
        <v>Ração Seca Natural Dots para Cães Adultos - Pacote 15 kg</v>
      </c>
      <c r="C146" s="11" t="str">
        <f aca="false">INDEX(PRODUTOS!$G$4:$G$63,MATCH($A146,PRODUTOS!$B$4:$B$63,0))</f>
        <v>15 kg</v>
      </c>
      <c r="D146" s="11" t="s">
        <v>310</v>
      </c>
      <c r="E146" s="15" t="str">
        <f aca="false">$A146&amp;"."&amp;$D146&amp;".jpg"</f>
        <v>7898968541283.PT07.jpg</v>
      </c>
      <c r="F146" s="11" t="str">
        <f aca="false">INDEX('O QUE MOSTRAR'!$B$4:$B$12,MATCH($D146,'O QUE MOSTRAR'!$A$4:$A$12,0))</f>
        <v>Posição 8</v>
      </c>
      <c r="G146" s="11" t="str">
        <f aca="false">IF(INDEX(PRODUTOS!$F$4:$F$63,MATCH($A146,PRODUTOS!$B$4:$B$63,0))="Ração",INDEX('O QUE MOSTRAR'!$C$4:$C$12,MATCH($D146,'O QUE MOSTRAR'!$A$4:$A$12,0)),INDEX('O QUE MOSTRAR'!$D$4:$D$12,MATCH($D146,'O QUE MOSTRAR'!$A$4:$A$12,0)))</f>
        <v>Emocional / momento de uso (pet do porte certo, pote cheio)</v>
      </c>
      <c r="H146" s="11" t="str">
        <f aca="false">INDEX('O QUE MOSTRAR'!$E$4:$E$12,MATCH($D146,'O QUE MOSTRAR'!$A$4:$A$12,0))</f>
        <v>2000 × 2000</v>
      </c>
      <c r="I146" s="11" t="str">
        <f aca="false">INDEX('O QUE MOSTRAR'!$F$4:$F$12,MATCH($D146,'O QUE MOSTRAR'!$A$4:$A$12,0))</f>
        <v>Recomendada</v>
      </c>
      <c r="J146" s="13" t="s">
        <v>303</v>
      </c>
      <c r="K146" s="13"/>
    </row>
    <row r="147" customFormat="false" ht="15" hidden="false" customHeight="false" outlineLevel="0" collapsed="false">
      <c r="A147" s="14" t="s">
        <v>95</v>
      </c>
      <c r="B147" s="11" t="str">
        <f aca="false">INDEX(PRODUTOS!$E$4:$E$63,MATCH($A147,PRODUTOS!$B$4:$B$63,0))</f>
        <v>Ração Seca Natural Dots para Cães Adultos - Pacote 15 kg</v>
      </c>
      <c r="C147" s="11" t="str">
        <f aca="false">INDEX(PRODUTOS!$G$4:$G$63,MATCH($A147,PRODUTOS!$B$4:$B$63,0))</f>
        <v>15 kg</v>
      </c>
      <c r="D147" s="11" t="s">
        <v>311</v>
      </c>
      <c r="E147" s="15" t="str">
        <f aca="false">$A147&amp;"."&amp;$D147&amp;".jpg"</f>
        <v>7898968541283.PT08.jpg</v>
      </c>
      <c r="F147" s="11" t="str">
        <f aca="false">INDEX('O QUE MOSTRAR'!$B$4:$B$12,MATCH($D147,'O QUE MOSTRAR'!$A$4:$A$12,0))</f>
        <v>Posição 9</v>
      </c>
      <c r="G147" s="11" t="str">
        <f aca="false">IF(INDEX(PRODUTOS!$F$4:$F$63,MATCH($A147,PRODUTOS!$B$4:$B$63,0))="Ração",INDEX('O QUE MOSTRAR'!$C$4:$C$12,MATCH($D147,'O QUE MOSTRAR'!$A$4:$A$12,0)),INDEX('O QUE MOSTRAR'!$D$4:$D$12,MATCH($D147,'O QUE MOSTRAR'!$A$4:$A$12,0)))</f>
        <v>Linha da marca ou embalagem anterior × nova</v>
      </c>
      <c r="H147" s="11" t="str">
        <f aca="false">INDEX('O QUE MOSTRAR'!$E$4:$E$12,MATCH($D147,'O QUE MOSTRAR'!$A$4:$A$12,0))</f>
        <v>2000 × 2000</v>
      </c>
      <c r="I147" s="11" t="str">
        <f aca="false">INDEX('O QUE MOSTRAR'!$F$4:$F$12,MATCH($D147,'O QUE MOSTRAR'!$A$4:$A$12,0))</f>
        <v>Recomendada</v>
      </c>
      <c r="J147" s="13" t="s">
        <v>303</v>
      </c>
      <c r="K147" s="13"/>
    </row>
    <row r="148" customFormat="false" ht="15" hidden="false" customHeight="false" outlineLevel="0" collapsed="false">
      <c r="A148" s="14" t="s">
        <v>99</v>
      </c>
      <c r="B148" s="11" t="str">
        <f aca="false">INDEX(PRODUTOS!$E$4:$E$63,MATCH($A148,PRODUTOS!$B$4:$B$63,0))</f>
        <v>Ração Seca Natural Dots para Cães Adultos - Pacote 1 kg</v>
      </c>
      <c r="C148" s="11" t="str">
        <f aca="false">INDEX(PRODUTOS!$G$4:$G$63,MATCH($A148,PRODUTOS!$B$4:$B$63,0))</f>
        <v>1 kg</v>
      </c>
      <c r="D148" s="11" t="s">
        <v>302</v>
      </c>
      <c r="E148" s="15" t="str">
        <f aca="false">$A148&amp;"."&amp;$D148&amp;".jpg"</f>
        <v>7898968541269.MAIN.jpg</v>
      </c>
      <c r="F148" s="11" t="str">
        <f aca="false">INDEX('O QUE MOSTRAR'!$B$4:$B$12,MATCH($D148,'O QUE MOSTRAR'!$A$4:$A$12,0))</f>
        <v>Capa (posição 1)</v>
      </c>
      <c r="G148" s="11" t="str">
        <f aca="false">IF(INDEX(PRODUTOS!$F$4:$F$63,MATCH($A148,PRODUTOS!$B$4:$B$63,0))="Ração",INDEX('O QUE MOSTRAR'!$C$4:$C$12,MATCH($D148,'O QUE MOSTRAR'!$A$4:$A$12,0)),INDEX('O QUE MOSTRAR'!$D$4:$D$12,MATCH($D148,'O QUE MOSTRAR'!$A$4:$A$12,0)))</f>
        <v>Embalagem de frente, fundo branco puro, 85% da área, nada adicionado</v>
      </c>
      <c r="H148" s="11" t="str">
        <f aca="false">INDEX('O QUE MOSTRAR'!$E$4:$E$12,MATCH($D148,'O QUE MOSTRAR'!$A$4:$A$12,0))</f>
        <v>2000 × 2000</v>
      </c>
      <c r="I148" s="11" t="str">
        <f aca="false">INDEX('O QUE MOSTRAR'!$F$4:$F$12,MATCH($D148,'O QUE MOSTRAR'!$A$4:$A$12,0))</f>
        <v>SIM</v>
      </c>
      <c r="J148" s="13" t="s">
        <v>303</v>
      </c>
      <c r="K148" s="13"/>
    </row>
    <row r="149" customFormat="false" ht="15" hidden="false" customHeight="false" outlineLevel="0" collapsed="false">
      <c r="A149" s="14" t="s">
        <v>99</v>
      </c>
      <c r="B149" s="11" t="str">
        <f aca="false">INDEX(PRODUTOS!$E$4:$E$63,MATCH($A149,PRODUTOS!$B$4:$B$63,0))</f>
        <v>Ração Seca Natural Dots para Cães Adultos - Pacote 1 kg</v>
      </c>
      <c r="C149" s="11" t="str">
        <f aca="false">INDEX(PRODUTOS!$G$4:$G$63,MATCH($A149,PRODUTOS!$B$4:$B$63,0))</f>
        <v>1 kg</v>
      </c>
      <c r="D149" s="11" t="s">
        <v>304</v>
      </c>
      <c r="E149" s="15" t="str">
        <f aca="false">$A149&amp;"."&amp;$D149&amp;".jpg"</f>
        <v>7898968541269.PT01.jpg</v>
      </c>
      <c r="F149" s="11" t="str">
        <f aca="false">INDEX('O QUE MOSTRAR'!$B$4:$B$12,MATCH($D149,'O QUE MOSTRAR'!$A$4:$A$12,0))</f>
        <v>Posição 2</v>
      </c>
      <c r="G149" s="11" t="str">
        <f aca="false">IF(INDEX(PRODUTOS!$F$4:$F$63,MATCH($A149,PRODUTOS!$B$4:$B$63,0))="Ração",INDEX('O QUE MOSTRAR'!$C$4:$C$12,MATCH($D149,'O QUE MOSTRAR'!$A$4:$A$12,0)),INDEX('O QUE MOSTRAR'!$D$4:$D$12,MATCH($D149,'O QUE MOSTRAR'!$A$4:$A$12,0)))</f>
        <v>Grande diferencial da linha (número ou promessa forte + grão e ingrediente)</v>
      </c>
      <c r="H149" s="11" t="str">
        <f aca="false">INDEX('O QUE MOSTRAR'!$E$4:$E$12,MATCH($D149,'O QUE MOSTRAR'!$A$4:$A$12,0))</f>
        <v>2000 × 2000</v>
      </c>
      <c r="I149" s="11" t="str">
        <f aca="false">INDEX('O QUE MOSTRAR'!$F$4:$F$12,MATCH($D149,'O QUE MOSTRAR'!$A$4:$A$12,0))</f>
        <v>SIM</v>
      </c>
      <c r="J149" s="13" t="s">
        <v>303</v>
      </c>
      <c r="K149" s="13"/>
    </row>
    <row r="150" customFormat="false" ht="15" hidden="false" customHeight="false" outlineLevel="0" collapsed="false">
      <c r="A150" s="14" t="s">
        <v>99</v>
      </c>
      <c r="B150" s="11" t="str">
        <f aca="false">INDEX(PRODUTOS!$E$4:$E$63,MATCH($A150,PRODUTOS!$B$4:$B$63,0))</f>
        <v>Ração Seca Natural Dots para Cães Adultos - Pacote 1 kg</v>
      </c>
      <c r="C150" s="11" t="str">
        <f aca="false">INDEX(PRODUTOS!$G$4:$G$63,MATCH($A150,PRODUTOS!$B$4:$B$63,0))</f>
        <v>1 kg</v>
      </c>
      <c r="D150" s="11" t="s">
        <v>305</v>
      </c>
      <c r="E150" s="15" t="str">
        <f aca="false">$A150&amp;"."&amp;$D150&amp;".jpg"</f>
        <v>7898968541269.PT02.jpg</v>
      </c>
      <c r="F150" s="11" t="str">
        <f aca="false">INDEX('O QUE MOSTRAR'!$B$4:$B$12,MATCH($D150,'O QUE MOSTRAR'!$A$4:$A$12,0))</f>
        <v>Posição 3</v>
      </c>
      <c r="G150" s="11" t="str">
        <f aca="false">IF(INDEX(PRODUTOS!$F$4:$F$63,MATCH($A150,PRODUTOS!$B$4:$B$63,0))="Ração",INDEX('O QUE MOSTRAR'!$C$4:$C$12,MATCH($D150,'O QUE MOSTRAR'!$A$4:$A$12,0)),INDEX('O QUE MOSTRAR'!$D$4:$D$12,MATCH($D150,'O QUE MOSTRAR'!$A$4:$A$12,0)))</f>
        <v>Benefícios com ícones (4 a 6, impressos na embalagem) + ingrediente</v>
      </c>
      <c r="H150" s="11" t="str">
        <f aca="false">INDEX('O QUE MOSTRAR'!$E$4:$E$12,MATCH($D150,'O QUE MOSTRAR'!$A$4:$A$12,0))</f>
        <v>2000 × 2000</v>
      </c>
      <c r="I150" s="11" t="str">
        <f aca="false">INDEX('O QUE MOSTRAR'!$F$4:$F$12,MATCH($D150,'O QUE MOSTRAR'!$A$4:$A$12,0))</f>
        <v>SIM</v>
      </c>
      <c r="J150" s="13" t="s">
        <v>303</v>
      </c>
      <c r="K150" s="13"/>
    </row>
    <row r="151" customFormat="false" ht="15" hidden="false" customHeight="false" outlineLevel="0" collapsed="false">
      <c r="A151" s="14" t="s">
        <v>99</v>
      </c>
      <c r="B151" s="11" t="str">
        <f aca="false">INDEX(PRODUTOS!$E$4:$E$63,MATCH($A151,PRODUTOS!$B$4:$B$63,0))</f>
        <v>Ração Seca Natural Dots para Cães Adultos - Pacote 1 kg</v>
      </c>
      <c r="C151" s="11" t="str">
        <f aca="false">INDEX(PRODUTOS!$G$4:$G$63,MATCH($A151,PRODUTOS!$B$4:$B$63,0))</f>
        <v>1 kg</v>
      </c>
      <c r="D151" s="11" t="s">
        <v>306</v>
      </c>
      <c r="E151" s="15" t="str">
        <f aca="false">$A151&amp;"."&amp;$D151&amp;".jpg"</f>
        <v>7898968541269.PT03.jpg</v>
      </c>
      <c r="F151" s="11" t="str">
        <f aca="false">INDEX('O QUE MOSTRAR'!$B$4:$B$12,MATCH($D151,'O QUE MOSTRAR'!$A$4:$A$12,0))</f>
        <v>Posição 4</v>
      </c>
      <c r="G151" s="11" t="str">
        <f aca="false">IF(INDEX(PRODUTOS!$F$4:$F$63,MATCH($A151,PRODUTOS!$B$4:$B$63,0))="Ração",INDEX('O QUE MOSTRAR'!$C$4:$C$12,MATCH($D151,'O QUE MOSTRAR'!$A$4:$A$12,0)),INDEX('O QUE MOSTRAR'!$D$4:$D$12,MATCH($D151,'O QUE MOSTRAR'!$A$4:$A$12,0)))</f>
        <v>Formato e tamanho do grão, com medida em mm e referência de tamanho</v>
      </c>
      <c r="H151" s="11" t="str">
        <f aca="false">INDEX('O QUE MOSTRAR'!$E$4:$E$12,MATCH($D151,'O QUE MOSTRAR'!$A$4:$A$12,0))</f>
        <v>2000 × 2000</v>
      </c>
      <c r="I151" s="11" t="str">
        <f aca="false">INDEX('O QUE MOSTRAR'!$F$4:$F$12,MATCH($D151,'O QUE MOSTRAR'!$A$4:$A$12,0))</f>
        <v>SIM</v>
      </c>
      <c r="J151" s="13" t="s">
        <v>303</v>
      </c>
      <c r="K151" s="13"/>
    </row>
    <row r="152" customFormat="false" ht="15" hidden="false" customHeight="false" outlineLevel="0" collapsed="false">
      <c r="A152" s="14" t="s">
        <v>99</v>
      </c>
      <c r="B152" s="11" t="str">
        <f aca="false">INDEX(PRODUTOS!$E$4:$E$63,MATCH($A152,PRODUTOS!$B$4:$B$63,0))</f>
        <v>Ração Seca Natural Dots para Cães Adultos - Pacote 1 kg</v>
      </c>
      <c r="C152" s="11" t="str">
        <f aca="false">INDEX(PRODUTOS!$G$4:$G$63,MATCH($A152,PRODUTOS!$B$4:$B$63,0))</f>
        <v>1 kg</v>
      </c>
      <c r="D152" s="11" t="s">
        <v>307</v>
      </c>
      <c r="E152" s="15" t="str">
        <f aca="false">$A152&amp;"."&amp;$D152&amp;".jpg"</f>
        <v>7898968541269.PT04.jpg</v>
      </c>
      <c r="F152" s="11" t="str">
        <f aca="false">INDEX('O QUE MOSTRAR'!$B$4:$B$12,MATCH($D152,'O QUE MOSTRAR'!$A$4:$A$12,0))</f>
        <v>Posição 5</v>
      </c>
      <c r="G152" s="11" t="str">
        <f aca="false">IF(INDEX(PRODUTOS!$F$4:$F$63,MATCH($A152,PRODUTOS!$B$4:$B$63,0))="Ração",INDEX('O QUE MOSTRAR'!$C$4:$C$12,MATCH($D152,'O QUE MOSTRAR'!$A$4:$A$12,0)),INDEX('O QUE MOSTRAR'!$D$4:$D$12,MATCH($D152,'O QUE MOSTRAR'!$A$4:$A$12,0)))</f>
        <v>Quantidade diária por peso do pet (números idênticos à embalagem)</v>
      </c>
      <c r="H152" s="11" t="str">
        <f aca="false">INDEX('O QUE MOSTRAR'!$E$4:$E$12,MATCH($D152,'O QUE MOSTRAR'!$A$4:$A$12,0))</f>
        <v>2000 × 2000</v>
      </c>
      <c r="I152" s="11" t="str">
        <f aca="false">INDEX('O QUE MOSTRAR'!$F$4:$F$12,MATCH($D152,'O QUE MOSTRAR'!$A$4:$A$12,0))</f>
        <v>SIM</v>
      </c>
      <c r="J152" s="13" t="s">
        <v>303</v>
      </c>
      <c r="K152" s="13"/>
    </row>
    <row r="153" customFormat="false" ht="15" hidden="false" customHeight="false" outlineLevel="0" collapsed="false">
      <c r="A153" s="14" t="s">
        <v>99</v>
      </c>
      <c r="B153" s="11" t="str">
        <f aca="false">INDEX(PRODUTOS!$E$4:$E$63,MATCH($A153,PRODUTOS!$B$4:$B$63,0))</f>
        <v>Ração Seca Natural Dots para Cães Adultos - Pacote 1 kg</v>
      </c>
      <c r="C153" s="11" t="str">
        <f aca="false">INDEX(PRODUTOS!$G$4:$G$63,MATCH($A153,PRODUTOS!$B$4:$B$63,0))</f>
        <v>1 kg</v>
      </c>
      <c r="D153" s="11" t="s">
        <v>308</v>
      </c>
      <c r="E153" s="15" t="str">
        <f aca="false">$A153&amp;"."&amp;$D153&amp;".jpg"</f>
        <v>7898968541269.PT05.jpg</v>
      </c>
      <c r="F153" s="11" t="str">
        <f aca="false">INDEX('O QUE MOSTRAR'!$B$4:$B$12,MATCH($D153,'O QUE MOSTRAR'!$A$4:$A$12,0))</f>
        <v>Posição 6</v>
      </c>
      <c r="G153" s="11" t="str">
        <f aca="false">IF(INDEX(PRODUTOS!$F$4:$F$63,MATCH($A153,PRODUTOS!$B$4:$B$63,0))="Ração",INDEX('O QUE MOSTRAR'!$C$4:$C$12,MATCH($D153,'O QUE MOSTRAR'!$A$4:$A$12,0)),INDEX('O QUE MOSTRAR'!$D$4:$D$12,MATCH($D153,'O QUE MOSTRAR'!$A$4:$A$12,0)))</f>
        <v>Transição alimentar dia a dia (igual ao verso da embalagem)</v>
      </c>
      <c r="H153" s="11" t="str">
        <f aca="false">INDEX('O QUE MOSTRAR'!$E$4:$E$12,MATCH($D153,'O QUE MOSTRAR'!$A$4:$A$12,0))</f>
        <v>2000 × 2000</v>
      </c>
      <c r="I153" s="11" t="str">
        <f aca="false">INDEX('O QUE MOSTRAR'!$F$4:$F$12,MATCH($D153,'O QUE MOSTRAR'!$A$4:$A$12,0))</f>
        <v>Recomendada</v>
      </c>
      <c r="J153" s="13" t="s">
        <v>303</v>
      </c>
      <c r="K153" s="13"/>
    </row>
    <row r="154" customFormat="false" ht="15" hidden="false" customHeight="false" outlineLevel="0" collapsed="false">
      <c r="A154" s="14" t="s">
        <v>99</v>
      </c>
      <c r="B154" s="11" t="str">
        <f aca="false">INDEX(PRODUTOS!$E$4:$E$63,MATCH($A154,PRODUTOS!$B$4:$B$63,0))</f>
        <v>Ração Seca Natural Dots para Cães Adultos - Pacote 1 kg</v>
      </c>
      <c r="C154" s="11" t="str">
        <f aca="false">INDEX(PRODUTOS!$G$4:$G$63,MATCH($A154,PRODUTOS!$B$4:$B$63,0))</f>
        <v>1 kg</v>
      </c>
      <c r="D154" s="11" t="s">
        <v>309</v>
      </c>
      <c r="E154" s="15" t="str">
        <f aca="false">$A154&amp;"."&amp;$D154&amp;".jpg"</f>
        <v>7898968541269.PT06.jpg</v>
      </c>
      <c r="F154" s="11" t="str">
        <f aca="false">INDEX('O QUE MOSTRAR'!$B$4:$B$12,MATCH($D154,'O QUE MOSTRAR'!$A$4:$A$12,0))</f>
        <v>Posição 7</v>
      </c>
      <c r="G154" s="11" t="str">
        <f aca="false">IF(INDEX(PRODUTOS!$F$4:$F$63,MATCH($A154,PRODUTOS!$B$4:$B$63,0))="Ração",INDEX('O QUE MOSTRAR'!$C$4:$C$12,MATCH($D154,'O QUE MOSTRAR'!$A$4:$A$12,0)),INDEX('O QUE MOSTRAR'!$D$4:$D$12,MATCH($D154,'O QUE MOSTRAR'!$A$4:$A$12,0)))</f>
        <v>Composição e níveis de garantia em letra grande</v>
      </c>
      <c r="H154" s="11" t="str">
        <f aca="false">INDEX('O QUE MOSTRAR'!$E$4:$E$12,MATCH($D154,'O QUE MOSTRAR'!$A$4:$A$12,0))</f>
        <v>2000 × 2000</v>
      </c>
      <c r="I154" s="11" t="str">
        <f aca="false">INDEX('O QUE MOSTRAR'!$F$4:$F$12,MATCH($D154,'O QUE MOSTRAR'!$A$4:$A$12,0))</f>
        <v>SIM</v>
      </c>
      <c r="J154" s="13" t="s">
        <v>303</v>
      </c>
      <c r="K154" s="13"/>
    </row>
    <row r="155" customFormat="false" ht="15" hidden="false" customHeight="false" outlineLevel="0" collapsed="false">
      <c r="A155" s="14" t="s">
        <v>99</v>
      </c>
      <c r="B155" s="11" t="str">
        <f aca="false">INDEX(PRODUTOS!$E$4:$E$63,MATCH($A155,PRODUTOS!$B$4:$B$63,0))</f>
        <v>Ração Seca Natural Dots para Cães Adultos - Pacote 1 kg</v>
      </c>
      <c r="C155" s="11" t="str">
        <f aca="false">INDEX(PRODUTOS!$G$4:$G$63,MATCH($A155,PRODUTOS!$B$4:$B$63,0))</f>
        <v>1 kg</v>
      </c>
      <c r="D155" s="11" t="s">
        <v>310</v>
      </c>
      <c r="E155" s="15" t="str">
        <f aca="false">$A155&amp;"."&amp;$D155&amp;".jpg"</f>
        <v>7898968541269.PT07.jpg</v>
      </c>
      <c r="F155" s="11" t="str">
        <f aca="false">INDEX('O QUE MOSTRAR'!$B$4:$B$12,MATCH($D155,'O QUE MOSTRAR'!$A$4:$A$12,0))</f>
        <v>Posição 8</v>
      </c>
      <c r="G155" s="11" t="str">
        <f aca="false">IF(INDEX(PRODUTOS!$F$4:$F$63,MATCH($A155,PRODUTOS!$B$4:$B$63,0))="Ração",INDEX('O QUE MOSTRAR'!$C$4:$C$12,MATCH($D155,'O QUE MOSTRAR'!$A$4:$A$12,0)),INDEX('O QUE MOSTRAR'!$D$4:$D$12,MATCH($D155,'O QUE MOSTRAR'!$A$4:$A$12,0)))</f>
        <v>Emocional / momento de uso (pet do porte certo, pote cheio)</v>
      </c>
      <c r="H155" s="11" t="str">
        <f aca="false">INDEX('O QUE MOSTRAR'!$E$4:$E$12,MATCH($D155,'O QUE MOSTRAR'!$A$4:$A$12,0))</f>
        <v>2000 × 2000</v>
      </c>
      <c r="I155" s="11" t="str">
        <f aca="false">INDEX('O QUE MOSTRAR'!$F$4:$F$12,MATCH($D155,'O QUE MOSTRAR'!$A$4:$A$12,0))</f>
        <v>Recomendada</v>
      </c>
      <c r="J155" s="13" t="s">
        <v>303</v>
      </c>
      <c r="K155" s="13"/>
    </row>
    <row r="156" customFormat="false" ht="15" hidden="false" customHeight="false" outlineLevel="0" collapsed="false">
      <c r="A156" s="14" t="s">
        <v>99</v>
      </c>
      <c r="B156" s="11" t="str">
        <f aca="false">INDEX(PRODUTOS!$E$4:$E$63,MATCH($A156,PRODUTOS!$B$4:$B$63,0))</f>
        <v>Ração Seca Natural Dots para Cães Adultos - Pacote 1 kg</v>
      </c>
      <c r="C156" s="11" t="str">
        <f aca="false">INDEX(PRODUTOS!$G$4:$G$63,MATCH($A156,PRODUTOS!$B$4:$B$63,0))</f>
        <v>1 kg</v>
      </c>
      <c r="D156" s="11" t="s">
        <v>311</v>
      </c>
      <c r="E156" s="15" t="str">
        <f aca="false">$A156&amp;"."&amp;$D156&amp;".jpg"</f>
        <v>7898968541269.PT08.jpg</v>
      </c>
      <c r="F156" s="11" t="str">
        <f aca="false">INDEX('O QUE MOSTRAR'!$B$4:$B$12,MATCH($D156,'O QUE MOSTRAR'!$A$4:$A$12,0))</f>
        <v>Posição 9</v>
      </c>
      <c r="G156" s="11" t="str">
        <f aca="false">IF(INDEX(PRODUTOS!$F$4:$F$63,MATCH($A156,PRODUTOS!$B$4:$B$63,0))="Ração",INDEX('O QUE MOSTRAR'!$C$4:$C$12,MATCH($D156,'O QUE MOSTRAR'!$A$4:$A$12,0)),INDEX('O QUE MOSTRAR'!$D$4:$D$12,MATCH($D156,'O QUE MOSTRAR'!$A$4:$A$12,0)))</f>
        <v>Linha da marca ou embalagem anterior × nova</v>
      </c>
      <c r="H156" s="11" t="str">
        <f aca="false">INDEX('O QUE MOSTRAR'!$E$4:$E$12,MATCH($D156,'O QUE MOSTRAR'!$A$4:$A$12,0))</f>
        <v>2000 × 2000</v>
      </c>
      <c r="I156" s="11" t="str">
        <f aca="false">INDEX('O QUE MOSTRAR'!$F$4:$F$12,MATCH($D156,'O QUE MOSTRAR'!$A$4:$A$12,0))</f>
        <v>Recomendada</v>
      </c>
      <c r="J156" s="13" t="s">
        <v>303</v>
      </c>
      <c r="K156" s="13"/>
    </row>
    <row r="157" customFormat="false" ht="15" hidden="false" customHeight="false" outlineLevel="0" collapsed="false">
      <c r="A157" s="14" t="s">
        <v>103</v>
      </c>
      <c r="B157" s="11" t="str">
        <f aca="false">INDEX(PRODUTOS!$E$4:$E$63,MATCH($A157,PRODUTOS!$B$4:$B$63,0))</f>
        <v>Ração Seca Natural Dots para Cães Filhotes - Pacote 15 kg</v>
      </c>
      <c r="C157" s="11" t="str">
        <f aca="false">INDEX(PRODUTOS!$G$4:$G$63,MATCH($A157,PRODUTOS!$B$4:$B$63,0))</f>
        <v>15 kg</v>
      </c>
      <c r="D157" s="11" t="s">
        <v>302</v>
      </c>
      <c r="E157" s="15" t="str">
        <f aca="false">$A157&amp;"."&amp;$D157&amp;".jpg"</f>
        <v>7898968541313.MAIN.jpg</v>
      </c>
      <c r="F157" s="11" t="str">
        <f aca="false">INDEX('O QUE MOSTRAR'!$B$4:$B$12,MATCH($D157,'O QUE MOSTRAR'!$A$4:$A$12,0))</f>
        <v>Capa (posição 1)</v>
      </c>
      <c r="G157" s="11" t="str">
        <f aca="false">IF(INDEX(PRODUTOS!$F$4:$F$63,MATCH($A157,PRODUTOS!$B$4:$B$63,0))="Ração",INDEX('O QUE MOSTRAR'!$C$4:$C$12,MATCH($D157,'O QUE MOSTRAR'!$A$4:$A$12,0)),INDEX('O QUE MOSTRAR'!$D$4:$D$12,MATCH($D157,'O QUE MOSTRAR'!$A$4:$A$12,0)))</f>
        <v>Embalagem de frente, fundo branco puro, 85% da área, nada adicionado</v>
      </c>
      <c r="H157" s="11" t="str">
        <f aca="false">INDEX('O QUE MOSTRAR'!$E$4:$E$12,MATCH($D157,'O QUE MOSTRAR'!$A$4:$A$12,0))</f>
        <v>2000 × 2000</v>
      </c>
      <c r="I157" s="11" t="str">
        <f aca="false">INDEX('O QUE MOSTRAR'!$F$4:$F$12,MATCH($D157,'O QUE MOSTRAR'!$A$4:$A$12,0))</f>
        <v>SIM</v>
      </c>
      <c r="J157" s="13" t="s">
        <v>303</v>
      </c>
      <c r="K157" s="13"/>
    </row>
    <row r="158" customFormat="false" ht="15" hidden="false" customHeight="false" outlineLevel="0" collapsed="false">
      <c r="A158" s="14" t="s">
        <v>103</v>
      </c>
      <c r="B158" s="11" t="str">
        <f aca="false">INDEX(PRODUTOS!$E$4:$E$63,MATCH($A158,PRODUTOS!$B$4:$B$63,0))</f>
        <v>Ração Seca Natural Dots para Cães Filhotes - Pacote 15 kg</v>
      </c>
      <c r="C158" s="11" t="str">
        <f aca="false">INDEX(PRODUTOS!$G$4:$G$63,MATCH($A158,PRODUTOS!$B$4:$B$63,0))</f>
        <v>15 kg</v>
      </c>
      <c r="D158" s="11" t="s">
        <v>304</v>
      </c>
      <c r="E158" s="15" t="str">
        <f aca="false">$A158&amp;"."&amp;$D158&amp;".jpg"</f>
        <v>7898968541313.PT01.jpg</v>
      </c>
      <c r="F158" s="11" t="str">
        <f aca="false">INDEX('O QUE MOSTRAR'!$B$4:$B$12,MATCH($D158,'O QUE MOSTRAR'!$A$4:$A$12,0))</f>
        <v>Posição 2</v>
      </c>
      <c r="G158" s="11" t="str">
        <f aca="false">IF(INDEX(PRODUTOS!$F$4:$F$63,MATCH($A158,PRODUTOS!$B$4:$B$63,0))="Ração",INDEX('O QUE MOSTRAR'!$C$4:$C$12,MATCH($D158,'O QUE MOSTRAR'!$A$4:$A$12,0)),INDEX('O QUE MOSTRAR'!$D$4:$D$12,MATCH($D158,'O QUE MOSTRAR'!$A$4:$A$12,0)))</f>
        <v>Grande diferencial da linha (número ou promessa forte + grão e ingrediente)</v>
      </c>
      <c r="H158" s="11" t="str">
        <f aca="false">INDEX('O QUE MOSTRAR'!$E$4:$E$12,MATCH($D158,'O QUE MOSTRAR'!$A$4:$A$12,0))</f>
        <v>2000 × 2000</v>
      </c>
      <c r="I158" s="11" t="str">
        <f aca="false">INDEX('O QUE MOSTRAR'!$F$4:$F$12,MATCH($D158,'O QUE MOSTRAR'!$A$4:$A$12,0))</f>
        <v>SIM</v>
      </c>
      <c r="J158" s="13" t="s">
        <v>303</v>
      </c>
      <c r="K158" s="13"/>
    </row>
    <row r="159" customFormat="false" ht="15" hidden="false" customHeight="false" outlineLevel="0" collapsed="false">
      <c r="A159" s="14" t="s">
        <v>103</v>
      </c>
      <c r="B159" s="11" t="str">
        <f aca="false">INDEX(PRODUTOS!$E$4:$E$63,MATCH($A159,PRODUTOS!$B$4:$B$63,0))</f>
        <v>Ração Seca Natural Dots para Cães Filhotes - Pacote 15 kg</v>
      </c>
      <c r="C159" s="11" t="str">
        <f aca="false">INDEX(PRODUTOS!$G$4:$G$63,MATCH($A159,PRODUTOS!$B$4:$B$63,0))</f>
        <v>15 kg</v>
      </c>
      <c r="D159" s="11" t="s">
        <v>305</v>
      </c>
      <c r="E159" s="15" t="str">
        <f aca="false">$A159&amp;"."&amp;$D159&amp;".jpg"</f>
        <v>7898968541313.PT02.jpg</v>
      </c>
      <c r="F159" s="11" t="str">
        <f aca="false">INDEX('O QUE MOSTRAR'!$B$4:$B$12,MATCH($D159,'O QUE MOSTRAR'!$A$4:$A$12,0))</f>
        <v>Posição 3</v>
      </c>
      <c r="G159" s="11" t="str">
        <f aca="false">IF(INDEX(PRODUTOS!$F$4:$F$63,MATCH($A159,PRODUTOS!$B$4:$B$63,0))="Ração",INDEX('O QUE MOSTRAR'!$C$4:$C$12,MATCH($D159,'O QUE MOSTRAR'!$A$4:$A$12,0)),INDEX('O QUE MOSTRAR'!$D$4:$D$12,MATCH($D159,'O QUE MOSTRAR'!$A$4:$A$12,0)))</f>
        <v>Benefícios com ícones (4 a 6, impressos na embalagem) + ingrediente</v>
      </c>
      <c r="H159" s="11" t="str">
        <f aca="false">INDEX('O QUE MOSTRAR'!$E$4:$E$12,MATCH($D159,'O QUE MOSTRAR'!$A$4:$A$12,0))</f>
        <v>2000 × 2000</v>
      </c>
      <c r="I159" s="11" t="str">
        <f aca="false">INDEX('O QUE MOSTRAR'!$F$4:$F$12,MATCH($D159,'O QUE MOSTRAR'!$A$4:$A$12,0))</f>
        <v>SIM</v>
      </c>
      <c r="J159" s="13" t="s">
        <v>303</v>
      </c>
      <c r="K159" s="13"/>
    </row>
    <row r="160" customFormat="false" ht="15" hidden="false" customHeight="false" outlineLevel="0" collapsed="false">
      <c r="A160" s="14" t="s">
        <v>103</v>
      </c>
      <c r="B160" s="11" t="str">
        <f aca="false">INDEX(PRODUTOS!$E$4:$E$63,MATCH($A160,PRODUTOS!$B$4:$B$63,0))</f>
        <v>Ração Seca Natural Dots para Cães Filhotes - Pacote 15 kg</v>
      </c>
      <c r="C160" s="11" t="str">
        <f aca="false">INDEX(PRODUTOS!$G$4:$G$63,MATCH($A160,PRODUTOS!$B$4:$B$63,0))</f>
        <v>15 kg</v>
      </c>
      <c r="D160" s="11" t="s">
        <v>306</v>
      </c>
      <c r="E160" s="15" t="str">
        <f aca="false">$A160&amp;"."&amp;$D160&amp;".jpg"</f>
        <v>7898968541313.PT03.jpg</v>
      </c>
      <c r="F160" s="11" t="str">
        <f aca="false">INDEX('O QUE MOSTRAR'!$B$4:$B$12,MATCH($D160,'O QUE MOSTRAR'!$A$4:$A$12,0))</f>
        <v>Posição 4</v>
      </c>
      <c r="G160" s="11" t="str">
        <f aca="false">IF(INDEX(PRODUTOS!$F$4:$F$63,MATCH($A160,PRODUTOS!$B$4:$B$63,0))="Ração",INDEX('O QUE MOSTRAR'!$C$4:$C$12,MATCH($D160,'O QUE MOSTRAR'!$A$4:$A$12,0)),INDEX('O QUE MOSTRAR'!$D$4:$D$12,MATCH($D160,'O QUE MOSTRAR'!$A$4:$A$12,0)))</f>
        <v>Formato e tamanho do grão, com medida em mm e referência de tamanho</v>
      </c>
      <c r="H160" s="11" t="str">
        <f aca="false">INDEX('O QUE MOSTRAR'!$E$4:$E$12,MATCH($D160,'O QUE MOSTRAR'!$A$4:$A$12,0))</f>
        <v>2000 × 2000</v>
      </c>
      <c r="I160" s="11" t="str">
        <f aca="false">INDEX('O QUE MOSTRAR'!$F$4:$F$12,MATCH($D160,'O QUE MOSTRAR'!$A$4:$A$12,0))</f>
        <v>SIM</v>
      </c>
      <c r="J160" s="13" t="s">
        <v>303</v>
      </c>
      <c r="K160" s="13"/>
    </row>
    <row r="161" customFormat="false" ht="15" hidden="false" customHeight="false" outlineLevel="0" collapsed="false">
      <c r="A161" s="14" t="s">
        <v>103</v>
      </c>
      <c r="B161" s="11" t="str">
        <f aca="false">INDEX(PRODUTOS!$E$4:$E$63,MATCH($A161,PRODUTOS!$B$4:$B$63,0))</f>
        <v>Ração Seca Natural Dots para Cães Filhotes - Pacote 15 kg</v>
      </c>
      <c r="C161" s="11" t="str">
        <f aca="false">INDEX(PRODUTOS!$G$4:$G$63,MATCH($A161,PRODUTOS!$B$4:$B$63,0))</f>
        <v>15 kg</v>
      </c>
      <c r="D161" s="11" t="s">
        <v>307</v>
      </c>
      <c r="E161" s="15" t="str">
        <f aca="false">$A161&amp;"."&amp;$D161&amp;".jpg"</f>
        <v>7898968541313.PT04.jpg</v>
      </c>
      <c r="F161" s="11" t="str">
        <f aca="false">INDEX('O QUE MOSTRAR'!$B$4:$B$12,MATCH($D161,'O QUE MOSTRAR'!$A$4:$A$12,0))</f>
        <v>Posição 5</v>
      </c>
      <c r="G161" s="11" t="str">
        <f aca="false">IF(INDEX(PRODUTOS!$F$4:$F$63,MATCH($A161,PRODUTOS!$B$4:$B$63,0))="Ração",INDEX('O QUE MOSTRAR'!$C$4:$C$12,MATCH($D161,'O QUE MOSTRAR'!$A$4:$A$12,0)),INDEX('O QUE MOSTRAR'!$D$4:$D$12,MATCH($D161,'O QUE MOSTRAR'!$A$4:$A$12,0)))</f>
        <v>Quantidade diária por peso do pet (números idênticos à embalagem)</v>
      </c>
      <c r="H161" s="11" t="str">
        <f aca="false">INDEX('O QUE MOSTRAR'!$E$4:$E$12,MATCH($D161,'O QUE MOSTRAR'!$A$4:$A$12,0))</f>
        <v>2000 × 2000</v>
      </c>
      <c r="I161" s="11" t="str">
        <f aca="false">INDEX('O QUE MOSTRAR'!$F$4:$F$12,MATCH($D161,'O QUE MOSTRAR'!$A$4:$A$12,0))</f>
        <v>SIM</v>
      </c>
      <c r="J161" s="13" t="s">
        <v>303</v>
      </c>
      <c r="K161" s="13"/>
    </row>
    <row r="162" customFormat="false" ht="15" hidden="false" customHeight="false" outlineLevel="0" collapsed="false">
      <c r="A162" s="14" t="s">
        <v>103</v>
      </c>
      <c r="B162" s="11" t="str">
        <f aca="false">INDEX(PRODUTOS!$E$4:$E$63,MATCH($A162,PRODUTOS!$B$4:$B$63,0))</f>
        <v>Ração Seca Natural Dots para Cães Filhotes - Pacote 15 kg</v>
      </c>
      <c r="C162" s="11" t="str">
        <f aca="false">INDEX(PRODUTOS!$G$4:$G$63,MATCH($A162,PRODUTOS!$B$4:$B$63,0))</f>
        <v>15 kg</v>
      </c>
      <c r="D162" s="11" t="s">
        <v>308</v>
      </c>
      <c r="E162" s="15" t="str">
        <f aca="false">$A162&amp;"."&amp;$D162&amp;".jpg"</f>
        <v>7898968541313.PT05.jpg</v>
      </c>
      <c r="F162" s="11" t="str">
        <f aca="false">INDEX('O QUE MOSTRAR'!$B$4:$B$12,MATCH($D162,'O QUE MOSTRAR'!$A$4:$A$12,0))</f>
        <v>Posição 6</v>
      </c>
      <c r="G162" s="11" t="str">
        <f aca="false">IF(INDEX(PRODUTOS!$F$4:$F$63,MATCH($A162,PRODUTOS!$B$4:$B$63,0))="Ração",INDEX('O QUE MOSTRAR'!$C$4:$C$12,MATCH($D162,'O QUE MOSTRAR'!$A$4:$A$12,0)),INDEX('O QUE MOSTRAR'!$D$4:$D$12,MATCH($D162,'O QUE MOSTRAR'!$A$4:$A$12,0)))</f>
        <v>Transição alimentar dia a dia (igual ao verso da embalagem)</v>
      </c>
      <c r="H162" s="11" t="str">
        <f aca="false">INDEX('O QUE MOSTRAR'!$E$4:$E$12,MATCH($D162,'O QUE MOSTRAR'!$A$4:$A$12,0))</f>
        <v>2000 × 2000</v>
      </c>
      <c r="I162" s="11" t="str">
        <f aca="false">INDEX('O QUE MOSTRAR'!$F$4:$F$12,MATCH($D162,'O QUE MOSTRAR'!$A$4:$A$12,0))</f>
        <v>Recomendada</v>
      </c>
      <c r="J162" s="13" t="s">
        <v>303</v>
      </c>
      <c r="K162" s="13"/>
    </row>
    <row r="163" customFormat="false" ht="15" hidden="false" customHeight="false" outlineLevel="0" collapsed="false">
      <c r="A163" s="14" t="s">
        <v>103</v>
      </c>
      <c r="B163" s="11" t="str">
        <f aca="false">INDEX(PRODUTOS!$E$4:$E$63,MATCH($A163,PRODUTOS!$B$4:$B$63,0))</f>
        <v>Ração Seca Natural Dots para Cães Filhotes - Pacote 15 kg</v>
      </c>
      <c r="C163" s="11" t="str">
        <f aca="false">INDEX(PRODUTOS!$G$4:$G$63,MATCH($A163,PRODUTOS!$B$4:$B$63,0))</f>
        <v>15 kg</v>
      </c>
      <c r="D163" s="11" t="s">
        <v>309</v>
      </c>
      <c r="E163" s="15" t="str">
        <f aca="false">$A163&amp;"."&amp;$D163&amp;".jpg"</f>
        <v>7898968541313.PT06.jpg</v>
      </c>
      <c r="F163" s="11" t="str">
        <f aca="false">INDEX('O QUE MOSTRAR'!$B$4:$B$12,MATCH($D163,'O QUE MOSTRAR'!$A$4:$A$12,0))</f>
        <v>Posição 7</v>
      </c>
      <c r="G163" s="11" t="str">
        <f aca="false">IF(INDEX(PRODUTOS!$F$4:$F$63,MATCH($A163,PRODUTOS!$B$4:$B$63,0))="Ração",INDEX('O QUE MOSTRAR'!$C$4:$C$12,MATCH($D163,'O QUE MOSTRAR'!$A$4:$A$12,0)),INDEX('O QUE MOSTRAR'!$D$4:$D$12,MATCH($D163,'O QUE MOSTRAR'!$A$4:$A$12,0)))</f>
        <v>Composição e níveis de garantia em letra grande</v>
      </c>
      <c r="H163" s="11" t="str">
        <f aca="false">INDEX('O QUE MOSTRAR'!$E$4:$E$12,MATCH($D163,'O QUE MOSTRAR'!$A$4:$A$12,0))</f>
        <v>2000 × 2000</v>
      </c>
      <c r="I163" s="11" t="str">
        <f aca="false">INDEX('O QUE MOSTRAR'!$F$4:$F$12,MATCH($D163,'O QUE MOSTRAR'!$A$4:$A$12,0))</f>
        <v>SIM</v>
      </c>
      <c r="J163" s="13" t="s">
        <v>303</v>
      </c>
      <c r="K163" s="13"/>
    </row>
    <row r="164" customFormat="false" ht="15" hidden="false" customHeight="false" outlineLevel="0" collapsed="false">
      <c r="A164" s="14" t="s">
        <v>103</v>
      </c>
      <c r="B164" s="11" t="str">
        <f aca="false">INDEX(PRODUTOS!$E$4:$E$63,MATCH($A164,PRODUTOS!$B$4:$B$63,0))</f>
        <v>Ração Seca Natural Dots para Cães Filhotes - Pacote 15 kg</v>
      </c>
      <c r="C164" s="11" t="str">
        <f aca="false">INDEX(PRODUTOS!$G$4:$G$63,MATCH($A164,PRODUTOS!$B$4:$B$63,0))</f>
        <v>15 kg</v>
      </c>
      <c r="D164" s="11" t="s">
        <v>310</v>
      </c>
      <c r="E164" s="15" t="str">
        <f aca="false">$A164&amp;"."&amp;$D164&amp;".jpg"</f>
        <v>7898968541313.PT07.jpg</v>
      </c>
      <c r="F164" s="11" t="str">
        <f aca="false">INDEX('O QUE MOSTRAR'!$B$4:$B$12,MATCH($D164,'O QUE MOSTRAR'!$A$4:$A$12,0))</f>
        <v>Posição 8</v>
      </c>
      <c r="G164" s="11" t="str">
        <f aca="false">IF(INDEX(PRODUTOS!$F$4:$F$63,MATCH($A164,PRODUTOS!$B$4:$B$63,0))="Ração",INDEX('O QUE MOSTRAR'!$C$4:$C$12,MATCH($D164,'O QUE MOSTRAR'!$A$4:$A$12,0)),INDEX('O QUE MOSTRAR'!$D$4:$D$12,MATCH($D164,'O QUE MOSTRAR'!$A$4:$A$12,0)))</f>
        <v>Emocional / momento de uso (pet do porte certo, pote cheio)</v>
      </c>
      <c r="H164" s="11" t="str">
        <f aca="false">INDEX('O QUE MOSTRAR'!$E$4:$E$12,MATCH($D164,'O QUE MOSTRAR'!$A$4:$A$12,0))</f>
        <v>2000 × 2000</v>
      </c>
      <c r="I164" s="11" t="str">
        <f aca="false">INDEX('O QUE MOSTRAR'!$F$4:$F$12,MATCH($D164,'O QUE MOSTRAR'!$A$4:$A$12,0))</f>
        <v>Recomendada</v>
      </c>
      <c r="J164" s="13" t="s">
        <v>303</v>
      </c>
      <c r="K164" s="13"/>
    </row>
    <row r="165" customFormat="false" ht="15" hidden="false" customHeight="false" outlineLevel="0" collapsed="false">
      <c r="A165" s="14" t="s">
        <v>103</v>
      </c>
      <c r="B165" s="11" t="str">
        <f aca="false">INDEX(PRODUTOS!$E$4:$E$63,MATCH($A165,PRODUTOS!$B$4:$B$63,0))</f>
        <v>Ração Seca Natural Dots para Cães Filhotes - Pacote 15 kg</v>
      </c>
      <c r="C165" s="11" t="str">
        <f aca="false">INDEX(PRODUTOS!$G$4:$G$63,MATCH($A165,PRODUTOS!$B$4:$B$63,0))</f>
        <v>15 kg</v>
      </c>
      <c r="D165" s="11" t="s">
        <v>311</v>
      </c>
      <c r="E165" s="15" t="str">
        <f aca="false">$A165&amp;"."&amp;$D165&amp;".jpg"</f>
        <v>7898968541313.PT08.jpg</v>
      </c>
      <c r="F165" s="11" t="str">
        <f aca="false">INDEX('O QUE MOSTRAR'!$B$4:$B$12,MATCH($D165,'O QUE MOSTRAR'!$A$4:$A$12,0))</f>
        <v>Posição 9</v>
      </c>
      <c r="G165" s="11" t="str">
        <f aca="false">IF(INDEX(PRODUTOS!$F$4:$F$63,MATCH($A165,PRODUTOS!$B$4:$B$63,0))="Ração",INDEX('O QUE MOSTRAR'!$C$4:$C$12,MATCH($D165,'O QUE MOSTRAR'!$A$4:$A$12,0)),INDEX('O QUE MOSTRAR'!$D$4:$D$12,MATCH($D165,'O QUE MOSTRAR'!$A$4:$A$12,0)))</f>
        <v>Linha da marca ou embalagem anterior × nova</v>
      </c>
      <c r="H165" s="11" t="str">
        <f aca="false">INDEX('O QUE MOSTRAR'!$E$4:$E$12,MATCH($D165,'O QUE MOSTRAR'!$A$4:$A$12,0))</f>
        <v>2000 × 2000</v>
      </c>
      <c r="I165" s="11" t="str">
        <f aca="false">INDEX('O QUE MOSTRAR'!$F$4:$F$12,MATCH($D165,'O QUE MOSTRAR'!$A$4:$A$12,0))</f>
        <v>Recomendada</v>
      </c>
      <c r="J165" s="13" t="s">
        <v>303</v>
      </c>
      <c r="K165" s="13"/>
    </row>
    <row r="166" customFormat="false" ht="15" hidden="false" customHeight="false" outlineLevel="0" collapsed="false">
      <c r="A166" s="14" t="s">
        <v>107</v>
      </c>
      <c r="B166" s="11" t="str">
        <f aca="false">INDEX(PRODUTOS!$E$4:$E$63,MATCH($A166,PRODUTOS!$B$4:$B$63,0))</f>
        <v>Ração Seca Natural Dots para Cães Filhotes - Pacote 1 kg</v>
      </c>
      <c r="C166" s="11" t="str">
        <f aca="false">INDEX(PRODUTOS!$G$4:$G$63,MATCH($A166,PRODUTOS!$B$4:$B$63,0))</f>
        <v>1 kg</v>
      </c>
      <c r="D166" s="11" t="s">
        <v>302</v>
      </c>
      <c r="E166" s="15" t="str">
        <f aca="false">$A166&amp;"."&amp;$D166&amp;".jpg"</f>
        <v>7898968541290.MAIN.jpg</v>
      </c>
      <c r="F166" s="11" t="str">
        <f aca="false">INDEX('O QUE MOSTRAR'!$B$4:$B$12,MATCH($D166,'O QUE MOSTRAR'!$A$4:$A$12,0))</f>
        <v>Capa (posição 1)</v>
      </c>
      <c r="G166" s="11" t="str">
        <f aca="false">IF(INDEX(PRODUTOS!$F$4:$F$63,MATCH($A166,PRODUTOS!$B$4:$B$63,0))="Ração",INDEX('O QUE MOSTRAR'!$C$4:$C$12,MATCH($D166,'O QUE MOSTRAR'!$A$4:$A$12,0)),INDEX('O QUE MOSTRAR'!$D$4:$D$12,MATCH($D166,'O QUE MOSTRAR'!$A$4:$A$12,0)))</f>
        <v>Embalagem de frente, fundo branco puro, 85% da área, nada adicionado</v>
      </c>
      <c r="H166" s="11" t="str">
        <f aca="false">INDEX('O QUE MOSTRAR'!$E$4:$E$12,MATCH($D166,'O QUE MOSTRAR'!$A$4:$A$12,0))</f>
        <v>2000 × 2000</v>
      </c>
      <c r="I166" s="11" t="str">
        <f aca="false">INDEX('O QUE MOSTRAR'!$F$4:$F$12,MATCH($D166,'O QUE MOSTRAR'!$A$4:$A$12,0))</f>
        <v>SIM</v>
      </c>
      <c r="J166" s="13" t="s">
        <v>303</v>
      </c>
      <c r="K166" s="13"/>
    </row>
    <row r="167" customFormat="false" ht="15" hidden="false" customHeight="false" outlineLevel="0" collapsed="false">
      <c r="A167" s="14" t="s">
        <v>107</v>
      </c>
      <c r="B167" s="11" t="str">
        <f aca="false">INDEX(PRODUTOS!$E$4:$E$63,MATCH($A167,PRODUTOS!$B$4:$B$63,0))</f>
        <v>Ração Seca Natural Dots para Cães Filhotes - Pacote 1 kg</v>
      </c>
      <c r="C167" s="11" t="str">
        <f aca="false">INDEX(PRODUTOS!$G$4:$G$63,MATCH($A167,PRODUTOS!$B$4:$B$63,0))</f>
        <v>1 kg</v>
      </c>
      <c r="D167" s="11" t="s">
        <v>304</v>
      </c>
      <c r="E167" s="15" t="str">
        <f aca="false">$A167&amp;"."&amp;$D167&amp;".jpg"</f>
        <v>7898968541290.PT01.jpg</v>
      </c>
      <c r="F167" s="11" t="str">
        <f aca="false">INDEX('O QUE MOSTRAR'!$B$4:$B$12,MATCH($D167,'O QUE MOSTRAR'!$A$4:$A$12,0))</f>
        <v>Posição 2</v>
      </c>
      <c r="G167" s="11" t="str">
        <f aca="false">IF(INDEX(PRODUTOS!$F$4:$F$63,MATCH($A167,PRODUTOS!$B$4:$B$63,0))="Ração",INDEX('O QUE MOSTRAR'!$C$4:$C$12,MATCH($D167,'O QUE MOSTRAR'!$A$4:$A$12,0)),INDEX('O QUE MOSTRAR'!$D$4:$D$12,MATCH($D167,'O QUE MOSTRAR'!$A$4:$A$12,0)))</f>
        <v>Grande diferencial da linha (número ou promessa forte + grão e ingrediente)</v>
      </c>
      <c r="H167" s="11" t="str">
        <f aca="false">INDEX('O QUE MOSTRAR'!$E$4:$E$12,MATCH($D167,'O QUE MOSTRAR'!$A$4:$A$12,0))</f>
        <v>2000 × 2000</v>
      </c>
      <c r="I167" s="11" t="str">
        <f aca="false">INDEX('O QUE MOSTRAR'!$F$4:$F$12,MATCH($D167,'O QUE MOSTRAR'!$A$4:$A$12,0))</f>
        <v>SIM</v>
      </c>
      <c r="J167" s="13" t="s">
        <v>303</v>
      </c>
      <c r="K167" s="13"/>
    </row>
    <row r="168" customFormat="false" ht="15" hidden="false" customHeight="false" outlineLevel="0" collapsed="false">
      <c r="A168" s="14" t="s">
        <v>107</v>
      </c>
      <c r="B168" s="11" t="str">
        <f aca="false">INDEX(PRODUTOS!$E$4:$E$63,MATCH($A168,PRODUTOS!$B$4:$B$63,0))</f>
        <v>Ração Seca Natural Dots para Cães Filhotes - Pacote 1 kg</v>
      </c>
      <c r="C168" s="11" t="str">
        <f aca="false">INDEX(PRODUTOS!$G$4:$G$63,MATCH($A168,PRODUTOS!$B$4:$B$63,0))</f>
        <v>1 kg</v>
      </c>
      <c r="D168" s="11" t="s">
        <v>305</v>
      </c>
      <c r="E168" s="15" t="str">
        <f aca="false">$A168&amp;"."&amp;$D168&amp;".jpg"</f>
        <v>7898968541290.PT02.jpg</v>
      </c>
      <c r="F168" s="11" t="str">
        <f aca="false">INDEX('O QUE MOSTRAR'!$B$4:$B$12,MATCH($D168,'O QUE MOSTRAR'!$A$4:$A$12,0))</f>
        <v>Posição 3</v>
      </c>
      <c r="G168" s="11" t="str">
        <f aca="false">IF(INDEX(PRODUTOS!$F$4:$F$63,MATCH($A168,PRODUTOS!$B$4:$B$63,0))="Ração",INDEX('O QUE MOSTRAR'!$C$4:$C$12,MATCH($D168,'O QUE MOSTRAR'!$A$4:$A$12,0)),INDEX('O QUE MOSTRAR'!$D$4:$D$12,MATCH($D168,'O QUE MOSTRAR'!$A$4:$A$12,0)))</f>
        <v>Benefícios com ícones (4 a 6, impressos na embalagem) + ingrediente</v>
      </c>
      <c r="H168" s="11" t="str">
        <f aca="false">INDEX('O QUE MOSTRAR'!$E$4:$E$12,MATCH($D168,'O QUE MOSTRAR'!$A$4:$A$12,0))</f>
        <v>2000 × 2000</v>
      </c>
      <c r="I168" s="11" t="str">
        <f aca="false">INDEX('O QUE MOSTRAR'!$F$4:$F$12,MATCH($D168,'O QUE MOSTRAR'!$A$4:$A$12,0))</f>
        <v>SIM</v>
      </c>
      <c r="J168" s="13" t="s">
        <v>303</v>
      </c>
      <c r="K168" s="13"/>
    </row>
    <row r="169" customFormat="false" ht="15" hidden="false" customHeight="false" outlineLevel="0" collapsed="false">
      <c r="A169" s="14" t="s">
        <v>107</v>
      </c>
      <c r="B169" s="11" t="str">
        <f aca="false">INDEX(PRODUTOS!$E$4:$E$63,MATCH($A169,PRODUTOS!$B$4:$B$63,0))</f>
        <v>Ração Seca Natural Dots para Cães Filhotes - Pacote 1 kg</v>
      </c>
      <c r="C169" s="11" t="str">
        <f aca="false">INDEX(PRODUTOS!$G$4:$G$63,MATCH($A169,PRODUTOS!$B$4:$B$63,0))</f>
        <v>1 kg</v>
      </c>
      <c r="D169" s="11" t="s">
        <v>306</v>
      </c>
      <c r="E169" s="15" t="str">
        <f aca="false">$A169&amp;"."&amp;$D169&amp;".jpg"</f>
        <v>7898968541290.PT03.jpg</v>
      </c>
      <c r="F169" s="11" t="str">
        <f aca="false">INDEX('O QUE MOSTRAR'!$B$4:$B$12,MATCH($D169,'O QUE MOSTRAR'!$A$4:$A$12,0))</f>
        <v>Posição 4</v>
      </c>
      <c r="G169" s="11" t="str">
        <f aca="false">IF(INDEX(PRODUTOS!$F$4:$F$63,MATCH($A169,PRODUTOS!$B$4:$B$63,0))="Ração",INDEX('O QUE MOSTRAR'!$C$4:$C$12,MATCH($D169,'O QUE MOSTRAR'!$A$4:$A$12,0)),INDEX('O QUE MOSTRAR'!$D$4:$D$12,MATCH($D169,'O QUE MOSTRAR'!$A$4:$A$12,0)))</f>
        <v>Formato e tamanho do grão, com medida em mm e referência de tamanho</v>
      </c>
      <c r="H169" s="11" t="str">
        <f aca="false">INDEX('O QUE MOSTRAR'!$E$4:$E$12,MATCH($D169,'O QUE MOSTRAR'!$A$4:$A$12,0))</f>
        <v>2000 × 2000</v>
      </c>
      <c r="I169" s="11" t="str">
        <f aca="false">INDEX('O QUE MOSTRAR'!$F$4:$F$12,MATCH($D169,'O QUE MOSTRAR'!$A$4:$A$12,0))</f>
        <v>SIM</v>
      </c>
      <c r="J169" s="13" t="s">
        <v>303</v>
      </c>
      <c r="K169" s="13"/>
    </row>
    <row r="170" customFormat="false" ht="15" hidden="false" customHeight="false" outlineLevel="0" collapsed="false">
      <c r="A170" s="14" t="s">
        <v>107</v>
      </c>
      <c r="B170" s="11" t="str">
        <f aca="false">INDEX(PRODUTOS!$E$4:$E$63,MATCH($A170,PRODUTOS!$B$4:$B$63,0))</f>
        <v>Ração Seca Natural Dots para Cães Filhotes - Pacote 1 kg</v>
      </c>
      <c r="C170" s="11" t="str">
        <f aca="false">INDEX(PRODUTOS!$G$4:$G$63,MATCH($A170,PRODUTOS!$B$4:$B$63,0))</f>
        <v>1 kg</v>
      </c>
      <c r="D170" s="11" t="s">
        <v>307</v>
      </c>
      <c r="E170" s="15" t="str">
        <f aca="false">$A170&amp;"."&amp;$D170&amp;".jpg"</f>
        <v>7898968541290.PT04.jpg</v>
      </c>
      <c r="F170" s="11" t="str">
        <f aca="false">INDEX('O QUE MOSTRAR'!$B$4:$B$12,MATCH($D170,'O QUE MOSTRAR'!$A$4:$A$12,0))</f>
        <v>Posição 5</v>
      </c>
      <c r="G170" s="11" t="str">
        <f aca="false">IF(INDEX(PRODUTOS!$F$4:$F$63,MATCH($A170,PRODUTOS!$B$4:$B$63,0))="Ração",INDEX('O QUE MOSTRAR'!$C$4:$C$12,MATCH($D170,'O QUE MOSTRAR'!$A$4:$A$12,0)),INDEX('O QUE MOSTRAR'!$D$4:$D$12,MATCH($D170,'O QUE MOSTRAR'!$A$4:$A$12,0)))</f>
        <v>Quantidade diária por peso do pet (números idênticos à embalagem)</v>
      </c>
      <c r="H170" s="11" t="str">
        <f aca="false">INDEX('O QUE MOSTRAR'!$E$4:$E$12,MATCH($D170,'O QUE MOSTRAR'!$A$4:$A$12,0))</f>
        <v>2000 × 2000</v>
      </c>
      <c r="I170" s="11" t="str">
        <f aca="false">INDEX('O QUE MOSTRAR'!$F$4:$F$12,MATCH($D170,'O QUE MOSTRAR'!$A$4:$A$12,0))</f>
        <v>SIM</v>
      </c>
      <c r="J170" s="13" t="s">
        <v>303</v>
      </c>
      <c r="K170" s="13"/>
    </row>
    <row r="171" customFormat="false" ht="15" hidden="false" customHeight="false" outlineLevel="0" collapsed="false">
      <c r="A171" s="14" t="s">
        <v>107</v>
      </c>
      <c r="B171" s="11" t="str">
        <f aca="false">INDEX(PRODUTOS!$E$4:$E$63,MATCH($A171,PRODUTOS!$B$4:$B$63,0))</f>
        <v>Ração Seca Natural Dots para Cães Filhotes - Pacote 1 kg</v>
      </c>
      <c r="C171" s="11" t="str">
        <f aca="false">INDEX(PRODUTOS!$G$4:$G$63,MATCH($A171,PRODUTOS!$B$4:$B$63,0))</f>
        <v>1 kg</v>
      </c>
      <c r="D171" s="11" t="s">
        <v>308</v>
      </c>
      <c r="E171" s="15" t="str">
        <f aca="false">$A171&amp;"."&amp;$D171&amp;".jpg"</f>
        <v>7898968541290.PT05.jpg</v>
      </c>
      <c r="F171" s="11" t="str">
        <f aca="false">INDEX('O QUE MOSTRAR'!$B$4:$B$12,MATCH($D171,'O QUE MOSTRAR'!$A$4:$A$12,0))</f>
        <v>Posição 6</v>
      </c>
      <c r="G171" s="11" t="str">
        <f aca="false">IF(INDEX(PRODUTOS!$F$4:$F$63,MATCH($A171,PRODUTOS!$B$4:$B$63,0))="Ração",INDEX('O QUE MOSTRAR'!$C$4:$C$12,MATCH($D171,'O QUE MOSTRAR'!$A$4:$A$12,0)),INDEX('O QUE MOSTRAR'!$D$4:$D$12,MATCH($D171,'O QUE MOSTRAR'!$A$4:$A$12,0)))</f>
        <v>Transição alimentar dia a dia (igual ao verso da embalagem)</v>
      </c>
      <c r="H171" s="11" t="str">
        <f aca="false">INDEX('O QUE MOSTRAR'!$E$4:$E$12,MATCH($D171,'O QUE MOSTRAR'!$A$4:$A$12,0))</f>
        <v>2000 × 2000</v>
      </c>
      <c r="I171" s="11" t="str">
        <f aca="false">INDEX('O QUE MOSTRAR'!$F$4:$F$12,MATCH($D171,'O QUE MOSTRAR'!$A$4:$A$12,0))</f>
        <v>Recomendada</v>
      </c>
      <c r="J171" s="13" t="s">
        <v>303</v>
      </c>
      <c r="K171" s="13"/>
    </row>
    <row r="172" customFormat="false" ht="15" hidden="false" customHeight="false" outlineLevel="0" collapsed="false">
      <c r="A172" s="14" t="s">
        <v>107</v>
      </c>
      <c r="B172" s="11" t="str">
        <f aca="false">INDEX(PRODUTOS!$E$4:$E$63,MATCH($A172,PRODUTOS!$B$4:$B$63,0))</f>
        <v>Ração Seca Natural Dots para Cães Filhotes - Pacote 1 kg</v>
      </c>
      <c r="C172" s="11" t="str">
        <f aca="false">INDEX(PRODUTOS!$G$4:$G$63,MATCH($A172,PRODUTOS!$B$4:$B$63,0))</f>
        <v>1 kg</v>
      </c>
      <c r="D172" s="11" t="s">
        <v>309</v>
      </c>
      <c r="E172" s="15" t="str">
        <f aca="false">$A172&amp;"."&amp;$D172&amp;".jpg"</f>
        <v>7898968541290.PT06.jpg</v>
      </c>
      <c r="F172" s="11" t="str">
        <f aca="false">INDEX('O QUE MOSTRAR'!$B$4:$B$12,MATCH($D172,'O QUE MOSTRAR'!$A$4:$A$12,0))</f>
        <v>Posição 7</v>
      </c>
      <c r="G172" s="11" t="str">
        <f aca="false">IF(INDEX(PRODUTOS!$F$4:$F$63,MATCH($A172,PRODUTOS!$B$4:$B$63,0))="Ração",INDEX('O QUE MOSTRAR'!$C$4:$C$12,MATCH($D172,'O QUE MOSTRAR'!$A$4:$A$12,0)),INDEX('O QUE MOSTRAR'!$D$4:$D$12,MATCH($D172,'O QUE MOSTRAR'!$A$4:$A$12,0)))</f>
        <v>Composição e níveis de garantia em letra grande</v>
      </c>
      <c r="H172" s="11" t="str">
        <f aca="false">INDEX('O QUE MOSTRAR'!$E$4:$E$12,MATCH($D172,'O QUE MOSTRAR'!$A$4:$A$12,0))</f>
        <v>2000 × 2000</v>
      </c>
      <c r="I172" s="11" t="str">
        <f aca="false">INDEX('O QUE MOSTRAR'!$F$4:$F$12,MATCH($D172,'O QUE MOSTRAR'!$A$4:$A$12,0))</f>
        <v>SIM</v>
      </c>
      <c r="J172" s="13" t="s">
        <v>303</v>
      </c>
      <c r="K172" s="13"/>
    </row>
    <row r="173" customFormat="false" ht="15" hidden="false" customHeight="false" outlineLevel="0" collapsed="false">
      <c r="A173" s="14" t="s">
        <v>107</v>
      </c>
      <c r="B173" s="11" t="str">
        <f aca="false">INDEX(PRODUTOS!$E$4:$E$63,MATCH($A173,PRODUTOS!$B$4:$B$63,0))</f>
        <v>Ração Seca Natural Dots para Cães Filhotes - Pacote 1 kg</v>
      </c>
      <c r="C173" s="11" t="str">
        <f aca="false">INDEX(PRODUTOS!$G$4:$G$63,MATCH($A173,PRODUTOS!$B$4:$B$63,0))</f>
        <v>1 kg</v>
      </c>
      <c r="D173" s="11" t="s">
        <v>310</v>
      </c>
      <c r="E173" s="15" t="str">
        <f aca="false">$A173&amp;"."&amp;$D173&amp;".jpg"</f>
        <v>7898968541290.PT07.jpg</v>
      </c>
      <c r="F173" s="11" t="str">
        <f aca="false">INDEX('O QUE MOSTRAR'!$B$4:$B$12,MATCH($D173,'O QUE MOSTRAR'!$A$4:$A$12,0))</f>
        <v>Posição 8</v>
      </c>
      <c r="G173" s="11" t="str">
        <f aca="false">IF(INDEX(PRODUTOS!$F$4:$F$63,MATCH($A173,PRODUTOS!$B$4:$B$63,0))="Ração",INDEX('O QUE MOSTRAR'!$C$4:$C$12,MATCH($D173,'O QUE MOSTRAR'!$A$4:$A$12,0)),INDEX('O QUE MOSTRAR'!$D$4:$D$12,MATCH($D173,'O QUE MOSTRAR'!$A$4:$A$12,0)))</f>
        <v>Emocional / momento de uso (pet do porte certo, pote cheio)</v>
      </c>
      <c r="H173" s="11" t="str">
        <f aca="false">INDEX('O QUE MOSTRAR'!$E$4:$E$12,MATCH($D173,'O QUE MOSTRAR'!$A$4:$A$12,0))</f>
        <v>2000 × 2000</v>
      </c>
      <c r="I173" s="11" t="str">
        <f aca="false">INDEX('O QUE MOSTRAR'!$F$4:$F$12,MATCH($D173,'O QUE MOSTRAR'!$A$4:$A$12,0))</f>
        <v>Recomendada</v>
      </c>
      <c r="J173" s="13" t="s">
        <v>303</v>
      </c>
      <c r="K173" s="13"/>
    </row>
    <row r="174" customFormat="false" ht="15" hidden="false" customHeight="false" outlineLevel="0" collapsed="false">
      <c r="A174" s="14" t="s">
        <v>107</v>
      </c>
      <c r="B174" s="11" t="str">
        <f aca="false">INDEX(PRODUTOS!$E$4:$E$63,MATCH($A174,PRODUTOS!$B$4:$B$63,0))</f>
        <v>Ração Seca Natural Dots para Cães Filhotes - Pacote 1 kg</v>
      </c>
      <c r="C174" s="11" t="str">
        <f aca="false">INDEX(PRODUTOS!$G$4:$G$63,MATCH($A174,PRODUTOS!$B$4:$B$63,0))</f>
        <v>1 kg</v>
      </c>
      <c r="D174" s="11" t="s">
        <v>311</v>
      </c>
      <c r="E174" s="15" t="str">
        <f aca="false">$A174&amp;"."&amp;$D174&amp;".jpg"</f>
        <v>7898968541290.PT08.jpg</v>
      </c>
      <c r="F174" s="11" t="str">
        <f aca="false">INDEX('O QUE MOSTRAR'!$B$4:$B$12,MATCH($D174,'O QUE MOSTRAR'!$A$4:$A$12,0))</f>
        <v>Posição 9</v>
      </c>
      <c r="G174" s="11" t="str">
        <f aca="false">IF(INDEX(PRODUTOS!$F$4:$F$63,MATCH($A174,PRODUTOS!$B$4:$B$63,0))="Ração",INDEX('O QUE MOSTRAR'!$C$4:$C$12,MATCH($D174,'O QUE MOSTRAR'!$A$4:$A$12,0)),INDEX('O QUE MOSTRAR'!$D$4:$D$12,MATCH($D174,'O QUE MOSTRAR'!$A$4:$A$12,0)))</f>
        <v>Linha da marca ou embalagem anterior × nova</v>
      </c>
      <c r="H174" s="11" t="str">
        <f aca="false">INDEX('O QUE MOSTRAR'!$E$4:$E$12,MATCH($D174,'O QUE MOSTRAR'!$A$4:$A$12,0))</f>
        <v>2000 × 2000</v>
      </c>
      <c r="I174" s="11" t="str">
        <f aca="false">INDEX('O QUE MOSTRAR'!$F$4:$F$12,MATCH($D174,'O QUE MOSTRAR'!$A$4:$A$12,0))</f>
        <v>Recomendada</v>
      </c>
      <c r="J174" s="13" t="s">
        <v>303</v>
      </c>
      <c r="K174" s="13"/>
    </row>
    <row r="175" customFormat="false" ht="15" hidden="false" customHeight="false" outlineLevel="0" collapsed="false">
      <c r="A175" s="14" t="s">
        <v>111</v>
      </c>
      <c r="B175" s="11" t="str">
        <f aca="false">INDEX(PRODUTOS!$E$4:$E$63,MATCH($A175,PRODUTOS!$B$4:$B$63,0))</f>
        <v>Ração Seca Natural Dots para Cães Sênior - Pacote 15 kg</v>
      </c>
      <c r="C175" s="11" t="str">
        <f aca="false">INDEX(PRODUTOS!$G$4:$G$63,MATCH($A175,PRODUTOS!$B$4:$B$63,0))</f>
        <v>15 kg</v>
      </c>
      <c r="D175" s="11" t="s">
        <v>302</v>
      </c>
      <c r="E175" s="15" t="str">
        <f aca="false">$A175&amp;"."&amp;$D175&amp;".jpg"</f>
        <v>7898968541276.MAIN.jpg</v>
      </c>
      <c r="F175" s="11" t="str">
        <f aca="false">INDEX('O QUE MOSTRAR'!$B$4:$B$12,MATCH($D175,'O QUE MOSTRAR'!$A$4:$A$12,0))</f>
        <v>Capa (posição 1)</v>
      </c>
      <c r="G175" s="11" t="str">
        <f aca="false">IF(INDEX(PRODUTOS!$F$4:$F$63,MATCH($A175,PRODUTOS!$B$4:$B$63,0))="Ração",INDEX('O QUE MOSTRAR'!$C$4:$C$12,MATCH($D175,'O QUE MOSTRAR'!$A$4:$A$12,0)),INDEX('O QUE MOSTRAR'!$D$4:$D$12,MATCH($D175,'O QUE MOSTRAR'!$A$4:$A$12,0)))</f>
        <v>Embalagem de frente, fundo branco puro, 85% da área, nada adicionado</v>
      </c>
      <c r="H175" s="11" t="str">
        <f aca="false">INDEX('O QUE MOSTRAR'!$E$4:$E$12,MATCH($D175,'O QUE MOSTRAR'!$A$4:$A$12,0))</f>
        <v>2000 × 2000</v>
      </c>
      <c r="I175" s="11" t="str">
        <f aca="false">INDEX('O QUE MOSTRAR'!$F$4:$F$12,MATCH($D175,'O QUE MOSTRAR'!$A$4:$A$12,0))</f>
        <v>SIM</v>
      </c>
      <c r="J175" s="13" t="s">
        <v>303</v>
      </c>
      <c r="K175" s="13"/>
    </row>
    <row r="176" customFormat="false" ht="15" hidden="false" customHeight="false" outlineLevel="0" collapsed="false">
      <c r="A176" s="14" t="s">
        <v>111</v>
      </c>
      <c r="B176" s="11" t="str">
        <f aca="false">INDEX(PRODUTOS!$E$4:$E$63,MATCH($A176,PRODUTOS!$B$4:$B$63,0))</f>
        <v>Ração Seca Natural Dots para Cães Sênior - Pacote 15 kg</v>
      </c>
      <c r="C176" s="11" t="str">
        <f aca="false">INDEX(PRODUTOS!$G$4:$G$63,MATCH($A176,PRODUTOS!$B$4:$B$63,0))</f>
        <v>15 kg</v>
      </c>
      <c r="D176" s="11" t="s">
        <v>304</v>
      </c>
      <c r="E176" s="15" t="str">
        <f aca="false">$A176&amp;"."&amp;$D176&amp;".jpg"</f>
        <v>7898968541276.PT01.jpg</v>
      </c>
      <c r="F176" s="11" t="str">
        <f aca="false">INDEX('O QUE MOSTRAR'!$B$4:$B$12,MATCH($D176,'O QUE MOSTRAR'!$A$4:$A$12,0))</f>
        <v>Posição 2</v>
      </c>
      <c r="G176" s="11" t="str">
        <f aca="false">IF(INDEX(PRODUTOS!$F$4:$F$63,MATCH($A176,PRODUTOS!$B$4:$B$63,0))="Ração",INDEX('O QUE MOSTRAR'!$C$4:$C$12,MATCH($D176,'O QUE MOSTRAR'!$A$4:$A$12,0)),INDEX('O QUE MOSTRAR'!$D$4:$D$12,MATCH($D176,'O QUE MOSTRAR'!$A$4:$A$12,0)))</f>
        <v>Grande diferencial da linha (número ou promessa forte + grão e ingrediente)</v>
      </c>
      <c r="H176" s="11" t="str">
        <f aca="false">INDEX('O QUE MOSTRAR'!$E$4:$E$12,MATCH($D176,'O QUE MOSTRAR'!$A$4:$A$12,0))</f>
        <v>2000 × 2000</v>
      </c>
      <c r="I176" s="11" t="str">
        <f aca="false">INDEX('O QUE MOSTRAR'!$F$4:$F$12,MATCH($D176,'O QUE MOSTRAR'!$A$4:$A$12,0))</f>
        <v>SIM</v>
      </c>
      <c r="J176" s="13" t="s">
        <v>303</v>
      </c>
      <c r="K176" s="13"/>
    </row>
    <row r="177" customFormat="false" ht="15" hidden="false" customHeight="false" outlineLevel="0" collapsed="false">
      <c r="A177" s="14" t="s">
        <v>111</v>
      </c>
      <c r="B177" s="11" t="str">
        <f aca="false">INDEX(PRODUTOS!$E$4:$E$63,MATCH($A177,PRODUTOS!$B$4:$B$63,0))</f>
        <v>Ração Seca Natural Dots para Cães Sênior - Pacote 15 kg</v>
      </c>
      <c r="C177" s="11" t="str">
        <f aca="false">INDEX(PRODUTOS!$G$4:$G$63,MATCH($A177,PRODUTOS!$B$4:$B$63,0))</f>
        <v>15 kg</v>
      </c>
      <c r="D177" s="11" t="s">
        <v>305</v>
      </c>
      <c r="E177" s="15" t="str">
        <f aca="false">$A177&amp;"."&amp;$D177&amp;".jpg"</f>
        <v>7898968541276.PT02.jpg</v>
      </c>
      <c r="F177" s="11" t="str">
        <f aca="false">INDEX('O QUE MOSTRAR'!$B$4:$B$12,MATCH($D177,'O QUE MOSTRAR'!$A$4:$A$12,0))</f>
        <v>Posição 3</v>
      </c>
      <c r="G177" s="11" t="str">
        <f aca="false">IF(INDEX(PRODUTOS!$F$4:$F$63,MATCH($A177,PRODUTOS!$B$4:$B$63,0))="Ração",INDEX('O QUE MOSTRAR'!$C$4:$C$12,MATCH($D177,'O QUE MOSTRAR'!$A$4:$A$12,0)),INDEX('O QUE MOSTRAR'!$D$4:$D$12,MATCH($D177,'O QUE MOSTRAR'!$A$4:$A$12,0)))</f>
        <v>Benefícios com ícones (4 a 6, impressos na embalagem) + ingrediente</v>
      </c>
      <c r="H177" s="11" t="str">
        <f aca="false">INDEX('O QUE MOSTRAR'!$E$4:$E$12,MATCH($D177,'O QUE MOSTRAR'!$A$4:$A$12,0))</f>
        <v>2000 × 2000</v>
      </c>
      <c r="I177" s="11" t="str">
        <f aca="false">INDEX('O QUE MOSTRAR'!$F$4:$F$12,MATCH($D177,'O QUE MOSTRAR'!$A$4:$A$12,0))</f>
        <v>SIM</v>
      </c>
      <c r="J177" s="13" t="s">
        <v>303</v>
      </c>
      <c r="K177" s="13"/>
    </row>
    <row r="178" customFormat="false" ht="15" hidden="false" customHeight="false" outlineLevel="0" collapsed="false">
      <c r="A178" s="14" t="s">
        <v>111</v>
      </c>
      <c r="B178" s="11" t="str">
        <f aca="false">INDEX(PRODUTOS!$E$4:$E$63,MATCH($A178,PRODUTOS!$B$4:$B$63,0))</f>
        <v>Ração Seca Natural Dots para Cães Sênior - Pacote 15 kg</v>
      </c>
      <c r="C178" s="11" t="str">
        <f aca="false">INDEX(PRODUTOS!$G$4:$G$63,MATCH($A178,PRODUTOS!$B$4:$B$63,0))</f>
        <v>15 kg</v>
      </c>
      <c r="D178" s="11" t="s">
        <v>306</v>
      </c>
      <c r="E178" s="15" t="str">
        <f aca="false">$A178&amp;"."&amp;$D178&amp;".jpg"</f>
        <v>7898968541276.PT03.jpg</v>
      </c>
      <c r="F178" s="11" t="str">
        <f aca="false">INDEX('O QUE MOSTRAR'!$B$4:$B$12,MATCH($D178,'O QUE MOSTRAR'!$A$4:$A$12,0))</f>
        <v>Posição 4</v>
      </c>
      <c r="G178" s="11" t="str">
        <f aca="false">IF(INDEX(PRODUTOS!$F$4:$F$63,MATCH($A178,PRODUTOS!$B$4:$B$63,0))="Ração",INDEX('O QUE MOSTRAR'!$C$4:$C$12,MATCH($D178,'O QUE MOSTRAR'!$A$4:$A$12,0)),INDEX('O QUE MOSTRAR'!$D$4:$D$12,MATCH($D178,'O QUE MOSTRAR'!$A$4:$A$12,0)))</f>
        <v>Formato e tamanho do grão, com medida em mm e referência de tamanho</v>
      </c>
      <c r="H178" s="11" t="str">
        <f aca="false">INDEX('O QUE MOSTRAR'!$E$4:$E$12,MATCH($D178,'O QUE MOSTRAR'!$A$4:$A$12,0))</f>
        <v>2000 × 2000</v>
      </c>
      <c r="I178" s="11" t="str">
        <f aca="false">INDEX('O QUE MOSTRAR'!$F$4:$F$12,MATCH($D178,'O QUE MOSTRAR'!$A$4:$A$12,0))</f>
        <v>SIM</v>
      </c>
      <c r="J178" s="13" t="s">
        <v>303</v>
      </c>
      <c r="K178" s="13"/>
    </row>
    <row r="179" customFormat="false" ht="15" hidden="false" customHeight="false" outlineLevel="0" collapsed="false">
      <c r="A179" s="14" t="s">
        <v>111</v>
      </c>
      <c r="B179" s="11" t="str">
        <f aca="false">INDEX(PRODUTOS!$E$4:$E$63,MATCH($A179,PRODUTOS!$B$4:$B$63,0))</f>
        <v>Ração Seca Natural Dots para Cães Sênior - Pacote 15 kg</v>
      </c>
      <c r="C179" s="11" t="str">
        <f aca="false">INDEX(PRODUTOS!$G$4:$G$63,MATCH($A179,PRODUTOS!$B$4:$B$63,0))</f>
        <v>15 kg</v>
      </c>
      <c r="D179" s="11" t="s">
        <v>307</v>
      </c>
      <c r="E179" s="15" t="str">
        <f aca="false">$A179&amp;"."&amp;$D179&amp;".jpg"</f>
        <v>7898968541276.PT04.jpg</v>
      </c>
      <c r="F179" s="11" t="str">
        <f aca="false">INDEX('O QUE MOSTRAR'!$B$4:$B$12,MATCH($D179,'O QUE MOSTRAR'!$A$4:$A$12,0))</f>
        <v>Posição 5</v>
      </c>
      <c r="G179" s="11" t="str">
        <f aca="false">IF(INDEX(PRODUTOS!$F$4:$F$63,MATCH($A179,PRODUTOS!$B$4:$B$63,0))="Ração",INDEX('O QUE MOSTRAR'!$C$4:$C$12,MATCH($D179,'O QUE MOSTRAR'!$A$4:$A$12,0)),INDEX('O QUE MOSTRAR'!$D$4:$D$12,MATCH($D179,'O QUE MOSTRAR'!$A$4:$A$12,0)))</f>
        <v>Quantidade diária por peso do pet (números idênticos à embalagem)</v>
      </c>
      <c r="H179" s="11" t="str">
        <f aca="false">INDEX('O QUE MOSTRAR'!$E$4:$E$12,MATCH($D179,'O QUE MOSTRAR'!$A$4:$A$12,0))</f>
        <v>2000 × 2000</v>
      </c>
      <c r="I179" s="11" t="str">
        <f aca="false">INDEX('O QUE MOSTRAR'!$F$4:$F$12,MATCH($D179,'O QUE MOSTRAR'!$A$4:$A$12,0))</f>
        <v>SIM</v>
      </c>
      <c r="J179" s="13" t="s">
        <v>303</v>
      </c>
      <c r="K179" s="13"/>
    </row>
    <row r="180" customFormat="false" ht="15" hidden="false" customHeight="false" outlineLevel="0" collapsed="false">
      <c r="A180" s="14" t="s">
        <v>111</v>
      </c>
      <c r="B180" s="11" t="str">
        <f aca="false">INDEX(PRODUTOS!$E$4:$E$63,MATCH($A180,PRODUTOS!$B$4:$B$63,0))</f>
        <v>Ração Seca Natural Dots para Cães Sênior - Pacote 15 kg</v>
      </c>
      <c r="C180" s="11" t="str">
        <f aca="false">INDEX(PRODUTOS!$G$4:$G$63,MATCH($A180,PRODUTOS!$B$4:$B$63,0))</f>
        <v>15 kg</v>
      </c>
      <c r="D180" s="11" t="s">
        <v>308</v>
      </c>
      <c r="E180" s="15" t="str">
        <f aca="false">$A180&amp;"."&amp;$D180&amp;".jpg"</f>
        <v>7898968541276.PT05.jpg</v>
      </c>
      <c r="F180" s="11" t="str">
        <f aca="false">INDEX('O QUE MOSTRAR'!$B$4:$B$12,MATCH($D180,'O QUE MOSTRAR'!$A$4:$A$12,0))</f>
        <v>Posição 6</v>
      </c>
      <c r="G180" s="11" t="str">
        <f aca="false">IF(INDEX(PRODUTOS!$F$4:$F$63,MATCH($A180,PRODUTOS!$B$4:$B$63,0))="Ração",INDEX('O QUE MOSTRAR'!$C$4:$C$12,MATCH($D180,'O QUE MOSTRAR'!$A$4:$A$12,0)),INDEX('O QUE MOSTRAR'!$D$4:$D$12,MATCH($D180,'O QUE MOSTRAR'!$A$4:$A$12,0)))</f>
        <v>Transição alimentar dia a dia (igual ao verso da embalagem)</v>
      </c>
      <c r="H180" s="11" t="str">
        <f aca="false">INDEX('O QUE MOSTRAR'!$E$4:$E$12,MATCH($D180,'O QUE MOSTRAR'!$A$4:$A$12,0))</f>
        <v>2000 × 2000</v>
      </c>
      <c r="I180" s="11" t="str">
        <f aca="false">INDEX('O QUE MOSTRAR'!$F$4:$F$12,MATCH($D180,'O QUE MOSTRAR'!$A$4:$A$12,0))</f>
        <v>Recomendada</v>
      </c>
      <c r="J180" s="13" t="s">
        <v>303</v>
      </c>
      <c r="K180" s="13"/>
    </row>
    <row r="181" customFormat="false" ht="15" hidden="false" customHeight="false" outlineLevel="0" collapsed="false">
      <c r="A181" s="14" t="s">
        <v>111</v>
      </c>
      <c r="B181" s="11" t="str">
        <f aca="false">INDEX(PRODUTOS!$E$4:$E$63,MATCH($A181,PRODUTOS!$B$4:$B$63,0))</f>
        <v>Ração Seca Natural Dots para Cães Sênior - Pacote 15 kg</v>
      </c>
      <c r="C181" s="11" t="str">
        <f aca="false">INDEX(PRODUTOS!$G$4:$G$63,MATCH($A181,PRODUTOS!$B$4:$B$63,0))</f>
        <v>15 kg</v>
      </c>
      <c r="D181" s="11" t="s">
        <v>309</v>
      </c>
      <c r="E181" s="15" t="str">
        <f aca="false">$A181&amp;"."&amp;$D181&amp;".jpg"</f>
        <v>7898968541276.PT06.jpg</v>
      </c>
      <c r="F181" s="11" t="str">
        <f aca="false">INDEX('O QUE MOSTRAR'!$B$4:$B$12,MATCH($D181,'O QUE MOSTRAR'!$A$4:$A$12,0))</f>
        <v>Posição 7</v>
      </c>
      <c r="G181" s="11" t="str">
        <f aca="false">IF(INDEX(PRODUTOS!$F$4:$F$63,MATCH($A181,PRODUTOS!$B$4:$B$63,0))="Ração",INDEX('O QUE MOSTRAR'!$C$4:$C$12,MATCH($D181,'O QUE MOSTRAR'!$A$4:$A$12,0)),INDEX('O QUE MOSTRAR'!$D$4:$D$12,MATCH($D181,'O QUE MOSTRAR'!$A$4:$A$12,0)))</f>
        <v>Composição e níveis de garantia em letra grande</v>
      </c>
      <c r="H181" s="11" t="str">
        <f aca="false">INDEX('O QUE MOSTRAR'!$E$4:$E$12,MATCH($D181,'O QUE MOSTRAR'!$A$4:$A$12,0))</f>
        <v>2000 × 2000</v>
      </c>
      <c r="I181" s="11" t="str">
        <f aca="false">INDEX('O QUE MOSTRAR'!$F$4:$F$12,MATCH($D181,'O QUE MOSTRAR'!$A$4:$A$12,0))</f>
        <v>SIM</v>
      </c>
      <c r="J181" s="13" t="s">
        <v>303</v>
      </c>
      <c r="K181" s="13"/>
    </row>
    <row r="182" customFormat="false" ht="15" hidden="false" customHeight="false" outlineLevel="0" collapsed="false">
      <c r="A182" s="14" t="s">
        <v>111</v>
      </c>
      <c r="B182" s="11" t="str">
        <f aca="false">INDEX(PRODUTOS!$E$4:$E$63,MATCH($A182,PRODUTOS!$B$4:$B$63,0))</f>
        <v>Ração Seca Natural Dots para Cães Sênior - Pacote 15 kg</v>
      </c>
      <c r="C182" s="11" t="str">
        <f aca="false">INDEX(PRODUTOS!$G$4:$G$63,MATCH($A182,PRODUTOS!$B$4:$B$63,0))</f>
        <v>15 kg</v>
      </c>
      <c r="D182" s="11" t="s">
        <v>310</v>
      </c>
      <c r="E182" s="15" t="str">
        <f aca="false">$A182&amp;"."&amp;$D182&amp;".jpg"</f>
        <v>7898968541276.PT07.jpg</v>
      </c>
      <c r="F182" s="11" t="str">
        <f aca="false">INDEX('O QUE MOSTRAR'!$B$4:$B$12,MATCH($D182,'O QUE MOSTRAR'!$A$4:$A$12,0))</f>
        <v>Posição 8</v>
      </c>
      <c r="G182" s="11" t="str">
        <f aca="false">IF(INDEX(PRODUTOS!$F$4:$F$63,MATCH($A182,PRODUTOS!$B$4:$B$63,0))="Ração",INDEX('O QUE MOSTRAR'!$C$4:$C$12,MATCH($D182,'O QUE MOSTRAR'!$A$4:$A$12,0)),INDEX('O QUE MOSTRAR'!$D$4:$D$12,MATCH($D182,'O QUE MOSTRAR'!$A$4:$A$12,0)))</f>
        <v>Emocional / momento de uso (pet do porte certo, pote cheio)</v>
      </c>
      <c r="H182" s="11" t="str">
        <f aca="false">INDEX('O QUE MOSTRAR'!$E$4:$E$12,MATCH($D182,'O QUE MOSTRAR'!$A$4:$A$12,0))</f>
        <v>2000 × 2000</v>
      </c>
      <c r="I182" s="11" t="str">
        <f aca="false">INDEX('O QUE MOSTRAR'!$F$4:$F$12,MATCH($D182,'O QUE MOSTRAR'!$A$4:$A$12,0))</f>
        <v>Recomendada</v>
      </c>
      <c r="J182" s="13" t="s">
        <v>303</v>
      </c>
      <c r="K182" s="13"/>
    </row>
    <row r="183" customFormat="false" ht="15" hidden="false" customHeight="false" outlineLevel="0" collapsed="false">
      <c r="A183" s="14" t="s">
        <v>111</v>
      </c>
      <c r="B183" s="11" t="str">
        <f aca="false">INDEX(PRODUTOS!$E$4:$E$63,MATCH($A183,PRODUTOS!$B$4:$B$63,0))</f>
        <v>Ração Seca Natural Dots para Cães Sênior - Pacote 15 kg</v>
      </c>
      <c r="C183" s="11" t="str">
        <f aca="false">INDEX(PRODUTOS!$G$4:$G$63,MATCH($A183,PRODUTOS!$B$4:$B$63,0))</f>
        <v>15 kg</v>
      </c>
      <c r="D183" s="11" t="s">
        <v>311</v>
      </c>
      <c r="E183" s="15" t="str">
        <f aca="false">$A183&amp;"."&amp;$D183&amp;".jpg"</f>
        <v>7898968541276.PT08.jpg</v>
      </c>
      <c r="F183" s="11" t="str">
        <f aca="false">INDEX('O QUE MOSTRAR'!$B$4:$B$12,MATCH($D183,'O QUE MOSTRAR'!$A$4:$A$12,0))</f>
        <v>Posição 9</v>
      </c>
      <c r="G183" s="11" t="str">
        <f aca="false">IF(INDEX(PRODUTOS!$F$4:$F$63,MATCH($A183,PRODUTOS!$B$4:$B$63,0))="Ração",INDEX('O QUE MOSTRAR'!$C$4:$C$12,MATCH($D183,'O QUE MOSTRAR'!$A$4:$A$12,0)),INDEX('O QUE MOSTRAR'!$D$4:$D$12,MATCH($D183,'O QUE MOSTRAR'!$A$4:$A$12,0)))</f>
        <v>Linha da marca ou embalagem anterior × nova</v>
      </c>
      <c r="H183" s="11" t="str">
        <f aca="false">INDEX('O QUE MOSTRAR'!$E$4:$E$12,MATCH($D183,'O QUE MOSTRAR'!$A$4:$A$12,0))</f>
        <v>2000 × 2000</v>
      </c>
      <c r="I183" s="11" t="str">
        <f aca="false">INDEX('O QUE MOSTRAR'!$F$4:$F$12,MATCH($D183,'O QUE MOSTRAR'!$A$4:$A$12,0))</f>
        <v>Recomendada</v>
      </c>
      <c r="J183" s="13" t="s">
        <v>303</v>
      </c>
      <c r="K183" s="13"/>
    </row>
    <row r="184" customFormat="false" ht="15" hidden="false" customHeight="false" outlineLevel="0" collapsed="false">
      <c r="A184" s="14" t="s">
        <v>115</v>
      </c>
      <c r="B184" s="11" t="str">
        <f aca="false">INDEX(PRODUTOS!$E$4:$E$63,MATCH($A184,PRODUTOS!$B$4:$B$63,0))</f>
        <v>Ração Seca Natural Dots para Cães Sênior - Pacote 1 kg</v>
      </c>
      <c r="C184" s="11" t="str">
        <f aca="false">INDEX(PRODUTOS!$G$4:$G$63,MATCH($A184,PRODUTOS!$B$4:$B$63,0))</f>
        <v>1 kg</v>
      </c>
      <c r="D184" s="11" t="s">
        <v>302</v>
      </c>
      <c r="E184" s="15" t="str">
        <f aca="false">$A184&amp;"."&amp;$D184&amp;".jpg"</f>
        <v>7908591300154.MAIN.jpg</v>
      </c>
      <c r="F184" s="11" t="str">
        <f aca="false">INDEX('O QUE MOSTRAR'!$B$4:$B$12,MATCH($D184,'O QUE MOSTRAR'!$A$4:$A$12,0))</f>
        <v>Capa (posição 1)</v>
      </c>
      <c r="G184" s="11" t="str">
        <f aca="false">IF(INDEX(PRODUTOS!$F$4:$F$63,MATCH($A184,PRODUTOS!$B$4:$B$63,0))="Ração",INDEX('O QUE MOSTRAR'!$C$4:$C$12,MATCH($D184,'O QUE MOSTRAR'!$A$4:$A$12,0)),INDEX('O QUE MOSTRAR'!$D$4:$D$12,MATCH($D184,'O QUE MOSTRAR'!$A$4:$A$12,0)))</f>
        <v>Embalagem de frente, fundo branco puro, 85% da área, nada adicionado</v>
      </c>
      <c r="H184" s="11" t="str">
        <f aca="false">INDEX('O QUE MOSTRAR'!$E$4:$E$12,MATCH($D184,'O QUE MOSTRAR'!$A$4:$A$12,0))</f>
        <v>2000 × 2000</v>
      </c>
      <c r="I184" s="11" t="str">
        <f aca="false">INDEX('O QUE MOSTRAR'!$F$4:$F$12,MATCH($D184,'O QUE MOSTRAR'!$A$4:$A$12,0))</f>
        <v>SIM</v>
      </c>
      <c r="J184" s="13" t="s">
        <v>303</v>
      </c>
      <c r="K184" s="13"/>
    </row>
    <row r="185" customFormat="false" ht="15" hidden="false" customHeight="false" outlineLevel="0" collapsed="false">
      <c r="A185" s="14" t="s">
        <v>115</v>
      </c>
      <c r="B185" s="11" t="str">
        <f aca="false">INDEX(PRODUTOS!$E$4:$E$63,MATCH($A185,PRODUTOS!$B$4:$B$63,0))</f>
        <v>Ração Seca Natural Dots para Cães Sênior - Pacote 1 kg</v>
      </c>
      <c r="C185" s="11" t="str">
        <f aca="false">INDEX(PRODUTOS!$G$4:$G$63,MATCH($A185,PRODUTOS!$B$4:$B$63,0))</f>
        <v>1 kg</v>
      </c>
      <c r="D185" s="11" t="s">
        <v>304</v>
      </c>
      <c r="E185" s="15" t="str">
        <f aca="false">$A185&amp;"."&amp;$D185&amp;".jpg"</f>
        <v>7908591300154.PT01.jpg</v>
      </c>
      <c r="F185" s="11" t="str">
        <f aca="false">INDEX('O QUE MOSTRAR'!$B$4:$B$12,MATCH($D185,'O QUE MOSTRAR'!$A$4:$A$12,0))</f>
        <v>Posição 2</v>
      </c>
      <c r="G185" s="11" t="str">
        <f aca="false">IF(INDEX(PRODUTOS!$F$4:$F$63,MATCH($A185,PRODUTOS!$B$4:$B$63,0))="Ração",INDEX('O QUE MOSTRAR'!$C$4:$C$12,MATCH($D185,'O QUE MOSTRAR'!$A$4:$A$12,0)),INDEX('O QUE MOSTRAR'!$D$4:$D$12,MATCH($D185,'O QUE MOSTRAR'!$A$4:$A$12,0)))</f>
        <v>Grande diferencial da linha (número ou promessa forte + grão e ingrediente)</v>
      </c>
      <c r="H185" s="11" t="str">
        <f aca="false">INDEX('O QUE MOSTRAR'!$E$4:$E$12,MATCH($D185,'O QUE MOSTRAR'!$A$4:$A$12,0))</f>
        <v>2000 × 2000</v>
      </c>
      <c r="I185" s="11" t="str">
        <f aca="false">INDEX('O QUE MOSTRAR'!$F$4:$F$12,MATCH($D185,'O QUE MOSTRAR'!$A$4:$A$12,0))</f>
        <v>SIM</v>
      </c>
      <c r="J185" s="13" t="s">
        <v>303</v>
      </c>
      <c r="K185" s="13"/>
    </row>
    <row r="186" customFormat="false" ht="15" hidden="false" customHeight="false" outlineLevel="0" collapsed="false">
      <c r="A186" s="14" t="s">
        <v>115</v>
      </c>
      <c r="B186" s="11" t="str">
        <f aca="false">INDEX(PRODUTOS!$E$4:$E$63,MATCH($A186,PRODUTOS!$B$4:$B$63,0))</f>
        <v>Ração Seca Natural Dots para Cães Sênior - Pacote 1 kg</v>
      </c>
      <c r="C186" s="11" t="str">
        <f aca="false">INDEX(PRODUTOS!$G$4:$G$63,MATCH($A186,PRODUTOS!$B$4:$B$63,0))</f>
        <v>1 kg</v>
      </c>
      <c r="D186" s="11" t="s">
        <v>305</v>
      </c>
      <c r="E186" s="15" t="str">
        <f aca="false">$A186&amp;"."&amp;$D186&amp;".jpg"</f>
        <v>7908591300154.PT02.jpg</v>
      </c>
      <c r="F186" s="11" t="str">
        <f aca="false">INDEX('O QUE MOSTRAR'!$B$4:$B$12,MATCH($D186,'O QUE MOSTRAR'!$A$4:$A$12,0))</f>
        <v>Posição 3</v>
      </c>
      <c r="G186" s="11" t="str">
        <f aca="false">IF(INDEX(PRODUTOS!$F$4:$F$63,MATCH($A186,PRODUTOS!$B$4:$B$63,0))="Ração",INDEX('O QUE MOSTRAR'!$C$4:$C$12,MATCH($D186,'O QUE MOSTRAR'!$A$4:$A$12,0)),INDEX('O QUE MOSTRAR'!$D$4:$D$12,MATCH($D186,'O QUE MOSTRAR'!$A$4:$A$12,0)))</f>
        <v>Benefícios com ícones (4 a 6, impressos na embalagem) + ingrediente</v>
      </c>
      <c r="H186" s="11" t="str">
        <f aca="false">INDEX('O QUE MOSTRAR'!$E$4:$E$12,MATCH($D186,'O QUE MOSTRAR'!$A$4:$A$12,0))</f>
        <v>2000 × 2000</v>
      </c>
      <c r="I186" s="11" t="str">
        <f aca="false">INDEX('O QUE MOSTRAR'!$F$4:$F$12,MATCH($D186,'O QUE MOSTRAR'!$A$4:$A$12,0))</f>
        <v>SIM</v>
      </c>
      <c r="J186" s="13" t="s">
        <v>303</v>
      </c>
      <c r="K186" s="13"/>
    </row>
    <row r="187" customFormat="false" ht="15" hidden="false" customHeight="false" outlineLevel="0" collapsed="false">
      <c r="A187" s="14" t="s">
        <v>115</v>
      </c>
      <c r="B187" s="11" t="str">
        <f aca="false">INDEX(PRODUTOS!$E$4:$E$63,MATCH($A187,PRODUTOS!$B$4:$B$63,0))</f>
        <v>Ração Seca Natural Dots para Cães Sênior - Pacote 1 kg</v>
      </c>
      <c r="C187" s="11" t="str">
        <f aca="false">INDEX(PRODUTOS!$G$4:$G$63,MATCH($A187,PRODUTOS!$B$4:$B$63,0))</f>
        <v>1 kg</v>
      </c>
      <c r="D187" s="11" t="s">
        <v>306</v>
      </c>
      <c r="E187" s="15" t="str">
        <f aca="false">$A187&amp;"."&amp;$D187&amp;".jpg"</f>
        <v>7908591300154.PT03.jpg</v>
      </c>
      <c r="F187" s="11" t="str">
        <f aca="false">INDEX('O QUE MOSTRAR'!$B$4:$B$12,MATCH($D187,'O QUE MOSTRAR'!$A$4:$A$12,0))</f>
        <v>Posição 4</v>
      </c>
      <c r="G187" s="11" t="str">
        <f aca="false">IF(INDEX(PRODUTOS!$F$4:$F$63,MATCH($A187,PRODUTOS!$B$4:$B$63,0))="Ração",INDEX('O QUE MOSTRAR'!$C$4:$C$12,MATCH($D187,'O QUE MOSTRAR'!$A$4:$A$12,0)),INDEX('O QUE MOSTRAR'!$D$4:$D$12,MATCH($D187,'O QUE MOSTRAR'!$A$4:$A$12,0)))</f>
        <v>Formato e tamanho do grão, com medida em mm e referência de tamanho</v>
      </c>
      <c r="H187" s="11" t="str">
        <f aca="false">INDEX('O QUE MOSTRAR'!$E$4:$E$12,MATCH($D187,'O QUE MOSTRAR'!$A$4:$A$12,0))</f>
        <v>2000 × 2000</v>
      </c>
      <c r="I187" s="11" t="str">
        <f aca="false">INDEX('O QUE MOSTRAR'!$F$4:$F$12,MATCH($D187,'O QUE MOSTRAR'!$A$4:$A$12,0))</f>
        <v>SIM</v>
      </c>
      <c r="J187" s="13" t="s">
        <v>303</v>
      </c>
      <c r="K187" s="13"/>
    </row>
    <row r="188" customFormat="false" ht="15" hidden="false" customHeight="false" outlineLevel="0" collapsed="false">
      <c r="A188" s="14" t="s">
        <v>115</v>
      </c>
      <c r="B188" s="11" t="str">
        <f aca="false">INDEX(PRODUTOS!$E$4:$E$63,MATCH($A188,PRODUTOS!$B$4:$B$63,0))</f>
        <v>Ração Seca Natural Dots para Cães Sênior - Pacote 1 kg</v>
      </c>
      <c r="C188" s="11" t="str">
        <f aca="false">INDEX(PRODUTOS!$G$4:$G$63,MATCH($A188,PRODUTOS!$B$4:$B$63,0))</f>
        <v>1 kg</v>
      </c>
      <c r="D188" s="11" t="s">
        <v>307</v>
      </c>
      <c r="E188" s="15" t="str">
        <f aca="false">$A188&amp;"."&amp;$D188&amp;".jpg"</f>
        <v>7908591300154.PT04.jpg</v>
      </c>
      <c r="F188" s="11" t="str">
        <f aca="false">INDEX('O QUE MOSTRAR'!$B$4:$B$12,MATCH($D188,'O QUE MOSTRAR'!$A$4:$A$12,0))</f>
        <v>Posição 5</v>
      </c>
      <c r="G188" s="11" t="str">
        <f aca="false">IF(INDEX(PRODUTOS!$F$4:$F$63,MATCH($A188,PRODUTOS!$B$4:$B$63,0))="Ração",INDEX('O QUE MOSTRAR'!$C$4:$C$12,MATCH($D188,'O QUE MOSTRAR'!$A$4:$A$12,0)),INDEX('O QUE MOSTRAR'!$D$4:$D$12,MATCH($D188,'O QUE MOSTRAR'!$A$4:$A$12,0)))</f>
        <v>Quantidade diária por peso do pet (números idênticos à embalagem)</v>
      </c>
      <c r="H188" s="11" t="str">
        <f aca="false">INDEX('O QUE MOSTRAR'!$E$4:$E$12,MATCH($D188,'O QUE MOSTRAR'!$A$4:$A$12,0))</f>
        <v>2000 × 2000</v>
      </c>
      <c r="I188" s="11" t="str">
        <f aca="false">INDEX('O QUE MOSTRAR'!$F$4:$F$12,MATCH($D188,'O QUE MOSTRAR'!$A$4:$A$12,0))</f>
        <v>SIM</v>
      </c>
      <c r="J188" s="13" t="s">
        <v>303</v>
      </c>
      <c r="K188" s="13"/>
    </row>
    <row r="189" customFormat="false" ht="15" hidden="false" customHeight="false" outlineLevel="0" collapsed="false">
      <c r="A189" s="14" t="s">
        <v>115</v>
      </c>
      <c r="B189" s="11" t="str">
        <f aca="false">INDEX(PRODUTOS!$E$4:$E$63,MATCH($A189,PRODUTOS!$B$4:$B$63,0))</f>
        <v>Ração Seca Natural Dots para Cães Sênior - Pacote 1 kg</v>
      </c>
      <c r="C189" s="11" t="str">
        <f aca="false">INDEX(PRODUTOS!$G$4:$G$63,MATCH($A189,PRODUTOS!$B$4:$B$63,0))</f>
        <v>1 kg</v>
      </c>
      <c r="D189" s="11" t="s">
        <v>308</v>
      </c>
      <c r="E189" s="15" t="str">
        <f aca="false">$A189&amp;"."&amp;$D189&amp;".jpg"</f>
        <v>7908591300154.PT05.jpg</v>
      </c>
      <c r="F189" s="11" t="str">
        <f aca="false">INDEX('O QUE MOSTRAR'!$B$4:$B$12,MATCH($D189,'O QUE MOSTRAR'!$A$4:$A$12,0))</f>
        <v>Posição 6</v>
      </c>
      <c r="G189" s="11" t="str">
        <f aca="false">IF(INDEX(PRODUTOS!$F$4:$F$63,MATCH($A189,PRODUTOS!$B$4:$B$63,0))="Ração",INDEX('O QUE MOSTRAR'!$C$4:$C$12,MATCH($D189,'O QUE MOSTRAR'!$A$4:$A$12,0)),INDEX('O QUE MOSTRAR'!$D$4:$D$12,MATCH($D189,'O QUE MOSTRAR'!$A$4:$A$12,0)))</f>
        <v>Transição alimentar dia a dia (igual ao verso da embalagem)</v>
      </c>
      <c r="H189" s="11" t="str">
        <f aca="false">INDEX('O QUE MOSTRAR'!$E$4:$E$12,MATCH($D189,'O QUE MOSTRAR'!$A$4:$A$12,0))</f>
        <v>2000 × 2000</v>
      </c>
      <c r="I189" s="11" t="str">
        <f aca="false">INDEX('O QUE MOSTRAR'!$F$4:$F$12,MATCH($D189,'O QUE MOSTRAR'!$A$4:$A$12,0))</f>
        <v>Recomendada</v>
      </c>
      <c r="J189" s="13" t="s">
        <v>303</v>
      </c>
      <c r="K189" s="13"/>
    </row>
    <row r="190" customFormat="false" ht="15" hidden="false" customHeight="false" outlineLevel="0" collapsed="false">
      <c r="A190" s="14" t="s">
        <v>115</v>
      </c>
      <c r="B190" s="11" t="str">
        <f aca="false">INDEX(PRODUTOS!$E$4:$E$63,MATCH($A190,PRODUTOS!$B$4:$B$63,0))</f>
        <v>Ração Seca Natural Dots para Cães Sênior - Pacote 1 kg</v>
      </c>
      <c r="C190" s="11" t="str">
        <f aca="false">INDEX(PRODUTOS!$G$4:$G$63,MATCH($A190,PRODUTOS!$B$4:$B$63,0))</f>
        <v>1 kg</v>
      </c>
      <c r="D190" s="11" t="s">
        <v>309</v>
      </c>
      <c r="E190" s="15" t="str">
        <f aca="false">$A190&amp;"."&amp;$D190&amp;".jpg"</f>
        <v>7908591300154.PT06.jpg</v>
      </c>
      <c r="F190" s="11" t="str">
        <f aca="false">INDEX('O QUE MOSTRAR'!$B$4:$B$12,MATCH($D190,'O QUE MOSTRAR'!$A$4:$A$12,0))</f>
        <v>Posição 7</v>
      </c>
      <c r="G190" s="11" t="str">
        <f aca="false">IF(INDEX(PRODUTOS!$F$4:$F$63,MATCH($A190,PRODUTOS!$B$4:$B$63,0))="Ração",INDEX('O QUE MOSTRAR'!$C$4:$C$12,MATCH($D190,'O QUE MOSTRAR'!$A$4:$A$12,0)),INDEX('O QUE MOSTRAR'!$D$4:$D$12,MATCH($D190,'O QUE MOSTRAR'!$A$4:$A$12,0)))</f>
        <v>Composição e níveis de garantia em letra grande</v>
      </c>
      <c r="H190" s="11" t="str">
        <f aca="false">INDEX('O QUE MOSTRAR'!$E$4:$E$12,MATCH($D190,'O QUE MOSTRAR'!$A$4:$A$12,0))</f>
        <v>2000 × 2000</v>
      </c>
      <c r="I190" s="11" t="str">
        <f aca="false">INDEX('O QUE MOSTRAR'!$F$4:$F$12,MATCH($D190,'O QUE MOSTRAR'!$A$4:$A$12,0))</f>
        <v>SIM</v>
      </c>
      <c r="J190" s="13" t="s">
        <v>303</v>
      </c>
      <c r="K190" s="13"/>
    </row>
    <row r="191" customFormat="false" ht="15" hidden="false" customHeight="false" outlineLevel="0" collapsed="false">
      <c r="A191" s="14" t="s">
        <v>115</v>
      </c>
      <c r="B191" s="11" t="str">
        <f aca="false">INDEX(PRODUTOS!$E$4:$E$63,MATCH($A191,PRODUTOS!$B$4:$B$63,0))</f>
        <v>Ração Seca Natural Dots para Cães Sênior - Pacote 1 kg</v>
      </c>
      <c r="C191" s="11" t="str">
        <f aca="false">INDEX(PRODUTOS!$G$4:$G$63,MATCH($A191,PRODUTOS!$B$4:$B$63,0))</f>
        <v>1 kg</v>
      </c>
      <c r="D191" s="11" t="s">
        <v>310</v>
      </c>
      <c r="E191" s="15" t="str">
        <f aca="false">$A191&amp;"."&amp;$D191&amp;".jpg"</f>
        <v>7908591300154.PT07.jpg</v>
      </c>
      <c r="F191" s="11" t="str">
        <f aca="false">INDEX('O QUE MOSTRAR'!$B$4:$B$12,MATCH($D191,'O QUE MOSTRAR'!$A$4:$A$12,0))</f>
        <v>Posição 8</v>
      </c>
      <c r="G191" s="11" t="str">
        <f aca="false">IF(INDEX(PRODUTOS!$F$4:$F$63,MATCH($A191,PRODUTOS!$B$4:$B$63,0))="Ração",INDEX('O QUE MOSTRAR'!$C$4:$C$12,MATCH($D191,'O QUE MOSTRAR'!$A$4:$A$12,0)),INDEX('O QUE MOSTRAR'!$D$4:$D$12,MATCH($D191,'O QUE MOSTRAR'!$A$4:$A$12,0)))</f>
        <v>Emocional / momento de uso (pet do porte certo, pote cheio)</v>
      </c>
      <c r="H191" s="11" t="str">
        <f aca="false">INDEX('O QUE MOSTRAR'!$E$4:$E$12,MATCH($D191,'O QUE MOSTRAR'!$A$4:$A$12,0))</f>
        <v>2000 × 2000</v>
      </c>
      <c r="I191" s="11" t="str">
        <f aca="false">INDEX('O QUE MOSTRAR'!$F$4:$F$12,MATCH($D191,'O QUE MOSTRAR'!$A$4:$A$12,0))</f>
        <v>Recomendada</v>
      </c>
      <c r="J191" s="13" t="s">
        <v>303</v>
      </c>
      <c r="K191" s="13"/>
    </row>
    <row r="192" customFormat="false" ht="15" hidden="false" customHeight="false" outlineLevel="0" collapsed="false">
      <c r="A192" s="14" t="s">
        <v>115</v>
      </c>
      <c r="B192" s="11" t="str">
        <f aca="false">INDEX(PRODUTOS!$E$4:$E$63,MATCH($A192,PRODUTOS!$B$4:$B$63,0))</f>
        <v>Ração Seca Natural Dots para Cães Sênior - Pacote 1 kg</v>
      </c>
      <c r="C192" s="11" t="str">
        <f aca="false">INDEX(PRODUTOS!$G$4:$G$63,MATCH($A192,PRODUTOS!$B$4:$B$63,0))</f>
        <v>1 kg</v>
      </c>
      <c r="D192" s="11" t="s">
        <v>311</v>
      </c>
      <c r="E192" s="15" t="str">
        <f aca="false">$A192&amp;"."&amp;$D192&amp;".jpg"</f>
        <v>7908591300154.PT08.jpg</v>
      </c>
      <c r="F192" s="11" t="str">
        <f aca="false">INDEX('O QUE MOSTRAR'!$B$4:$B$12,MATCH($D192,'O QUE MOSTRAR'!$A$4:$A$12,0))</f>
        <v>Posição 9</v>
      </c>
      <c r="G192" s="11" t="str">
        <f aca="false">IF(INDEX(PRODUTOS!$F$4:$F$63,MATCH($A192,PRODUTOS!$B$4:$B$63,0))="Ração",INDEX('O QUE MOSTRAR'!$C$4:$C$12,MATCH($D192,'O QUE MOSTRAR'!$A$4:$A$12,0)),INDEX('O QUE MOSTRAR'!$D$4:$D$12,MATCH($D192,'O QUE MOSTRAR'!$A$4:$A$12,0)))</f>
        <v>Linha da marca ou embalagem anterior × nova</v>
      </c>
      <c r="H192" s="11" t="str">
        <f aca="false">INDEX('O QUE MOSTRAR'!$E$4:$E$12,MATCH($D192,'O QUE MOSTRAR'!$A$4:$A$12,0))</f>
        <v>2000 × 2000</v>
      </c>
      <c r="I192" s="11" t="str">
        <f aca="false">INDEX('O QUE MOSTRAR'!$F$4:$F$12,MATCH($D192,'O QUE MOSTRAR'!$A$4:$A$12,0))</f>
        <v>Recomendada</v>
      </c>
      <c r="J192" s="13" t="s">
        <v>303</v>
      </c>
      <c r="K192" s="13"/>
    </row>
    <row r="193" customFormat="false" ht="15" hidden="false" customHeight="false" outlineLevel="0" collapsed="false">
      <c r="A193" s="14" t="s">
        <v>119</v>
      </c>
      <c r="B193" s="11" t="str">
        <f aca="false">INDEX(PRODUTOS!$E$4:$E$63,MATCH($A193,PRODUTOS!$B$4:$B$63,0))</f>
        <v>Ração Seca Natural Dots para Cães de Raças Pequenas - Pacote 15 kg</v>
      </c>
      <c r="C193" s="11" t="str">
        <f aca="false">INDEX(PRODUTOS!$G$4:$G$63,MATCH($A193,PRODUTOS!$B$4:$B$63,0))</f>
        <v>15 kg</v>
      </c>
      <c r="D193" s="11" t="s">
        <v>302</v>
      </c>
      <c r="E193" s="15" t="str">
        <f aca="false">$A193&amp;"."&amp;$D193&amp;".jpg"</f>
        <v>7898968541344.MAIN.jpg</v>
      </c>
      <c r="F193" s="11" t="str">
        <f aca="false">INDEX('O QUE MOSTRAR'!$B$4:$B$12,MATCH($D193,'O QUE MOSTRAR'!$A$4:$A$12,0))</f>
        <v>Capa (posição 1)</v>
      </c>
      <c r="G193" s="11" t="str">
        <f aca="false">IF(INDEX(PRODUTOS!$F$4:$F$63,MATCH($A193,PRODUTOS!$B$4:$B$63,0))="Ração",INDEX('O QUE MOSTRAR'!$C$4:$C$12,MATCH($D193,'O QUE MOSTRAR'!$A$4:$A$12,0)),INDEX('O QUE MOSTRAR'!$D$4:$D$12,MATCH($D193,'O QUE MOSTRAR'!$A$4:$A$12,0)))</f>
        <v>Embalagem de frente, fundo branco puro, 85% da área, nada adicionado</v>
      </c>
      <c r="H193" s="11" t="str">
        <f aca="false">INDEX('O QUE MOSTRAR'!$E$4:$E$12,MATCH($D193,'O QUE MOSTRAR'!$A$4:$A$12,0))</f>
        <v>2000 × 2000</v>
      </c>
      <c r="I193" s="11" t="str">
        <f aca="false">INDEX('O QUE MOSTRAR'!$F$4:$F$12,MATCH($D193,'O QUE MOSTRAR'!$A$4:$A$12,0))</f>
        <v>SIM</v>
      </c>
      <c r="J193" s="13" t="s">
        <v>303</v>
      </c>
      <c r="K193" s="13"/>
    </row>
    <row r="194" customFormat="false" ht="15" hidden="false" customHeight="false" outlineLevel="0" collapsed="false">
      <c r="A194" s="14" t="s">
        <v>119</v>
      </c>
      <c r="B194" s="11" t="str">
        <f aca="false">INDEX(PRODUTOS!$E$4:$E$63,MATCH($A194,PRODUTOS!$B$4:$B$63,0))</f>
        <v>Ração Seca Natural Dots para Cães de Raças Pequenas - Pacote 15 kg</v>
      </c>
      <c r="C194" s="11" t="str">
        <f aca="false">INDEX(PRODUTOS!$G$4:$G$63,MATCH($A194,PRODUTOS!$B$4:$B$63,0))</f>
        <v>15 kg</v>
      </c>
      <c r="D194" s="11" t="s">
        <v>304</v>
      </c>
      <c r="E194" s="15" t="str">
        <f aca="false">$A194&amp;"."&amp;$D194&amp;".jpg"</f>
        <v>7898968541344.PT01.jpg</v>
      </c>
      <c r="F194" s="11" t="str">
        <f aca="false">INDEX('O QUE MOSTRAR'!$B$4:$B$12,MATCH($D194,'O QUE MOSTRAR'!$A$4:$A$12,0))</f>
        <v>Posição 2</v>
      </c>
      <c r="G194" s="11" t="str">
        <f aca="false">IF(INDEX(PRODUTOS!$F$4:$F$63,MATCH($A194,PRODUTOS!$B$4:$B$63,0))="Ração",INDEX('O QUE MOSTRAR'!$C$4:$C$12,MATCH($D194,'O QUE MOSTRAR'!$A$4:$A$12,0)),INDEX('O QUE MOSTRAR'!$D$4:$D$12,MATCH($D194,'O QUE MOSTRAR'!$A$4:$A$12,0)))</f>
        <v>Grande diferencial da linha (número ou promessa forte + grão e ingrediente)</v>
      </c>
      <c r="H194" s="11" t="str">
        <f aca="false">INDEX('O QUE MOSTRAR'!$E$4:$E$12,MATCH($D194,'O QUE MOSTRAR'!$A$4:$A$12,0))</f>
        <v>2000 × 2000</v>
      </c>
      <c r="I194" s="11" t="str">
        <f aca="false">INDEX('O QUE MOSTRAR'!$F$4:$F$12,MATCH($D194,'O QUE MOSTRAR'!$A$4:$A$12,0))</f>
        <v>SIM</v>
      </c>
      <c r="J194" s="13" t="s">
        <v>303</v>
      </c>
      <c r="K194" s="13"/>
    </row>
    <row r="195" customFormat="false" ht="15" hidden="false" customHeight="false" outlineLevel="0" collapsed="false">
      <c r="A195" s="14" t="s">
        <v>119</v>
      </c>
      <c r="B195" s="11" t="str">
        <f aca="false">INDEX(PRODUTOS!$E$4:$E$63,MATCH($A195,PRODUTOS!$B$4:$B$63,0))</f>
        <v>Ração Seca Natural Dots para Cães de Raças Pequenas - Pacote 15 kg</v>
      </c>
      <c r="C195" s="11" t="str">
        <f aca="false">INDEX(PRODUTOS!$G$4:$G$63,MATCH($A195,PRODUTOS!$B$4:$B$63,0))</f>
        <v>15 kg</v>
      </c>
      <c r="D195" s="11" t="s">
        <v>305</v>
      </c>
      <c r="E195" s="15" t="str">
        <f aca="false">$A195&amp;"."&amp;$D195&amp;".jpg"</f>
        <v>7898968541344.PT02.jpg</v>
      </c>
      <c r="F195" s="11" t="str">
        <f aca="false">INDEX('O QUE MOSTRAR'!$B$4:$B$12,MATCH($D195,'O QUE MOSTRAR'!$A$4:$A$12,0))</f>
        <v>Posição 3</v>
      </c>
      <c r="G195" s="11" t="str">
        <f aca="false">IF(INDEX(PRODUTOS!$F$4:$F$63,MATCH($A195,PRODUTOS!$B$4:$B$63,0))="Ração",INDEX('O QUE MOSTRAR'!$C$4:$C$12,MATCH($D195,'O QUE MOSTRAR'!$A$4:$A$12,0)),INDEX('O QUE MOSTRAR'!$D$4:$D$12,MATCH($D195,'O QUE MOSTRAR'!$A$4:$A$12,0)))</f>
        <v>Benefícios com ícones (4 a 6, impressos na embalagem) + ingrediente</v>
      </c>
      <c r="H195" s="11" t="str">
        <f aca="false">INDEX('O QUE MOSTRAR'!$E$4:$E$12,MATCH($D195,'O QUE MOSTRAR'!$A$4:$A$12,0))</f>
        <v>2000 × 2000</v>
      </c>
      <c r="I195" s="11" t="str">
        <f aca="false">INDEX('O QUE MOSTRAR'!$F$4:$F$12,MATCH($D195,'O QUE MOSTRAR'!$A$4:$A$12,0))</f>
        <v>SIM</v>
      </c>
      <c r="J195" s="13" t="s">
        <v>303</v>
      </c>
      <c r="K195" s="13"/>
    </row>
    <row r="196" customFormat="false" ht="15" hidden="false" customHeight="false" outlineLevel="0" collapsed="false">
      <c r="A196" s="14" t="s">
        <v>119</v>
      </c>
      <c r="B196" s="11" t="str">
        <f aca="false">INDEX(PRODUTOS!$E$4:$E$63,MATCH($A196,PRODUTOS!$B$4:$B$63,0))</f>
        <v>Ração Seca Natural Dots para Cães de Raças Pequenas - Pacote 15 kg</v>
      </c>
      <c r="C196" s="11" t="str">
        <f aca="false">INDEX(PRODUTOS!$G$4:$G$63,MATCH($A196,PRODUTOS!$B$4:$B$63,0))</f>
        <v>15 kg</v>
      </c>
      <c r="D196" s="11" t="s">
        <v>306</v>
      </c>
      <c r="E196" s="15" t="str">
        <f aca="false">$A196&amp;"."&amp;$D196&amp;".jpg"</f>
        <v>7898968541344.PT03.jpg</v>
      </c>
      <c r="F196" s="11" t="str">
        <f aca="false">INDEX('O QUE MOSTRAR'!$B$4:$B$12,MATCH($D196,'O QUE MOSTRAR'!$A$4:$A$12,0))</f>
        <v>Posição 4</v>
      </c>
      <c r="G196" s="11" t="str">
        <f aca="false">IF(INDEX(PRODUTOS!$F$4:$F$63,MATCH($A196,PRODUTOS!$B$4:$B$63,0))="Ração",INDEX('O QUE MOSTRAR'!$C$4:$C$12,MATCH($D196,'O QUE MOSTRAR'!$A$4:$A$12,0)),INDEX('O QUE MOSTRAR'!$D$4:$D$12,MATCH($D196,'O QUE MOSTRAR'!$A$4:$A$12,0)))</f>
        <v>Formato e tamanho do grão, com medida em mm e referência de tamanho</v>
      </c>
      <c r="H196" s="11" t="str">
        <f aca="false">INDEX('O QUE MOSTRAR'!$E$4:$E$12,MATCH($D196,'O QUE MOSTRAR'!$A$4:$A$12,0))</f>
        <v>2000 × 2000</v>
      </c>
      <c r="I196" s="11" t="str">
        <f aca="false">INDEX('O QUE MOSTRAR'!$F$4:$F$12,MATCH($D196,'O QUE MOSTRAR'!$A$4:$A$12,0))</f>
        <v>SIM</v>
      </c>
      <c r="J196" s="13" t="s">
        <v>303</v>
      </c>
      <c r="K196" s="13"/>
    </row>
    <row r="197" customFormat="false" ht="15" hidden="false" customHeight="false" outlineLevel="0" collapsed="false">
      <c r="A197" s="14" t="s">
        <v>119</v>
      </c>
      <c r="B197" s="11" t="str">
        <f aca="false">INDEX(PRODUTOS!$E$4:$E$63,MATCH($A197,PRODUTOS!$B$4:$B$63,0))</f>
        <v>Ração Seca Natural Dots para Cães de Raças Pequenas - Pacote 15 kg</v>
      </c>
      <c r="C197" s="11" t="str">
        <f aca="false">INDEX(PRODUTOS!$G$4:$G$63,MATCH($A197,PRODUTOS!$B$4:$B$63,0))</f>
        <v>15 kg</v>
      </c>
      <c r="D197" s="11" t="s">
        <v>307</v>
      </c>
      <c r="E197" s="15" t="str">
        <f aca="false">$A197&amp;"."&amp;$D197&amp;".jpg"</f>
        <v>7898968541344.PT04.jpg</v>
      </c>
      <c r="F197" s="11" t="str">
        <f aca="false">INDEX('O QUE MOSTRAR'!$B$4:$B$12,MATCH($D197,'O QUE MOSTRAR'!$A$4:$A$12,0))</f>
        <v>Posição 5</v>
      </c>
      <c r="G197" s="11" t="str">
        <f aca="false">IF(INDEX(PRODUTOS!$F$4:$F$63,MATCH($A197,PRODUTOS!$B$4:$B$63,0))="Ração",INDEX('O QUE MOSTRAR'!$C$4:$C$12,MATCH($D197,'O QUE MOSTRAR'!$A$4:$A$12,0)),INDEX('O QUE MOSTRAR'!$D$4:$D$12,MATCH($D197,'O QUE MOSTRAR'!$A$4:$A$12,0)))</f>
        <v>Quantidade diária por peso do pet (números idênticos à embalagem)</v>
      </c>
      <c r="H197" s="11" t="str">
        <f aca="false">INDEX('O QUE MOSTRAR'!$E$4:$E$12,MATCH($D197,'O QUE MOSTRAR'!$A$4:$A$12,0))</f>
        <v>2000 × 2000</v>
      </c>
      <c r="I197" s="11" t="str">
        <f aca="false">INDEX('O QUE MOSTRAR'!$F$4:$F$12,MATCH($D197,'O QUE MOSTRAR'!$A$4:$A$12,0))</f>
        <v>SIM</v>
      </c>
      <c r="J197" s="13" t="s">
        <v>303</v>
      </c>
      <c r="K197" s="13"/>
    </row>
    <row r="198" customFormat="false" ht="15" hidden="false" customHeight="false" outlineLevel="0" collapsed="false">
      <c r="A198" s="14" t="s">
        <v>119</v>
      </c>
      <c r="B198" s="11" t="str">
        <f aca="false">INDEX(PRODUTOS!$E$4:$E$63,MATCH($A198,PRODUTOS!$B$4:$B$63,0))</f>
        <v>Ração Seca Natural Dots para Cães de Raças Pequenas - Pacote 15 kg</v>
      </c>
      <c r="C198" s="11" t="str">
        <f aca="false">INDEX(PRODUTOS!$G$4:$G$63,MATCH($A198,PRODUTOS!$B$4:$B$63,0))</f>
        <v>15 kg</v>
      </c>
      <c r="D198" s="11" t="s">
        <v>308</v>
      </c>
      <c r="E198" s="15" t="str">
        <f aca="false">$A198&amp;"."&amp;$D198&amp;".jpg"</f>
        <v>7898968541344.PT05.jpg</v>
      </c>
      <c r="F198" s="11" t="str">
        <f aca="false">INDEX('O QUE MOSTRAR'!$B$4:$B$12,MATCH($D198,'O QUE MOSTRAR'!$A$4:$A$12,0))</f>
        <v>Posição 6</v>
      </c>
      <c r="G198" s="11" t="str">
        <f aca="false">IF(INDEX(PRODUTOS!$F$4:$F$63,MATCH($A198,PRODUTOS!$B$4:$B$63,0))="Ração",INDEX('O QUE MOSTRAR'!$C$4:$C$12,MATCH($D198,'O QUE MOSTRAR'!$A$4:$A$12,0)),INDEX('O QUE MOSTRAR'!$D$4:$D$12,MATCH($D198,'O QUE MOSTRAR'!$A$4:$A$12,0)))</f>
        <v>Transição alimentar dia a dia (igual ao verso da embalagem)</v>
      </c>
      <c r="H198" s="11" t="str">
        <f aca="false">INDEX('O QUE MOSTRAR'!$E$4:$E$12,MATCH($D198,'O QUE MOSTRAR'!$A$4:$A$12,0))</f>
        <v>2000 × 2000</v>
      </c>
      <c r="I198" s="11" t="str">
        <f aca="false">INDEX('O QUE MOSTRAR'!$F$4:$F$12,MATCH($D198,'O QUE MOSTRAR'!$A$4:$A$12,0))</f>
        <v>Recomendada</v>
      </c>
      <c r="J198" s="13" t="s">
        <v>303</v>
      </c>
      <c r="K198" s="13"/>
    </row>
    <row r="199" customFormat="false" ht="15" hidden="false" customHeight="false" outlineLevel="0" collapsed="false">
      <c r="A199" s="14" t="s">
        <v>119</v>
      </c>
      <c r="B199" s="11" t="str">
        <f aca="false">INDEX(PRODUTOS!$E$4:$E$63,MATCH($A199,PRODUTOS!$B$4:$B$63,0))</f>
        <v>Ração Seca Natural Dots para Cães de Raças Pequenas - Pacote 15 kg</v>
      </c>
      <c r="C199" s="11" t="str">
        <f aca="false">INDEX(PRODUTOS!$G$4:$G$63,MATCH($A199,PRODUTOS!$B$4:$B$63,0))</f>
        <v>15 kg</v>
      </c>
      <c r="D199" s="11" t="s">
        <v>309</v>
      </c>
      <c r="E199" s="15" t="str">
        <f aca="false">$A199&amp;"."&amp;$D199&amp;".jpg"</f>
        <v>7898968541344.PT06.jpg</v>
      </c>
      <c r="F199" s="11" t="str">
        <f aca="false">INDEX('O QUE MOSTRAR'!$B$4:$B$12,MATCH($D199,'O QUE MOSTRAR'!$A$4:$A$12,0))</f>
        <v>Posição 7</v>
      </c>
      <c r="G199" s="11" t="str">
        <f aca="false">IF(INDEX(PRODUTOS!$F$4:$F$63,MATCH($A199,PRODUTOS!$B$4:$B$63,0))="Ração",INDEX('O QUE MOSTRAR'!$C$4:$C$12,MATCH($D199,'O QUE MOSTRAR'!$A$4:$A$12,0)),INDEX('O QUE MOSTRAR'!$D$4:$D$12,MATCH($D199,'O QUE MOSTRAR'!$A$4:$A$12,0)))</f>
        <v>Composição e níveis de garantia em letra grande</v>
      </c>
      <c r="H199" s="11" t="str">
        <f aca="false">INDEX('O QUE MOSTRAR'!$E$4:$E$12,MATCH($D199,'O QUE MOSTRAR'!$A$4:$A$12,0))</f>
        <v>2000 × 2000</v>
      </c>
      <c r="I199" s="11" t="str">
        <f aca="false">INDEX('O QUE MOSTRAR'!$F$4:$F$12,MATCH($D199,'O QUE MOSTRAR'!$A$4:$A$12,0))</f>
        <v>SIM</v>
      </c>
      <c r="J199" s="13" t="s">
        <v>303</v>
      </c>
      <c r="K199" s="13"/>
    </row>
    <row r="200" customFormat="false" ht="15" hidden="false" customHeight="false" outlineLevel="0" collapsed="false">
      <c r="A200" s="14" t="s">
        <v>119</v>
      </c>
      <c r="B200" s="11" t="str">
        <f aca="false">INDEX(PRODUTOS!$E$4:$E$63,MATCH($A200,PRODUTOS!$B$4:$B$63,0))</f>
        <v>Ração Seca Natural Dots para Cães de Raças Pequenas - Pacote 15 kg</v>
      </c>
      <c r="C200" s="11" t="str">
        <f aca="false">INDEX(PRODUTOS!$G$4:$G$63,MATCH($A200,PRODUTOS!$B$4:$B$63,0))</f>
        <v>15 kg</v>
      </c>
      <c r="D200" s="11" t="s">
        <v>310</v>
      </c>
      <c r="E200" s="15" t="str">
        <f aca="false">$A200&amp;"."&amp;$D200&amp;".jpg"</f>
        <v>7898968541344.PT07.jpg</v>
      </c>
      <c r="F200" s="11" t="str">
        <f aca="false">INDEX('O QUE MOSTRAR'!$B$4:$B$12,MATCH($D200,'O QUE MOSTRAR'!$A$4:$A$12,0))</f>
        <v>Posição 8</v>
      </c>
      <c r="G200" s="11" t="str">
        <f aca="false">IF(INDEX(PRODUTOS!$F$4:$F$63,MATCH($A200,PRODUTOS!$B$4:$B$63,0))="Ração",INDEX('O QUE MOSTRAR'!$C$4:$C$12,MATCH($D200,'O QUE MOSTRAR'!$A$4:$A$12,0)),INDEX('O QUE MOSTRAR'!$D$4:$D$12,MATCH($D200,'O QUE MOSTRAR'!$A$4:$A$12,0)))</f>
        <v>Emocional / momento de uso (pet do porte certo, pote cheio)</v>
      </c>
      <c r="H200" s="11" t="str">
        <f aca="false">INDEX('O QUE MOSTRAR'!$E$4:$E$12,MATCH($D200,'O QUE MOSTRAR'!$A$4:$A$12,0))</f>
        <v>2000 × 2000</v>
      </c>
      <c r="I200" s="11" t="str">
        <f aca="false">INDEX('O QUE MOSTRAR'!$F$4:$F$12,MATCH($D200,'O QUE MOSTRAR'!$A$4:$A$12,0))</f>
        <v>Recomendada</v>
      </c>
      <c r="J200" s="13" t="s">
        <v>303</v>
      </c>
      <c r="K200" s="13"/>
    </row>
    <row r="201" customFormat="false" ht="15" hidden="false" customHeight="false" outlineLevel="0" collapsed="false">
      <c r="A201" s="14" t="s">
        <v>119</v>
      </c>
      <c r="B201" s="11" t="str">
        <f aca="false">INDEX(PRODUTOS!$E$4:$E$63,MATCH($A201,PRODUTOS!$B$4:$B$63,0))</f>
        <v>Ração Seca Natural Dots para Cães de Raças Pequenas - Pacote 15 kg</v>
      </c>
      <c r="C201" s="11" t="str">
        <f aca="false">INDEX(PRODUTOS!$G$4:$G$63,MATCH($A201,PRODUTOS!$B$4:$B$63,0))</f>
        <v>15 kg</v>
      </c>
      <c r="D201" s="11" t="s">
        <v>311</v>
      </c>
      <c r="E201" s="15" t="str">
        <f aca="false">$A201&amp;"."&amp;$D201&amp;".jpg"</f>
        <v>7898968541344.PT08.jpg</v>
      </c>
      <c r="F201" s="11" t="str">
        <f aca="false">INDEX('O QUE MOSTRAR'!$B$4:$B$12,MATCH($D201,'O QUE MOSTRAR'!$A$4:$A$12,0))</f>
        <v>Posição 9</v>
      </c>
      <c r="G201" s="11" t="str">
        <f aca="false">IF(INDEX(PRODUTOS!$F$4:$F$63,MATCH($A201,PRODUTOS!$B$4:$B$63,0))="Ração",INDEX('O QUE MOSTRAR'!$C$4:$C$12,MATCH($D201,'O QUE MOSTRAR'!$A$4:$A$12,0)),INDEX('O QUE MOSTRAR'!$D$4:$D$12,MATCH($D201,'O QUE MOSTRAR'!$A$4:$A$12,0)))</f>
        <v>Linha da marca ou embalagem anterior × nova</v>
      </c>
      <c r="H201" s="11" t="str">
        <f aca="false">INDEX('O QUE MOSTRAR'!$E$4:$E$12,MATCH($D201,'O QUE MOSTRAR'!$A$4:$A$12,0))</f>
        <v>2000 × 2000</v>
      </c>
      <c r="I201" s="11" t="str">
        <f aca="false">INDEX('O QUE MOSTRAR'!$F$4:$F$12,MATCH($D201,'O QUE MOSTRAR'!$A$4:$A$12,0))</f>
        <v>Recomendada</v>
      </c>
      <c r="J201" s="13" t="s">
        <v>303</v>
      </c>
      <c r="K201" s="13"/>
    </row>
    <row r="202" customFormat="false" ht="15" hidden="false" customHeight="false" outlineLevel="0" collapsed="false">
      <c r="A202" s="14" t="s">
        <v>123</v>
      </c>
      <c r="B202" s="11" t="str">
        <f aca="false">INDEX(PRODUTOS!$E$4:$E$63,MATCH($A202,PRODUTOS!$B$4:$B$63,0))</f>
        <v>Ração Seca Natural Dots para Cães de Raças Pequenas - Pacote 1 kg</v>
      </c>
      <c r="C202" s="11" t="str">
        <f aca="false">INDEX(PRODUTOS!$G$4:$G$63,MATCH($A202,PRODUTOS!$B$4:$B$63,0))</f>
        <v>1 kg</v>
      </c>
      <c r="D202" s="11" t="s">
        <v>302</v>
      </c>
      <c r="E202" s="15" t="str">
        <f aca="false">$A202&amp;"."&amp;$D202&amp;".jpg"</f>
        <v>7898968541320.MAIN.jpg</v>
      </c>
      <c r="F202" s="11" t="str">
        <f aca="false">INDEX('O QUE MOSTRAR'!$B$4:$B$12,MATCH($D202,'O QUE MOSTRAR'!$A$4:$A$12,0))</f>
        <v>Capa (posição 1)</v>
      </c>
      <c r="G202" s="11" t="str">
        <f aca="false">IF(INDEX(PRODUTOS!$F$4:$F$63,MATCH($A202,PRODUTOS!$B$4:$B$63,0))="Ração",INDEX('O QUE MOSTRAR'!$C$4:$C$12,MATCH($D202,'O QUE MOSTRAR'!$A$4:$A$12,0)),INDEX('O QUE MOSTRAR'!$D$4:$D$12,MATCH($D202,'O QUE MOSTRAR'!$A$4:$A$12,0)))</f>
        <v>Embalagem de frente, fundo branco puro, 85% da área, nada adicionado</v>
      </c>
      <c r="H202" s="11" t="str">
        <f aca="false">INDEX('O QUE MOSTRAR'!$E$4:$E$12,MATCH($D202,'O QUE MOSTRAR'!$A$4:$A$12,0))</f>
        <v>2000 × 2000</v>
      </c>
      <c r="I202" s="11" t="str">
        <f aca="false">INDEX('O QUE MOSTRAR'!$F$4:$F$12,MATCH($D202,'O QUE MOSTRAR'!$A$4:$A$12,0))</f>
        <v>SIM</v>
      </c>
      <c r="J202" s="13" t="s">
        <v>303</v>
      </c>
      <c r="K202" s="13"/>
    </row>
    <row r="203" customFormat="false" ht="15" hidden="false" customHeight="false" outlineLevel="0" collapsed="false">
      <c r="A203" s="14" t="s">
        <v>123</v>
      </c>
      <c r="B203" s="11" t="str">
        <f aca="false">INDEX(PRODUTOS!$E$4:$E$63,MATCH($A203,PRODUTOS!$B$4:$B$63,0))</f>
        <v>Ração Seca Natural Dots para Cães de Raças Pequenas - Pacote 1 kg</v>
      </c>
      <c r="C203" s="11" t="str">
        <f aca="false">INDEX(PRODUTOS!$G$4:$G$63,MATCH($A203,PRODUTOS!$B$4:$B$63,0))</f>
        <v>1 kg</v>
      </c>
      <c r="D203" s="11" t="s">
        <v>304</v>
      </c>
      <c r="E203" s="15" t="str">
        <f aca="false">$A203&amp;"."&amp;$D203&amp;".jpg"</f>
        <v>7898968541320.PT01.jpg</v>
      </c>
      <c r="F203" s="11" t="str">
        <f aca="false">INDEX('O QUE MOSTRAR'!$B$4:$B$12,MATCH($D203,'O QUE MOSTRAR'!$A$4:$A$12,0))</f>
        <v>Posição 2</v>
      </c>
      <c r="G203" s="11" t="str">
        <f aca="false">IF(INDEX(PRODUTOS!$F$4:$F$63,MATCH($A203,PRODUTOS!$B$4:$B$63,0))="Ração",INDEX('O QUE MOSTRAR'!$C$4:$C$12,MATCH($D203,'O QUE MOSTRAR'!$A$4:$A$12,0)),INDEX('O QUE MOSTRAR'!$D$4:$D$12,MATCH($D203,'O QUE MOSTRAR'!$A$4:$A$12,0)))</f>
        <v>Grande diferencial da linha (número ou promessa forte + grão e ingrediente)</v>
      </c>
      <c r="H203" s="11" t="str">
        <f aca="false">INDEX('O QUE MOSTRAR'!$E$4:$E$12,MATCH($D203,'O QUE MOSTRAR'!$A$4:$A$12,0))</f>
        <v>2000 × 2000</v>
      </c>
      <c r="I203" s="11" t="str">
        <f aca="false">INDEX('O QUE MOSTRAR'!$F$4:$F$12,MATCH($D203,'O QUE MOSTRAR'!$A$4:$A$12,0))</f>
        <v>SIM</v>
      </c>
      <c r="J203" s="13" t="s">
        <v>303</v>
      </c>
      <c r="K203" s="13"/>
    </row>
    <row r="204" customFormat="false" ht="15" hidden="false" customHeight="false" outlineLevel="0" collapsed="false">
      <c r="A204" s="14" t="s">
        <v>123</v>
      </c>
      <c r="B204" s="11" t="str">
        <f aca="false">INDEX(PRODUTOS!$E$4:$E$63,MATCH($A204,PRODUTOS!$B$4:$B$63,0))</f>
        <v>Ração Seca Natural Dots para Cães de Raças Pequenas - Pacote 1 kg</v>
      </c>
      <c r="C204" s="11" t="str">
        <f aca="false">INDEX(PRODUTOS!$G$4:$G$63,MATCH($A204,PRODUTOS!$B$4:$B$63,0))</f>
        <v>1 kg</v>
      </c>
      <c r="D204" s="11" t="s">
        <v>305</v>
      </c>
      <c r="E204" s="15" t="str">
        <f aca="false">$A204&amp;"."&amp;$D204&amp;".jpg"</f>
        <v>7898968541320.PT02.jpg</v>
      </c>
      <c r="F204" s="11" t="str">
        <f aca="false">INDEX('O QUE MOSTRAR'!$B$4:$B$12,MATCH($D204,'O QUE MOSTRAR'!$A$4:$A$12,0))</f>
        <v>Posição 3</v>
      </c>
      <c r="G204" s="11" t="str">
        <f aca="false">IF(INDEX(PRODUTOS!$F$4:$F$63,MATCH($A204,PRODUTOS!$B$4:$B$63,0))="Ração",INDEX('O QUE MOSTRAR'!$C$4:$C$12,MATCH($D204,'O QUE MOSTRAR'!$A$4:$A$12,0)),INDEX('O QUE MOSTRAR'!$D$4:$D$12,MATCH($D204,'O QUE MOSTRAR'!$A$4:$A$12,0)))</f>
        <v>Benefícios com ícones (4 a 6, impressos na embalagem) + ingrediente</v>
      </c>
      <c r="H204" s="11" t="str">
        <f aca="false">INDEX('O QUE MOSTRAR'!$E$4:$E$12,MATCH($D204,'O QUE MOSTRAR'!$A$4:$A$12,0))</f>
        <v>2000 × 2000</v>
      </c>
      <c r="I204" s="11" t="str">
        <f aca="false">INDEX('O QUE MOSTRAR'!$F$4:$F$12,MATCH($D204,'O QUE MOSTRAR'!$A$4:$A$12,0))</f>
        <v>SIM</v>
      </c>
      <c r="J204" s="13" t="s">
        <v>303</v>
      </c>
      <c r="K204" s="13"/>
    </row>
    <row r="205" customFormat="false" ht="15" hidden="false" customHeight="false" outlineLevel="0" collapsed="false">
      <c r="A205" s="14" t="s">
        <v>123</v>
      </c>
      <c r="B205" s="11" t="str">
        <f aca="false">INDEX(PRODUTOS!$E$4:$E$63,MATCH($A205,PRODUTOS!$B$4:$B$63,0))</f>
        <v>Ração Seca Natural Dots para Cães de Raças Pequenas - Pacote 1 kg</v>
      </c>
      <c r="C205" s="11" t="str">
        <f aca="false">INDEX(PRODUTOS!$G$4:$G$63,MATCH($A205,PRODUTOS!$B$4:$B$63,0))</f>
        <v>1 kg</v>
      </c>
      <c r="D205" s="11" t="s">
        <v>306</v>
      </c>
      <c r="E205" s="15" t="str">
        <f aca="false">$A205&amp;"."&amp;$D205&amp;".jpg"</f>
        <v>7898968541320.PT03.jpg</v>
      </c>
      <c r="F205" s="11" t="str">
        <f aca="false">INDEX('O QUE MOSTRAR'!$B$4:$B$12,MATCH($D205,'O QUE MOSTRAR'!$A$4:$A$12,0))</f>
        <v>Posição 4</v>
      </c>
      <c r="G205" s="11" t="str">
        <f aca="false">IF(INDEX(PRODUTOS!$F$4:$F$63,MATCH($A205,PRODUTOS!$B$4:$B$63,0))="Ração",INDEX('O QUE MOSTRAR'!$C$4:$C$12,MATCH($D205,'O QUE MOSTRAR'!$A$4:$A$12,0)),INDEX('O QUE MOSTRAR'!$D$4:$D$12,MATCH($D205,'O QUE MOSTRAR'!$A$4:$A$12,0)))</f>
        <v>Formato e tamanho do grão, com medida em mm e referência de tamanho</v>
      </c>
      <c r="H205" s="11" t="str">
        <f aca="false">INDEX('O QUE MOSTRAR'!$E$4:$E$12,MATCH($D205,'O QUE MOSTRAR'!$A$4:$A$12,0))</f>
        <v>2000 × 2000</v>
      </c>
      <c r="I205" s="11" t="str">
        <f aca="false">INDEX('O QUE MOSTRAR'!$F$4:$F$12,MATCH($D205,'O QUE MOSTRAR'!$A$4:$A$12,0))</f>
        <v>SIM</v>
      </c>
      <c r="J205" s="13" t="s">
        <v>303</v>
      </c>
      <c r="K205" s="13"/>
    </row>
    <row r="206" customFormat="false" ht="15" hidden="false" customHeight="false" outlineLevel="0" collapsed="false">
      <c r="A206" s="14" t="s">
        <v>123</v>
      </c>
      <c r="B206" s="11" t="str">
        <f aca="false">INDEX(PRODUTOS!$E$4:$E$63,MATCH($A206,PRODUTOS!$B$4:$B$63,0))</f>
        <v>Ração Seca Natural Dots para Cães de Raças Pequenas - Pacote 1 kg</v>
      </c>
      <c r="C206" s="11" t="str">
        <f aca="false">INDEX(PRODUTOS!$G$4:$G$63,MATCH($A206,PRODUTOS!$B$4:$B$63,0))</f>
        <v>1 kg</v>
      </c>
      <c r="D206" s="11" t="s">
        <v>307</v>
      </c>
      <c r="E206" s="15" t="str">
        <f aca="false">$A206&amp;"."&amp;$D206&amp;".jpg"</f>
        <v>7898968541320.PT04.jpg</v>
      </c>
      <c r="F206" s="11" t="str">
        <f aca="false">INDEX('O QUE MOSTRAR'!$B$4:$B$12,MATCH($D206,'O QUE MOSTRAR'!$A$4:$A$12,0))</f>
        <v>Posição 5</v>
      </c>
      <c r="G206" s="11" t="str">
        <f aca="false">IF(INDEX(PRODUTOS!$F$4:$F$63,MATCH($A206,PRODUTOS!$B$4:$B$63,0))="Ração",INDEX('O QUE MOSTRAR'!$C$4:$C$12,MATCH($D206,'O QUE MOSTRAR'!$A$4:$A$12,0)),INDEX('O QUE MOSTRAR'!$D$4:$D$12,MATCH($D206,'O QUE MOSTRAR'!$A$4:$A$12,0)))</f>
        <v>Quantidade diária por peso do pet (números idênticos à embalagem)</v>
      </c>
      <c r="H206" s="11" t="str">
        <f aca="false">INDEX('O QUE MOSTRAR'!$E$4:$E$12,MATCH($D206,'O QUE MOSTRAR'!$A$4:$A$12,0))</f>
        <v>2000 × 2000</v>
      </c>
      <c r="I206" s="11" t="str">
        <f aca="false">INDEX('O QUE MOSTRAR'!$F$4:$F$12,MATCH($D206,'O QUE MOSTRAR'!$A$4:$A$12,0))</f>
        <v>SIM</v>
      </c>
      <c r="J206" s="13" t="s">
        <v>303</v>
      </c>
      <c r="K206" s="13"/>
    </row>
    <row r="207" customFormat="false" ht="15" hidden="false" customHeight="false" outlineLevel="0" collapsed="false">
      <c r="A207" s="14" t="s">
        <v>123</v>
      </c>
      <c r="B207" s="11" t="str">
        <f aca="false">INDEX(PRODUTOS!$E$4:$E$63,MATCH($A207,PRODUTOS!$B$4:$B$63,0))</f>
        <v>Ração Seca Natural Dots para Cães de Raças Pequenas - Pacote 1 kg</v>
      </c>
      <c r="C207" s="11" t="str">
        <f aca="false">INDEX(PRODUTOS!$G$4:$G$63,MATCH($A207,PRODUTOS!$B$4:$B$63,0))</f>
        <v>1 kg</v>
      </c>
      <c r="D207" s="11" t="s">
        <v>308</v>
      </c>
      <c r="E207" s="15" t="str">
        <f aca="false">$A207&amp;"."&amp;$D207&amp;".jpg"</f>
        <v>7898968541320.PT05.jpg</v>
      </c>
      <c r="F207" s="11" t="str">
        <f aca="false">INDEX('O QUE MOSTRAR'!$B$4:$B$12,MATCH($D207,'O QUE MOSTRAR'!$A$4:$A$12,0))</f>
        <v>Posição 6</v>
      </c>
      <c r="G207" s="11" t="str">
        <f aca="false">IF(INDEX(PRODUTOS!$F$4:$F$63,MATCH($A207,PRODUTOS!$B$4:$B$63,0))="Ração",INDEX('O QUE MOSTRAR'!$C$4:$C$12,MATCH($D207,'O QUE MOSTRAR'!$A$4:$A$12,0)),INDEX('O QUE MOSTRAR'!$D$4:$D$12,MATCH($D207,'O QUE MOSTRAR'!$A$4:$A$12,0)))</f>
        <v>Transição alimentar dia a dia (igual ao verso da embalagem)</v>
      </c>
      <c r="H207" s="11" t="str">
        <f aca="false">INDEX('O QUE MOSTRAR'!$E$4:$E$12,MATCH($D207,'O QUE MOSTRAR'!$A$4:$A$12,0))</f>
        <v>2000 × 2000</v>
      </c>
      <c r="I207" s="11" t="str">
        <f aca="false">INDEX('O QUE MOSTRAR'!$F$4:$F$12,MATCH($D207,'O QUE MOSTRAR'!$A$4:$A$12,0))</f>
        <v>Recomendada</v>
      </c>
      <c r="J207" s="13" t="s">
        <v>303</v>
      </c>
      <c r="K207" s="13"/>
    </row>
    <row r="208" customFormat="false" ht="15" hidden="false" customHeight="false" outlineLevel="0" collapsed="false">
      <c r="A208" s="14" t="s">
        <v>123</v>
      </c>
      <c r="B208" s="11" t="str">
        <f aca="false">INDEX(PRODUTOS!$E$4:$E$63,MATCH($A208,PRODUTOS!$B$4:$B$63,0))</f>
        <v>Ração Seca Natural Dots para Cães de Raças Pequenas - Pacote 1 kg</v>
      </c>
      <c r="C208" s="11" t="str">
        <f aca="false">INDEX(PRODUTOS!$G$4:$G$63,MATCH($A208,PRODUTOS!$B$4:$B$63,0))</f>
        <v>1 kg</v>
      </c>
      <c r="D208" s="11" t="s">
        <v>309</v>
      </c>
      <c r="E208" s="15" t="str">
        <f aca="false">$A208&amp;"."&amp;$D208&amp;".jpg"</f>
        <v>7898968541320.PT06.jpg</v>
      </c>
      <c r="F208" s="11" t="str">
        <f aca="false">INDEX('O QUE MOSTRAR'!$B$4:$B$12,MATCH($D208,'O QUE MOSTRAR'!$A$4:$A$12,0))</f>
        <v>Posição 7</v>
      </c>
      <c r="G208" s="11" t="str">
        <f aca="false">IF(INDEX(PRODUTOS!$F$4:$F$63,MATCH($A208,PRODUTOS!$B$4:$B$63,0))="Ração",INDEX('O QUE MOSTRAR'!$C$4:$C$12,MATCH($D208,'O QUE MOSTRAR'!$A$4:$A$12,0)),INDEX('O QUE MOSTRAR'!$D$4:$D$12,MATCH($D208,'O QUE MOSTRAR'!$A$4:$A$12,0)))</f>
        <v>Composição e níveis de garantia em letra grande</v>
      </c>
      <c r="H208" s="11" t="str">
        <f aca="false">INDEX('O QUE MOSTRAR'!$E$4:$E$12,MATCH($D208,'O QUE MOSTRAR'!$A$4:$A$12,0))</f>
        <v>2000 × 2000</v>
      </c>
      <c r="I208" s="11" t="str">
        <f aca="false">INDEX('O QUE MOSTRAR'!$F$4:$F$12,MATCH($D208,'O QUE MOSTRAR'!$A$4:$A$12,0))</f>
        <v>SIM</v>
      </c>
      <c r="J208" s="13" t="s">
        <v>303</v>
      </c>
      <c r="K208" s="13"/>
    </row>
    <row r="209" customFormat="false" ht="15" hidden="false" customHeight="false" outlineLevel="0" collapsed="false">
      <c r="A209" s="14" t="s">
        <v>123</v>
      </c>
      <c r="B209" s="11" t="str">
        <f aca="false">INDEX(PRODUTOS!$E$4:$E$63,MATCH($A209,PRODUTOS!$B$4:$B$63,0))</f>
        <v>Ração Seca Natural Dots para Cães de Raças Pequenas - Pacote 1 kg</v>
      </c>
      <c r="C209" s="11" t="str">
        <f aca="false">INDEX(PRODUTOS!$G$4:$G$63,MATCH($A209,PRODUTOS!$B$4:$B$63,0))</f>
        <v>1 kg</v>
      </c>
      <c r="D209" s="11" t="s">
        <v>310</v>
      </c>
      <c r="E209" s="15" t="str">
        <f aca="false">$A209&amp;"."&amp;$D209&amp;".jpg"</f>
        <v>7898968541320.PT07.jpg</v>
      </c>
      <c r="F209" s="11" t="str">
        <f aca="false">INDEX('O QUE MOSTRAR'!$B$4:$B$12,MATCH($D209,'O QUE MOSTRAR'!$A$4:$A$12,0))</f>
        <v>Posição 8</v>
      </c>
      <c r="G209" s="11" t="str">
        <f aca="false">IF(INDEX(PRODUTOS!$F$4:$F$63,MATCH($A209,PRODUTOS!$B$4:$B$63,0))="Ração",INDEX('O QUE MOSTRAR'!$C$4:$C$12,MATCH($D209,'O QUE MOSTRAR'!$A$4:$A$12,0)),INDEX('O QUE MOSTRAR'!$D$4:$D$12,MATCH($D209,'O QUE MOSTRAR'!$A$4:$A$12,0)))</f>
        <v>Emocional / momento de uso (pet do porte certo, pote cheio)</v>
      </c>
      <c r="H209" s="11" t="str">
        <f aca="false">INDEX('O QUE MOSTRAR'!$E$4:$E$12,MATCH($D209,'O QUE MOSTRAR'!$A$4:$A$12,0))</f>
        <v>2000 × 2000</v>
      </c>
      <c r="I209" s="11" t="str">
        <f aca="false">INDEX('O QUE MOSTRAR'!$F$4:$F$12,MATCH($D209,'O QUE MOSTRAR'!$A$4:$A$12,0))</f>
        <v>Recomendada</v>
      </c>
      <c r="J209" s="13" t="s">
        <v>303</v>
      </c>
      <c r="K209" s="13"/>
    </row>
    <row r="210" customFormat="false" ht="15" hidden="false" customHeight="false" outlineLevel="0" collapsed="false">
      <c r="A210" s="14" t="s">
        <v>123</v>
      </c>
      <c r="B210" s="11" t="str">
        <f aca="false">INDEX(PRODUTOS!$E$4:$E$63,MATCH($A210,PRODUTOS!$B$4:$B$63,0))</f>
        <v>Ração Seca Natural Dots para Cães de Raças Pequenas - Pacote 1 kg</v>
      </c>
      <c r="C210" s="11" t="str">
        <f aca="false">INDEX(PRODUTOS!$G$4:$G$63,MATCH($A210,PRODUTOS!$B$4:$B$63,0))</f>
        <v>1 kg</v>
      </c>
      <c r="D210" s="11" t="s">
        <v>311</v>
      </c>
      <c r="E210" s="15" t="str">
        <f aca="false">$A210&amp;"."&amp;$D210&amp;".jpg"</f>
        <v>7898968541320.PT08.jpg</v>
      </c>
      <c r="F210" s="11" t="str">
        <f aca="false">INDEX('O QUE MOSTRAR'!$B$4:$B$12,MATCH($D210,'O QUE MOSTRAR'!$A$4:$A$12,0))</f>
        <v>Posição 9</v>
      </c>
      <c r="G210" s="11" t="str">
        <f aca="false">IF(INDEX(PRODUTOS!$F$4:$F$63,MATCH($A210,PRODUTOS!$B$4:$B$63,0))="Ração",INDEX('O QUE MOSTRAR'!$C$4:$C$12,MATCH($D210,'O QUE MOSTRAR'!$A$4:$A$12,0)),INDEX('O QUE MOSTRAR'!$D$4:$D$12,MATCH($D210,'O QUE MOSTRAR'!$A$4:$A$12,0)))</f>
        <v>Linha da marca ou embalagem anterior × nova</v>
      </c>
      <c r="H210" s="11" t="str">
        <f aca="false">INDEX('O QUE MOSTRAR'!$E$4:$E$12,MATCH($D210,'O QUE MOSTRAR'!$A$4:$A$12,0))</f>
        <v>2000 × 2000</v>
      </c>
      <c r="I210" s="11" t="str">
        <f aca="false">INDEX('O QUE MOSTRAR'!$F$4:$F$12,MATCH($D210,'O QUE MOSTRAR'!$A$4:$A$12,0))</f>
        <v>Recomendada</v>
      </c>
      <c r="J210" s="13" t="s">
        <v>303</v>
      </c>
      <c r="K210" s="13"/>
    </row>
    <row r="211" customFormat="false" ht="15" hidden="false" customHeight="false" outlineLevel="0" collapsed="false">
      <c r="A211" s="14" t="s">
        <v>127</v>
      </c>
      <c r="B211" s="11" t="str">
        <f aca="false">INDEX(PRODUTOS!$E$4:$E$63,MATCH($A211,PRODUTOS!$B$4:$B$63,0))</f>
        <v>Ração Seca Natural Dots para Gatos Adultos - Pacote 11 kg</v>
      </c>
      <c r="C211" s="11" t="str">
        <f aca="false">INDEX(PRODUTOS!$G$4:$G$63,MATCH($A211,PRODUTOS!$B$4:$B$63,0))</f>
        <v>11 kg</v>
      </c>
      <c r="D211" s="11" t="s">
        <v>302</v>
      </c>
      <c r="E211" s="15" t="str">
        <f aca="false">$A211&amp;"."&amp;$D211&amp;".jpg"</f>
        <v>7898968541382.MAIN.jpg</v>
      </c>
      <c r="F211" s="11" t="str">
        <f aca="false">INDEX('O QUE MOSTRAR'!$B$4:$B$12,MATCH($D211,'O QUE MOSTRAR'!$A$4:$A$12,0))</f>
        <v>Capa (posição 1)</v>
      </c>
      <c r="G211" s="11" t="str">
        <f aca="false">IF(INDEX(PRODUTOS!$F$4:$F$63,MATCH($A211,PRODUTOS!$B$4:$B$63,0))="Ração",INDEX('O QUE MOSTRAR'!$C$4:$C$12,MATCH($D211,'O QUE MOSTRAR'!$A$4:$A$12,0)),INDEX('O QUE MOSTRAR'!$D$4:$D$12,MATCH($D211,'O QUE MOSTRAR'!$A$4:$A$12,0)))</f>
        <v>Embalagem de frente, fundo branco puro, 85% da área, nada adicionado</v>
      </c>
      <c r="H211" s="11" t="str">
        <f aca="false">INDEX('O QUE MOSTRAR'!$E$4:$E$12,MATCH($D211,'O QUE MOSTRAR'!$A$4:$A$12,0))</f>
        <v>2000 × 2000</v>
      </c>
      <c r="I211" s="11" t="str">
        <f aca="false">INDEX('O QUE MOSTRAR'!$F$4:$F$12,MATCH($D211,'O QUE MOSTRAR'!$A$4:$A$12,0))</f>
        <v>SIM</v>
      </c>
      <c r="J211" s="13" t="s">
        <v>303</v>
      </c>
      <c r="K211" s="13"/>
    </row>
    <row r="212" customFormat="false" ht="15" hidden="false" customHeight="false" outlineLevel="0" collapsed="false">
      <c r="A212" s="14" t="s">
        <v>127</v>
      </c>
      <c r="B212" s="11" t="str">
        <f aca="false">INDEX(PRODUTOS!$E$4:$E$63,MATCH($A212,PRODUTOS!$B$4:$B$63,0))</f>
        <v>Ração Seca Natural Dots para Gatos Adultos - Pacote 11 kg</v>
      </c>
      <c r="C212" s="11" t="str">
        <f aca="false">INDEX(PRODUTOS!$G$4:$G$63,MATCH($A212,PRODUTOS!$B$4:$B$63,0))</f>
        <v>11 kg</v>
      </c>
      <c r="D212" s="11" t="s">
        <v>304</v>
      </c>
      <c r="E212" s="15" t="str">
        <f aca="false">$A212&amp;"."&amp;$D212&amp;".jpg"</f>
        <v>7898968541382.PT01.jpg</v>
      </c>
      <c r="F212" s="11" t="str">
        <f aca="false">INDEX('O QUE MOSTRAR'!$B$4:$B$12,MATCH($D212,'O QUE MOSTRAR'!$A$4:$A$12,0))</f>
        <v>Posição 2</v>
      </c>
      <c r="G212" s="11" t="str">
        <f aca="false">IF(INDEX(PRODUTOS!$F$4:$F$63,MATCH($A212,PRODUTOS!$B$4:$B$63,0))="Ração",INDEX('O QUE MOSTRAR'!$C$4:$C$12,MATCH($D212,'O QUE MOSTRAR'!$A$4:$A$12,0)),INDEX('O QUE MOSTRAR'!$D$4:$D$12,MATCH($D212,'O QUE MOSTRAR'!$A$4:$A$12,0)))</f>
        <v>Grande diferencial da linha (número ou promessa forte + grão e ingrediente)</v>
      </c>
      <c r="H212" s="11" t="str">
        <f aca="false">INDEX('O QUE MOSTRAR'!$E$4:$E$12,MATCH($D212,'O QUE MOSTRAR'!$A$4:$A$12,0))</f>
        <v>2000 × 2000</v>
      </c>
      <c r="I212" s="11" t="str">
        <f aca="false">INDEX('O QUE MOSTRAR'!$F$4:$F$12,MATCH($D212,'O QUE MOSTRAR'!$A$4:$A$12,0))</f>
        <v>SIM</v>
      </c>
      <c r="J212" s="13" t="s">
        <v>303</v>
      </c>
      <c r="K212" s="13"/>
    </row>
    <row r="213" customFormat="false" ht="15" hidden="false" customHeight="false" outlineLevel="0" collapsed="false">
      <c r="A213" s="14" t="s">
        <v>127</v>
      </c>
      <c r="B213" s="11" t="str">
        <f aca="false">INDEX(PRODUTOS!$E$4:$E$63,MATCH($A213,PRODUTOS!$B$4:$B$63,0))</f>
        <v>Ração Seca Natural Dots para Gatos Adultos - Pacote 11 kg</v>
      </c>
      <c r="C213" s="11" t="str">
        <f aca="false">INDEX(PRODUTOS!$G$4:$G$63,MATCH($A213,PRODUTOS!$B$4:$B$63,0))</f>
        <v>11 kg</v>
      </c>
      <c r="D213" s="11" t="s">
        <v>305</v>
      </c>
      <c r="E213" s="15" t="str">
        <f aca="false">$A213&amp;"."&amp;$D213&amp;".jpg"</f>
        <v>7898968541382.PT02.jpg</v>
      </c>
      <c r="F213" s="11" t="str">
        <f aca="false">INDEX('O QUE MOSTRAR'!$B$4:$B$12,MATCH($D213,'O QUE MOSTRAR'!$A$4:$A$12,0))</f>
        <v>Posição 3</v>
      </c>
      <c r="G213" s="11" t="str">
        <f aca="false">IF(INDEX(PRODUTOS!$F$4:$F$63,MATCH($A213,PRODUTOS!$B$4:$B$63,0))="Ração",INDEX('O QUE MOSTRAR'!$C$4:$C$12,MATCH($D213,'O QUE MOSTRAR'!$A$4:$A$12,0)),INDEX('O QUE MOSTRAR'!$D$4:$D$12,MATCH($D213,'O QUE MOSTRAR'!$A$4:$A$12,0)))</f>
        <v>Benefícios com ícones (4 a 6, impressos na embalagem) + ingrediente</v>
      </c>
      <c r="H213" s="11" t="str">
        <f aca="false">INDEX('O QUE MOSTRAR'!$E$4:$E$12,MATCH($D213,'O QUE MOSTRAR'!$A$4:$A$12,0))</f>
        <v>2000 × 2000</v>
      </c>
      <c r="I213" s="11" t="str">
        <f aca="false">INDEX('O QUE MOSTRAR'!$F$4:$F$12,MATCH($D213,'O QUE MOSTRAR'!$A$4:$A$12,0))</f>
        <v>SIM</v>
      </c>
      <c r="J213" s="13" t="s">
        <v>303</v>
      </c>
      <c r="K213" s="13"/>
    </row>
    <row r="214" customFormat="false" ht="15" hidden="false" customHeight="false" outlineLevel="0" collapsed="false">
      <c r="A214" s="14" t="s">
        <v>127</v>
      </c>
      <c r="B214" s="11" t="str">
        <f aca="false">INDEX(PRODUTOS!$E$4:$E$63,MATCH($A214,PRODUTOS!$B$4:$B$63,0))</f>
        <v>Ração Seca Natural Dots para Gatos Adultos - Pacote 11 kg</v>
      </c>
      <c r="C214" s="11" t="str">
        <f aca="false">INDEX(PRODUTOS!$G$4:$G$63,MATCH($A214,PRODUTOS!$B$4:$B$63,0))</f>
        <v>11 kg</v>
      </c>
      <c r="D214" s="11" t="s">
        <v>306</v>
      </c>
      <c r="E214" s="15" t="str">
        <f aca="false">$A214&amp;"."&amp;$D214&amp;".jpg"</f>
        <v>7898968541382.PT03.jpg</v>
      </c>
      <c r="F214" s="11" t="str">
        <f aca="false">INDEX('O QUE MOSTRAR'!$B$4:$B$12,MATCH($D214,'O QUE MOSTRAR'!$A$4:$A$12,0))</f>
        <v>Posição 4</v>
      </c>
      <c r="G214" s="11" t="str">
        <f aca="false">IF(INDEX(PRODUTOS!$F$4:$F$63,MATCH($A214,PRODUTOS!$B$4:$B$63,0))="Ração",INDEX('O QUE MOSTRAR'!$C$4:$C$12,MATCH($D214,'O QUE MOSTRAR'!$A$4:$A$12,0)),INDEX('O QUE MOSTRAR'!$D$4:$D$12,MATCH($D214,'O QUE MOSTRAR'!$A$4:$A$12,0)))</f>
        <v>Formato e tamanho do grão, com medida em mm e referência de tamanho</v>
      </c>
      <c r="H214" s="11" t="str">
        <f aca="false">INDEX('O QUE MOSTRAR'!$E$4:$E$12,MATCH($D214,'O QUE MOSTRAR'!$A$4:$A$12,0))</f>
        <v>2000 × 2000</v>
      </c>
      <c r="I214" s="11" t="str">
        <f aca="false">INDEX('O QUE MOSTRAR'!$F$4:$F$12,MATCH($D214,'O QUE MOSTRAR'!$A$4:$A$12,0))</f>
        <v>SIM</v>
      </c>
      <c r="J214" s="13" t="s">
        <v>303</v>
      </c>
      <c r="K214" s="13"/>
    </row>
    <row r="215" customFormat="false" ht="15" hidden="false" customHeight="false" outlineLevel="0" collapsed="false">
      <c r="A215" s="14" t="s">
        <v>127</v>
      </c>
      <c r="B215" s="11" t="str">
        <f aca="false">INDEX(PRODUTOS!$E$4:$E$63,MATCH($A215,PRODUTOS!$B$4:$B$63,0))</f>
        <v>Ração Seca Natural Dots para Gatos Adultos - Pacote 11 kg</v>
      </c>
      <c r="C215" s="11" t="str">
        <f aca="false">INDEX(PRODUTOS!$G$4:$G$63,MATCH($A215,PRODUTOS!$B$4:$B$63,0))</f>
        <v>11 kg</v>
      </c>
      <c r="D215" s="11" t="s">
        <v>307</v>
      </c>
      <c r="E215" s="15" t="str">
        <f aca="false">$A215&amp;"."&amp;$D215&amp;".jpg"</f>
        <v>7898968541382.PT04.jpg</v>
      </c>
      <c r="F215" s="11" t="str">
        <f aca="false">INDEX('O QUE MOSTRAR'!$B$4:$B$12,MATCH($D215,'O QUE MOSTRAR'!$A$4:$A$12,0))</f>
        <v>Posição 5</v>
      </c>
      <c r="G215" s="11" t="str">
        <f aca="false">IF(INDEX(PRODUTOS!$F$4:$F$63,MATCH($A215,PRODUTOS!$B$4:$B$63,0))="Ração",INDEX('O QUE MOSTRAR'!$C$4:$C$12,MATCH($D215,'O QUE MOSTRAR'!$A$4:$A$12,0)),INDEX('O QUE MOSTRAR'!$D$4:$D$12,MATCH($D215,'O QUE MOSTRAR'!$A$4:$A$12,0)))</f>
        <v>Quantidade diária por peso do pet (números idênticos à embalagem)</v>
      </c>
      <c r="H215" s="11" t="str">
        <f aca="false">INDEX('O QUE MOSTRAR'!$E$4:$E$12,MATCH($D215,'O QUE MOSTRAR'!$A$4:$A$12,0))</f>
        <v>2000 × 2000</v>
      </c>
      <c r="I215" s="11" t="str">
        <f aca="false">INDEX('O QUE MOSTRAR'!$F$4:$F$12,MATCH($D215,'O QUE MOSTRAR'!$A$4:$A$12,0))</f>
        <v>SIM</v>
      </c>
      <c r="J215" s="13" t="s">
        <v>303</v>
      </c>
      <c r="K215" s="13"/>
    </row>
    <row r="216" customFormat="false" ht="15" hidden="false" customHeight="false" outlineLevel="0" collapsed="false">
      <c r="A216" s="14" t="s">
        <v>127</v>
      </c>
      <c r="B216" s="11" t="str">
        <f aca="false">INDEX(PRODUTOS!$E$4:$E$63,MATCH($A216,PRODUTOS!$B$4:$B$63,0))</f>
        <v>Ração Seca Natural Dots para Gatos Adultos - Pacote 11 kg</v>
      </c>
      <c r="C216" s="11" t="str">
        <f aca="false">INDEX(PRODUTOS!$G$4:$G$63,MATCH($A216,PRODUTOS!$B$4:$B$63,0))</f>
        <v>11 kg</v>
      </c>
      <c r="D216" s="11" t="s">
        <v>308</v>
      </c>
      <c r="E216" s="15" t="str">
        <f aca="false">$A216&amp;"."&amp;$D216&amp;".jpg"</f>
        <v>7898968541382.PT05.jpg</v>
      </c>
      <c r="F216" s="11" t="str">
        <f aca="false">INDEX('O QUE MOSTRAR'!$B$4:$B$12,MATCH($D216,'O QUE MOSTRAR'!$A$4:$A$12,0))</f>
        <v>Posição 6</v>
      </c>
      <c r="G216" s="11" t="str">
        <f aca="false">IF(INDEX(PRODUTOS!$F$4:$F$63,MATCH($A216,PRODUTOS!$B$4:$B$63,0))="Ração",INDEX('O QUE MOSTRAR'!$C$4:$C$12,MATCH($D216,'O QUE MOSTRAR'!$A$4:$A$12,0)),INDEX('O QUE MOSTRAR'!$D$4:$D$12,MATCH($D216,'O QUE MOSTRAR'!$A$4:$A$12,0)))</f>
        <v>Transição alimentar dia a dia (igual ao verso da embalagem)</v>
      </c>
      <c r="H216" s="11" t="str">
        <f aca="false">INDEX('O QUE MOSTRAR'!$E$4:$E$12,MATCH($D216,'O QUE MOSTRAR'!$A$4:$A$12,0))</f>
        <v>2000 × 2000</v>
      </c>
      <c r="I216" s="11" t="str">
        <f aca="false">INDEX('O QUE MOSTRAR'!$F$4:$F$12,MATCH($D216,'O QUE MOSTRAR'!$A$4:$A$12,0))</f>
        <v>Recomendada</v>
      </c>
      <c r="J216" s="13" t="s">
        <v>303</v>
      </c>
      <c r="K216" s="13"/>
    </row>
    <row r="217" customFormat="false" ht="15" hidden="false" customHeight="false" outlineLevel="0" collapsed="false">
      <c r="A217" s="14" t="s">
        <v>127</v>
      </c>
      <c r="B217" s="11" t="str">
        <f aca="false">INDEX(PRODUTOS!$E$4:$E$63,MATCH($A217,PRODUTOS!$B$4:$B$63,0))</f>
        <v>Ração Seca Natural Dots para Gatos Adultos - Pacote 11 kg</v>
      </c>
      <c r="C217" s="11" t="str">
        <f aca="false">INDEX(PRODUTOS!$G$4:$G$63,MATCH($A217,PRODUTOS!$B$4:$B$63,0))</f>
        <v>11 kg</v>
      </c>
      <c r="D217" s="11" t="s">
        <v>309</v>
      </c>
      <c r="E217" s="15" t="str">
        <f aca="false">$A217&amp;"."&amp;$D217&amp;".jpg"</f>
        <v>7898968541382.PT06.jpg</v>
      </c>
      <c r="F217" s="11" t="str">
        <f aca="false">INDEX('O QUE MOSTRAR'!$B$4:$B$12,MATCH($D217,'O QUE MOSTRAR'!$A$4:$A$12,0))</f>
        <v>Posição 7</v>
      </c>
      <c r="G217" s="11" t="str">
        <f aca="false">IF(INDEX(PRODUTOS!$F$4:$F$63,MATCH($A217,PRODUTOS!$B$4:$B$63,0))="Ração",INDEX('O QUE MOSTRAR'!$C$4:$C$12,MATCH($D217,'O QUE MOSTRAR'!$A$4:$A$12,0)),INDEX('O QUE MOSTRAR'!$D$4:$D$12,MATCH($D217,'O QUE MOSTRAR'!$A$4:$A$12,0)))</f>
        <v>Composição e níveis de garantia em letra grande</v>
      </c>
      <c r="H217" s="11" t="str">
        <f aca="false">INDEX('O QUE MOSTRAR'!$E$4:$E$12,MATCH($D217,'O QUE MOSTRAR'!$A$4:$A$12,0))</f>
        <v>2000 × 2000</v>
      </c>
      <c r="I217" s="11" t="str">
        <f aca="false">INDEX('O QUE MOSTRAR'!$F$4:$F$12,MATCH($D217,'O QUE MOSTRAR'!$A$4:$A$12,0))</f>
        <v>SIM</v>
      </c>
      <c r="J217" s="13" t="s">
        <v>303</v>
      </c>
      <c r="K217" s="13"/>
    </row>
    <row r="218" customFormat="false" ht="15" hidden="false" customHeight="false" outlineLevel="0" collapsed="false">
      <c r="A218" s="14" t="s">
        <v>127</v>
      </c>
      <c r="B218" s="11" t="str">
        <f aca="false">INDEX(PRODUTOS!$E$4:$E$63,MATCH($A218,PRODUTOS!$B$4:$B$63,0))</f>
        <v>Ração Seca Natural Dots para Gatos Adultos - Pacote 11 kg</v>
      </c>
      <c r="C218" s="11" t="str">
        <f aca="false">INDEX(PRODUTOS!$G$4:$G$63,MATCH($A218,PRODUTOS!$B$4:$B$63,0))</f>
        <v>11 kg</v>
      </c>
      <c r="D218" s="11" t="s">
        <v>310</v>
      </c>
      <c r="E218" s="15" t="str">
        <f aca="false">$A218&amp;"."&amp;$D218&amp;".jpg"</f>
        <v>7898968541382.PT07.jpg</v>
      </c>
      <c r="F218" s="11" t="str">
        <f aca="false">INDEX('O QUE MOSTRAR'!$B$4:$B$12,MATCH($D218,'O QUE MOSTRAR'!$A$4:$A$12,0))</f>
        <v>Posição 8</v>
      </c>
      <c r="G218" s="11" t="str">
        <f aca="false">IF(INDEX(PRODUTOS!$F$4:$F$63,MATCH($A218,PRODUTOS!$B$4:$B$63,0))="Ração",INDEX('O QUE MOSTRAR'!$C$4:$C$12,MATCH($D218,'O QUE MOSTRAR'!$A$4:$A$12,0)),INDEX('O QUE MOSTRAR'!$D$4:$D$12,MATCH($D218,'O QUE MOSTRAR'!$A$4:$A$12,0)))</f>
        <v>Emocional / momento de uso (pet do porte certo, pote cheio)</v>
      </c>
      <c r="H218" s="11" t="str">
        <f aca="false">INDEX('O QUE MOSTRAR'!$E$4:$E$12,MATCH($D218,'O QUE MOSTRAR'!$A$4:$A$12,0))</f>
        <v>2000 × 2000</v>
      </c>
      <c r="I218" s="11" t="str">
        <f aca="false">INDEX('O QUE MOSTRAR'!$F$4:$F$12,MATCH($D218,'O QUE MOSTRAR'!$A$4:$A$12,0))</f>
        <v>Recomendada</v>
      </c>
      <c r="J218" s="13" t="s">
        <v>303</v>
      </c>
      <c r="K218" s="13"/>
    </row>
    <row r="219" customFormat="false" ht="15" hidden="false" customHeight="false" outlineLevel="0" collapsed="false">
      <c r="A219" s="14" t="s">
        <v>127</v>
      </c>
      <c r="B219" s="11" t="str">
        <f aca="false">INDEX(PRODUTOS!$E$4:$E$63,MATCH($A219,PRODUTOS!$B$4:$B$63,0))</f>
        <v>Ração Seca Natural Dots para Gatos Adultos - Pacote 11 kg</v>
      </c>
      <c r="C219" s="11" t="str">
        <f aca="false">INDEX(PRODUTOS!$G$4:$G$63,MATCH($A219,PRODUTOS!$B$4:$B$63,0))</f>
        <v>11 kg</v>
      </c>
      <c r="D219" s="11" t="s">
        <v>311</v>
      </c>
      <c r="E219" s="15" t="str">
        <f aca="false">$A219&amp;"."&amp;$D219&amp;".jpg"</f>
        <v>7898968541382.PT08.jpg</v>
      </c>
      <c r="F219" s="11" t="str">
        <f aca="false">INDEX('O QUE MOSTRAR'!$B$4:$B$12,MATCH($D219,'O QUE MOSTRAR'!$A$4:$A$12,0))</f>
        <v>Posição 9</v>
      </c>
      <c r="G219" s="11" t="str">
        <f aca="false">IF(INDEX(PRODUTOS!$F$4:$F$63,MATCH($A219,PRODUTOS!$B$4:$B$63,0))="Ração",INDEX('O QUE MOSTRAR'!$C$4:$C$12,MATCH($D219,'O QUE MOSTRAR'!$A$4:$A$12,0)),INDEX('O QUE MOSTRAR'!$D$4:$D$12,MATCH($D219,'O QUE MOSTRAR'!$A$4:$A$12,0)))</f>
        <v>Linha da marca ou embalagem anterior × nova</v>
      </c>
      <c r="H219" s="11" t="str">
        <f aca="false">INDEX('O QUE MOSTRAR'!$E$4:$E$12,MATCH($D219,'O QUE MOSTRAR'!$A$4:$A$12,0))</f>
        <v>2000 × 2000</v>
      </c>
      <c r="I219" s="11" t="str">
        <f aca="false">INDEX('O QUE MOSTRAR'!$F$4:$F$12,MATCH($D219,'O QUE MOSTRAR'!$A$4:$A$12,0))</f>
        <v>Recomendada</v>
      </c>
      <c r="J219" s="13" t="s">
        <v>303</v>
      </c>
      <c r="K219" s="13"/>
    </row>
    <row r="220" customFormat="false" ht="15" hidden="false" customHeight="false" outlineLevel="0" collapsed="false">
      <c r="A220" s="14" t="s">
        <v>131</v>
      </c>
      <c r="B220" s="11" t="str">
        <f aca="false">INDEX(PRODUTOS!$E$4:$E$63,MATCH($A220,PRODUTOS!$B$4:$B$63,0))</f>
        <v>Ração Seca Natural Dots para Gatos Adultos - Pacote 1 kg</v>
      </c>
      <c r="C220" s="11" t="str">
        <f aca="false">INDEX(PRODUTOS!$G$4:$G$63,MATCH($A220,PRODUTOS!$B$4:$B$63,0))</f>
        <v>1 kg</v>
      </c>
      <c r="D220" s="11" t="s">
        <v>302</v>
      </c>
      <c r="E220" s="15" t="str">
        <f aca="false">$A220&amp;"."&amp;$D220&amp;".jpg"</f>
        <v>7898968541368.MAIN.jpg</v>
      </c>
      <c r="F220" s="11" t="str">
        <f aca="false">INDEX('O QUE MOSTRAR'!$B$4:$B$12,MATCH($D220,'O QUE MOSTRAR'!$A$4:$A$12,0))</f>
        <v>Capa (posição 1)</v>
      </c>
      <c r="G220" s="11" t="str">
        <f aca="false">IF(INDEX(PRODUTOS!$F$4:$F$63,MATCH($A220,PRODUTOS!$B$4:$B$63,0))="Ração",INDEX('O QUE MOSTRAR'!$C$4:$C$12,MATCH($D220,'O QUE MOSTRAR'!$A$4:$A$12,0)),INDEX('O QUE MOSTRAR'!$D$4:$D$12,MATCH($D220,'O QUE MOSTRAR'!$A$4:$A$12,0)))</f>
        <v>Embalagem de frente, fundo branco puro, 85% da área, nada adicionado</v>
      </c>
      <c r="H220" s="11" t="str">
        <f aca="false">INDEX('O QUE MOSTRAR'!$E$4:$E$12,MATCH($D220,'O QUE MOSTRAR'!$A$4:$A$12,0))</f>
        <v>2000 × 2000</v>
      </c>
      <c r="I220" s="11" t="str">
        <f aca="false">INDEX('O QUE MOSTRAR'!$F$4:$F$12,MATCH($D220,'O QUE MOSTRAR'!$A$4:$A$12,0))</f>
        <v>SIM</v>
      </c>
      <c r="J220" s="13" t="s">
        <v>303</v>
      </c>
      <c r="K220" s="13"/>
    </row>
    <row r="221" customFormat="false" ht="15" hidden="false" customHeight="false" outlineLevel="0" collapsed="false">
      <c r="A221" s="14" t="s">
        <v>131</v>
      </c>
      <c r="B221" s="11" t="str">
        <f aca="false">INDEX(PRODUTOS!$E$4:$E$63,MATCH($A221,PRODUTOS!$B$4:$B$63,0))</f>
        <v>Ração Seca Natural Dots para Gatos Adultos - Pacote 1 kg</v>
      </c>
      <c r="C221" s="11" t="str">
        <f aca="false">INDEX(PRODUTOS!$G$4:$G$63,MATCH($A221,PRODUTOS!$B$4:$B$63,0))</f>
        <v>1 kg</v>
      </c>
      <c r="D221" s="11" t="s">
        <v>304</v>
      </c>
      <c r="E221" s="15" t="str">
        <f aca="false">$A221&amp;"."&amp;$D221&amp;".jpg"</f>
        <v>7898968541368.PT01.jpg</v>
      </c>
      <c r="F221" s="11" t="str">
        <f aca="false">INDEX('O QUE MOSTRAR'!$B$4:$B$12,MATCH($D221,'O QUE MOSTRAR'!$A$4:$A$12,0))</f>
        <v>Posição 2</v>
      </c>
      <c r="G221" s="11" t="str">
        <f aca="false">IF(INDEX(PRODUTOS!$F$4:$F$63,MATCH($A221,PRODUTOS!$B$4:$B$63,0))="Ração",INDEX('O QUE MOSTRAR'!$C$4:$C$12,MATCH($D221,'O QUE MOSTRAR'!$A$4:$A$12,0)),INDEX('O QUE MOSTRAR'!$D$4:$D$12,MATCH($D221,'O QUE MOSTRAR'!$A$4:$A$12,0)))</f>
        <v>Grande diferencial da linha (número ou promessa forte + grão e ingrediente)</v>
      </c>
      <c r="H221" s="11" t="str">
        <f aca="false">INDEX('O QUE MOSTRAR'!$E$4:$E$12,MATCH($D221,'O QUE MOSTRAR'!$A$4:$A$12,0))</f>
        <v>2000 × 2000</v>
      </c>
      <c r="I221" s="11" t="str">
        <f aca="false">INDEX('O QUE MOSTRAR'!$F$4:$F$12,MATCH($D221,'O QUE MOSTRAR'!$A$4:$A$12,0))</f>
        <v>SIM</v>
      </c>
      <c r="J221" s="13" t="s">
        <v>303</v>
      </c>
      <c r="K221" s="13"/>
    </row>
    <row r="222" customFormat="false" ht="15" hidden="false" customHeight="false" outlineLevel="0" collapsed="false">
      <c r="A222" s="14" t="s">
        <v>131</v>
      </c>
      <c r="B222" s="11" t="str">
        <f aca="false">INDEX(PRODUTOS!$E$4:$E$63,MATCH($A222,PRODUTOS!$B$4:$B$63,0))</f>
        <v>Ração Seca Natural Dots para Gatos Adultos - Pacote 1 kg</v>
      </c>
      <c r="C222" s="11" t="str">
        <f aca="false">INDEX(PRODUTOS!$G$4:$G$63,MATCH($A222,PRODUTOS!$B$4:$B$63,0))</f>
        <v>1 kg</v>
      </c>
      <c r="D222" s="11" t="s">
        <v>305</v>
      </c>
      <c r="E222" s="15" t="str">
        <f aca="false">$A222&amp;"."&amp;$D222&amp;".jpg"</f>
        <v>7898968541368.PT02.jpg</v>
      </c>
      <c r="F222" s="11" t="str">
        <f aca="false">INDEX('O QUE MOSTRAR'!$B$4:$B$12,MATCH($D222,'O QUE MOSTRAR'!$A$4:$A$12,0))</f>
        <v>Posição 3</v>
      </c>
      <c r="G222" s="11" t="str">
        <f aca="false">IF(INDEX(PRODUTOS!$F$4:$F$63,MATCH($A222,PRODUTOS!$B$4:$B$63,0))="Ração",INDEX('O QUE MOSTRAR'!$C$4:$C$12,MATCH($D222,'O QUE MOSTRAR'!$A$4:$A$12,0)),INDEX('O QUE MOSTRAR'!$D$4:$D$12,MATCH($D222,'O QUE MOSTRAR'!$A$4:$A$12,0)))</f>
        <v>Benefícios com ícones (4 a 6, impressos na embalagem) + ingrediente</v>
      </c>
      <c r="H222" s="11" t="str">
        <f aca="false">INDEX('O QUE MOSTRAR'!$E$4:$E$12,MATCH($D222,'O QUE MOSTRAR'!$A$4:$A$12,0))</f>
        <v>2000 × 2000</v>
      </c>
      <c r="I222" s="11" t="str">
        <f aca="false">INDEX('O QUE MOSTRAR'!$F$4:$F$12,MATCH($D222,'O QUE MOSTRAR'!$A$4:$A$12,0))</f>
        <v>SIM</v>
      </c>
      <c r="J222" s="13" t="s">
        <v>303</v>
      </c>
      <c r="K222" s="13"/>
    </row>
    <row r="223" customFormat="false" ht="15" hidden="false" customHeight="false" outlineLevel="0" collapsed="false">
      <c r="A223" s="14" t="s">
        <v>131</v>
      </c>
      <c r="B223" s="11" t="str">
        <f aca="false">INDEX(PRODUTOS!$E$4:$E$63,MATCH($A223,PRODUTOS!$B$4:$B$63,0))</f>
        <v>Ração Seca Natural Dots para Gatos Adultos - Pacote 1 kg</v>
      </c>
      <c r="C223" s="11" t="str">
        <f aca="false">INDEX(PRODUTOS!$G$4:$G$63,MATCH($A223,PRODUTOS!$B$4:$B$63,0))</f>
        <v>1 kg</v>
      </c>
      <c r="D223" s="11" t="s">
        <v>306</v>
      </c>
      <c r="E223" s="15" t="str">
        <f aca="false">$A223&amp;"."&amp;$D223&amp;".jpg"</f>
        <v>7898968541368.PT03.jpg</v>
      </c>
      <c r="F223" s="11" t="str">
        <f aca="false">INDEX('O QUE MOSTRAR'!$B$4:$B$12,MATCH($D223,'O QUE MOSTRAR'!$A$4:$A$12,0))</f>
        <v>Posição 4</v>
      </c>
      <c r="G223" s="11" t="str">
        <f aca="false">IF(INDEX(PRODUTOS!$F$4:$F$63,MATCH($A223,PRODUTOS!$B$4:$B$63,0))="Ração",INDEX('O QUE MOSTRAR'!$C$4:$C$12,MATCH($D223,'O QUE MOSTRAR'!$A$4:$A$12,0)),INDEX('O QUE MOSTRAR'!$D$4:$D$12,MATCH($D223,'O QUE MOSTRAR'!$A$4:$A$12,0)))</f>
        <v>Formato e tamanho do grão, com medida em mm e referência de tamanho</v>
      </c>
      <c r="H223" s="11" t="str">
        <f aca="false">INDEX('O QUE MOSTRAR'!$E$4:$E$12,MATCH($D223,'O QUE MOSTRAR'!$A$4:$A$12,0))</f>
        <v>2000 × 2000</v>
      </c>
      <c r="I223" s="11" t="str">
        <f aca="false">INDEX('O QUE MOSTRAR'!$F$4:$F$12,MATCH($D223,'O QUE MOSTRAR'!$A$4:$A$12,0))</f>
        <v>SIM</v>
      </c>
      <c r="J223" s="13" t="s">
        <v>303</v>
      </c>
      <c r="K223" s="13"/>
    </row>
    <row r="224" customFormat="false" ht="15" hidden="false" customHeight="false" outlineLevel="0" collapsed="false">
      <c r="A224" s="14" t="s">
        <v>131</v>
      </c>
      <c r="B224" s="11" t="str">
        <f aca="false">INDEX(PRODUTOS!$E$4:$E$63,MATCH($A224,PRODUTOS!$B$4:$B$63,0))</f>
        <v>Ração Seca Natural Dots para Gatos Adultos - Pacote 1 kg</v>
      </c>
      <c r="C224" s="11" t="str">
        <f aca="false">INDEX(PRODUTOS!$G$4:$G$63,MATCH($A224,PRODUTOS!$B$4:$B$63,0))</f>
        <v>1 kg</v>
      </c>
      <c r="D224" s="11" t="s">
        <v>307</v>
      </c>
      <c r="E224" s="15" t="str">
        <f aca="false">$A224&amp;"."&amp;$D224&amp;".jpg"</f>
        <v>7898968541368.PT04.jpg</v>
      </c>
      <c r="F224" s="11" t="str">
        <f aca="false">INDEX('O QUE MOSTRAR'!$B$4:$B$12,MATCH($D224,'O QUE MOSTRAR'!$A$4:$A$12,0))</f>
        <v>Posição 5</v>
      </c>
      <c r="G224" s="11" t="str">
        <f aca="false">IF(INDEX(PRODUTOS!$F$4:$F$63,MATCH($A224,PRODUTOS!$B$4:$B$63,0))="Ração",INDEX('O QUE MOSTRAR'!$C$4:$C$12,MATCH($D224,'O QUE MOSTRAR'!$A$4:$A$12,0)),INDEX('O QUE MOSTRAR'!$D$4:$D$12,MATCH($D224,'O QUE MOSTRAR'!$A$4:$A$12,0)))</f>
        <v>Quantidade diária por peso do pet (números idênticos à embalagem)</v>
      </c>
      <c r="H224" s="11" t="str">
        <f aca="false">INDEX('O QUE MOSTRAR'!$E$4:$E$12,MATCH($D224,'O QUE MOSTRAR'!$A$4:$A$12,0))</f>
        <v>2000 × 2000</v>
      </c>
      <c r="I224" s="11" t="str">
        <f aca="false">INDEX('O QUE MOSTRAR'!$F$4:$F$12,MATCH($D224,'O QUE MOSTRAR'!$A$4:$A$12,0))</f>
        <v>SIM</v>
      </c>
      <c r="J224" s="13" t="s">
        <v>303</v>
      </c>
      <c r="K224" s="13"/>
    </row>
    <row r="225" customFormat="false" ht="15" hidden="false" customHeight="false" outlineLevel="0" collapsed="false">
      <c r="A225" s="14" t="s">
        <v>131</v>
      </c>
      <c r="B225" s="11" t="str">
        <f aca="false">INDEX(PRODUTOS!$E$4:$E$63,MATCH($A225,PRODUTOS!$B$4:$B$63,0))</f>
        <v>Ração Seca Natural Dots para Gatos Adultos - Pacote 1 kg</v>
      </c>
      <c r="C225" s="11" t="str">
        <f aca="false">INDEX(PRODUTOS!$G$4:$G$63,MATCH($A225,PRODUTOS!$B$4:$B$63,0))</f>
        <v>1 kg</v>
      </c>
      <c r="D225" s="11" t="s">
        <v>308</v>
      </c>
      <c r="E225" s="15" t="str">
        <f aca="false">$A225&amp;"."&amp;$D225&amp;".jpg"</f>
        <v>7898968541368.PT05.jpg</v>
      </c>
      <c r="F225" s="11" t="str">
        <f aca="false">INDEX('O QUE MOSTRAR'!$B$4:$B$12,MATCH($D225,'O QUE MOSTRAR'!$A$4:$A$12,0))</f>
        <v>Posição 6</v>
      </c>
      <c r="G225" s="11" t="str">
        <f aca="false">IF(INDEX(PRODUTOS!$F$4:$F$63,MATCH($A225,PRODUTOS!$B$4:$B$63,0))="Ração",INDEX('O QUE MOSTRAR'!$C$4:$C$12,MATCH($D225,'O QUE MOSTRAR'!$A$4:$A$12,0)),INDEX('O QUE MOSTRAR'!$D$4:$D$12,MATCH($D225,'O QUE MOSTRAR'!$A$4:$A$12,0)))</f>
        <v>Transição alimentar dia a dia (igual ao verso da embalagem)</v>
      </c>
      <c r="H225" s="11" t="str">
        <f aca="false">INDEX('O QUE MOSTRAR'!$E$4:$E$12,MATCH($D225,'O QUE MOSTRAR'!$A$4:$A$12,0))</f>
        <v>2000 × 2000</v>
      </c>
      <c r="I225" s="11" t="str">
        <f aca="false">INDEX('O QUE MOSTRAR'!$F$4:$F$12,MATCH($D225,'O QUE MOSTRAR'!$A$4:$A$12,0))</f>
        <v>Recomendada</v>
      </c>
      <c r="J225" s="13" t="s">
        <v>303</v>
      </c>
      <c r="K225" s="13"/>
    </row>
    <row r="226" customFormat="false" ht="15" hidden="false" customHeight="false" outlineLevel="0" collapsed="false">
      <c r="A226" s="14" t="s">
        <v>131</v>
      </c>
      <c r="B226" s="11" t="str">
        <f aca="false">INDEX(PRODUTOS!$E$4:$E$63,MATCH($A226,PRODUTOS!$B$4:$B$63,0))</f>
        <v>Ração Seca Natural Dots para Gatos Adultos - Pacote 1 kg</v>
      </c>
      <c r="C226" s="11" t="str">
        <f aca="false">INDEX(PRODUTOS!$G$4:$G$63,MATCH($A226,PRODUTOS!$B$4:$B$63,0))</f>
        <v>1 kg</v>
      </c>
      <c r="D226" s="11" t="s">
        <v>309</v>
      </c>
      <c r="E226" s="15" t="str">
        <f aca="false">$A226&amp;"."&amp;$D226&amp;".jpg"</f>
        <v>7898968541368.PT06.jpg</v>
      </c>
      <c r="F226" s="11" t="str">
        <f aca="false">INDEX('O QUE MOSTRAR'!$B$4:$B$12,MATCH($D226,'O QUE MOSTRAR'!$A$4:$A$12,0))</f>
        <v>Posição 7</v>
      </c>
      <c r="G226" s="11" t="str">
        <f aca="false">IF(INDEX(PRODUTOS!$F$4:$F$63,MATCH($A226,PRODUTOS!$B$4:$B$63,0))="Ração",INDEX('O QUE MOSTRAR'!$C$4:$C$12,MATCH($D226,'O QUE MOSTRAR'!$A$4:$A$12,0)),INDEX('O QUE MOSTRAR'!$D$4:$D$12,MATCH($D226,'O QUE MOSTRAR'!$A$4:$A$12,0)))</f>
        <v>Composição e níveis de garantia em letra grande</v>
      </c>
      <c r="H226" s="11" t="str">
        <f aca="false">INDEX('O QUE MOSTRAR'!$E$4:$E$12,MATCH($D226,'O QUE MOSTRAR'!$A$4:$A$12,0))</f>
        <v>2000 × 2000</v>
      </c>
      <c r="I226" s="11" t="str">
        <f aca="false">INDEX('O QUE MOSTRAR'!$F$4:$F$12,MATCH($D226,'O QUE MOSTRAR'!$A$4:$A$12,0))</f>
        <v>SIM</v>
      </c>
      <c r="J226" s="13" t="s">
        <v>303</v>
      </c>
      <c r="K226" s="13"/>
    </row>
    <row r="227" customFormat="false" ht="15" hidden="false" customHeight="false" outlineLevel="0" collapsed="false">
      <c r="A227" s="14" t="s">
        <v>131</v>
      </c>
      <c r="B227" s="11" t="str">
        <f aca="false">INDEX(PRODUTOS!$E$4:$E$63,MATCH($A227,PRODUTOS!$B$4:$B$63,0))</f>
        <v>Ração Seca Natural Dots para Gatos Adultos - Pacote 1 kg</v>
      </c>
      <c r="C227" s="11" t="str">
        <f aca="false">INDEX(PRODUTOS!$G$4:$G$63,MATCH($A227,PRODUTOS!$B$4:$B$63,0))</f>
        <v>1 kg</v>
      </c>
      <c r="D227" s="11" t="s">
        <v>310</v>
      </c>
      <c r="E227" s="15" t="str">
        <f aca="false">$A227&amp;"."&amp;$D227&amp;".jpg"</f>
        <v>7898968541368.PT07.jpg</v>
      </c>
      <c r="F227" s="11" t="str">
        <f aca="false">INDEX('O QUE MOSTRAR'!$B$4:$B$12,MATCH($D227,'O QUE MOSTRAR'!$A$4:$A$12,0))</f>
        <v>Posição 8</v>
      </c>
      <c r="G227" s="11" t="str">
        <f aca="false">IF(INDEX(PRODUTOS!$F$4:$F$63,MATCH($A227,PRODUTOS!$B$4:$B$63,0))="Ração",INDEX('O QUE MOSTRAR'!$C$4:$C$12,MATCH($D227,'O QUE MOSTRAR'!$A$4:$A$12,0)),INDEX('O QUE MOSTRAR'!$D$4:$D$12,MATCH($D227,'O QUE MOSTRAR'!$A$4:$A$12,0)))</f>
        <v>Emocional / momento de uso (pet do porte certo, pote cheio)</v>
      </c>
      <c r="H227" s="11" t="str">
        <f aca="false">INDEX('O QUE MOSTRAR'!$E$4:$E$12,MATCH($D227,'O QUE MOSTRAR'!$A$4:$A$12,0))</f>
        <v>2000 × 2000</v>
      </c>
      <c r="I227" s="11" t="str">
        <f aca="false">INDEX('O QUE MOSTRAR'!$F$4:$F$12,MATCH($D227,'O QUE MOSTRAR'!$A$4:$A$12,0))</f>
        <v>Recomendada</v>
      </c>
      <c r="J227" s="13" t="s">
        <v>303</v>
      </c>
      <c r="K227" s="13"/>
    </row>
    <row r="228" customFormat="false" ht="15" hidden="false" customHeight="false" outlineLevel="0" collapsed="false">
      <c r="A228" s="14" t="s">
        <v>131</v>
      </c>
      <c r="B228" s="11" t="str">
        <f aca="false">INDEX(PRODUTOS!$E$4:$E$63,MATCH($A228,PRODUTOS!$B$4:$B$63,0))</f>
        <v>Ração Seca Natural Dots para Gatos Adultos - Pacote 1 kg</v>
      </c>
      <c r="C228" s="11" t="str">
        <f aca="false">INDEX(PRODUTOS!$G$4:$G$63,MATCH($A228,PRODUTOS!$B$4:$B$63,0))</f>
        <v>1 kg</v>
      </c>
      <c r="D228" s="11" t="s">
        <v>311</v>
      </c>
      <c r="E228" s="15" t="str">
        <f aca="false">$A228&amp;"."&amp;$D228&amp;".jpg"</f>
        <v>7898968541368.PT08.jpg</v>
      </c>
      <c r="F228" s="11" t="str">
        <f aca="false">INDEX('O QUE MOSTRAR'!$B$4:$B$12,MATCH($D228,'O QUE MOSTRAR'!$A$4:$A$12,0))</f>
        <v>Posição 9</v>
      </c>
      <c r="G228" s="11" t="str">
        <f aca="false">IF(INDEX(PRODUTOS!$F$4:$F$63,MATCH($A228,PRODUTOS!$B$4:$B$63,0))="Ração",INDEX('O QUE MOSTRAR'!$C$4:$C$12,MATCH($D228,'O QUE MOSTRAR'!$A$4:$A$12,0)),INDEX('O QUE MOSTRAR'!$D$4:$D$12,MATCH($D228,'O QUE MOSTRAR'!$A$4:$A$12,0)))</f>
        <v>Linha da marca ou embalagem anterior × nova</v>
      </c>
      <c r="H228" s="11" t="str">
        <f aca="false">INDEX('O QUE MOSTRAR'!$E$4:$E$12,MATCH($D228,'O QUE MOSTRAR'!$A$4:$A$12,0))</f>
        <v>2000 × 2000</v>
      </c>
      <c r="I228" s="11" t="str">
        <f aca="false">INDEX('O QUE MOSTRAR'!$F$4:$F$12,MATCH($D228,'O QUE MOSTRAR'!$A$4:$A$12,0))</f>
        <v>Recomendada</v>
      </c>
      <c r="J228" s="13" t="s">
        <v>303</v>
      </c>
      <c r="K228" s="13"/>
    </row>
    <row r="229" customFormat="false" ht="15" hidden="false" customHeight="false" outlineLevel="0" collapsed="false">
      <c r="A229" s="14" t="s">
        <v>135</v>
      </c>
      <c r="B229" s="11" t="str">
        <f aca="false">INDEX(PRODUTOS!$E$4:$E$63,MATCH($A229,PRODUTOS!$B$4:$B$63,0))</f>
        <v>Ração Seca Natural Dots para Gatos Castrados - Pacote 11 kg</v>
      </c>
      <c r="C229" s="11" t="str">
        <f aca="false">INDEX(PRODUTOS!$G$4:$G$63,MATCH($A229,PRODUTOS!$B$4:$B$63,0))</f>
        <v>11 kg</v>
      </c>
      <c r="D229" s="11" t="s">
        <v>302</v>
      </c>
      <c r="E229" s="15" t="str">
        <f aca="false">$A229&amp;"."&amp;$D229&amp;".jpg"</f>
        <v>7898968541399.MAIN.jpg</v>
      </c>
      <c r="F229" s="11" t="str">
        <f aca="false">INDEX('O QUE MOSTRAR'!$B$4:$B$12,MATCH($D229,'O QUE MOSTRAR'!$A$4:$A$12,0))</f>
        <v>Capa (posição 1)</v>
      </c>
      <c r="G229" s="11" t="str">
        <f aca="false">IF(INDEX(PRODUTOS!$F$4:$F$63,MATCH($A229,PRODUTOS!$B$4:$B$63,0))="Ração",INDEX('O QUE MOSTRAR'!$C$4:$C$12,MATCH($D229,'O QUE MOSTRAR'!$A$4:$A$12,0)),INDEX('O QUE MOSTRAR'!$D$4:$D$12,MATCH($D229,'O QUE MOSTRAR'!$A$4:$A$12,0)))</f>
        <v>Embalagem de frente, fundo branco puro, 85% da área, nada adicionado</v>
      </c>
      <c r="H229" s="11" t="str">
        <f aca="false">INDEX('O QUE MOSTRAR'!$E$4:$E$12,MATCH($D229,'O QUE MOSTRAR'!$A$4:$A$12,0))</f>
        <v>2000 × 2000</v>
      </c>
      <c r="I229" s="11" t="str">
        <f aca="false">INDEX('O QUE MOSTRAR'!$F$4:$F$12,MATCH($D229,'O QUE MOSTRAR'!$A$4:$A$12,0))</f>
        <v>SIM</v>
      </c>
      <c r="J229" s="13" t="s">
        <v>303</v>
      </c>
      <c r="K229" s="13"/>
    </row>
    <row r="230" customFormat="false" ht="15" hidden="false" customHeight="false" outlineLevel="0" collapsed="false">
      <c r="A230" s="14" t="s">
        <v>135</v>
      </c>
      <c r="B230" s="11" t="str">
        <f aca="false">INDEX(PRODUTOS!$E$4:$E$63,MATCH($A230,PRODUTOS!$B$4:$B$63,0))</f>
        <v>Ração Seca Natural Dots para Gatos Castrados - Pacote 11 kg</v>
      </c>
      <c r="C230" s="11" t="str">
        <f aca="false">INDEX(PRODUTOS!$G$4:$G$63,MATCH($A230,PRODUTOS!$B$4:$B$63,0))</f>
        <v>11 kg</v>
      </c>
      <c r="D230" s="11" t="s">
        <v>304</v>
      </c>
      <c r="E230" s="15" t="str">
        <f aca="false">$A230&amp;"."&amp;$D230&amp;".jpg"</f>
        <v>7898968541399.PT01.jpg</v>
      </c>
      <c r="F230" s="11" t="str">
        <f aca="false">INDEX('O QUE MOSTRAR'!$B$4:$B$12,MATCH($D230,'O QUE MOSTRAR'!$A$4:$A$12,0))</f>
        <v>Posição 2</v>
      </c>
      <c r="G230" s="11" t="str">
        <f aca="false">IF(INDEX(PRODUTOS!$F$4:$F$63,MATCH($A230,PRODUTOS!$B$4:$B$63,0))="Ração",INDEX('O QUE MOSTRAR'!$C$4:$C$12,MATCH($D230,'O QUE MOSTRAR'!$A$4:$A$12,0)),INDEX('O QUE MOSTRAR'!$D$4:$D$12,MATCH($D230,'O QUE MOSTRAR'!$A$4:$A$12,0)))</f>
        <v>Grande diferencial da linha (número ou promessa forte + grão e ingrediente)</v>
      </c>
      <c r="H230" s="11" t="str">
        <f aca="false">INDEX('O QUE MOSTRAR'!$E$4:$E$12,MATCH($D230,'O QUE MOSTRAR'!$A$4:$A$12,0))</f>
        <v>2000 × 2000</v>
      </c>
      <c r="I230" s="11" t="str">
        <f aca="false">INDEX('O QUE MOSTRAR'!$F$4:$F$12,MATCH($D230,'O QUE MOSTRAR'!$A$4:$A$12,0))</f>
        <v>SIM</v>
      </c>
      <c r="J230" s="13" t="s">
        <v>303</v>
      </c>
      <c r="K230" s="13"/>
    </row>
    <row r="231" customFormat="false" ht="15" hidden="false" customHeight="false" outlineLevel="0" collapsed="false">
      <c r="A231" s="14" t="s">
        <v>135</v>
      </c>
      <c r="B231" s="11" t="str">
        <f aca="false">INDEX(PRODUTOS!$E$4:$E$63,MATCH($A231,PRODUTOS!$B$4:$B$63,0))</f>
        <v>Ração Seca Natural Dots para Gatos Castrados - Pacote 11 kg</v>
      </c>
      <c r="C231" s="11" t="str">
        <f aca="false">INDEX(PRODUTOS!$G$4:$G$63,MATCH($A231,PRODUTOS!$B$4:$B$63,0))</f>
        <v>11 kg</v>
      </c>
      <c r="D231" s="11" t="s">
        <v>305</v>
      </c>
      <c r="E231" s="15" t="str">
        <f aca="false">$A231&amp;"."&amp;$D231&amp;".jpg"</f>
        <v>7898968541399.PT02.jpg</v>
      </c>
      <c r="F231" s="11" t="str">
        <f aca="false">INDEX('O QUE MOSTRAR'!$B$4:$B$12,MATCH($D231,'O QUE MOSTRAR'!$A$4:$A$12,0))</f>
        <v>Posição 3</v>
      </c>
      <c r="G231" s="11" t="str">
        <f aca="false">IF(INDEX(PRODUTOS!$F$4:$F$63,MATCH($A231,PRODUTOS!$B$4:$B$63,0))="Ração",INDEX('O QUE MOSTRAR'!$C$4:$C$12,MATCH($D231,'O QUE MOSTRAR'!$A$4:$A$12,0)),INDEX('O QUE MOSTRAR'!$D$4:$D$12,MATCH($D231,'O QUE MOSTRAR'!$A$4:$A$12,0)))</f>
        <v>Benefícios com ícones (4 a 6, impressos na embalagem) + ingrediente</v>
      </c>
      <c r="H231" s="11" t="str">
        <f aca="false">INDEX('O QUE MOSTRAR'!$E$4:$E$12,MATCH($D231,'O QUE MOSTRAR'!$A$4:$A$12,0))</f>
        <v>2000 × 2000</v>
      </c>
      <c r="I231" s="11" t="str">
        <f aca="false">INDEX('O QUE MOSTRAR'!$F$4:$F$12,MATCH($D231,'O QUE MOSTRAR'!$A$4:$A$12,0))</f>
        <v>SIM</v>
      </c>
      <c r="J231" s="13" t="s">
        <v>303</v>
      </c>
      <c r="K231" s="13"/>
    </row>
    <row r="232" customFormat="false" ht="15" hidden="false" customHeight="false" outlineLevel="0" collapsed="false">
      <c r="A232" s="14" t="s">
        <v>135</v>
      </c>
      <c r="B232" s="11" t="str">
        <f aca="false">INDEX(PRODUTOS!$E$4:$E$63,MATCH($A232,PRODUTOS!$B$4:$B$63,0))</f>
        <v>Ração Seca Natural Dots para Gatos Castrados - Pacote 11 kg</v>
      </c>
      <c r="C232" s="11" t="str">
        <f aca="false">INDEX(PRODUTOS!$G$4:$G$63,MATCH($A232,PRODUTOS!$B$4:$B$63,0))</f>
        <v>11 kg</v>
      </c>
      <c r="D232" s="11" t="s">
        <v>306</v>
      </c>
      <c r="E232" s="15" t="str">
        <f aca="false">$A232&amp;"."&amp;$D232&amp;".jpg"</f>
        <v>7898968541399.PT03.jpg</v>
      </c>
      <c r="F232" s="11" t="str">
        <f aca="false">INDEX('O QUE MOSTRAR'!$B$4:$B$12,MATCH($D232,'O QUE MOSTRAR'!$A$4:$A$12,0))</f>
        <v>Posição 4</v>
      </c>
      <c r="G232" s="11" t="str">
        <f aca="false">IF(INDEX(PRODUTOS!$F$4:$F$63,MATCH($A232,PRODUTOS!$B$4:$B$63,0))="Ração",INDEX('O QUE MOSTRAR'!$C$4:$C$12,MATCH($D232,'O QUE MOSTRAR'!$A$4:$A$12,0)),INDEX('O QUE MOSTRAR'!$D$4:$D$12,MATCH($D232,'O QUE MOSTRAR'!$A$4:$A$12,0)))</f>
        <v>Formato e tamanho do grão, com medida em mm e referência de tamanho</v>
      </c>
      <c r="H232" s="11" t="str">
        <f aca="false">INDEX('O QUE MOSTRAR'!$E$4:$E$12,MATCH($D232,'O QUE MOSTRAR'!$A$4:$A$12,0))</f>
        <v>2000 × 2000</v>
      </c>
      <c r="I232" s="11" t="str">
        <f aca="false">INDEX('O QUE MOSTRAR'!$F$4:$F$12,MATCH($D232,'O QUE MOSTRAR'!$A$4:$A$12,0))</f>
        <v>SIM</v>
      </c>
      <c r="J232" s="13" t="s">
        <v>303</v>
      </c>
      <c r="K232" s="13"/>
    </row>
    <row r="233" customFormat="false" ht="15" hidden="false" customHeight="false" outlineLevel="0" collapsed="false">
      <c r="A233" s="14" t="s">
        <v>135</v>
      </c>
      <c r="B233" s="11" t="str">
        <f aca="false">INDEX(PRODUTOS!$E$4:$E$63,MATCH($A233,PRODUTOS!$B$4:$B$63,0))</f>
        <v>Ração Seca Natural Dots para Gatos Castrados - Pacote 11 kg</v>
      </c>
      <c r="C233" s="11" t="str">
        <f aca="false">INDEX(PRODUTOS!$G$4:$G$63,MATCH($A233,PRODUTOS!$B$4:$B$63,0))</f>
        <v>11 kg</v>
      </c>
      <c r="D233" s="11" t="s">
        <v>307</v>
      </c>
      <c r="E233" s="15" t="str">
        <f aca="false">$A233&amp;"."&amp;$D233&amp;".jpg"</f>
        <v>7898968541399.PT04.jpg</v>
      </c>
      <c r="F233" s="11" t="str">
        <f aca="false">INDEX('O QUE MOSTRAR'!$B$4:$B$12,MATCH($D233,'O QUE MOSTRAR'!$A$4:$A$12,0))</f>
        <v>Posição 5</v>
      </c>
      <c r="G233" s="11" t="str">
        <f aca="false">IF(INDEX(PRODUTOS!$F$4:$F$63,MATCH($A233,PRODUTOS!$B$4:$B$63,0))="Ração",INDEX('O QUE MOSTRAR'!$C$4:$C$12,MATCH($D233,'O QUE MOSTRAR'!$A$4:$A$12,0)),INDEX('O QUE MOSTRAR'!$D$4:$D$12,MATCH($D233,'O QUE MOSTRAR'!$A$4:$A$12,0)))</f>
        <v>Quantidade diária por peso do pet (números idênticos à embalagem)</v>
      </c>
      <c r="H233" s="11" t="str">
        <f aca="false">INDEX('O QUE MOSTRAR'!$E$4:$E$12,MATCH($D233,'O QUE MOSTRAR'!$A$4:$A$12,0))</f>
        <v>2000 × 2000</v>
      </c>
      <c r="I233" s="11" t="str">
        <f aca="false">INDEX('O QUE MOSTRAR'!$F$4:$F$12,MATCH($D233,'O QUE MOSTRAR'!$A$4:$A$12,0))</f>
        <v>SIM</v>
      </c>
      <c r="J233" s="13" t="s">
        <v>303</v>
      </c>
      <c r="K233" s="13"/>
    </row>
    <row r="234" customFormat="false" ht="15" hidden="false" customHeight="false" outlineLevel="0" collapsed="false">
      <c r="A234" s="14" t="s">
        <v>135</v>
      </c>
      <c r="B234" s="11" t="str">
        <f aca="false">INDEX(PRODUTOS!$E$4:$E$63,MATCH($A234,PRODUTOS!$B$4:$B$63,0))</f>
        <v>Ração Seca Natural Dots para Gatos Castrados - Pacote 11 kg</v>
      </c>
      <c r="C234" s="11" t="str">
        <f aca="false">INDEX(PRODUTOS!$G$4:$G$63,MATCH($A234,PRODUTOS!$B$4:$B$63,0))</f>
        <v>11 kg</v>
      </c>
      <c r="D234" s="11" t="s">
        <v>308</v>
      </c>
      <c r="E234" s="15" t="str">
        <f aca="false">$A234&amp;"."&amp;$D234&amp;".jpg"</f>
        <v>7898968541399.PT05.jpg</v>
      </c>
      <c r="F234" s="11" t="str">
        <f aca="false">INDEX('O QUE MOSTRAR'!$B$4:$B$12,MATCH($D234,'O QUE MOSTRAR'!$A$4:$A$12,0))</f>
        <v>Posição 6</v>
      </c>
      <c r="G234" s="11" t="str">
        <f aca="false">IF(INDEX(PRODUTOS!$F$4:$F$63,MATCH($A234,PRODUTOS!$B$4:$B$63,0))="Ração",INDEX('O QUE MOSTRAR'!$C$4:$C$12,MATCH($D234,'O QUE MOSTRAR'!$A$4:$A$12,0)),INDEX('O QUE MOSTRAR'!$D$4:$D$12,MATCH($D234,'O QUE MOSTRAR'!$A$4:$A$12,0)))</f>
        <v>Transição alimentar dia a dia (igual ao verso da embalagem)</v>
      </c>
      <c r="H234" s="11" t="str">
        <f aca="false">INDEX('O QUE MOSTRAR'!$E$4:$E$12,MATCH($D234,'O QUE MOSTRAR'!$A$4:$A$12,0))</f>
        <v>2000 × 2000</v>
      </c>
      <c r="I234" s="11" t="str">
        <f aca="false">INDEX('O QUE MOSTRAR'!$F$4:$F$12,MATCH($D234,'O QUE MOSTRAR'!$A$4:$A$12,0))</f>
        <v>Recomendada</v>
      </c>
      <c r="J234" s="13" t="s">
        <v>303</v>
      </c>
      <c r="K234" s="13"/>
    </row>
    <row r="235" customFormat="false" ht="15" hidden="false" customHeight="false" outlineLevel="0" collapsed="false">
      <c r="A235" s="14" t="s">
        <v>135</v>
      </c>
      <c r="B235" s="11" t="str">
        <f aca="false">INDEX(PRODUTOS!$E$4:$E$63,MATCH($A235,PRODUTOS!$B$4:$B$63,0))</f>
        <v>Ração Seca Natural Dots para Gatos Castrados - Pacote 11 kg</v>
      </c>
      <c r="C235" s="11" t="str">
        <f aca="false">INDEX(PRODUTOS!$G$4:$G$63,MATCH($A235,PRODUTOS!$B$4:$B$63,0))</f>
        <v>11 kg</v>
      </c>
      <c r="D235" s="11" t="s">
        <v>309</v>
      </c>
      <c r="E235" s="15" t="str">
        <f aca="false">$A235&amp;"."&amp;$D235&amp;".jpg"</f>
        <v>7898968541399.PT06.jpg</v>
      </c>
      <c r="F235" s="11" t="str">
        <f aca="false">INDEX('O QUE MOSTRAR'!$B$4:$B$12,MATCH($D235,'O QUE MOSTRAR'!$A$4:$A$12,0))</f>
        <v>Posição 7</v>
      </c>
      <c r="G235" s="11" t="str">
        <f aca="false">IF(INDEX(PRODUTOS!$F$4:$F$63,MATCH($A235,PRODUTOS!$B$4:$B$63,0))="Ração",INDEX('O QUE MOSTRAR'!$C$4:$C$12,MATCH($D235,'O QUE MOSTRAR'!$A$4:$A$12,0)),INDEX('O QUE MOSTRAR'!$D$4:$D$12,MATCH($D235,'O QUE MOSTRAR'!$A$4:$A$12,0)))</f>
        <v>Composição e níveis de garantia em letra grande</v>
      </c>
      <c r="H235" s="11" t="str">
        <f aca="false">INDEX('O QUE MOSTRAR'!$E$4:$E$12,MATCH($D235,'O QUE MOSTRAR'!$A$4:$A$12,0))</f>
        <v>2000 × 2000</v>
      </c>
      <c r="I235" s="11" t="str">
        <f aca="false">INDEX('O QUE MOSTRAR'!$F$4:$F$12,MATCH($D235,'O QUE MOSTRAR'!$A$4:$A$12,0))</f>
        <v>SIM</v>
      </c>
      <c r="J235" s="13" t="s">
        <v>303</v>
      </c>
      <c r="K235" s="13"/>
    </row>
    <row r="236" customFormat="false" ht="15" hidden="false" customHeight="false" outlineLevel="0" collapsed="false">
      <c r="A236" s="14" t="s">
        <v>135</v>
      </c>
      <c r="B236" s="11" t="str">
        <f aca="false">INDEX(PRODUTOS!$E$4:$E$63,MATCH($A236,PRODUTOS!$B$4:$B$63,0))</f>
        <v>Ração Seca Natural Dots para Gatos Castrados - Pacote 11 kg</v>
      </c>
      <c r="C236" s="11" t="str">
        <f aca="false">INDEX(PRODUTOS!$G$4:$G$63,MATCH($A236,PRODUTOS!$B$4:$B$63,0))</f>
        <v>11 kg</v>
      </c>
      <c r="D236" s="11" t="s">
        <v>310</v>
      </c>
      <c r="E236" s="15" t="str">
        <f aca="false">$A236&amp;"."&amp;$D236&amp;".jpg"</f>
        <v>7898968541399.PT07.jpg</v>
      </c>
      <c r="F236" s="11" t="str">
        <f aca="false">INDEX('O QUE MOSTRAR'!$B$4:$B$12,MATCH($D236,'O QUE MOSTRAR'!$A$4:$A$12,0))</f>
        <v>Posição 8</v>
      </c>
      <c r="G236" s="11" t="str">
        <f aca="false">IF(INDEX(PRODUTOS!$F$4:$F$63,MATCH($A236,PRODUTOS!$B$4:$B$63,0))="Ração",INDEX('O QUE MOSTRAR'!$C$4:$C$12,MATCH($D236,'O QUE MOSTRAR'!$A$4:$A$12,0)),INDEX('O QUE MOSTRAR'!$D$4:$D$12,MATCH($D236,'O QUE MOSTRAR'!$A$4:$A$12,0)))</f>
        <v>Emocional / momento de uso (pet do porte certo, pote cheio)</v>
      </c>
      <c r="H236" s="11" t="str">
        <f aca="false">INDEX('O QUE MOSTRAR'!$E$4:$E$12,MATCH($D236,'O QUE MOSTRAR'!$A$4:$A$12,0))</f>
        <v>2000 × 2000</v>
      </c>
      <c r="I236" s="11" t="str">
        <f aca="false">INDEX('O QUE MOSTRAR'!$F$4:$F$12,MATCH($D236,'O QUE MOSTRAR'!$A$4:$A$12,0))</f>
        <v>Recomendada</v>
      </c>
      <c r="J236" s="13" t="s">
        <v>303</v>
      </c>
      <c r="K236" s="13"/>
    </row>
    <row r="237" customFormat="false" ht="15" hidden="false" customHeight="false" outlineLevel="0" collapsed="false">
      <c r="A237" s="14" t="s">
        <v>135</v>
      </c>
      <c r="B237" s="11" t="str">
        <f aca="false">INDEX(PRODUTOS!$E$4:$E$63,MATCH($A237,PRODUTOS!$B$4:$B$63,0))</f>
        <v>Ração Seca Natural Dots para Gatos Castrados - Pacote 11 kg</v>
      </c>
      <c r="C237" s="11" t="str">
        <f aca="false">INDEX(PRODUTOS!$G$4:$G$63,MATCH($A237,PRODUTOS!$B$4:$B$63,0))</f>
        <v>11 kg</v>
      </c>
      <c r="D237" s="11" t="s">
        <v>311</v>
      </c>
      <c r="E237" s="15" t="str">
        <f aca="false">$A237&amp;"."&amp;$D237&amp;".jpg"</f>
        <v>7898968541399.PT08.jpg</v>
      </c>
      <c r="F237" s="11" t="str">
        <f aca="false">INDEX('O QUE MOSTRAR'!$B$4:$B$12,MATCH($D237,'O QUE MOSTRAR'!$A$4:$A$12,0))</f>
        <v>Posição 9</v>
      </c>
      <c r="G237" s="11" t="str">
        <f aca="false">IF(INDEX(PRODUTOS!$F$4:$F$63,MATCH($A237,PRODUTOS!$B$4:$B$63,0))="Ração",INDEX('O QUE MOSTRAR'!$C$4:$C$12,MATCH($D237,'O QUE MOSTRAR'!$A$4:$A$12,0)),INDEX('O QUE MOSTRAR'!$D$4:$D$12,MATCH($D237,'O QUE MOSTRAR'!$A$4:$A$12,0)))</f>
        <v>Linha da marca ou embalagem anterior × nova</v>
      </c>
      <c r="H237" s="11" t="str">
        <f aca="false">INDEX('O QUE MOSTRAR'!$E$4:$E$12,MATCH($D237,'O QUE MOSTRAR'!$A$4:$A$12,0))</f>
        <v>2000 × 2000</v>
      </c>
      <c r="I237" s="11" t="str">
        <f aca="false">INDEX('O QUE MOSTRAR'!$F$4:$F$12,MATCH($D237,'O QUE MOSTRAR'!$A$4:$A$12,0))</f>
        <v>Recomendada</v>
      </c>
      <c r="J237" s="13" t="s">
        <v>303</v>
      </c>
      <c r="K237" s="13"/>
    </row>
    <row r="238" customFormat="false" ht="15" hidden="false" customHeight="false" outlineLevel="0" collapsed="false">
      <c r="A238" s="14" t="s">
        <v>139</v>
      </c>
      <c r="B238" s="11" t="str">
        <f aca="false">INDEX(PRODUTOS!$E$4:$E$63,MATCH($A238,PRODUTOS!$B$4:$B$63,0))</f>
        <v>Ração Seca Natural Dots para Gatos Castrados - Pacote 1 kg</v>
      </c>
      <c r="C238" s="11" t="str">
        <f aca="false">INDEX(PRODUTOS!$G$4:$G$63,MATCH($A238,PRODUTOS!$B$4:$B$63,0))</f>
        <v>1 kg</v>
      </c>
      <c r="D238" s="11" t="s">
        <v>302</v>
      </c>
      <c r="E238" s="15" t="str">
        <f aca="false">$A238&amp;"."&amp;$D238&amp;".jpg"</f>
        <v>7898968541375.MAIN.jpg</v>
      </c>
      <c r="F238" s="11" t="str">
        <f aca="false">INDEX('O QUE MOSTRAR'!$B$4:$B$12,MATCH($D238,'O QUE MOSTRAR'!$A$4:$A$12,0))</f>
        <v>Capa (posição 1)</v>
      </c>
      <c r="G238" s="11" t="str">
        <f aca="false">IF(INDEX(PRODUTOS!$F$4:$F$63,MATCH($A238,PRODUTOS!$B$4:$B$63,0))="Ração",INDEX('O QUE MOSTRAR'!$C$4:$C$12,MATCH($D238,'O QUE MOSTRAR'!$A$4:$A$12,0)),INDEX('O QUE MOSTRAR'!$D$4:$D$12,MATCH($D238,'O QUE MOSTRAR'!$A$4:$A$12,0)))</f>
        <v>Embalagem de frente, fundo branco puro, 85% da área, nada adicionado</v>
      </c>
      <c r="H238" s="11" t="str">
        <f aca="false">INDEX('O QUE MOSTRAR'!$E$4:$E$12,MATCH($D238,'O QUE MOSTRAR'!$A$4:$A$12,0))</f>
        <v>2000 × 2000</v>
      </c>
      <c r="I238" s="11" t="str">
        <f aca="false">INDEX('O QUE MOSTRAR'!$F$4:$F$12,MATCH($D238,'O QUE MOSTRAR'!$A$4:$A$12,0))</f>
        <v>SIM</v>
      </c>
      <c r="J238" s="13" t="s">
        <v>303</v>
      </c>
      <c r="K238" s="13"/>
    </row>
    <row r="239" customFormat="false" ht="15" hidden="false" customHeight="false" outlineLevel="0" collapsed="false">
      <c r="A239" s="14" t="s">
        <v>139</v>
      </c>
      <c r="B239" s="11" t="str">
        <f aca="false">INDEX(PRODUTOS!$E$4:$E$63,MATCH($A239,PRODUTOS!$B$4:$B$63,0))</f>
        <v>Ração Seca Natural Dots para Gatos Castrados - Pacote 1 kg</v>
      </c>
      <c r="C239" s="11" t="str">
        <f aca="false">INDEX(PRODUTOS!$G$4:$G$63,MATCH($A239,PRODUTOS!$B$4:$B$63,0))</f>
        <v>1 kg</v>
      </c>
      <c r="D239" s="11" t="s">
        <v>304</v>
      </c>
      <c r="E239" s="15" t="str">
        <f aca="false">$A239&amp;"."&amp;$D239&amp;".jpg"</f>
        <v>7898968541375.PT01.jpg</v>
      </c>
      <c r="F239" s="11" t="str">
        <f aca="false">INDEX('O QUE MOSTRAR'!$B$4:$B$12,MATCH($D239,'O QUE MOSTRAR'!$A$4:$A$12,0))</f>
        <v>Posição 2</v>
      </c>
      <c r="G239" s="11" t="str">
        <f aca="false">IF(INDEX(PRODUTOS!$F$4:$F$63,MATCH($A239,PRODUTOS!$B$4:$B$63,0))="Ração",INDEX('O QUE MOSTRAR'!$C$4:$C$12,MATCH($D239,'O QUE MOSTRAR'!$A$4:$A$12,0)),INDEX('O QUE MOSTRAR'!$D$4:$D$12,MATCH($D239,'O QUE MOSTRAR'!$A$4:$A$12,0)))</f>
        <v>Grande diferencial da linha (número ou promessa forte + grão e ingrediente)</v>
      </c>
      <c r="H239" s="11" t="str">
        <f aca="false">INDEX('O QUE MOSTRAR'!$E$4:$E$12,MATCH($D239,'O QUE MOSTRAR'!$A$4:$A$12,0))</f>
        <v>2000 × 2000</v>
      </c>
      <c r="I239" s="11" t="str">
        <f aca="false">INDEX('O QUE MOSTRAR'!$F$4:$F$12,MATCH($D239,'O QUE MOSTRAR'!$A$4:$A$12,0))</f>
        <v>SIM</v>
      </c>
      <c r="J239" s="13" t="s">
        <v>303</v>
      </c>
      <c r="K239" s="13"/>
    </row>
    <row r="240" customFormat="false" ht="15" hidden="false" customHeight="false" outlineLevel="0" collapsed="false">
      <c r="A240" s="14" t="s">
        <v>139</v>
      </c>
      <c r="B240" s="11" t="str">
        <f aca="false">INDEX(PRODUTOS!$E$4:$E$63,MATCH($A240,PRODUTOS!$B$4:$B$63,0))</f>
        <v>Ração Seca Natural Dots para Gatos Castrados - Pacote 1 kg</v>
      </c>
      <c r="C240" s="11" t="str">
        <f aca="false">INDEX(PRODUTOS!$G$4:$G$63,MATCH($A240,PRODUTOS!$B$4:$B$63,0))</f>
        <v>1 kg</v>
      </c>
      <c r="D240" s="11" t="s">
        <v>305</v>
      </c>
      <c r="E240" s="15" t="str">
        <f aca="false">$A240&amp;"."&amp;$D240&amp;".jpg"</f>
        <v>7898968541375.PT02.jpg</v>
      </c>
      <c r="F240" s="11" t="str">
        <f aca="false">INDEX('O QUE MOSTRAR'!$B$4:$B$12,MATCH($D240,'O QUE MOSTRAR'!$A$4:$A$12,0))</f>
        <v>Posição 3</v>
      </c>
      <c r="G240" s="11" t="str">
        <f aca="false">IF(INDEX(PRODUTOS!$F$4:$F$63,MATCH($A240,PRODUTOS!$B$4:$B$63,0))="Ração",INDEX('O QUE MOSTRAR'!$C$4:$C$12,MATCH($D240,'O QUE MOSTRAR'!$A$4:$A$12,0)),INDEX('O QUE MOSTRAR'!$D$4:$D$12,MATCH($D240,'O QUE MOSTRAR'!$A$4:$A$12,0)))</f>
        <v>Benefícios com ícones (4 a 6, impressos na embalagem) + ingrediente</v>
      </c>
      <c r="H240" s="11" t="str">
        <f aca="false">INDEX('O QUE MOSTRAR'!$E$4:$E$12,MATCH($D240,'O QUE MOSTRAR'!$A$4:$A$12,0))</f>
        <v>2000 × 2000</v>
      </c>
      <c r="I240" s="11" t="str">
        <f aca="false">INDEX('O QUE MOSTRAR'!$F$4:$F$12,MATCH($D240,'O QUE MOSTRAR'!$A$4:$A$12,0))</f>
        <v>SIM</v>
      </c>
      <c r="J240" s="13" t="s">
        <v>303</v>
      </c>
      <c r="K240" s="13"/>
    </row>
    <row r="241" customFormat="false" ht="15" hidden="false" customHeight="false" outlineLevel="0" collapsed="false">
      <c r="A241" s="14" t="s">
        <v>139</v>
      </c>
      <c r="B241" s="11" t="str">
        <f aca="false">INDEX(PRODUTOS!$E$4:$E$63,MATCH($A241,PRODUTOS!$B$4:$B$63,0))</f>
        <v>Ração Seca Natural Dots para Gatos Castrados - Pacote 1 kg</v>
      </c>
      <c r="C241" s="11" t="str">
        <f aca="false">INDEX(PRODUTOS!$G$4:$G$63,MATCH($A241,PRODUTOS!$B$4:$B$63,0))</f>
        <v>1 kg</v>
      </c>
      <c r="D241" s="11" t="s">
        <v>306</v>
      </c>
      <c r="E241" s="15" t="str">
        <f aca="false">$A241&amp;"."&amp;$D241&amp;".jpg"</f>
        <v>7898968541375.PT03.jpg</v>
      </c>
      <c r="F241" s="11" t="str">
        <f aca="false">INDEX('O QUE MOSTRAR'!$B$4:$B$12,MATCH($D241,'O QUE MOSTRAR'!$A$4:$A$12,0))</f>
        <v>Posição 4</v>
      </c>
      <c r="G241" s="11" t="str">
        <f aca="false">IF(INDEX(PRODUTOS!$F$4:$F$63,MATCH($A241,PRODUTOS!$B$4:$B$63,0))="Ração",INDEX('O QUE MOSTRAR'!$C$4:$C$12,MATCH($D241,'O QUE MOSTRAR'!$A$4:$A$12,0)),INDEX('O QUE MOSTRAR'!$D$4:$D$12,MATCH($D241,'O QUE MOSTRAR'!$A$4:$A$12,0)))</f>
        <v>Formato e tamanho do grão, com medida em mm e referência de tamanho</v>
      </c>
      <c r="H241" s="11" t="str">
        <f aca="false">INDEX('O QUE MOSTRAR'!$E$4:$E$12,MATCH($D241,'O QUE MOSTRAR'!$A$4:$A$12,0))</f>
        <v>2000 × 2000</v>
      </c>
      <c r="I241" s="11" t="str">
        <f aca="false">INDEX('O QUE MOSTRAR'!$F$4:$F$12,MATCH($D241,'O QUE MOSTRAR'!$A$4:$A$12,0))</f>
        <v>SIM</v>
      </c>
      <c r="J241" s="13" t="s">
        <v>303</v>
      </c>
      <c r="K241" s="13"/>
    </row>
    <row r="242" customFormat="false" ht="15" hidden="false" customHeight="false" outlineLevel="0" collapsed="false">
      <c r="A242" s="14" t="s">
        <v>139</v>
      </c>
      <c r="B242" s="11" t="str">
        <f aca="false">INDEX(PRODUTOS!$E$4:$E$63,MATCH($A242,PRODUTOS!$B$4:$B$63,0))</f>
        <v>Ração Seca Natural Dots para Gatos Castrados - Pacote 1 kg</v>
      </c>
      <c r="C242" s="11" t="str">
        <f aca="false">INDEX(PRODUTOS!$G$4:$G$63,MATCH($A242,PRODUTOS!$B$4:$B$63,0))</f>
        <v>1 kg</v>
      </c>
      <c r="D242" s="11" t="s">
        <v>307</v>
      </c>
      <c r="E242" s="15" t="str">
        <f aca="false">$A242&amp;"."&amp;$D242&amp;".jpg"</f>
        <v>7898968541375.PT04.jpg</v>
      </c>
      <c r="F242" s="11" t="str">
        <f aca="false">INDEX('O QUE MOSTRAR'!$B$4:$B$12,MATCH($D242,'O QUE MOSTRAR'!$A$4:$A$12,0))</f>
        <v>Posição 5</v>
      </c>
      <c r="G242" s="11" t="str">
        <f aca="false">IF(INDEX(PRODUTOS!$F$4:$F$63,MATCH($A242,PRODUTOS!$B$4:$B$63,0))="Ração",INDEX('O QUE MOSTRAR'!$C$4:$C$12,MATCH($D242,'O QUE MOSTRAR'!$A$4:$A$12,0)),INDEX('O QUE MOSTRAR'!$D$4:$D$12,MATCH($D242,'O QUE MOSTRAR'!$A$4:$A$12,0)))</f>
        <v>Quantidade diária por peso do pet (números idênticos à embalagem)</v>
      </c>
      <c r="H242" s="11" t="str">
        <f aca="false">INDEX('O QUE MOSTRAR'!$E$4:$E$12,MATCH($D242,'O QUE MOSTRAR'!$A$4:$A$12,0))</f>
        <v>2000 × 2000</v>
      </c>
      <c r="I242" s="11" t="str">
        <f aca="false">INDEX('O QUE MOSTRAR'!$F$4:$F$12,MATCH($D242,'O QUE MOSTRAR'!$A$4:$A$12,0))</f>
        <v>SIM</v>
      </c>
      <c r="J242" s="13" t="s">
        <v>303</v>
      </c>
      <c r="K242" s="13"/>
    </row>
    <row r="243" customFormat="false" ht="15" hidden="false" customHeight="false" outlineLevel="0" collapsed="false">
      <c r="A243" s="14" t="s">
        <v>139</v>
      </c>
      <c r="B243" s="11" t="str">
        <f aca="false">INDEX(PRODUTOS!$E$4:$E$63,MATCH($A243,PRODUTOS!$B$4:$B$63,0))</f>
        <v>Ração Seca Natural Dots para Gatos Castrados - Pacote 1 kg</v>
      </c>
      <c r="C243" s="11" t="str">
        <f aca="false">INDEX(PRODUTOS!$G$4:$G$63,MATCH($A243,PRODUTOS!$B$4:$B$63,0))</f>
        <v>1 kg</v>
      </c>
      <c r="D243" s="11" t="s">
        <v>308</v>
      </c>
      <c r="E243" s="15" t="str">
        <f aca="false">$A243&amp;"."&amp;$D243&amp;".jpg"</f>
        <v>7898968541375.PT05.jpg</v>
      </c>
      <c r="F243" s="11" t="str">
        <f aca="false">INDEX('O QUE MOSTRAR'!$B$4:$B$12,MATCH($D243,'O QUE MOSTRAR'!$A$4:$A$12,0))</f>
        <v>Posição 6</v>
      </c>
      <c r="G243" s="11" t="str">
        <f aca="false">IF(INDEX(PRODUTOS!$F$4:$F$63,MATCH($A243,PRODUTOS!$B$4:$B$63,0))="Ração",INDEX('O QUE MOSTRAR'!$C$4:$C$12,MATCH($D243,'O QUE MOSTRAR'!$A$4:$A$12,0)),INDEX('O QUE MOSTRAR'!$D$4:$D$12,MATCH($D243,'O QUE MOSTRAR'!$A$4:$A$12,0)))</f>
        <v>Transição alimentar dia a dia (igual ao verso da embalagem)</v>
      </c>
      <c r="H243" s="11" t="str">
        <f aca="false">INDEX('O QUE MOSTRAR'!$E$4:$E$12,MATCH($D243,'O QUE MOSTRAR'!$A$4:$A$12,0))</f>
        <v>2000 × 2000</v>
      </c>
      <c r="I243" s="11" t="str">
        <f aca="false">INDEX('O QUE MOSTRAR'!$F$4:$F$12,MATCH($D243,'O QUE MOSTRAR'!$A$4:$A$12,0))</f>
        <v>Recomendada</v>
      </c>
      <c r="J243" s="13" t="s">
        <v>303</v>
      </c>
      <c r="K243" s="13"/>
    </row>
    <row r="244" customFormat="false" ht="15" hidden="false" customHeight="false" outlineLevel="0" collapsed="false">
      <c r="A244" s="14" t="s">
        <v>139</v>
      </c>
      <c r="B244" s="11" t="str">
        <f aca="false">INDEX(PRODUTOS!$E$4:$E$63,MATCH($A244,PRODUTOS!$B$4:$B$63,0))</f>
        <v>Ração Seca Natural Dots para Gatos Castrados - Pacote 1 kg</v>
      </c>
      <c r="C244" s="11" t="str">
        <f aca="false">INDEX(PRODUTOS!$G$4:$G$63,MATCH($A244,PRODUTOS!$B$4:$B$63,0))</f>
        <v>1 kg</v>
      </c>
      <c r="D244" s="11" t="s">
        <v>309</v>
      </c>
      <c r="E244" s="15" t="str">
        <f aca="false">$A244&amp;"."&amp;$D244&amp;".jpg"</f>
        <v>7898968541375.PT06.jpg</v>
      </c>
      <c r="F244" s="11" t="str">
        <f aca="false">INDEX('O QUE MOSTRAR'!$B$4:$B$12,MATCH($D244,'O QUE MOSTRAR'!$A$4:$A$12,0))</f>
        <v>Posição 7</v>
      </c>
      <c r="G244" s="11" t="str">
        <f aca="false">IF(INDEX(PRODUTOS!$F$4:$F$63,MATCH($A244,PRODUTOS!$B$4:$B$63,0))="Ração",INDEX('O QUE MOSTRAR'!$C$4:$C$12,MATCH($D244,'O QUE MOSTRAR'!$A$4:$A$12,0)),INDEX('O QUE MOSTRAR'!$D$4:$D$12,MATCH($D244,'O QUE MOSTRAR'!$A$4:$A$12,0)))</f>
        <v>Composição e níveis de garantia em letra grande</v>
      </c>
      <c r="H244" s="11" t="str">
        <f aca="false">INDEX('O QUE MOSTRAR'!$E$4:$E$12,MATCH($D244,'O QUE MOSTRAR'!$A$4:$A$12,0))</f>
        <v>2000 × 2000</v>
      </c>
      <c r="I244" s="11" t="str">
        <f aca="false">INDEX('O QUE MOSTRAR'!$F$4:$F$12,MATCH($D244,'O QUE MOSTRAR'!$A$4:$A$12,0))</f>
        <v>SIM</v>
      </c>
      <c r="J244" s="13" t="s">
        <v>303</v>
      </c>
      <c r="K244" s="13"/>
    </row>
    <row r="245" customFormat="false" ht="15" hidden="false" customHeight="false" outlineLevel="0" collapsed="false">
      <c r="A245" s="14" t="s">
        <v>139</v>
      </c>
      <c r="B245" s="11" t="str">
        <f aca="false">INDEX(PRODUTOS!$E$4:$E$63,MATCH($A245,PRODUTOS!$B$4:$B$63,0))</f>
        <v>Ração Seca Natural Dots para Gatos Castrados - Pacote 1 kg</v>
      </c>
      <c r="C245" s="11" t="str">
        <f aca="false">INDEX(PRODUTOS!$G$4:$G$63,MATCH($A245,PRODUTOS!$B$4:$B$63,0))</f>
        <v>1 kg</v>
      </c>
      <c r="D245" s="11" t="s">
        <v>310</v>
      </c>
      <c r="E245" s="15" t="str">
        <f aca="false">$A245&amp;"."&amp;$D245&amp;".jpg"</f>
        <v>7898968541375.PT07.jpg</v>
      </c>
      <c r="F245" s="11" t="str">
        <f aca="false">INDEX('O QUE MOSTRAR'!$B$4:$B$12,MATCH($D245,'O QUE MOSTRAR'!$A$4:$A$12,0))</f>
        <v>Posição 8</v>
      </c>
      <c r="G245" s="11" t="str">
        <f aca="false">IF(INDEX(PRODUTOS!$F$4:$F$63,MATCH($A245,PRODUTOS!$B$4:$B$63,0))="Ração",INDEX('O QUE MOSTRAR'!$C$4:$C$12,MATCH($D245,'O QUE MOSTRAR'!$A$4:$A$12,0)),INDEX('O QUE MOSTRAR'!$D$4:$D$12,MATCH($D245,'O QUE MOSTRAR'!$A$4:$A$12,0)))</f>
        <v>Emocional / momento de uso (pet do porte certo, pote cheio)</v>
      </c>
      <c r="H245" s="11" t="str">
        <f aca="false">INDEX('O QUE MOSTRAR'!$E$4:$E$12,MATCH($D245,'O QUE MOSTRAR'!$A$4:$A$12,0))</f>
        <v>2000 × 2000</v>
      </c>
      <c r="I245" s="11" t="str">
        <f aca="false">INDEX('O QUE MOSTRAR'!$F$4:$F$12,MATCH($D245,'O QUE MOSTRAR'!$A$4:$A$12,0))</f>
        <v>Recomendada</v>
      </c>
      <c r="J245" s="13" t="s">
        <v>303</v>
      </c>
      <c r="K245" s="13"/>
    </row>
    <row r="246" customFormat="false" ht="15" hidden="false" customHeight="false" outlineLevel="0" collapsed="false">
      <c r="A246" s="14" t="s">
        <v>139</v>
      </c>
      <c r="B246" s="11" t="str">
        <f aca="false">INDEX(PRODUTOS!$E$4:$E$63,MATCH($A246,PRODUTOS!$B$4:$B$63,0))</f>
        <v>Ração Seca Natural Dots para Gatos Castrados - Pacote 1 kg</v>
      </c>
      <c r="C246" s="11" t="str">
        <f aca="false">INDEX(PRODUTOS!$G$4:$G$63,MATCH($A246,PRODUTOS!$B$4:$B$63,0))</f>
        <v>1 kg</v>
      </c>
      <c r="D246" s="11" t="s">
        <v>311</v>
      </c>
      <c r="E246" s="15" t="str">
        <f aca="false">$A246&amp;"."&amp;$D246&amp;".jpg"</f>
        <v>7898968541375.PT08.jpg</v>
      </c>
      <c r="F246" s="11" t="str">
        <f aca="false">INDEX('O QUE MOSTRAR'!$B$4:$B$12,MATCH($D246,'O QUE MOSTRAR'!$A$4:$A$12,0))</f>
        <v>Posição 9</v>
      </c>
      <c r="G246" s="11" t="str">
        <f aca="false">IF(INDEX(PRODUTOS!$F$4:$F$63,MATCH($A246,PRODUTOS!$B$4:$B$63,0))="Ração",INDEX('O QUE MOSTRAR'!$C$4:$C$12,MATCH($D246,'O QUE MOSTRAR'!$A$4:$A$12,0)),INDEX('O QUE MOSTRAR'!$D$4:$D$12,MATCH($D246,'O QUE MOSTRAR'!$A$4:$A$12,0)))</f>
        <v>Linha da marca ou embalagem anterior × nova</v>
      </c>
      <c r="H246" s="11" t="str">
        <f aca="false">INDEX('O QUE MOSTRAR'!$E$4:$E$12,MATCH($D246,'O QUE MOSTRAR'!$A$4:$A$12,0))</f>
        <v>2000 × 2000</v>
      </c>
      <c r="I246" s="11" t="str">
        <f aca="false">INDEX('O QUE MOSTRAR'!$F$4:$F$12,MATCH($D246,'O QUE MOSTRAR'!$A$4:$A$12,0))</f>
        <v>Recomendada</v>
      </c>
      <c r="J246" s="13" t="s">
        <v>303</v>
      </c>
      <c r="K246" s="13"/>
    </row>
    <row r="247" customFormat="false" ht="15" hidden="false" customHeight="false" outlineLevel="0" collapsed="false">
      <c r="A247" s="14" t="s">
        <v>143</v>
      </c>
      <c r="B247" s="11" t="str">
        <f aca="false">INDEX(PRODUTOS!$E$4:$E$63,MATCH($A247,PRODUTOS!$B$4:$B$63,0))</f>
        <v>Ração Seca Natural Dots para Gatos Filhotes - Pacote 11 kg</v>
      </c>
      <c r="C247" s="11" t="str">
        <f aca="false">INDEX(PRODUTOS!$G$4:$G$63,MATCH($A247,PRODUTOS!$B$4:$B$63,0))</f>
        <v>11 kg</v>
      </c>
      <c r="D247" s="11" t="s">
        <v>302</v>
      </c>
      <c r="E247" s="15" t="str">
        <f aca="false">$A247&amp;"."&amp;$D247&amp;".jpg"</f>
        <v>7898968541412.MAIN.jpg</v>
      </c>
      <c r="F247" s="11" t="str">
        <f aca="false">INDEX('O QUE MOSTRAR'!$B$4:$B$12,MATCH($D247,'O QUE MOSTRAR'!$A$4:$A$12,0))</f>
        <v>Capa (posição 1)</v>
      </c>
      <c r="G247" s="11" t="str">
        <f aca="false">IF(INDEX(PRODUTOS!$F$4:$F$63,MATCH($A247,PRODUTOS!$B$4:$B$63,0))="Ração",INDEX('O QUE MOSTRAR'!$C$4:$C$12,MATCH($D247,'O QUE MOSTRAR'!$A$4:$A$12,0)),INDEX('O QUE MOSTRAR'!$D$4:$D$12,MATCH($D247,'O QUE MOSTRAR'!$A$4:$A$12,0)))</f>
        <v>Embalagem de frente, fundo branco puro, 85% da área, nada adicionado</v>
      </c>
      <c r="H247" s="11" t="str">
        <f aca="false">INDEX('O QUE MOSTRAR'!$E$4:$E$12,MATCH($D247,'O QUE MOSTRAR'!$A$4:$A$12,0))</f>
        <v>2000 × 2000</v>
      </c>
      <c r="I247" s="11" t="str">
        <f aca="false">INDEX('O QUE MOSTRAR'!$F$4:$F$12,MATCH($D247,'O QUE MOSTRAR'!$A$4:$A$12,0))</f>
        <v>SIM</v>
      </c>
      <c r="J247" s="13" t="s">
        <v>303</v>
      </c>
      <c r="K247" s="13"/>
    </row>
    <row r="248" customFormat="false" ht="15" hidden="false" customHeight="false" outlineLevel="0" collapsed="false">
      <c r="A248" s="14" t="s">
        <v>143</v>
      </c>
      <c r="B248" s="11" t="str">
        <f aca="false">INDEX(PRODUTOS!$E$4:$E$63,MATCH($A248,PRODUTOS!$B$4:$B$63,0))</f>
        <v>Ração Seca Natural Dots para Gatos Filhotes - Pacote 11 kg</v>
      </c>
      <c r="C248" s="11" t="str">
        <f aca="false">INDEX(PRODUTOS!$G$4:$G$63,MATCH($A248,PRODUTOS!$B$4:$B$63,0))</f>
        <v>11 kg</v>
      </c>
      <c r="D248" s="11" t="s">
        <v>304</v>
      </c>
      <c r="E248" s="15" t="str">
        <f aca="false">$A248&amp;"."&amp;$D248&amp;".jpg"</f>
        <v>7898968541412.PT01.jpg</v>
      </c>
      <c r="F248" s="11" t="str">
        <f aca="false">INDEX('O QUE MOSTRAR'!$B$4:$B$12,MATCH($D248,'O QUE MOSTRAR'!$A$4:$A$12,0))</f>
        <v>Posição 2</v>
      </c>
      <c r="G248" s="11" t="str">
        <f aca="false">IF(INDEX(PRODUTOS!$F$4:$F$63,MATCH($A248,PRODUTOS!$B$4:$B$63,0))="Ração",INDEX('O QUE MOSTRAR'!$C$4:$C$12,MATCH($D248,'O QUE MOSTRAR'!$A$4:$A$12,0)),INDEX('O QUE MOSTRAR'!$D$4:$D$12,MATCH($D248,'O QUE MOSTRAR'!$A$4:$A$12,0)))</f>
        <v>Grande diferencial da linha (número ou promessa forte + grão e ingrediente)</v>
      </c>
      <c r="H248" s="11" t="str">
        <f aca="false">INDEX('O QUE MOSTRAR'!$E$4:$E$12,MATCH($D248,'O QUE MOSTRAR'!$A$4:$A$12,0))</f>
        <v>2000 × 2000</v>
      </c>
      <c r="I248" s="11" t="str">
        <f aca="false">INDEX('O QUE MOSTRAR'!$F$4:$F$12,MATCH($D248,'O QUE MOSTRAR'!$A$4:$A$12,0))</f>
        <v>SIM</v>
      </c>
      <c r="J248" s="13" t="s">
        <v>303</v>
      </c>
      <c r="K248" s="13"/>
    </row>
    <row r="249" customFormat="false" ht="15" hidden="false" customHeight="false" outlineLevel="0" collapsed="false">
      <c r="A249" s="14" t="s">
        <v>143</v>
      </c>
      <c r="B249" s="11" t="str">
        <f aca="false">INDEX(PRODUTOS!$E$4:$E$63,MATCH($A249,PRODUTOS!$B$4:$B$63,0))</f>
        <v>Ração Seca Natural Dots para Gatos Filhotes - Pacote 11 kg</v>
      </c>
      <c r="C249" s="11" t="str">
        <f aca="false">INDEX(PRODUTOS!$G$4:$G$63,MATCH($A249,PRODUTOS!$B$4:$B$63,0))</f>
        <v>11 kg</v>
      </c>
      <c r="D249" s="11" t="s">
        <v>305</v>
      </c>
      <c r="E249" s="15" t="str">
        <f aca="false">$A249&amp;"."&amp;$D249&amp;".jpg"</f>
        <v>7898968541412.PT02.jpg</v>
      </c>
      <c r="F249" s="11" t="str">
        <f aca="false">INDEX('O QUE MOSTRAR'!$B$4:$B$12,MATCH($D249,'O QUE MOSTRAR'!$A$4:$A$12,0))</f>
        <v>Posição 3</v>
      </c>
      <c r="G249" s="11" t="str">
        <f aca="false">IF(INDEX(PRODUTOS!$F$4:$F$63,MATCH($A249,PRODUTOS!$B$4:$B$63,0))="Ração",INDEX('O QUE MOSTRAR'!$C$4:$C$12,MATCH($D249,'O QUE MOSTRAR'!$A$4:$A$12,0)),INDEX('O QUE MOSTRAR'!$D$4:$D$12,MATCH($D249,'O QUE MOSTRAR'!$A$4:$A$12,0)))</f>
        <v>Benefícios com ícones (4 a 6, impressos na embalagem) + ingrediente</v>
      </c>
      <c r="H249" s="11" t="str">
        <f aca="false">INDEX('O QUE MOSTRAR'!$E$4:$E$12,MATCH($D249,'O QUE MOSTRAR'!$A$4:$A$12,0))</f>
        <v>2000 × 2000</v>
      </c>
      <c r="I249" s="11" t="str">
        <f aca="false">INDEX('O QUE MOSTRAR'!$F$4:$F$12,MATCH($D249,'O QUE MOSTRAR'!$A$4:$A$12,0))</f>
        <v>SIM</v>
      </c>
      <c r="J249" s="13" t="s">
        <v>303</v>
      </c>
      <c r="K249" s="13"/>
    </row>
    <row r="250" customFormat="false" ht="15" hidden="false" customHeight="false" outlineLevel="0" collapsed="false">
      <c r="A250" s="14" t="s">
        <v>143</v>
      </c>
      <c r="B250" s="11" t="str">
        <f aca="false">INDEX(PRODUTOS!$E$4:$E$63,MATCH($A250,PRODUTOS!$B$4:$B$63,0))</f>
        <v>Ração Seca Natural Dots para Gatos Filhotes - Pacote 11 kg</v>
      </c>
      <c r="C250" s="11" t="str">
        <f aca="false">INDEX(PRODUTOS!$G$4:$G$63,MATCH($A250,PRODUTOS!$B$4:$B$63,0))</f>
        <v>11 kg</v>
      </c>
      <c r="D250" s="11" t="s">
        <v>306</v>
      </c>
      <c r="E250" s="15" t="str">
        <f aca="false">$A250&amp;"."&amp;$D250&amp;".jpg"</f>
        <v>7898968541412.PT03.jpg</v>
      </c>
      <c r="F250" s="11" t="str">
        <f aca="false">INDEX('O QUE MOSTRAR'!$B$4:$B$12,MATCH($D250,'O QUE MOSTRAR'!$A$4:$A$12,0))</f>
        <v>Posição 4</v>
      </c>
      <c r="G250" s="11" t="str">
        <f aca="false">IF(INDEX(PRODUTOS!$F$4:$F$63,MATCH($A250,PRODUTOS!$B$4:$B$63,0))="Ração",INDEX('O QUE MOSTRAR'!$C$4:$C$12,MATCH($D250,'O QUE MOSTRAR'!$A$4:$A$12,0)),INDEX('O QUE MOSTRAR'!$D$4:$D$12,MATCH($D250,'O QUE MOSTRAR'!$A$4:$A$12,0)))</f>
        <v>Formato e tamanho do grão, com medida em mm e referência de tamanho</v>
      </c>
      <c r="H250" s="11" t="str">
        <f aca="false">INDEX('O QUE MOSTRAR'!$E$4:$E$12,MATCH($D250,'O QUE MOSTRAR'!$A$4:$A$12,0))</f>
        <v>2000 × 2000</v>
      </c>
      <c r="I250" s="11" t="str">
        <f aca="false">INDEX('O QUE MOSTRAR'!$F$4:$F$12,MATCH($D250,'O QUE MOSTRAR'!$A$4:$A$12,0))</f>
        <v>SIM</v>
      </c>
      <c r="J250" s="13" t="s">
        <v>303</v>
      </c>
      <c r="K250" s="13"/>
    </row>
    <row r="251" customFormat="false" ht="15" hidden="false" customHeight="false" outlineLevel="0" collapsed="false">
      <c r="A251" s="14" t="s">
        <v>143</v>
      </c>
      <c r="B251" s="11" t="str">
        <f aca="false">INDEX(PRODUTOS!$E$4:$E$63,MATCH($A251,PRODUTOS!$B$4:$B$63,0))</f>
        <v>Ração Seca Natural Dots para Gatos Filhotes - Pacote 11 kg</v>
      </c>
      <c r="C251" s="11" t="str">
        <f aca="false">INDEX(PRODUTOS!$G$4:$G$63,MATCH($A251,PRODUTOS!$B$4:$B$63,0))</f>
        <v>11 kg</v>
      </c>
      <c r="D251" s="11" t="s">
        <v>307</v>
      </c>
      <c r="E251" s="15" t="str">
        <f aca="false">$A251&amp;"."&amp;$D251&amp;".jpg"</f>
        <v>7898968541412.PT04.jpg</v>
      </c>
      <c r="F251" s="11" t="str">
        <f aca="false">INDEX('O QUE MOSTRAR'!$B$4:$B$12,MATCH($D251,'O QUE MOSTRAR'!$A$4:$A$12,0))</f>
        <v>Posição 5</v>
      </c>
      <c r="G251" s="11" t="str">
        <f aca="false">IF(INDEX(PRODUTOS!$F$4:$F$63,MATCH($A251,PRODUTOS!$B$4:$B$63,0))="Ração",INDEX('O QUE MOSTRAR'!$C$4:$C$12,MATCH($D251,'O QUE MOSTRAR'!$A$4:$A$12,0)),INDEX('O QUE MOSTRAR'!$D$4:$D$12,MATCH($D251,'O QUE MOSTRAR'!$A$4:$A$12,0)))</f>
        <v>Quantidade diária por peso do pet (números idênticos à embalagem)</v>
      </c>
      <c r="H251" s="11" t="str">
        <f aca="false">INDEX('O QUE MOSTRAR'!$E$4:$E$12,MATCH($D251,'O QUE MOSTRAR'!$A$4:$A$12,0))</f>
        <v>2000 × 2000</v>
      </c>
      <c r="I251" s="11" t="str">
        <f aca="false">INDEX('O QUE MOSTRAR'!$F$4:$F$12,MATCH($D251,'O QUE MOSTRAR'!$A$4:$A$12,0))</f>
        <v>SIM</v>
      </c>
      <c r="J251" s="13" t="s">
        <v>303</v>
      </c>
      <c r="K251" s="13"/>
    </row>
    <row r="252" customFormat="false" ht="15" hidden="false" customHeight="false" outlineLevel="0" collapsed="false">
      <c r="A252" s="14" t="s">
        <v>143</v>
      </c>
      <c r="B252" s="11" t="str">
        <f aca="false">INDEX(PRODUTOS!$E$4:$E$63,MATCH($A252,PRODUTOS!$B$4:$B$63,0))</f>
        <v>Ração Seca Natural Dots para Gatos Filhotes - Pacote 11 kg</v>
      </c>
      <c r="C252" s="11" t="str">
        <f aca="false">INDEX(PRODUTOS!$G$4:$G$63,MATCH($A252,PRODUTOS!$B$4:$B$63,0))</f>
        <v>11 kg</v>
      </c>
      <c r="D252" s="11" t="s">
        <v>308</v>
      </c>
      <c r="E252" s="15" t="str">
        <f aca="false">$A252&amp;"."&amp;$D252&amp;".jpg"</f>
        <v>7898968541412.PT05.jpg</v>
      </c>
      <c r="F252" s="11" t="str">
        <f aca="false">INDEX('O QUE MOSTRAR'!$B$4:$B$12,MATCH($D252,'O QUE MOSTRAR'!$A$4:$A$12,0))</f>
        <v>Posição 6</v>
      </c>
      <c r="G252" s="11" t="str">
        <f aca="false">IF(INDEX(PRODUTOS!$F$4:$F$63,MATCH($A252,PRODUTOS!$B$4:$B$63,0))="Ração",INDEX('O QUE MOSTRAR'!$C$4:$C$12,MATCH($D252,'O QUE MOSTRAR'!$A$4:$A$12,0)),INDEX('O QUE MOSTRAR'!$D$4:$D$12,MATCH($D252,'O QUE MOSTRAR'!$A$4:$A$12,0)))</f>
        <v>Transição alimentar dia a dia (igual ao verso da embalagem)</v>
      </c>
      <c r="H252" s="11" t="str">
        <f aca="false">INDEX('O QUE MOSTRAR'!$E$4:$E$12,MATCH($D252,'O QUE MOSTRAR'!$A$4:$A$12,0))</f>
        <v>2000 × 2000</v>
      </c>
      <c r="I252" s="11" t="str">
        <f aca="false">INDEX('O QUE MOSTRAR'!$F$4:$F$12,MATCH($D252,'O QUE MOSTRAR'!$A$4:$A$12,0))</f>
        <v>Recomendada</v>
      </c>
      <c r="J252" s="13" t="s">
        <v>303</v>
      </c>
      <c r="K252" s="13"/>
    </row>
    <row r="253" customFormat="false" ht="15" hidden="false" customHeight="false" outlineLevel="0" collapsed="false">
      <c r="A253" s="14" t="s">
        <v>143</v>
      </c>
      <c r="B253" s="11" t="str">
        <f aca="false">INDEX(PRODUTOS!$E$4:$E$63,MATCH($A253,PRODUTOS!$B$4:$B$63,0))</f>
        <v>Ração Seca Natural Dots para Gatos Filhotes - Pacote 11 kg</v>
      </c>
      <c r="C253" s="11" t="str">
        <f aca="false">INDEX(PRODUTOS!$G$4:$G$63,MATCH($A253,PRODUTOS!$B$4:$B$63,0))</f>
        <v>11 kg</v>
      </c>
      <c r="D253" s="11" t="s">
        <v>309</v>
      </c>
      <c r="E253" s="15" t="str">
        <f aca="false">$A253&amp;"."&amp;$D253&amp;".jpg"</f>
        <v>7898968541412.PT06.jpg</v>
      </c>
      <c r="F253" s="11" t="str">
        <f aca="false">INDEX('O QUE MOSTRAR'!$B$4:$B$12,MATCH($D253,'O QUE MOSTRAR'!$A$4:$A$12,0))</f>
        <v>Posição 7</v>
      </c>
      <c r="G253" s="11" t="str">
        <f aca="false">IF(INDEX(PRODUTOS!$F$4:$F$63,MATCH($A253,PRODUTOS!$B$4:$B$63,0))="Ração",INDEX('O QUE MOSTRAR'!$C$4:$C$12,MATCH($D253,'O QUE MOSTRAR'!$A$4:$A$12,0)),INDEX('O QUE MOSTRAR'!$D$4:$D$12,MATCH($D253,'O QUE MOSTRAR'!$A$4:$A$12,0)))</f>
        <v>Composição e níveis de garantia em letra grande</v>
      </c>
      <c r="H253" s="11" t="str">
        <f aca="false">INDEX('O QUE MOSTRAR'!$E$4:$E$12,MATCH($D253,'O QUE MOSTRAR'!$A$4:$A$12,0))</f>
        <v>2000 × 2000</v>
      </c>
      <c r="I253" s="11" t="str">
        <f aca="false">INDEX('O QUE MOSTRAR'!$F$4:$F$12,MATCH($D253,'O QUE MOSTRAR'!$A$4:$A$12,0))</f>
        <v>SIM</v>
      </c>
      <c r="J253" s="13" t="s">
        <v>303</v>
      </c>
      <c r="K253" s="13"/>
    </row>
    <row r="254" customFormat="false" ht="15" hidden="false" customHeight="false" outlineLevel="0" collapsed="false">
      <c r="A254" s="14" t="s">
        <v>143</v>
      </c>
      <c r="B254" s="11" t="str">
        <f aca="false">INDEX(PRODUTOS!$E$4:$E$63,MATCH($A254,PRODUTOS!$B$4:$B$63,0))</f>
        <v>Ração Seca Natural Dots para Gatos Filhotes - Pacote 11 kg</v>
      </c>
      <c r="C254" s="11" t="str">
        <f aca="false">INDEX(PRODUTOS!$G$4:$G$63,MATCH($A254,PRODUTOS!$B$4:$B$63,0))</f>
        <v>11 kg</v>
      </c>
      <c r="D254" s="11" t="s">
        <v>310</v>
      </c>
      <c r="E254" s="15" t="str">
        <f aca="false">$A254&amp;"."&amp;$D254&amp;".jpg"</f>
        <v>7898968541412.PT07.jpg</v>
      </c>
      <c r="F254" s="11" t="str">
        <f aca="false">INDEX('O QUE MOSTRAR'!$B$4:$B$12,MATCH($D254,'O QUE MOSTRAR'!$A$4:$A$12,0))</f>
        <v>Posição 8</v>
      </c>
      <c r="G254" s="11" t="str">
        <f aca="false">IF(INDEX(PRODUTOS!$F$4:$F$63,MATCH($A254,PRODUTOS!$B$4:$B$63,0))="Ração",INDEX('O QUE MOSTRAR'!$C$4:$C$12,MATCH($D254,'O QUE MOSTRAR'!$A$4:$A$12,0)),INDEX('O QUE MOSTRAR'!$D$4:$D$12,MATCH($D254,'O QUE MOSTRAR'!$A$4:$A$12,0)))</f>
        <v>Emocional / momento de uso (pet do porte certo, pote cheio)</v>
      </c>
      <c r="H254" s="11" t="str">
        <f aca="false">INDEX('O QUE MOSTRAR'!$E$4:$E$12,MATCH($D254,'O QUE MOSTRAR'!$A$4:$A$12,0))</f>
        <v>2000 × 2000</v>
      </c>
      <c r="I254" s="11" t="str">
        <f aca="false">INDEX('O QUE MOSTRAR'!$F$4:$F$12,MATCH($D254,'O QUE MOSTRAR'!$A$4:$A$12,0))</f>
        <v>Recomendada</v>
      </c>
      <c r="J254" s="13" t="s">
        <v>303</v>
      </c>
      <c r="K254" s="13"/>
    </row>
    <row r="255" customFormat="false" ht="15" hidden="false" customHeight="false" outlineLevel="0" collapsed="false">
      <c r="A255" s="14" t="s">
        <v>143</v>
      </c>
      <c r="B255" s="11" t="str">
        <f aca="false">INDEX(PRODUTOS!$E$4:$E$63,MATCH($A255,PRODUTOS!$B$4:$B$63,0))</f>
        <v>Ração Seca Natural Dots para Gatos Filhotes - Pacote 11 kg</v>
      </c>
      <c r="C255" s="11" t="str">
        <f aca="false">INDEX(PRODUTOS!$G$4:$G$63,MATCH($A255,PRODUTOS!$B$4:$B$63,0))</f>
        <v>11 kg</v>
      </c>
      <c r="D255" s="11" t="s">
        <v>311</v>
      </c>
      <c r="E255" s="15" t="str">
        <f aca="false">$A255&amp;"."&amp;$D255&amp;".jpg"</f>
        <v>7898968541412.PT08.jpg</v>
      </c>
      <c r="F255" s="11" t="str">
        <f aca="false">INDEX('O QUE MOSTRAR'!$B$4:$B$12,MATCH($D255,'O QUE MOSTRAR'!$A$4:$A$12,0))</f>
        <v>Posição 9</v>
      </c>
      <c r="G255" s="11" t="str">
        <f aca="false">IF(INDEX(PRODUTOS!$F$4:$F$63,MATCH($A255,PRODUTOS!$B$4:$B$63,0))="Ração",INDEX('O QUE MOSTRAR'!$C$4:$C$12,MATCH($D255,'O QUE MOSTRAR'!$A$4:$A$12,0)),INDEX('O QUE MOSTRAR'!$D$4:$D$12,MATCH($D255,'O QUE MOSTRAR'!$A$4:$A$12,0)))</f>
        <v>Linha da marca ou embalagem anterior × nova</v>
      </c>
      <c r="H255" s="11" t="str">
        <f aca="false">INDEX('O QUE MOSTRAR'!$E$4:$E$12,MATCH($D255,'O QUE MOSTRAR'!$A$4:$A$12,0))</f>
        <v>2000 × 2000</v>
      </c>
      <c r="I255" s="11" t="str">
        <f aca="false">INDEX('O QUE MOSTRAR'!$F$4:$F$12,MATCH($D255,'O QUE MOSTRAR'!$A$4:$A$12,0))</f>
        <v>Recomendada</v>
      </c>
      <c r="J255" s="13" t="s">
        <v>303</v>
      </c>
      <c r="K255" s="13"/>
    </row>
    <row r="256" customFormat="false" ht="15" hidden="false" customHeight="false" outlineLevel="0" collapsed="false">
      <c r="A256" s="14" t="s">
        <v>147</v>
      </c>
      <c r="B256" s="11" t="str">
        <f aca="false">INDEX(PRODUTOS!$E$4:$E$63,MATCH($A256,PRODUTOS!$B$4:$B$63,0))</f>
        <v>Ração Seca Natural Dots para Gatos Filhotes - Pacote 1 kg</v>
      </c>
      <c r="C256" s="11" t="str">
        <f aca="false">INDEX(PRODUTOS!$G$4:$G$63,MATCH($A256,PRODUTOS!$B$4:$B$63,0))</f>
        <v>1 kg</v>
      </c>
      <c r="D256" s="11" t="s">
        <v>302</v>
      </c>
      <c r="E256" s="15" t="str">
        <f aca="false">$A256&amp;"."&amp;$D256&amp;".jpg"</f>
        <v>7898968541405.MAIN.jpg</v>
      </c>
      <c r="F256" s="11" t="str">
        <f aca="false">INDEX('O QUE MOSTRAR'!$B$4:$B$12,MATCH($D256,'O QUE MOSTRAR'!$A$4:$A$12,0))</f>
        <v>Capa (posição 1)</v>
      </c>
      <c r="G256" s="11" t="str">
        <f aca="false">IF(INDEX(PRODUTOS!$F$4:$F$63,MATCH($A256,PRODUTOS!$B$4:$B$63,0))="Ração",INDEX('O QUE MOSTRAR'!$C$4:$C$12,MATCH($D256,'O QUE MOSTRAR'!$A$4:$A$12,0)),INDEX('O QUE MOSTRAR'!$D$4:$D$12,MATCH($D256,'O QUE MOSTRAR'!$A$4:$A$12,0)))</f>
        <v>Embalagem de frente, fundo branco puro, 85% da área, nada adicionado</v>
      </c>
      <c r="H256" s="11" t="str">
        <f aca="false">INDEX('O QUE MOSTRAR'!$E$4:$E$12,MATCH($D256,'O QUE MOSTRAR'!$A$4:$A$12,0))</f>
        <v>2000 × 2000</v>
      </c>
      <c r="I256" s="11" t="str">
        <f aca="false">INDEX('O QUE MOSTRAR'!$F$4:$F$12,MATCH($D256,'O QUE MOSTRAR'!$A$4:$A$12,0))</f>
        <v>SIM</v>
      </c>
      <c r="J256" s="13" t="s">
        <v>303</v>
      </c>
      <c r="K256" s="13"/>
    </row>
    <row r="257" customFormat="false" ht="15" hidden="false" customHeight="false" outlineLevel="0" collapsed="false">
      <c r="A257" s="14" t="s">
        <v>147</v>
      </c>
      <c r="B257" s="11" t="str">
        <f aca="false">INDEX(PRODUTOS!$E$4:$E$63,MATCH($A257,PRODUTOS!$B$4:$B$63,0))</f>
        <v>Ração Seca Natural Dots para Gatos Filhotes - Pacote 1 kg</v>
      </c>
      <c r="C257" s="11" t="str">
        <f aca="false">INDEX(PRODUTOS!$G$4:$G$63,MATCH($A257,PRODUTOS!$B$4:$B$63,0))</f>
        <v>1 kg</v>
      </c>
      <c r="D257" s="11" t="s">
        <v>304</v>
      </c>
      <c r="E257" s="15" t="str">
        <f aca="false">$A257&amp;"."&amp;$D257&amp;".jpg"</f>
        <v>7898968541405.PT01.jpg</v>
      </c>
      <c r="F257" s="11" t="str">
        <f aca="false">INDEX('O QUE MOSTRAR'!$B$4:$B$12,MATCH($D257,'O QUE MOSTRAR'!$A$4:$A$12,0))</f>
        <v>Posição 2</v>
      </c>
      <c r="G257" s="11" t="str">
        <f aca="false">IF(INDEX(PRODUTOS!$F$4:$F$63,MATCH($A257,PRODUTOS!$B$4:$B$63,0))="Ração",INDEX('O QUE MOSTRAR'!$C$4:$C$12,MATCH($D257,'O QUE MOSTRAR'!$A$4:$A$12,0)),INDEX('O QUE MOSTRAR'!$D$4:$D$12,MATCH($D257,'O QUE MOSTRAR'!$A$4:$A$12,0)))</f>
        <v>Grande diferencial da linha (número ou promessa forte + grão e ingrediente)</v>
      </c>
      <c r="H257" s="11" t="str">
        <f aca="false">INDEX('O QUE MOSTRAR'!$E$4:$E$12,MATCH($D257,'O QUE MOSTRAR'!$A$4:$A$12,0))</f>
        <v>2000 × 2000</v>
      </c>
      <c r="I257" s="11" t="str">
        <f aca="false">INDEX('O QUE MOSTRAR'!$F$4:$F$12,MATCH($D257,'O QUE MOSTRAR'!$A$4:$A$12,0))</f>
        <v>SIM</v>
      </c>
      <c r="J257" s="13" t="s">
        <v>303</v>
      </c>
      <c r="K257" s="13"/>
    </row>
    <row r="258" customFormat="false" ht="15" hidden="false" customHeight="false" outlineLevel="0" collapsed="false">
      <c r="A258" s="14" t="s">
        <v>147</v>
      </c>
      <c r="B258" s="11" t="str">
        <f aca="false">INDEX(PRODUTOS!$E$4:$E$63,MATCH($A258,PRODUTOS!$B$4:$B$63,0))</f>
        <v>Ração Seca Natural Dots para Gatos Filhotes - Pacote 1 kg</v>
      </c>
      <c r="C258" s="11" t="str">
        <f aca="false">INDEX(PRODUTOS!$G$4:$G$63,MATCH($A258,PRODUTOS!$B$4:$B$63,0))</f>
        <v>1 kg</v>
      </c>
      <c r="D258" s="11" t="s">
        <v>305</v>
      </c>
      <c r="E258" s="15" t="str">
        <f aca="false">$A258&amp;"."&amp;$D258&amp;".jpg"</f>
        <v>7898968541405.PT02.jpg</v>
      </c>
      <c r="F258" s="11" t="str">
        <f aca="false">INDEX('O QUE MOSTRAR'!$B$4:$B$12,MATCH($D258,'O QUE MOSTRAR'!$A$4:$A$12,0))</f>
        <v>Posição 3</v>
      </c>
      <c r="G258" s="11" t="str">
        <f aca="false">IF(INDEX(PRODUTOS!$F$4:$F$63,MATCH($A258,PRODUTOS!$B$4:$B$63,0))="Ração",INDEX('O QUE MOSTRAR'!$C$4:$C$12,MATCH($D258,'O QUE MOSTRAR'!$A$4:$A$12,0)),INDEX('O QUE MOSTRAR'!$D$4:$D$12,MATCH($D258,'O QUE MOSTRAR'!$A$4:$A$12,0)))</f>
        <v>Benefícios com ícones (4 a 6, impressos na embalagem) + ingrediente</v>
      </c>
      <c r="H258" s="11" t="str">
        <f aca="false">INDEX('O QUE MOSTRAR'!$E$4:$E$12,MATCH($D258,'O QUE MOSTRAR'!$A$4:$A$12,0))</f>
        <v>2000 × 2000</v>
      </c>
      <c r="I258" s="11" t="str">
        <f aca="false">INDEX('O QUE MOSTRAR'!$F$4:$F$12,MATCH($D258,'O QUE MOSTRAR'!$A$4:$A$12,0))</f>
        <v>SIM</v>
      </c>
      <c r="J258" s="13" t="s">
        <v>303</v>
      </c>
      <c r="K258" s="13"/>
    </row>
    <row r="259" customFormat="false" ht="15" hidden="false" customHeight="false" outlineLevel="0" collapsed="false">
      <c r="A259" s="14" t="s">
        <v>147</v>
      </c>
      <c r="B259" s="11" t="str">
        <f aca="false">INDEX(PRODUTOS!$E$4:$E$63,MATCH($A259,PRODUTOS!$B$4:$B$63,0))</f>
        <v>Ração Seca Natural Dots para Gatos Filhotes - Pacote 1 kg</v>
      </c>
      <c r="C259" s="11" t="str">
        <f aca="false">INDEX(PRODUTOS!$G$4:$G$63,MATCH($A259,PRODUTOS!$B$4:$B$63,0))</f>
        <v>1 kg</v>
      </c>
      <c r="D259" s="11" t="s">
        <v>306</v>
      </c>
      <c r="E259" s="15" t="str">
        <f aca="false">$A259&amp;"."&amp;$D259&amp;".jpg"</f>
        <v>7898968541405.PT03.jpg</v>
      </c>
      <c r="F259" s="11" t="str">
        <f aca="false">INDEX('O QUE MOSTRAR'!$B$4:$B$12,MATCH($D259,'O QUE MOSTRAR'!$A$4:$A$12,0))</f>
        <v>Posição 4</v>
      </c>
      <c r="G259" s="11" t="str">
        <f aca="false">IF(INDEX(PRODUTOS!$F$4:$F$63,MATCH($A259,PRODUTOS!$B$4:$B$63,0))="Ração",INDEX('O QUE MOSTRAR'!$C$4:$C$12,MATCH($D259,'O QUE MOSTRAR'!$A$4:$A$12,0)),INDEX('O QUE MOSTRAR'!$D$4:$D$12,MATCH($D259,'O QUE MOSTRAR'!$A$4:$A$12,0)))</f>
        <v>Formato e tamanho do grão, com medida em mm e referência de tamanho</v>
      </c>
      <c r="H259" s="11" t="str">
        <f aca="false">INDEX('O QUE MOSTRAR'!$E$4:$E$12,MATCH($D259,'O QUE MOSTRAR'!$A$4:$A$12,0))</f>
        <v>2000 × 2000</v>
      </c>
      <c r="I259" s="11" t="str">
        <f aca="false">INDEX('O QUE MOSTRAR'!$F$4:$F$12,MATCH($D259,'O QUE MOSTRAR'!$A$4:$A$12,0))</f>
        <v>SIM</v>
      </c>
      <c r="J259" s="13" t="s">
        <v>303</v>
      </c>
      <c r="K259" s="13"/>
    </row>
    <row r="260" customFormat="false" ht="15" hidden="false" customHeight="false" outlineLevel="0" collapsed="false">
      <c r="A260" s="14" t="s">
        <v>147</v>
      </c>
      <c r="B260" s="11" t="str">
        <f aca="false">INDEX(PRODUTOS!$E$4:$E$63,MATCH($A260,PRODUTOS!$B$4:$B$63,0))</f>
        <v>Ração Seca Natural Dots para Gatos Filhotes - Pacote 1 kg</v>
      </c>
      <c r="C260" s="11" t="str">
        <f aca="false">INDEX(PRODUTOS!$G$4:$G$63,MATCH($A260,PRODUTOS!$B$4:$B$63,0))</f>
        <v>1 kg</v>
      </c>
      <c r="D260" s="11" t="s">
        <v>307</v>
      </c>
      <c r="E260" s="15" t="str">
        <f aca="false">$A260&amp;"."&amp;$D260&amp;".jpg"</f>
        <v>7898968541405.PT04.jpg</v>
      </c>
      <c r="F260" s="11" t="str">
        <f aca="false">INDEX('O QUE MOSTRAR'!$B$4:$B$12,MATCH($D260,'O QUE MOSTRAR'!$A$4:$A$12,0))</f>
        <v>Posição 5</v>
      </c>
      <c r="G260" s="11" t="str">
        <f aca="false">IF(INDEX(PRODUTOS!$F$4:$F$63,MATCH($A260,PRODUTOS!$B$4:$B$63,0))="Ração",INDEX('O QUE MOSTRAR'!$C$4:$C$12,MATCH($D260,'O QUE MOSTRAR'!$A$4:$A$12,0)),INDEX('O QUE MOSTRAR'!$D$4:$D$12,MATCH($D260,'O QUE MOSTRAR'!$A$4:$A$12,0)))</f>
        <v>Quantidade diária por peso do pet (números idênticos à embalagem)</v>
      </c>
      <c r="H260" s="11" t="str">
        <f aca="false">INDEX('O QUE MOSTRAR'!$E$4:$E$12,MATCH($D260,'O QUE MOSTRAR'!$A$4:$A$12,0))</f>
        <v>2000 × 2000</v>
      </c>
      <c r="I260" s="11" t="str">
        <f aca="false">INDEX('O QUE MOSTRAR'!$F$4:$F$12,MATCH($D260,'O QUE MOSTRAR'!$A$4:$A$12,0))</f>
        <v>SIM</v>
      </c>
      <c r="J260" s="13" t="s">
        <v>303</v>
      </c>
      <c r="K260" s="13"/>
    </row>
    <row r="261" customFormat="false" ht="15" hidden="false" customHeight="false" outlineLevel="0" collapsed="false">
      <c r="A261" s="14" t="s">
        <v>147</v>
      </c>
      <c r="B261" s="11" t="str">
        <f aca="false">INDEX(PRODUTOS!$E$4:$E$63,MATCH($A261,PRODUTOS!$B$4:$B$63,0))</f>
        <v>Ração Seca Natural Dots para Gatos Filhotes - Pacote 1 kg</v>
      </c>
      <c r="C261" s="11" t="str">
        <f aca="false">INDEX(PRODUTOS!$G$4:$G$63,MATCH($A261,PRODUTOS!$B$4:$B$63,0))</f>
        <v>1 kg</v>
      </c>
      <c r="D261" s="11" t="s">
        <v>308</v>
      </c>
      <c r="E261" s="15" t="str">
        <f aca="false">$A261&amp;"."&amp;$D261&amp;".jpg"</f>
        <v>7898968541405.PT05.jpg</v>
      </c>
      <c r="F261" s="11" t="str">
        <f aca="false">INDEX('O QUE MOSTRAR'!$B$4:$B$12,MATCH($D261,'O QUE MOSTRAR'!$A$4:$A$12,0))</f>
        <v>Posição 6</v>
      </c>
      <c r="G261" s="11" t="str">
        <f aca="false">IF(INDEX(PRODUTOS!$F$4:$F$63,MATCH($A261,PRODUTOS!$B$4:$B$63,0))="Ração",INDEX('O QUE MOSTRAR'!$C$4:$C$12,MATCH($D261,'O QUE MOSTRAR'!$A$4:$A$12,0)),INDEX('O QUE MOSTRAR'!$D$4:$D$12,MATCH($D261,'O QUE MOSTRAR'!$A$4:$A$12,0)))</f>
        <v>Transição alimentar dia a dia (igual ao verso da embalagem)</v>
      </c>
      <c r="H261" s="11" t="str">
        <f aca="false">INDEX('O QUE MOSTRAR'!$E$4:$E$12,MATCH($D261,'O QUE MOSTRAR'!$A$4:$A$12,0))</f>
        <v>2000 × 2000</v>
      </c>
      <c r="I261" s="11" t="str">
        <f aca="false">INDEX('O QUE MOSTRAR'!$F$4:$F$12,MATCH($D261,'O QUE MOSTRAR'!$A$4:$A$12,0))</f>
        <v>Recomendada</v>
      </c>
      <c r="J261" s="13" t="s">
        <v>303</v>
      </c>
      <c r="K261" s="13"/>
    </row>
    <row r="262" customFormat="false" ht="15" hidden="false" customHeight="false" outlineLevel="0" collapsed="false">
      <c r="A262" s="14" t="s">
        <v>147</v>
      </c>
      <c r="B262" s="11" t="str">
        <f aca="false">INDEX(PRODUTOS!$E$4:$E$63,MATCH($A262,PRODUTOS!$B$4:$B$63,0))</f>
        <v>Ração Seca Natural Dots para Gatos Filhotes - Pacote 1 kg</v>
      </c>
      <c r="C262" s="11" t="str">
        <f aca="false">INDEX(PRODUTOS!$G$4:$G$63,MATCH($A262,PRODUTOS!$B$4:$B$63,0))</f>
        <v>1 kg</v>
      </c>
      <c r="D262" s="11" t="s">
        <v>309</v>
      </c>
      <c r="E262" s="15" t="str">
        <f aca="false">$A262&amp;"."&amp;$D262&amp;".jpg"</f>
        <v>7898968541405.PT06.jpg</v>
      </c>
      <c r="F262" s="11" t="str">
        <f aca="false">INDEX('O QUE MOSTRAR'!$B$4:$B$12,MATCH($D262,'O QUE MOSTRAR'!$A$4:$A$12,0))</f>
        <v>Posição 7</v>
      </c>
      <c r="G262" s="11" t="str">
        <f aca="false">IF(INDEX(PRODUTOS!$F$4:$F$63,MATCH($A262,PRODUTOS!$B$4:$B$63,0))="Ração",INDEX('O QUE MOSTRAR'!$C$4:$C$12,MATCH($D262,'O QUE MOSTRAR'!$A$4:$A$12,0)),INDEX('O QUE MOSTRAR'!$D$4:$D$12,MATCH($D262,'O QUE MOSTRAR'!$A$4:$A$12,0)))</f>
        <v>Composição e níveis de garantia em letra grande</v>
      </c>
      <c r="H262" s="11" t="str">
        <f aca="false">INDEX('O QUE MOSTRAR'!$E$4:$E$12,MATCH($D262,'O QUE MOSTRAR'!$A$4:$A$12,0))</f>
        <v>2000 × 2000</v>
      </c>
      <c r="I262" s="11" t="str">
        <f aca="false">INDEX('O QUE MOSTRAR'!$F$4:$F$12,MATCH($D262,'O QUE MOSTRAR'!$A$4:$A$12,0))</f>
        <v>SIM</v>
      </c>
      <c r="J262" s="13" t="s">
        <v>303</v>
      </c>
      <c r="K262" s="13"/>
    </row>
    <row r="263" customFormat="false" ht="15" hidden="false" customHeight="false" outlineLevel="0" collapsed="false">
      <c r="A263" s="14" t="s">
        <v>147</v>
      </c>
      <c r="B263" s="11" t="str">
        <f aca="false">INDEX(PRODUTOS!$E$4:$E$63,MATCH($A263,PRODUTOS!$B$4:$B$63,0))</f>
        <v>Ração Seca Natural Dots para Gatos Filhotes - Pacote 1 kg</v>
      </c>
      <c r="C263" s="11" t="str">
        <f aca="false">INDEX(PRODUTOS!$G$4:$G$63,MATCH($A263,PRODUTOS!$B$4:$B$63,0))</f>
        <v>1 kg</v>
      </c>
      <c r="D263" s="11" t="s">
        <v>310</v>
      </c>
      <c r="E263" s="15" t="str">
        <f aca="false">$A263&amp;"."&amp;$D263&amp;".jpg"</f>
        <v>7898968541405.PT07.jpg</v>
      </c>
      <c r="F263" s="11" t="str">
        <f aca="false">INDEX('O QUE MOSTRAR'!$B$4:$B$12,MATCH($D263,'O QUE MOSTRAR'!$A$4:$A$12,0))</f>
        <v>Posição 8</v>
      </c>
      <c r="G263" s="11" t="str">
        <f aca="false">IF(INDEX(PRODUTOS!$F$4:$F$63,MATCH($A263,PRODUTOS!$B$4:$B$63,0))="Ração",INDEX('O QUE MOSTRAR'!$C$4:$C$12,MATCH($D263,'O QUE MOSTRAR'!$A$4:$A$12,0)),INDEX('O QUE MOSTRAR'!$D$4:$D$12,MATCH($D263,'O QUE MOSTRAR'!$A$4:$A$12,0)))</f>
        <v>Emocional / momento de uso (pet do porte certo, pote cheio)</v>
      </c>
      <c r="H263" s="11" t="str">
        <f aca="false">INDEX('O QUE MOSTRAR'!$E$4:$E$12,MATCH($D263,'O QUE MOSTRAR'!$A$4:$A$12,0))</f>
        <v>2000 × 2000</v>
      </c>
      <c r="I263" s="11" t="str">
        <f aca="false">INDEX('O QUE MOSTRAR'!$F$4:$F$12,MATCH($D263,'O QUE MOSTRAR'!$A$4:$A$12,0))</f>
        <v>Recomendada</v>
      </c>
      <c r="J263" s="13" t="s">
        <v>303</v>
      </c>
      <c r="K263" s="13"/>
    </row>
    <row r="264" customFormat="false" ht="15" hidden="false" customHeight="false" outlineLevel="0" collapsed="false">
      <c r="A264" s="14" t="s">
        <v>147</v>
      </c>
      <c r="B264" s="11" t="str">
        <f aca="false">INDEX(PRODUTOS!$E$4:$E$63,MATCH($A264,PRODUTOS!$B$4:$B$63,0))</f>
        <v>Ração Seca Natural Dots para Gatos Filhotes - Pacote 1 kg</v>
      </c>
      <c r="C264" s="11" t="str">
        <f aca="false">INDEX(PRODUTOS!$G$4:$G$63,MATCH($A264,PRODUTOS!$B$4:$B$63,0))</f>
        <v>1 kg</v>
      </c>
      <c r="D264" s="11" t="s">
        <v>311</v>
      </c>
      <c r="E264" s="15" t="str">
        <f aca="false">$A264&amp;"."&amp;$D264&amp;".jpg"</f>
        <v>7898968541405.PT08.jpg</v>
      </c>
      <c r="F264" s="11" t="str">
        <f aca="false">INDEX('O QUE MOSTRAR'!$B$4:$B$12,MATCH($D264,'O QUE MOSTRAR'!$A$4:$A$12,0))</f>
        <v>Posição 9</v>
      </c>
      <c r="G264" s="11" t="str">
        <f aca="false">IF(INDEX(PRODUTOS!$F$4:$F$63,MATCH($A264,PRODUTOS!$B$4:$B$63,0))="Ração",INDEX('O QUE MOSTRAR'!$C$4:$C$12,MATCH($D264,'O QUE MOSTRAR'!$A$4:$A$12,0)),INDEX('O QUE MOSTRAR'!$D$4:$D$12,MATCH($D264,'O QUE MOSTRAR'!$A$4:$A$12,0)))</f>
        <v>Linha da marca ou embalagem anterior × nova</v>
      </c>
      <c r="H264" s="11" t="str">
        <f aca="false">INDEX('O QUE MOSTRAR'!$E$4:$E$12,MATCH($D264,'O QUE MOSTRAR'!$A$4:$A$12,0))</f>
        <v>2000 × 2000</v>
      </c>
      <c r="I264" s="11" t="str">
        <f aca="false">INDEX('O QUE MOSTRAR'!$F$4:$F$12,MATCH($D264,'O QUE MOSTRAR'!$A$4:$A$12,0))</f>
        <v>Recomendada</v>
      </c>
      <c r="J264" s="13" t="s">
        <v>303</v>
      </c>
      <c r="K264" s="13"/>
    </row>
    <row r="265" customFormat="false" ht="15" hidden="false" customHeight="false" outlineLevel="0" collapsed="false">
      <c r="A265" s="14" t="s">
        <v>151</v>
      </c>
      <c r="B265" s="11" t="str">
        <f aca="false">INDEX(PRODUTOS!$E$4:$E$63,MATCH($A265,PRODUTOS!$B$4:$B$63,0))</f>
        <v>Ração Natural Dots Super Premium Cães Adultos Sabor Frango 2,5 kg</v>
      </c>
      <c r="C265" s="11" t="str">
        <f aca="false">INDEX(PRODUTOS!$G$4:$G$63,MATCH($A265,PRODUTOS!$B$4:$B$63,0))</f>
        <v>2,5 kg</v>
      </c>
      <c r="D265" s="11" t="s">
        <v>302</v>
      </c>
      <c r="E265" s="15" t="str">
        <f aca="false">$A265&amp;"."&amp;$D265&amp;".jpg"</f>
        <v>7908591301007.MAIN.jpg</v>
      </c>
      <c r="F265" s="11" t="str">
        <f aca="false">INDEX('O QUE MOSTRAR'!$B$4:$B$12,MATCH($D265,'O QUE MOSTRAR'!$A$4:$A$12,0))</f>
        <v>Capa (posição 1)</v>
      </c>
      <c r="G265" s="11" t="str">
        <f aca="false">IF(INDEX(PRODUTOS!$F$4:$F$63,MATCH($A265,PRODUTOS!$B$4:$B$63,0))="Ração",INDEX('O QUE MOSTRAR'!$C$4:$C$12,MATCH($D265,'O QUE MOSTRAR'!$A$4:$A$12,0)),INDEX('O QUE MOSTRAR'!$D$4:$D$12,MATCH($D265,'O QUE MOSTRAR'!$A$4:$A$12,0)))</f>
        <v>Embalagem de frente, fundo branco puro, 85% da área, nada adicionado</v>
      </c>
      <c r="H265" s="11" t="str">
        <f aca="false">INDEX('O QUE MOSTRAR'!$E$4:$E$12,MATCH($D265,'O QUE MOSTRAR'!$A$4:$A$12,0))</f>
        <v>2000 × 2000</v>
      </c>
      <c r="I265" s="11" t="str">
        <f aca="false">INDEX('O QUE MOSTRAR'!$F$4:$F$12,MATCH($D265,'O QUE MOSTRAR'!$A$4:$A$12,0))</f>
        <v>SIM</v>
      </c>
      <c r="J265" s="13" t="s">
        <v>303</v>
      </c>
      <c r="K265" s="13"/>
    </row>
    <row r="266" customFormat="false" ht="15" hidden="false" customHeight="false" outlineLevel="0" collapsed="false">
      <c r="A266" s="14" t="s">
        <v>151</v>
      </c>
      <c r="B266" s="11" t="str">
        <f aca="false">INDEX(PRODUTOS!$E$4:$E$63,MATCH($A266,PRODUTOS!$B$4:$B$63,0))</f>
        <v>Ração Natural Dots Super Premium Cães Adultos Sabor Frango 2,5 kg</v>
      </c>
      <c r="C266" s="11" t="str">
        <f aca="false">INDEX(PRODUTOS!$G$4:$G$63,MATCH($A266,PRODUTOS!$B$4:$B$63,0))</f>
        <v>2,5 kg</v>
      </c>
      <c r="D266" s="11" t="s">
        <v>304</v>
      </c>
      <c r="E266" s="15" t="str">
        <f aca="false">$A266&amp;"."&amp;$D266&amp;".jpg"</f>
        <v>7908591301007.PT01.jpg</v>
      </c>
      <c r="F266" s="11" t="str">
        <f aca="false">INDEX('O QUE MOSTRAR'!$B$4:$B$12,MATCH($D266,'O QUE MOSTRAR'!$A$4:$A$12,0))</f>
        <v>Posição 2</v>
      </c>
      <c r="G266" s="11" t="str">
        <f aca="false">IF(INDEX(PRODUTOS!$F$4:$F$63,MATCH($A266,PRODUTOS!$B$4:$B$63,0))="Ração",INDEX('O QUE MOSTRAR'!$C$4:$C$12,MATCH($D266,'O QUE MOSTRAR'!$A$4:$A$12,0)),INDEX('O QUE MOSTRAR'!$D$4:$D$12,MATCH($D266,'O QUE MOSTRAR'!$A$4:$A$12,0)))</f>
        <v>Grande diferencial da linha (número ou promessa forte + grão e ingrediente)</v>
      </c>
      <c r="H266" s="11" t="str">
        <f aca="false">INDEX('O QUE MOSTRAR'!$E$4:$E$12,MATCH($D266,'O QUE MOSTRAR'!$A$4:$A$12,0))</f>
        <v>2000 × 2000</v>
      </c>
      <c r="I266" s="11" t="str">
        <f aca="false">INDEX('O QUE MOSTRAR'!$F$4:$F$12,MATCH($D266,'O QUE MOSTRAR'!$A$4:$A$12,0))</f>
        <v>SIM</v>
      </c>
      <c r="J266" s="13" t="s">
        <v>303</v>
      </c>
      <c r="K266" s="13"/>
    </row>
    <row r="267" customFormat="false" ht="15" hidden="false" customHeight="false" outlineLevel="0" collapsed="false">
      <c r="A267" s="14" t="s">
        <v>151</v>
      </c>
      <c r="B267" s="11" t="str">
        <f aca="false">INDEX(PRODUTOS!$E$4:$E$63,MATCH($A267,PRODUTOS!$B$4:$B$63,0))</f>
        <v>Ração Natural Dots Super Premium Cães Adultos Sabor Frango 2,5 kg</v>
      </c>
      <c r="C267" s="11" t="str">
        <f aca="false">INDEX(PRODUTOS!$G$4:$G$63,MATCH($A267,PRODUTOS!$B$4:$B$63,0))</f>
        <v>2,5 kg</v>
      </c>
      <c r="D267" s="11" t="s">
        <v>305</v>
      </c>
      <c r="E267" s="15" t="str">
        <f aca="false">$A267&amp;"."&amp;$D267&amp;".jpg"</f>
        <v>7908591301007.PT02.jpg</v>
      </c>
      <c r="F267" s="11" t="str">
        <f aca="false">INDEX('O QUE MOSTRAR'!$B$4:$B$12,MATCH($D267,'O QUE MOSTRAR'!$A$4:$A$12,0))</f>
        <v>Posição 3</v>
      </c>
      <c r="G267" s="11" t="str">
        <f aca="false">IF(INDEX(PRODUTOS!$F$4:$F$63,MATCH($A267,PRODUTOS!$B$4:$B$63,0))="Ração",INDEX('O QUE MOSTRAR'!$C$4:$C$12,MATCH($D267,'O QUE MOSTRAR'!$A$4:$A$12,0)),INDEX('O QUE MOSTRAR'!$D$4:$D$12,MATCH($D267,'O QUE MOSTRAR'!$A$4:$A$12,0)))</f>
        <v>Benefícios com ícones (4 a 6, impressos na embalagem) + ingrediente</v>
      </c>
      <c r="H267" s="11" t="str">
        <f aca="false">INDEX('O QUE MOSTRAR'!$E$4:$E$12,MATCH($D267,'O QUE MOSTRAR'!$A$4:$A$12,0))</f>
        <v>2000 × 2000</v>
      </c>
      <c r="I267" s="11" t="str">
        <f aca="false">INDEX('O QUE MOSTRAR'!$F$4:$F$12,MATCH($D267,'O QUE MOSTRAR'!$A$4:$A$12,0))</f>
        <v>SIM</v>
      </c>
      <c r="J267" s="13" t="s">
        <v>303</v>
      </c>
      <c r="K267" s="13"/>
    </row>
    <row r="268" customFormat="false" ht="15" hidden="false" customHeight="false" outlineLevel="0" collapsed="false">
      <c r="A268" s="14" t="s">
        <v>151</v>
      </c>
      <c r="B268" s="11" t="str">
        <f aca="false">INDEX(PRODUTOS!$E$4:$E$63,MATCH($A268,PRODUTOS!$B$4:$B$63,0))</f>
        <v>Ração Natural Dots Super Premium Cães Adultos Sabor Frango 2,5 kg</v>
      </c>
      <c r="C268" s="11" t="str">
        <f aca="false">INDEX(PRODUTOS!$G$4:$G$63,MATCH($A268,PRODUTOS!$B$4:$B$63,0))</f>
        <v>2,5 kg</v>
      </c>
      <c r="D268" s="11" t="s">
        <v>306</v>
      </c>
      <c r="E268" s="15" t="str">
        <f aca="false">$A268&amp;"."&amp;$D268&amp;".jpg"</f>
        <v>7908591301007.PT03.jpg</v>
      </c>
      <c r="F268" s="11" t="str">
        <f aca="false">INDEX('O QUE MOSTRAR'!$B$4:$B$12,MATCH($D268,'O QUE MOSTRAR'!$A$4:$A$12,0))</f>
        <v>Posição 4</v>
      </c>
      <c r="G268" s="11" t="str">
        <f aca="false">IF(INDEX(PRODUTOS!$F$4:$F$63,MATCH($A268,PRODUTOS!$B$4:$B$63,0))="Ração",INDEX('O QUE MOSTRAR'!$C$4:$C$12,MATCH($D268,'O QUE MOSTRAR'!$A$4:$A$12,0)),INDEX('O QUE MOSTRAR'!$D$4:$D$12,MATCH($D268,'O QUE MOSTRAR'!$A$4:$A$12,0)))</f>
        <v>Formato e tamanho do grão, com medida em mm e referência de tamanho</v>
      </c>
      <c r="H268" s="11" t="str">
        <f aca="false">INDEX('O QUE MOSTRAR'!$E$4:$E$12,MATCH($D268,'O QUE MOSTRAR'!$A$4:$A$12,0))</f>
        <v>2000 × 2000</v>
      </c>
      <c r="I268" s="11" t="str">
        <f aca="false">INDEX('O QUE MOSTRAR'!$F$4:$F$12,MATCH($D268,'O QUE MOSTRAR'!$A$4:$A$12,0))</f>
        <v>SIM</v>
      </c>
      <c r="J268" s="13" t="s">
        <v>303</v>
      </c>
      <c r="K268" s="13"/>
    </row>
    <row r="269" customFormat="false" ht="15" hidden="false" customHeight="false" outlineLevel="0" collapsed="false">
      <c r="A269" s="14" t="s">
        <v>151</v>
      </c>
      <c r="B269" s="11" t="str">
        <f aca="false">INDEX(PRODUTOS!$E$4:$E$63,MATCH($A269,PRODUTOS!$B$4:$B$63,0))</f>
        <v>Ração Natural Dots Super Premium Cães Adultos Sabor Frango 2,5 kg</v>
      </c>
      <c r="C269" s="11" t="str">
        <f aca="false">INDEX(PRODUTOS!$G$4:$G$63,MATCH($A269,PRODUTOS!$B$4:$B$63,0))</f>
        <v>2,5 kg</v>
      </c>
      <c r="D269" s="11" t="s">
        <v>307</v>
      </c>
      <c r="E269" s="15" t="str">
        <f aca="false">$A269&amp;"."&amp;$D269&amp;".jpg"</f>
        <v>7908591301007.PT04.jpg</v>
      </c>
      <c r="F269" s="11" t="str">
        <f aca="false">INDEX('O QUE MOSTRAR'!$B$4:$B$12,MATCH($D269,'O QUE MOSTRAR'!$A$4:$A$12,0))</f>
        <v>Posição 5</v>
      </c>
      <c r="G269" s="11" t="str">
        <f aca="false">IF(INDEX(PRODUTOS!$F$4:$F$63,MATCH($A269,PRODUTOS!$B$4:$B$63,0))="Ração",INDEX('O QUE MOSTRAR'!$C$4:$C$12,MATCH($D269,'O QUE MOSTRAR'!$A$4:$A$12,0)),INDEX('O QUE MOSTRAR'!$D$4:$D$12,MATCH($D269,'O QUE MOSTRAR'!$A$4:$A$12,0)))</f>
        <v>Quantidade diária por peso do pet (números idênticos à embalagem)</v>
      </c>
      <c r="H269" s="11" t="str">
        <f aca="false">INDEX('O QUE MOSTRAR'!$E$4:$E$12,MATCH($D269,'O QUE MOSTRAR'!$A$4:$A$12,0))</f>
        <v>2000 × 2000</v>
      </c>
      <c r="I269" s="11" t="str">
        <f aca="false">INDEX('O QUE MOSTRAR'!$F$4:$F$12,MATCH($D269,'O QUE MOSTRAR'!$A$4:$A$12,0))</f>
        <v>SIM</v>
      </c>
      <c r="J269" s="13" t="s">
        <v>303</v>
      </c>
      <c r="K269" s="13"/>
    </row>
    <row r="270" customFormat="false" ht="15" hidden="false" customHeight="false" outlineLevel="0" collapsed="false">
      <c r="A270" s="14" t="s">
        <v>151</v>
      </c>
      <c r="B270" s="11" t="str">
        <f aca="false">INDEX(PRODUTOS!$E$4:$E$63,MATCH($A270,PRODUTOS!$B$4:$B$63,0))</f>
        <v>Ração Natural Dots Super Premium Cães Adultos Sabor Frango 2,5 kg</v>
      </c>
      <c r="C270" s="11" t="str">
        <f aca="false">INDEX(PRODUTOS!$G$4:$G$63,MATCH($A270,PRODUTOS!$B$4:$B$63,0))</f>
        <v>2,5 kg</v>
      </c>
      <c r="D270" s="11" t="s">
        <v>308</v>
      </c>
      <c r="E270" s="15" t="str">
        <f aca="false">$A270&amp;"."&amp;$D270&amp;".jpg"</f>
        <v>7908591301007.PT05.jpg</v>
      </c>
      <c r="F270" s="11" t="str">
        <f aca="false">INDEX('O QUE MOSTRAR'!$B$4:$B$12,MATCH($D270,'O QUE MOSTRAR'!$A$4:$A$12,0))</f>
        <v>Posição 6</v>
      </c>
      <c r="G270" s="11" t="str">
        <f aca="false">IF(INDEX(PRODUTOS!$F$4:$F$63,MATCH($A270,PRODUTOS!$B$4:$B$63,0))="Ração",INDEX('O QUE MOSTRAR'!$C$4:$C$12,MATCH($D270,'O QUE MOSTRAR'!$A$4:$A$12,0)),INDEX('O QUE MOSTRAR'!$D$4:$D$12,MATCH($D270,'O QUE MOSTRAR'!$A$4:$A$12,0)))</f>
        <v>Transição alimentar dia a dia (igual ao verso da embalagem)</v>
      </c>
      <c r="H270" s="11" t="str">
        <f aca="false">INDEX('O QUE MOSTRAR'!$E$4:$E$12,MATCH($D270,'O QUE MOSTRAR'!$A$4:$A$12,0))</f>
        <v>2000 × 2000</v>
      </c>
      <c r="I270" s="11" t="str">
        <f aca="false">INDEX('O QUE MOSTRAR'!$F$4:$F$12,MATCH($D270,'O QUE MOSTRAR'!$A$4:$A$12,0))</f>
        <v>Recomendada</v>
      </c>
      <c r="J270" s="13" t="s">
        <v>303</v>
      </c>
      <c r="K270" s="13"/>
    </row>
    <row r="271" customFormat="false" ht="15" hidden="false" customHeight="false" outlineLevel="0" collapsed="false">
      <c r="A271" s="14" t="s">
        <v>151</v>
      </c>
      <c r="B271" s="11" t="str">
        <f aca="false">INDEX(PRODUTOS!$E$4:$E$63,MATCH($A271,PRODUTOS!$B$4:$B$63,0))</f>
        <v>Ração Natural Dots Super Premium Cães Adultos Sabor Frango 2,5 kg</v>
      </c>
      <c r="C271" s="11" t="str">
        <f aca="false">INDEX(PRODUTOS!$G$4:$G$63,MATCH($A271,PRODUTOS!$B$4:$B$63,0))</f>
        <v>2,5 kg</v>
      </c>
      <c r="D271" s="11" t="s">
        <v>309</v>
      </c>
      <c r="E271" s="15" t="str">
        <f aca="false">$A271&amp;"."&amp;$D271&amp;".jpg"</f>
        <v>7908591301007.PT06.jpg</v>
      </c>
      <c r="F271" s="11" t="str">
        <f aca="false">INDEX('O QUE MOSTRAR'!$B$4:$B$12,MATCH($D271,'O QUE MOSTRAR'!$A$4:$A$12,0))</f>
        <v>Posição 7</v>
      </c>
      <c r="G271" s="11" t="str">
        <f aca="false">IF(INDEX(PRODUTOS!$F$4:$F$63,MATCH($A271,PRODUTOS!$B$4:$B$63,0))="Ração",INDEX('O QUE MOSTRAR'!$C$4:$C$12,MATCH($D271,'O QUE MOSTRAR'!$A$4:$A$12,0)),INDEX('O QUE MOSTRAR'!$D$4:$D$12,MATCH($D271,'O QUE MOSTRAR'!$A$4:$A$12,0)))</f>
        <v>Composição e níveis de garantia em letra grande</v>
      </c>
      <c r="H271" s="11" t="str">
        <f aca="false">INDEX('O QUE MOSTRAR'!$E$4:$E$12,MATCH($D271,'O QUE MOSTRAR'!$A$4:$A$12,0))</f>
        <v>2000 × 2000</v>
      </c>
      <c r="I271" s="11" t="str">
        <f aca="false">INDEX('O QUE MOSTRAR'!$F$4:$F$12,MATCH($D271,'O QUE MOSTRAR'!$A$4:$A$12,0))</f>
        <v>SIM</v>
      </c>
      <c r="J271" s="13" t="s">
        <v>303</v>
      </c>
      <c r="K271" s="13"/>
    </row>
    <row r="272" customFormat="false" ht="15" hidden="false" customHeight="false" outlineLevel="0" collapsed="false">
      <c r="A272" s="14" t="s">
        <v>151</v>
      </c>
      <c r="B272" s="11" t="str">
        <f aca="false">INDEX(PRODUTOS!$E$4:$E$63,MATCH($A272,PRODUTOS!$B$4:$B$63,0))</f>
        <v>Ração Natural Dots Super Premium Cães Adultos Sabor Frango 2,5 kg</v>
      </c>
      <c r="C272" s="11" t="str">
        <f aca="false">INDEX(PRODUTOS!$G$4:$G$63,MATCH($A272,PRODUTOS!$B$4:$B$63,0))</f>
        <v>2,5 kg</v>
      </c>
      <c r="D272" s="11" t="s">
        <v>310</v>
      </c>
      <c r="E272" s="15" t="str">
        <f aca="false">$A272&amp;"."&amp;$D272&amp;".jpg"</f>
        <v>7908591301007.PT07.jpg</v>
      </c>
      <c r="F272" s="11" t="str">
        <f aca="false">INDEX('O QUE MOSTRAR'!$B$4:$B$12,MATCH($D272,'O QUE MOSTRAR'!$A$4:$A$12,0))</f>
        <v>Posição 8</v>
      </c>
      <c r="G272" s="11" t="str">
        <f aca="false">IF(INDEX(PRODUTOS!$F$4:$F$63,MATCH($A272,PRODUTOS!$B$4:$B$63,0))="Ração",INDEX('O QUE MOSTRAR'!$C$4:$C$12,MATCH($D272,'O QUE MOSTRAR'!$A$4:$A$12,0)),INDEX('O QUE MOSTRAR'!$D$4:$D$12,MATCH($D272,'O QUE MOSTRAR'!$A$4:$A$12,0)))</f>
        <v>Emocional / momento de uso (pet do porte certo, pote cheio)</v>
      </c>
      <c r="H272" s="11" t="str">
        <f aca="false">INDEX('O QUE MOSTRAR'!$E$4:$E$12,MATCH($D272,'O QUE MOSTRAR'!$A$4:$A$12,0))</f>
        <v>2000 × 2000</v>
      </c>
      <c r="I272" s="11" t="str">
        <f aca="false">INDEX('O QUE MOSTRAR'!$F$4:$F$12,MATCH($D272,'O QUE MOSTRAR'!$A$4:$A$12,0))</f>
        <v>Recomendada</v>
      </c>
      <c r="J272" s="13" t="s">
        <v>303</v>
      </c>
      <c r="K272" s="13"/>
    </row>
    <row r="273" customFormat="false" ht="15" hidden="false" customHeight="false" outlineLevel="0" collapsed="false">
      <c r="A273" s="14" t="s">
        <v>151</v>
      </c>
      <c r="B273" s="11" t="str">
        <f aca="false">INDEX(PRODUTOS!$E$4:$E$63,MATCH($A273,PRODUTOS!$B$4:$B$63,0))</f>
        <v>Ração Natural Dots Super Premium Cães Adultos Sabor Frango 2,5 kg</v>
      </c>
      <c r="C273" s="11" t="str">
        <f aca="false">INDEX(PRODUTOS!$G$4:$G$63,MATCH($A273,PRODUTOS!$B$4:$B$63,0))</f>
        <v>2,5 kg</v>
      </c>
      <c r="D273" s="11" t="s">
        <v>311</v>
      </c>
      <c r="E273" s="15" t="str">
        <f aca="false">$A273&amp;"."&amp;$D273&amp;".jpg"</f>
        <v>7908591301007.PT08.jpg</v>
      </c>
      <c r="F273" s="11" t="str">
        <f aca="false">INDEX('O QUE MOSTRAR'!$B$4:$B$12,MATCH($D273,'O QUE MOSTRAR'!$A$4:$A$12,0))</f>
        <v>Posição 9</v>
      </c>
      <c r="G273" s="11" t="str">
        <f aca="false">IF(INDEX(PRODUTOS!$F$4:$F$63,MATCH($A273,PRODUTOS!$B$4:$B$63,0))="Ração",INDEX('O QUE MOSTRAR'!$C$4:$C$12,MATCH($D273,'O QUE MOSTRAR'!$A$4:$A$12,0)),INDEX('O QUE MOSTRAR'!$D$4:$D$12,MATCH($D273,'O QUE MOSTRAR'!$A$4:$A$12,0)))</f>
        <v>Linha da marca ou embalagem anterior × nova</v>
      </c>
      <c r="H273" s="11" t="str">
        <f aca="false">INDEX('O QUE MOSTRAR'!$E$4:$E$12,MATCH($D273,'O QUE MOSTRAR'!$A$4:$A$12,0))</f>
        <v>2000 × 2000</v>
      </c>
      <c r="I273" s="11" t="str">
        <f aca="false">INDEX('O QUE MOSTRAR'!$F$4:$F$12,MATCH($D273,'O QUE MOSTRAR'!$A$4:$A$12,0))</f>
        <v>Recomendada</v>
      </c>
      <c r="J273" s="13" t="s">
        <v>303</v>
      </c>
      <c r="K273" s="13"/>
    </row>
    <row r="274" customFormat="false" ht="15" hidden="false" customHeight="false" outlineLevel="0" collapsed="false">
      <c r="A274" s="14" t="s">
        <v>156</v>
      </c>
      <c r="B274" s="11" t="str">
        <f aca="false">INDEX(PRODUTOS!$E$4:$E$63,MATCH($A274,PRODUTOS!$B$4:$B$63,0))</f>
        <v>Ração Natural Dots Super Premium Cães Raças Pequenas Sabor Frango 1 kg</v>
      </c>
      <c r="C274" s="11" t="str">
        <f aca="false">INDEX(PRODUTOS!$G$4:$G$63,MATCH($A274,PRODUTOS!$B$4:$B$63,0))</f>
        <v>1 kg</v>
      </c>
      <c r="D274" s="11" t="s">
        <v>302</v>
      </c>
      <c r="E274" s="15" t="str">
        <f aca="false">$A274&amp;"."&amp;$D274&amp;".jpg"</f>
        <v>7908591301021.MAIN.jpg</v>
      </c>
      <c r="F274" s="11" t="str">
        <f aca="false">INDEX('O QUE MOSTRAR'!$B$4:$B$12,MATCH($D274,'O QUE MOSTRAR'!$A$4:$A$12,0))</f>
        <v>Capa (posição 1)</v>
      </c>
      <c r="G274" s="11" t="str">
        <f aca="false">IF(INDEX(PRODUTOS!$F$4:$F$63,MATCH($A274,PRODUTOS!$B$4:$B$63,0))="Ração",INDEX('O QUE MOSTRAR'!$C$4:$C$12,MATCH($D274,'O QUE MOSTRAR'!$A$4:$A$12,0)),INDEX('O QUE MOSTRAR'!$D$4:$D$12,MATCH($D274,'O QUE MOSTRAR'!$A$4:$A$12,0)))</f>
        <v>Embalagem de frente, fundo branco puro, 85% da área, nada adicionado</v>
      </c>
      <c r="H274" s="11" t="str">
        <f aca="false">INDEX('O QUE MOSTRAR'!$E$4:$E$12,MATCH($D274,'O QUE MOSTRAR'!$A$4:$A$12,0))</f>
        <v>2000 × 2000</v>
      </c>
      <c r="I274" s="11" t="str">
        <f aca="false">INDEX('O QUE MOSTRAR'!$F$4:$F$12,MATCH($D274,'O QUE MOSTRAR'!$A$4:$A$12,0))</f>
        <v>SIM</v>
      </c>
      <c r="J274" s="13" t="s">
        <v>303</v>
      </c>
      <c r="K274" s="13"/>
    </row>
    <row r="275" customFormat="false" ht="15" hidden="false" customHeight="false" outlineLevel="0" collapsed="false">
      <c r="A275" s="14" t="s">
        <v>156</v>
      </c>
      <c r="B275" s="11" t="str">
        <f aca="false">INDEX(PRODUTOS!$E$4:$E$63,MATCH($A275,PRODUTOS!$B$4:$B$63,0))</f>
        <v>Ração Natural Dots Super Premium Cães Raças Pequenas Sabor Frango 1 kg</v>
      </c>
      <c r="C275" s="11" t="str">
        <f aca="false">INDEX(PRODUTOS!$G$4:$G$63,MATCH($A275,PRODUTOS!$B$4:$B$63,0))</f>
        <v>1 kg</v>
      </c>
      <c r="D275" s="11" t="s">
        <v>304</v>
      </c>
      <c r="E275" s="15" t="str">
        <f aca="false">$A275&amp;"."&amp;$D275&amp;".jpg"</f>
        <v>7908591301021.PT01.jpg</v>
      </c>
      <c r="F275" s="11" t="str">
        <f aca="false">INDEX('O QUE MOSTRAR'!$B$4:$B$12,MATCH($D275,'O QUE MOSTRAR'!$A$4:$A$12,0))</f>
        <v>Posição 2</v>
      </c>
      <c r="G275" s="11" t="str">
        <f aca="false">IF(INDEX(PRODUTOS!$F$4:$F$63,MATCH($A275,PRODUTOS!$B$4:$B$63,0))="Ração",INDEX('O QUE MOSTRAR'!$C$4:$C$12,MATCH($D275,'O QUE MOSTRAR'!$A$4:$A$12,0)),INDEX('O QUE MOSTRAR'!$D$4:$D$12,MATCH($D275,'O QUE MOSTRAR'!$A$4:$A$12,0)))</f>
        <v>Grande diferencial da linha (número ou promessa forte + grão e ingrediente)</v>
      </c>
      <c r="H275" s="11" t="str">
        <f aca="false">INDEX('O QUE MOSTRAR'!$E$4:$E$12,MATCH($D275,'O QUE MOSTRAR'!$A$4:$A$12,0))</f>
        <v>2000 × 2000</v>
      </c>
      <c r="I275" s="11" t="str">
        <f aca="false">INDEX('O QUE MOSTRAR'!$F$4:$F$12,MATCH($D275,'O QUE MOSTRAR'!$A$4:$A$12,0))</f>
        <v>SIM</v>
      </c>
      <c r="J275" s="13" t="s">
        <v>303</v>
      </c>
      <c r="K275" s="13"/>
    </row>
    <row r="276" customFormat="false" ht="15" hidden="false" customHeight="false" outlineLevel="0" collapsed="false">
      <c r="A276" s="14" t="s">
        <v>156</v>
      </c>
      <c r="B276" s="11" t="str">
        <f aca="false">INDEX(PRODUTOS!$E$4:$E$63,MATCH($A276,PRODUTOS!$B$4:$B$63,0))</f>
        <v>Ração Natural Dots Super Premium Cães Raças Pequenas Sabor Frango 1 kg</v>
      </c>
      <c r="C276" s="11" t="str">
        <f aca="false">INDEX(PRODUTOS!$G$4:$G$63,MATCH($A276,PRODUTOS!$B$4:$B$63,0))</f>
        <v>1 kg</v>
      </c>
      <c r="D276" s="11" t="s">
        <v>305</v>
      </c>
      <c r="E276" s="15" t="str">
        <f aca="false">$A276&amp;"."&amp;$D276&amp;".jpg"</f>
        <v>7908591301021.PT02.jpg</v>
      </c>
      <c r="F276" s="11" t="str">
        <f aca="false">INDEX('O QUE MOSTRAR'!$B$4:$B$12,MATCH($D276,'O QUE MOSTRAR'!$A$4:$A$12,0))</f>
        <v>Posição 3</v>
      </c>
      <c r="G276" s="11" t="str">
        <f aca="false">IF(INDEX(PRODUTOS!$F$4:$F$63,MATCH($A276,PRODUTOS!$B$4:$B$63,0))="Ração",INDEX('O QUE MOSTRAR'!$C$4:$C$12,MATCH($D276,'O QUE MOSTRAR'!$A$4:$A$12,0)),INDEX('O QUE MOSTRAR'!$D$4:$D$12,MATCH($D276,'O QUE MOSTRAR'!$A$4:$A$12,0)))</f>
        <v>Benefícios com ícones (4 a 6, impressos na embalagem) + ingrediente</v>
      </c>
      <c r="H276" s="11" t="str">
        <f aca="false">INDEX('O QUE MOSTRAR'!$E$4:$E$12,MATCH($D276,'O QUE MOSTRAR'!$A$4:$A$12,0))</f>
        <v>2000 × 2000</v>
      </c>
      <c r="I276" s="11" t="str">
        <f aca="false">INDEX('O QUE MOSTRAR'!$F$4:$F$12,MATCH($D276,'O QUE MOSTRAR'!$A$4:$A$12,0))</f>
        <v>SIM</v>
      </c>
      <c r="J276" s="13" t="s">
        <v>303</v>
      </c>
      <c r="K276" s="13"/>
    </row>
    <row r="277" customFormat="false" ht="15" hidden="false" customHeight="false" outlineLevel="0" collapsed="false">
      <c r="A277" s="14" t="s">
        <v>156</v>
      </c>
      <c r="B277" s="11" t="str">
        <f aca="false">INDEX(PRODUTOS!$E$4:$E$63,MATCH($A277,PRODUTOS!$B$4:$B$63,0))</f>
        <v>Ração Natural Dots Super Premium Cães Raças Pequenas Sabor Frango 1 kg</v>
      </c>
      <c r="C277" s="11" t="str">
        <f aca="false">INDEX(PRODUTOS!$G$4:$G$63,MATCH($A277,PRODUTOS!$B$4:$B$63,0))</f>
        <v>1 kg</v>
      </c>
      <c r="D277" s="11" t="s">
        <v>306</v>
      </c>
      <c r="E277" s="15" t="str">
        <f aca="false">$A277&amp;"."&amp;$D277&amp;".jpg"</f>
        <v>7908591301021.PT03.jpg</v>
      </c>
      <c r="F277" s="11" t="str">
        <f aca="false">INDEX('O QUE MOSTRAR'!$B$4:$B$12,MATCH($D277,'O QUE MOSTRAR'!$A$4:$A$12,0))</f>
        <v>Posição 4</v>
      </c>
      <c r="G277" s="11" t="str">
        <f aca="false">IF(INDEX(PRODUTOS!$F$4:$F$63,MATCH($A277,PRODUTOS!$B$4:$B$63,0))="Ração",INDEX('O QUE MOSTRAR'!$C$4:$C$12,MATCH($D277,'O QUE MOSTRAR'!$A$4:$A$12,0)),INDEX('O QUE MOSTRAR'!$D$4:$D$12,MATCH($D277,'O QUE MOSTRAR'!$A$4:$A$12,0)))</f>
        <v>Formato e tamanho do grão, com medida em mm e referência de tamanho</v>
      </c>
      <c r="H277" s="11" t="str">
        <f aca="false">INDEX('O QUE MOSTRAR'!$E$4:$E$12,MATCH($D277,'O QUE MOSTRAR'!$A$4:$A$12,0))</f>
        <v>2000 × 2000</v>
      </c>
      <c r="I277" s="11" t="str">
        <f aca="false">INDEX('O QUE MOSTRAR'!$F$4:$F$12,MATCH($D277,'O QUE MOSTRAR'!$A$4:$A$12,0))</f>
        <v>SIM</v>
      </c>
      <c r="J277" s="13" t="s">
        <v>303</v>
      </c>
      <c r="K277" s="13"/>
    </row>
    <row r="278" customFormat="false" ht="15" hidden="false" customHeight="false" outlineLevel="0" collapsed="false">
      <c r="A278" s="14" t="s">
        <v>156</v>
      </c>
      <c r="B278" s="11" t="str">
        <f aca="false">INDEX(PRODUTOS!$E$4:$E$63,MATCH($A278,PRODUTOS!$B$4:$B$63,0))</f>
        <v>Ração Natural Dots Super Premium Cães Raças Pequenas Sabor Frango 1 kg</v>
      </c>
      <c r="C278" s="11" t="str">
        <f aca="false">INDEX(PRODUTOS!$G$4:$G$63,MATCH($A278,PRODUTOS!$B$4:$B$63,0))</f>
        <v>1 kg</v>
      </c>
      <c r="D278" s="11" t="s">
        <v>307</v>
      </c>
      <c r="E278" s="15" t="str">
        <f aca="false">$A278&amp;"."&amp;$D278&amp;".jpg"</f>
        <v>7908591301021.PT04.jpg</v>
      </c>
      <c r="F278" s="11" t="str">
        <f aca="false">INDEX('O QUE MOSTRAR'!$B$4:$B$12,MATCH($D278,'O QUE MOSTRAR'!$A$4:$A$12,0))</f>
        <v>Posição 5</v>
      </c>
      <c r="G278" s="11" t="str">
        <f aca="false">IF(INDEX(PRODUTOS!$F$4:$F$63,MATCH($A278,PRODUTOS!$B$4:$B$63,0))="Ração",INDEX('O QUE MOSTRAR'!$C$4:$C$12,MATCH($D278,'O QUE MOSTRAR'!$A$4:$A$12,0)),INDEX('O QUE MOSTRAR'!$D$4:$D$12,MATCH($D278,'O QUE MOSTRAR'!$A$4:$A$12,0)))</f>
        <v>Quantidade diária por peso do pet (números idênticos à embalagem)</v>
      </c>
      <c r="H278" s="11" t="str">
        <f aca="false">INDEX('O QUE MOSTRAR'!$E$4:$E$12,MATCH($D278,'O QUE MOSTRAR'!$A$4:$A$12,0))</f>
        <v>2000 × 2000</v>
      </c>
      <c r="I278" s="11" t="str">
        <f aca="false">INDEX('O QUE MOSTRAR'!$F$4:$F$12,MATCH($D278,'O QUE MOSTRAR'!$A$4:$A$12,0))</f>
        <v>SIM</v>
      </c>
      <c r="J278" s="13" t="s">
        <v>303</v>
      </c>
      <c r="K278" s="13"/>
    </row>
    <row r="279" customFormat="false" ht="15" hidden="false" customHeight="false" outlineLevel="0" collapsed="false">
      <c r="A279" s="14" t="s">
        <v>156</v>
      </c>
      <c r="B279" s="11" t="str">
        <f aca="false">INDEX(PRODUTOS!$E$4:$E$63,MATCH($A279,PRODUTOS!$B$4:$B$63,0))</f>
        <v>Ração Natural Dots Super Premium Cães Raças Pequenas Sabor Frango 1 kg</v>
      </c>
      <c r="C279" s="11" t="str">
        <f aca="false">INDEX(PRODUTOS!$G$4:$G$63,MATCH($A279,PRODUTOS!$B$4:$B$63,0))</f>
        <v>1 kg</v>
      </c>
      <c r="D279" s="11" t="s">
        <v>308</v>
      </c>
      <c r="E279" s="15" t="str">
        <f aca="false">$A279&amp;"."&amp;$D279&amp;".jpg"</f>
        <v>7908591301021.PT05.jpg</v>
      </c>
      <c r="F279" s="11" t="str">
        <f aca="false">INDEX('O QUE MOSTRAR'!$B$4:$B$12,MATCH($D279,'O QUE MOSTRAR'!$A$4:$A$12,0))</f>
        <v>Posição 6</v>
      </c>
      <c r="G279" s="11" t="str">
        <f aca="false">IF(INDEX(PRODUTOS!$F$4:$F$63,MATCH($A279,PRODUTOS!$B$4:$B$63,0))="Ração",INDEX('O QUE MOSTRAR'!$C$4:$C$12,MATCH($D279,'O QUE MOSTRAR'!$A$4:$A$12,0)),INDEX('O QUE MOSTRAR'!$D$4:$D$12,MATCH($D279,'O QUE MOSTRAR'!$A$4:$A$12,0)))</f>
        <v>Transição alimentar dia a dia (igual ao verso da embalagem)</v>
      </c>
      <c r="H279" s="11" t="str">
        <f aca="false">INDEX('O QUE MOSTRAR'!$E$4:$E$12,MATCH($D279,'O QUE MOSTRAR'!$A$4:$A$12,0))</f>
        <v>2000 × 2000</v>
      </c>
      <c r="I279" s="11" t="str">
        <f aca="false">INDEX('O QUE MOSTRAR'!$F$4:$F$12,MATCH($D279,'O QUE MOSTRAR'!$A$4:$A$12,0))</f>
        <v>Recomendada</v>
      </c>
      <c r="J279" s="13" t="s">
        <v>303</v>
      </c>
      <c r="K279" s="13"/>
    </row>
    <row r="280" customFormat="false" ht="15" hidden="false" customHeight="false" outlineLevel="0" collapsed="false">
      <c r="A280" s="14" t="s">
        <v>156</v>
      </c>
      <c r="B280" s="11" t="str">
        <f aca="false">INDEX(PRODUTOS!$E$4:$E$63,MATCH($A280,PRODUTOS!$B$4:$B$63,0))</f>
        <v>Ração Natural Dots Super Premium Cães Raças Pequenas Sabor Frango 1 kg</v>
      </c>
      <c r="C280" s="11" t="str">
        <f aca="false">INDEX(PRODUTOS!$G$4:$G$63,MATCH($A280,PRODUTOS!$B$4:$B$63,0))</f>
        <v>1 kg</v>
      </c>
      <c r="D280" s="11" t="s">
        <v>309</v>
      </c>
      <c r="E280" s="15" t="str">
        <f aca="false">$A280&amp;"."&amp;$D280&amp;".jpg"</f>
        <v>7908591301021.PT06.jpg</v>
      </c>
      <c r="F280" s="11" t="str">
        <f aca="false">INDEX('O QUE MOSTRAR'!$B$4:$B$12,MATCH($D280,'O QUE MOSTRAR'!$A$4:$A$12,0))</f>
        <v>Posição 7</v>
      </c>
      <c r="G280" s="11" t="str">
        <f aca="false">IF(INDEX(PRODUTOS!$F$4:$F$63,MATCH($A280,PRODUTOS!$B$4:$B$63,0))="Ração",INDEX('O QUE MOSTRAR'!$C$4:$C$12,MATCH($D280,'O QUE MOSTRAR'!$A$4:$A$12,0)),INDEX('O QUE MOSTRAR'!$D$4:$D$12,MATCH($D280,'O QUE MOSTRAR'!$A$4:$A$12,0)))</f>
        <v>Composição e níveis de garantia em letra grande</v>
      </c>
      <c r="H280" s="11" t="str">
        <f aca="false">INDEX('O QUE MOSTRAR'!$E$4:$E$12,MATCH($D280,'O QUE MOSTRAR'!$A$4:$A$12,0))</f>
        <v>2000 × 2000</v>
      </c>
      <c r="I280" s="11" t="str">
        <f aca="false">INDEX('O QUE MOSTRAR'!$F$4:$F$12,MATCH($D280,'O QUE MOSTRAR'!$A$4:$A$12,0))</f>
        <v>SIM</v>
      </c>
      <c r="J280" s="13" t="s">
        <v>303</v>
      </c>
      <c r="K280" s="13"/>
    </row>
    <row r="281" customFormat="false" ht="15" hidden="false" customHeight="false" outlineLevel="0" collapsed="false">
      <c r="A281" s="14" t="s">
        <v>156</v>
      </c>
      <c r="B281" s="11" t="str">
        <f aca="false">INDEX(PRODUTOS!$E$4:$E$63,MATCH($A281,PRODUTOS!$B$4:$B$63,0))</f>
        <v>Ração Natural Dots Super Premium Cães Raças Pequenas Sabor Frango 1 kg</v>
      </c>
      <c r="C281" s="11" t="str">
        <f aca="false">INDEX(PRODUTOS!$G$4:$G$63,MATCH($A281,PRODUTOS!$B$4:$B$63,0))</f>
        <v>1 kg</v>
      </c>
      <c r="D281" s="11" t="s">
        <v>310</v>
      </c>
      <c r="E281" s="15" t="str">
        <f aca="false">$A281&amp;"."&amp;$D281&amp;".jpg"</f>
        <v>7908591301021.PT07.jpg</v>
      </c>
      <c r="F281" s="11" t="str">
        <f aca="false">INDEX('O QUE MOSTRAR'!$B$4:$B$12,MATCH($D281,'O QUE MOSTRAR'!$A$4:$A$12,0))</f>
        <v>Posição 8</v>
      </c>
      <c r="G281" s="11" t="str">
        <f aca="false">IF(INDEX(PRODUTOS!$F$4:$F$63,MATCH($A281,PRODUTOS!$B$4:$B$63,0))="Ração",INDEX('O QUE MOSTRAR'!$C$4:$C$12,MATCH($D281,'O QUE MOSTRAR'!$A$4:$A$12,0)),INDEX('O QUE MOSTRAR'!$D$4:$D$12,MATCH($D281,'O QUE MOSTRAR'!$A$4:$A$12,0)))</f>
        <v>Emocional / momento de uso (pet do porte certo, pote cheio)</v>
      </c>
      <c r="H281" s="11" t="str">
        <f aca="false">INDEX('O QUE MOSTRAR'!$E$4:$E$12,MATCH($D281,'O QUE MOSTRAR'!$A$4:$A$12,0))</f>
        <v>2000 × 2000</v>
      </c>
      <c r="I281" s="11" t="str">
        <f aca="false">INDEX('O QUE MOSTRAR'!$F$4:$F$12,MATCH($D281,'O QUE MOSTRAR'!$A$4:$A$12,0))</f>
        <v>Recomendada</v>
      </c>
      <c r="J281" s="13" t="s">
        <v>303</v>
      </c>
      <c r="K281" s="13"/>
    </row>
    <row r="282" customFormat="false" ht="15" hidden="false" customHeight="false" outlineLevel="0" collapsed="false">
      <c r="A282" s="14" t="s">
        <v>156</v>
      </c>
      <c r="B282" s="11" t="str">
        <f aca="false">INDEX(PRODUTOS!$E$4:$E$63,MATCH($A282,PRODUTOS!$B$4:$B$63,0))</f>
        <v>Ração Natural Dots Super Premium Cães Raças Pequenas Sabor Frango 1 kg</v>
      </c>
      <c r="C282" s="11" t="str">
        <f aca="false">INDEX(PRODUTOS!$G$4:$G$63,MATCH($A282,PRODUTOS!$B$4:$B$63,0))</f>
        <v>1 kg</v>
      </c>
      <c r="D282" s="11" t="s">
        <v>311</v>
      </c>
      <c r="E282" s="15" t="str">
        <f aca="false">$A282&amp;"."&amp;$D282&amp;".jpg"</f>
        <v>7908591301021.PT08.jpg</v>
      </c>
      <c r="F282" s="11" t="str">
        <f aca="false">INDEX('O QUE MOSTRAR'!$B$4:$B$12,MATCH($D282,'O QUE MOSTRAR'!$A$4:$A$12,0))</f>
        <v>Posição 9</v>
      </c>
      <c r="G282" s="11" t="str">
        <f aca="false">IF(INDEX(PRODUTOS!$F$4:$F$63,MATCH($A282,PRODUTOS!$B$4:$B$63,0))="Ração",INDEX('O QUE MOSTRAR'!$C$4:$C$12,MATCH($D282,'O QUE MOSTRAR'!$A$4:$A$12,0)),INDEX('O QUE MOSTRAR'!$D$4:$D$12,MATCH($D282,'O QUE MOSTRAR'!$A$4:$A$12,0)))</f>
        <v>Linha da marca ou embalagem anterior × nova</v>
      </c>
      <c r="H282" s="11" t="str">
        <f aca="false">INDEX('O QUE MOSTRAR'!$E$4:$E$12,MATCH($D282,'O QUE MOSTRAR'!$A$4:$A$12,0))</f>
        <v>2000 × 2000</v>
      </c>
      <c r="I282" s="11" t="str">
        <f aca="false">INDEX('O QUE MOSTRAR'!$F$4:$F$12,MATCH($D282,'O QUE MOSTRAR'!$A$4:$A$12,0))</f>
        <v>Recomendada</v>
      </c>
      <c r="J282" s="13" t="s">
        <v>303</v>
      </c>
      <c r="K282" s="13"/>
    </row>
    <row r="283" customFormat="false" ht="15" hidden="false" customHeight="false" outlineLevel="0" collapsed="false">
      <c r="A283" s="14" t="s">
        <v>160</v>
      </c>
      <c r="B283" s="11" t="str">
        <f aca="false">INDEX(PRODUTOS!$E$4:$E$63,MATCH($A283,PRODUTOS!$B$4:$B$63,0))</f>
        <v>Ração Natural Dots Super Premium Gatos Castrados Sabor Peixe 1 kg</v>
      </c>
      <c r="C283" s="11" t="str">
        <f aca="false">INDEX(PRODUTOS!$G$4:$G$63,MATCH($A283,PRODUTOS!$B$4:$B$63,0))</f>
        <v>1 kg</v>
      </c>
      <c r="D283" s="11" t="s">
        <v>302</v>
      </c>
      <c r="E283" s="15" t="str">
        <f aca="false">$A283&amp;"."&amp;$D283&amp;".jpg"</f>
        <v>7908591301038.MAIN.jpg</v>
      </c>
      <c r="F283" s="11" t="str">
        <f aca="false">INDEX('O QUE MOSTRAR'!$B$4:$B$12,MATCH($D283,'O QUE MOSTRAR'!$A$4:$A$12,0))</f>
        <v>Capa (posição 1)</v>
      </c>
      <c r="G283" s="11" t="str">
        <f aca="false">IF(INDEX(PRODUTOS!$F$4:$F$63,MATCH($A283,PRODUTOS!$B$4:$B$63,0))="Ração",INDEX('O QUE MOSTRAR'!$C$4:$C$12,MATCH($D283,'O QUE MOSTRAR'!$A$4:$A$12,0)),INDEX('O QUE MOSTRAR'!$D$4:$D$12,MATCH($D283,'O QUE MOSTRAR'!$A$4:$A$12,0)))</f>
        <v>Embalagem de frente, fundo branco puro, 85% da área, nada adicionado</v>
      </c>
      <c r="H283" s="11" t="str">
        <f aca="false">INDEX('O QUE MOSTRAR'!$E$4:$E$12,MATCH($D283,'O QUE MOSTRAR'!$A$4:$A$12,0))</f>
        <v>2000 × 2000</v>
      </c>
      <c r="I283" s="11" t="str">
        <f aca="false">INDEX('O QUE MOSTRAR'!$F$4:$F$12,MATCH($D283,'O QUE MOSTRAR'!$A$4:$A$12,0))</f>
        <v>SIM</v>
      </c>
      <c r="J283" s="13" t="s">
        <v>303</v>
      </c>
      <c r="K283" s="13"/>
    </row>
    <row r="284" customFormat="false" ht="15" hidden="false" customHeight="false" outlineLevel="0" collapsed="false">
      <c r="A284" s="14" t="s">
        <v>160</v>
      </c>
      <c r="B284" s="11" t="str">
        <f aca="false">INDEX(PRODUTOS!$E$4:$E$63,MATCH($A284,PRODUTOS!$B$4:$B$63,0))</f>
        <v>Ração Natural Dots Super Premium Gatos Castrados Sabor Peixe 1 kg</v>
      </c>
      <c r="C284" s="11" t="str">
        <f aca="false">INDEX(PRODUTOS!$G$4:$G$63,MATCH($A284,PRODUTOS!$B$4:$B$63,0))</f>
        <v>1 kg</v>
      </c>
      <c r="D284" s="11" t="s">
        <v>304</v>
      </c>
      <c r="E284" s="15" t="str">
        <f aca="false">$A284&amp;"."&amp;$D284&amp;".jpg"</f>
        <v>7908591301038.PT01.jpg</v>
      </c>
      <c r="F284" s="11" t="str">
        <f aca="false">INDEX('O QUE MOSTRAR'!$B$4:$B$12,MATCH($D284,'O QUE MOSTRAR'!$A$4:$A$12,0))</f>
        <v>Posição 2</v>
      </c>
      <c r="G284" s="11" t="str">
        <f aca="false">IF(INDEX(PRODUTOS!$F$4:$F$63,MATCH($A284,PRODUTOS!$B$4:$B$63,0))="Ração",INDEX('O QUE MOSTRAR'!$C$4:$C$12,MATCH($D284,'O QUE MOSTRAR'!$A$4:$A$12,0)),INDEX('O QUE MOSTRAR'!$D$4:$D$12,MATCH($D284,'O QUE MOSTRAR'!$A$4:$A$12,0)))</f>
        <v>Grande diferencial da linha (número ou promessa forte + grão e ingrediente)</v>
      </c>
      <c r="H284" s="11" t="str">
        <f aca="false">INDEX('O QUE MOSTRAR'!$E$4:$E$12,MATCH($D284,'O QUE MOSTRAR'!$A$4:$A$12,0))</f>
        <v>2000 × 2000</v>
      </c>
      <c r="I284" s="11" t="str">
        <f aca="false">INDEX('O QUE MOSTRAR'!$F$4:$F$12,MATCH($D284,'O QUE MOSTRAR'!$A$4:$A$12,0))</f>
        <v>SIM</v>
      </c>
      <c r="J284" s="13" t="s">
        <v>303</v>
      </c>
      <c r="K284" s="13"/>
    </row>
    <row r="285" customFormat="false" ht="15" hidden="false" customHeight="false" outlineLevel="0" collapsed="false">
      <c r="A285" s="14" t="s">
        <v>160</v>
      </c>
      <c r="B285" s="11" t="str">
        <f aca="false">INDEX(PRODUTOS!$E$4:$E$63,MATCH($A285,PRODUTOS!$B$4:$B$63,0))</f>
        <v>Ração Natural Dots Super Premium Gatos Castrados Sabor Peixe 1 kg</v>
      </c>
      <c r="C285" s="11" t="str">
        <f aca="false">INDEX(PRODUTOS!$G$4:$G$63,MATCH($A285,PRODUTOS!$B$4:$B$63,0))</f>
        <v>1 kg</v>
      </c>
      <c r="D285" s="11" t="s">
        <v>305</v>
      </c>
      <c r="E285" s="15" t="str">
        <f aca="false">$A285&amp;"."&amp;$D285&amp;".jpg"</f>
        <v>7908591301038.PT02.jpg</v>
      </c>
      <c r="F285" s="11" t="str">
        <f aca="false">INDEX('O QUE MOSTRAR'!$B$4:$B$12,MATCH($D285,'O QUE MOSTRAR'!$A$4:$A$12,0))</f>
        <v>Posição 3</v>
      </c>
      <c r="G285" s="11" t="str">
        <f aca="false">IF(INDEX(PRODUTOS!$F$4:$F$63,MATCH($A285,PRODUTOS!$B$4:$B$63,0))="Ração",INDEX('O QUE MOSTRAR'!$C$4:$C$12,MATCH($D285,'O QUE MOSTRAR'!$A$4:$A$12,0)),INDEX('O QUE MOSTRAR'!$D$4:$D$12,MATCH($D285,'O QUE MOSTRAR'!$A$4:$A$12,0)))</f>
        <v>Benefícios com ícones (4 a 6, impressos na embalagem) + ingrediente</v>
      </c>
      <c r="H285" s="11" t="str">
        <f aca="false">INDEX('O QUE MOSTRAR'!$E$4:$E$12,MATCH($D285,'O QUE MOSTRAR'!$A$4:$A$12,0))</f>
        <v>2000 × 2000</v>
      </c>
      <c r="I285" s="11" t="str">
        <f aca="false">INDEX('O QUE MOSTRAR'!$F$4:$F$12,MATCH($D285,'O QUE MOSTRAR'!$A$4:$A$12,0))</f>
        <v>SIM</v>
      </c>
      <c r="J285" s="13" t="s">
        <v>303</v>
      </c>
      <c r="K285" s="13"/>
    </row>
    <row r="286" customFormat="false" ht="15" hidden="false" customHeight="false" outlineLevel="0" collapsed="false">
      <c r="A286" s="14" t="s">
        <v>160</v>
      </c>
      <c r="B286" s="11" t="str">
        <f aca="false">INDEX(PRODUTOS!$E$4:$E$63,MATCH($A286,PRODUTOS!$B$4:$B$63,0))</f>
        <v>Ração Natural Dots Super Premium Gatos Castrados Sabor Peixe 1 kg</v>
      </c>
      <c r="C286" s="11" t="str">
        <f aca="false">INDEX(PRODUTOS!$G$4:$G$63,MATCH($A286,PRODUTOS!$B$4:$B$63,0))</f>
        <v>1 kg</v>
      </c>
      <c r="D286" s="11" t="s">
        <v>306</v>
      </c>
      <c r="E286" s="15" t="str">
        <f aca="false">$A286&amp;"."&amp;$D286&amp;".jpg"</f>
        <v>7908591301038.PT03.jpg</v>
      </c>
      <c r="F286" s="11" t="str">
        <f aca="false">INDEX('O QUE MOSTRAR'!$B$4:$B$12,MATCH($D286,'O QUE MOSTRAR'!$A$4:$A$12,0))</f>
        <v>Posição 4</v>
      </c>
      <c r="G286" s="11" t="str">
        <f aca="false">IF(INDEX(PRODUTOS!$F$4:$F$63,MATCH($A286,PRODUTOS!$B$4:$B$63,0))="Ração",INDEX('O QUE MOSTRAR'!$C$4:$C$12,MATCH($D286,'O QUE MOSTRAR'!$A$4:$A$12,0)),INDEX('O QUE MOSTRAR'!$D$4:$D$12,MATCH($D286,'O QUE MOSTRAR'!$A$4:$A$12,0)))</f>
        <v>Formato e tamanho do grão, com medida em mm e referência de tamanho</v>
      </c>
      <c r="H286" s="11" t="str">
        <f aca="false">INDEX('O QUE MOSTRAR'!$E$4:$E$12,MATCH($D286,'O QUE MOSTRAR'!$A$4:$A$12,0))</f>
        <v>2000 × 2000</v>
      </c>
      <c r="I286" s="11" t="str">
        <f aca="false">INDEX('O QUE MOSTRAR'!$F$4:$F$12,MATCH($D286,'O QUE MOSTRAR'!$A$4:$A$12,0))</f>
        <v>SIM</v>
      </c>
      <c r="J286" s="13" t="s">
        <v>303</v>
      </c>
      <c r="K286" s="13"/>
    </row>
    <row r="287" customFormat="false" ht="15" hidden="false" customHeight="false" outlineLevel="0" collapsed="false">
      <c r="A287" s="14" t="s">
        <v>160</v>
      </c>
      <c r="B287" s="11" t="str">
        <f aca="false">INDEX(PRODUTOS!$E$4:$E$63,MATCH($A287,PRODUTOS!$B$4:$B$63,0))</f>
        <v>Ração Natural Dots Super Premium Gatos Castrados Sabor Peixe 1 kg</v>
      </c>
      <c r="C287" s="11" t="str">
        <f aca="false">INDEX(PRODUTOS!$G$4:$G$63,MATCH($A287,PRODUTOS!$B$4:$B$63,0))</f>
        <v>1 kg</v>
      </c>
      <c r="D287" s="11" t="s">
        <v>307</v>
      </c>
      <c r="E287" s="15" t="str">
        <f aca="false">$A287&amp;"."&amp;$D287&amp;".jpg"</f>
        <v>7908591301038.PT04.jpg</v>
      </c>
      <c r="F287" s="11" t="str">
        <f aca="false">INDEX('O QUE MOSTRAR'!$B$4:$B$12,MATCH($D287,'O QUE MOSTRAR'!$A$4:$A$12,0))</f>
        <v>Posição 5</v>
      </c>
      <c r="G287" s="11" t="str">
        <f aca="false">IF(INDEX(PRODUTOS!$F$4:$F$63,MATCH($A287,PRODUTOS!$B$4:$B$63,0))="Ração",INDEX('O QUE MOSTRAR'!$C$4:$C$12,MATCH($D287,'O QUE MOSTRAR'!$A$4:$A$12,0)),INDEX('O QUE MOSTRAR'!$D$4:$D$12,MATCH($D287,'O QUE MOSTRAR'!$A$4:$A$12,0)))</f>
        <v>Quantidade diária por peso do pet (números idênticos à embalagem)</v>
      </c>
      <c r="H287" s="11" t="str">
        <f aca="false">INDEX('O QUE MOSTRAR'!$E$4:$E$12,MATCH($D287,'O QUE MOSTRAR'!$A$4:$A$12,0))</f>
        <v>2000 × 2000</v>
      </c>
      <c r="I287" s="11" t="str">
        <f aca="false">INDEX('O QUE MOSTRAR'!$F$4:$F$12,MATCH($D287,'O QUE MOSTRAR'!$A$4:$A$12,0))</f>
        <v>SIM</v>
      </c>
      <c r="J287" s="13" t="s">
        <v>303</v>
      </c>
      <c r="K287" s="13"/>
    </row>
    <row r="288" customFormat="false" ht="15" hidden="false" customHeight="false" outlineLevel="0" collapsed="false">
      <c r="A288" s="14" t="s">
        <v>160</v>
      </c>
      <c r="B288" s="11" t="str">
        <f aca="false">INDEX(PRODUTOS!$E$4:$E$63,MATCH($A288,PRODUTOS!$B$4:$B$63,0))</f>
        <v>Ração Natural Dots Super Premium Gatos Castrados Sabor Peixe 1 kg</v>
      </c>
      <c r="C288" s="11" t="str">
        <f aca="false">INDEX(PRODUTOS!$G$4:$G$63,MATCH($A288,PRODUTOS!$B$4:$B$63,0))</f>
        <v>1 kg</v>
      </c>
      <c r="D288" s="11" t="s">
        <v>308</v>
      </c>
      <c r="E288" s="15" t="str">
        <f aca="false">$A288&amp;"."&amp;$D288&amp;".jpg"</f>
        <v>7908591301038.PT05.jpg</v>
      </c>
      <c r="F288" s="11" t="str">
        <f aca="false">INDEX('O QUE MOSTRAR'!$B$4:$B$12,MATCH($D288,'O QUE MOSTRAR'!$A$4:$A$12,0))</f>
        <v>Posição 6</v>
      </c>
      <c r="G288" s="11" t="str">
        <f aca="false">IF(INDEX(PRODUTOS!$F$4:$F$63,MATCH($A288,PRODUTOS!$B$4:$B$63,0))="Ração",INDEX('O QUE MOSTRAR'!$C$4:$C$12,MATCH($D288,'O QUE MOSTRAR'!$A$4:$A$12,0)),INDEX('O QUE MOSTRAR'!$D$4:$D$12,MATCH($D288,'O QUE MOSTRAR'!$A$4:$A$12,0)))</f>
        <v>Transição alimentar dia a dia (igual ao verso da embalagem)</v>
      </c>
      <c r="H288" s="11" t="str">
        <f aca="false">INDEX('O QUE MOSTRAR'!$E$4:$E$12,MATCH($D288,'O QUE MOSTRAR'!$A$4:$A$12,0))</f>
        <v>2000 × 2000</v>
      </c>
      <c r="I288" s="11" t="str">
        <f aca="false">INDEX('O QUE MOSTRAR'!$F$4:$F$12,MATCH($D288,'O QUE MOSTRAR'!$A$4:$A$12,0))</f>
        <v>Recomendada</v>
      </c>
      <c r="J288" s="13" t="s">
        <v>303</v>
      </c>
      <c r="K288" s="13"/>
    </row>
    <row r="289" customFormat="false" ht="15" hidden="false" customHeight="false" outlineLevel="0" collapsed="false">
      <c r="A289" s="14" t="s">
        <v>160</v>
      </c>
      <c r="B289" s="11" t="str">
        <f aca="false">INDEX(PRODUTOS!$E$4:$E$63,MATCH($A289,PRODUTOS!$B$4:$B$63,0))</f>
        <v>Ração Natural Dots Super Premium Gatos Castrados Sabor Peixe 1 kg</v>
      </c>
      <c r="C289" s="11" t="str">
        <f aca="false">INDEX(PRODUTOS!$G$4:$G$63,MATCH($A289,PRODUTOS!$B$4:$B$63,0))</f>
        <v>1 kg</v>
      </c>
      <c r="D289" s="11" t="s">
        <v>309</v>
      </c>
      <c r="E289" s="15" t="str">
        <f aca="false">$A289&amp;"."&amp;$D289&amp;".jpg"</f>
        <v>7908591301038.PT06.jpg</v>
      </c>
      <c r="F289" s="11" t="str">
        <f aca="false">INDEX('O QUE MOSTRAR'!$B$4:$B$12,MATCH($D289,'O QUE MOSTRAR'!$A$4:$A$12,0))</f>
        <v>Posição 7</v>
      </c>
      <c r="G289" s="11" t="str">
        <f aca="false">IF(INDEX(PRODUTOS!$F$4:$F$63,MATCH($A289,PRODUTOS!$B$4:$B$63,0))="Ração",INDEX('O QUE MOSTRAR'!$C$4:$C$12,MATCH($D289,'O QUE MOSTRAR'!$A$4:$A$12,0)),INDEX('O QUE MOSTRAR'!$D$4:$D$12,MATCH($D289,'O QUE MOSTRAR'!$A$4:$A$12,0)))</f>
        <v>Composição e níveis de garantia em letra grande</v>
      </c>
      <c r="H289" s="11" t="str">
        <f aca="false">INDEX('O QUE MOSTRAR'!$E$4:$E$12,MATCH($D289,'O QUE MOSTRAR'!$A$4:$A$12,0))</f>
        <v>2000 × 2000</v>
      </c>
      <c r="I289" s="11" t="str">
        <f aca="false">INDEX('O QUE MOSTRAR'!$F$4:$F$12,MATCH($D289,'O QUE MOSTRAR'!$A$4:$A$12,0))</f>
        <v>SIM</v>
      </c>
      <c r="J289" s="13" t="s">
        <v>303</v>
      </c>
      <c r="K289" s="13"/>
    </row>
    <row r="290" customFormat="false" ht="15" hidden="false" customHeight="false" outlineLevel="0" collapsed="false">
      <c r="A290" s="14" t="s">
        <v>160</v>
      </c>
      <c r="B290" s="11" t="str">
        <f aca="false">INDEX(PRODUTOS!$E$4:$E$63,MATCH($A290,PRODUTOS!$B$4:$B$63,0))</f>
        <v>Ração Natural Dots Super Premium Gatos Castrados Sabor Peixe 1 kg</v>
      </c>
      <c r="C290" s="11" t="str">
        <f aca="false">INDEX(PRODUTOS!$G$4:$G$63,MATCH($A290,PRODUTOS!$B$4:$B$63,0))</f>
        <v>1 kg</v>
      </c>
      <c r="D290" s="11" t="s">
        <v>310</v>
      </c>
      <c r="E290" s="15" t="str">
        <f aca="false">$A290&amp;"."&amp;$D290&amp;".jpg"</f>
        <v>7908591301038.PT07.jpg</v>
      </c>
      <c r="F290" s="11" t="str">
        <f aca="false">INDEX('O QUE MOSTRAR'!$B$4:$B$12,MATCH($D290,'O QUE MOSTRAR'!$A$4:$A$12,0))</f>
        <v>Posição 8</v>
      </c>
      <c r="G290" s="11" t="str">
        <f aca="false">IF(INDEX(PRODUTOS!$F$4:$F$63,MATCH($A290,PRODUTOS!$B$4:$B$63,0))="Ração",INDEX('O QUE MOSTRAR'!$C$4:$C$12,MATCH($D290,'O QUE MOSTRAR'!$A$4:$A$12,0)),INDEX('O QUE MOSTRAR'!$D$4:$D$12,MATCH($D290,'O QUE MOSTRAR'!$A$4:$A$12,0)))</f>
        <v>Emocional / momento de uso (pet do porte certo, pote cheio)</v>
      </c>
      <c r="H290" s="11" t="str">
        <f aca="false">INDEX('O QUE MOSTRAR'!$E$4:$E$12,MATCH($D290,'O QUE MOSTRAR'!$A$4:$A$12,0))</f>
        <v>2000 × 2000</v>
      </c>
      <c r="I290" s="11" t="str">
        <f aca="false">INDEX('O QUE MOSTRAR'!$F$4:$F$12,MATCH($D290,'O QUE MOSTRAR'!$A$4:$A$12,0))</f>
        <v>Recomendada</v>
      </c>
      <c r="J290" s="13" t="s">
        <v>303</v>
      </c>
      <c r="K290" s="13"/>
    </row>
    <row r="291" customFormat="false" ht="15" hidden="false" customHeight="false" outlineLevel="0" collapsed="false">
      <c r="A291" s="14" t="s">
        <v>160</v>
      </c>
      <c r="B291" s="11" t="str">
        <f aca="false">INDEX(PRODUTOS!$E$4:$E$63,MATCH($A291,PRODUTOS!$B$4:$B$63,0))</f>
        <v>Ração Natural Dots Super Premium Gatos Castrados Sabor Peixe 1 kg</v>
      </c>
      <c r="C291" s="11" t="str">
        <f aca="false">INDEX(PRODUTOS!$G$4:$G$63,MATCH($A291,PRODUTOS!$B$4:$B$63,0))</f>
        <v>1 kg</v>
      </c>
      <c r="D291" s="11" t="s">
        <v>311</v>
      </c>
      <c r="E291" s="15" t="str">
        <f aca="false">$A291&amp;"."&amp;$D291&amp;".jpg"</f>
        <v>7908591301038.PT08.jpg</v>
      </c>
      <c r="F291" s="11" t="str">
        <f aca="false">INDEX('O QUE MOSTRAR'!$B$4:$B$12,MATCH($D291,'O QUE MOSTRAR'!$A$4:$A$12,0))</f>
        <v>Posição 9</v>
      </c>
      <c r="G291" s="11" t="str">
        <f aca="false">IF(INDEX(PRODUTOS!$F$4:$F$63,MATCH($A291,PRODUTOS!$B$4:$B$63,0))="Ração",INDEX('O QUE MOSTRAR'!$C$4:$C$12,MATCH($D291,'O QUE MOSTRAR'!$A$4:$A$12,0)),INDEX('O QUE MOSTRAR'!$D$4:$D$12,MATCH($D291,'O QUE MOSTRAR'!$A$4:$A$12,0)))</f>
        <v>Linha da marca ou embalagem anterior × nova</v>
      </c>
      <c r="H291" s="11" t="str">
        <f aca="false">INDEX('O QUE MOSTRAR'!$E$4:$E$12,MATCH($D291,'O QUE MOSTRAR'!$A$4:$A$12,0))</f>
        <v>2000 × 2000</v>
      </c>
      <c r="I291" s="11" t="str">
        <f aca="false">INDEX('O QUE MOSTRAR'!$F$4:$F$12,MATCH($D291,'O QUE MOSTRAR'!$A$4:$A$12,0))</f>
        <v>Recomendada</v>
      </c>
      <c r="J291" s="13" t="s">
        <v>303</v>
      </c>
      <c r="K291" s="13"/>
    </row>
    <row r="292" customFormat="false" ht="15" hidden="false" customHeight="false" outlineLevel="0" collapsed="false">
      <c r="A292" s="14" t="s">
        <v>164</v>
      </c>
      <c r="B292" s="11" t="str">
        <f aca="false">INDEX(PRODUTOS!$E$4:$E$63,MATCH($A292,PRODUTOS!$B$4:$B$63,0))</f>
        <v>Ração Seca Natural Dots Light para Cães - Pacote 1 kg</v>
      </c>
      <c r="C292" s="11" t="str">
        <f aca="false">INDEX(PRODUTOS!$G$4:$G$63,MATCH($A292,PRODUTOS!$B$4:$B$63,0))</f>
        <v>1 kg</v>
      </c>
      <c r="D292" s="11" t="s">
        <v>302</v>
      </c>
      <c r="E292" s="15" t="str">
        <f aca="false">$A292&amp;"."&amp;$D292&amp;".jpg"</f>
        <v>7908591300147.MAIN.jpg</v>
      </c>
      <c r="F292" s="11" t="str">
        <f aca="false">INDEX('O QUE MOSTRAR'!$B$4:$B$12,MATCH($D292,'O QUE MOSTRAR'!$A$4:$A$12,0))</f>
        <v>Capa (posição 1)</v>
      </c>
      <c r="G292" s="11" t="str">
        <f aca="false">IF(INDEX(PRODUTOS!$F$4:$F$63,MATCH($A292,PRODUTOS!$B$4:$B$63,0))="Ração",INDEX('O QUE MOSTRAR'!$C$4:$C$12,MATCH($D292,'O QUE MOSTRAR'!$A$4:$A$12,0)),INDEX('O QUE MOSTRAR'!$D$4:$D$12,MATCH($D292,'O QUE MOSTRAR'!$A$4:$A$12,0)))</f>
        <v>Embalagem de frente, fundo branco puro, 85% da área, nada adicionado</v>
      </c>
      <c r="H292" s="11" t="str">
        <f aca="false">INDEX('O QUE MOSTRAR'!$E$4:$E$12,MATCH($D292,'O QUE MOSTRAR'!$A$4:$A$12,0))</f>
        <v>2000 × 2000</v>
      </c>
      <c r="I292" s="11" t="str">
        <f aca="false">INDEX('O QUE MOSTRAR'!$F$4:$F$12,MATCH($D292,'O QUE MOSTRAR'!$A$4:$A$12,0))</f>
        <v>SIM</v>
      </c>
      <c r="J292" s="13" t="s">
        <v>303</v>
      </c>
      <c r="K292" s="13"/>
    </row>
    <row r="293" customFormat="false" ht="15" hidden="false" customHeight="false" outlineLevel="0" collapsed="false">
      <c r="A293" s="14" t="s">
        <v>164</v>
      </c>
      <c r="B293" s="11" t="str">
        <f aca="false">INDEX(PRODUTOS!$E$4:$E$63,MATCH($A293,PRODUTOS!$B$4:$B$63,0))</f>
        <v>Ração Seca Natural Dots Light para Cães - Pacote 1 kg</v>
      </c>
      <c r="C293" s="11" t="str">
        <f aca="false">INDEX(PRODUTOS!$G$4:$G$63,MATCH($A293,PRODUTOS!$B$4:$B$63,0))</f>
        <v>1 kg</v>
      </c>
      <c r="D293" s="11" t="s">
        <v>304</v>
      </c>
      <c r="E293" s="15" t="str">
        <f aca="false">$A293&amp;"."&amp;$D293&amp;".jpg"</f>
        <v>7908591300147.PT01.jpg</v>
      </c>
      <c r="F293" s="11" t="str">
        <f aca="false">INDEX('O QUE MOSTRAR'!$B$4:$B$12,MATCH($D293,'O QUE MOSTRAR'!$A$4:$A$12,0))</f>
        <v>Posição 2</v>
      </c>
      <c r="G293" s="11" t="str">
        <f aca="false">IF(INDEX(PRODUTOS!$F$4:$F$63,MATCH($A293,PRODUTOS!$B$4:$B$63,0))="Ração",INDEX('O QUE MOSTRAR'!$C$4:$C$12,MATCH($D293,'O QUE MOSTRAR'!$A$4:$A$12,0)),INDEX('O QUE MOSTRAR'!$D$4:$D$12,MATCH($D293,'O QUE MOSTRAR'!$A$4:$A$12,0)))</f>
        <v>Grande diferencial da linha (número ou promessa forte + grão e ingrediente)</v>
      </c>
      <c r="H293" s="11" t="str">
        <f aca="false">INDEX('O QUE MOSTRAR'!$E$4:$E$12,MATCH($D293,'O QUE MOSTRAR'!$A$4:$A$12,0))</f>
        <v>2000 × 2000</v>
      </c>
      <c r="I293" s="11" t="str">
        <f aca="false">INDEX('O QUE MOSTRAR'!$F$4:$F$12,MATCH($D293,'O QUE MOSTRAR'!$A$4:$A$12,0))</f>
        <v>SIM</v>
      </c>
      <c r="J293" s="13" t="s">
        <v>303</v>
      </c>
      <c r="K293" s="13"/>
    </row>
    <row r="294" customFormat="false" ht="15" hidden="false" customHeight="false" outlineLevel="0" collapsed="false">
      <c r="A294" s="14" t="s">
        <v>164</v>
      </c>
      <c r="B294" s="11" t="str">
        <f aca="false">INDEX(PRODUTOS!$E$4:$E$63,MATCH($A294,PRODUTOS!$B$4:$B$63,0))</f>
        <v>Ração Seca Natural Dots Light para Cães - Pacote 1 kg</v>
      </c>
      <c r="C294" s="11" t="str">
        <f aca="false">INDEX(PRODUTOS!$G$4:$G$63,MATCH($A294,PRODUTOS!$B$4:$B$63,0))</f>
        <v>1 kg</v>
      </c>
      <c r="D294" s="11" t="s">
        <v>305</v>
      </c>
      <c r="E294" s="15" t="str">
        <f aca="false">$A294&amp;"."&amp;$D294&amp;".jpg"</f>
        <v>7908591300147.PT02.jpg</v>
      </c>
      <c r="F294" s="11" t="str">
        <f aca="false">INDEX('O QUE MOSTRAR'!$B$4:$B$12,MATCH($D294,'O QUE MOSTRAR'!$A$4:$A$12,0))</f>
        <v>Posição 3</v>
      </c>
      <c r="G294" s="11" t="str">
        <f aca="false">IF(INDEX(PRODUTOS!$F$4:$F$63,MATCH($A294,PRODUTOS!$B$4:$B$63,0))="Ração",INDEX('O QUE MOSTRAR'!$C$4:$C$12,MATCH($D294,'O QUE MOSTRAR'!$A$4:$A$12,0)),INDEX('O QUE MOSTRAR'!$D$4:$D$12,MATCH($D294,'O QUE MOSTRAR'!$A$4:$A$12,0)))</f>
        <v>Benefícios com ícones (4 a 6, impressos na embalagem) + ingrediente</v>
      </c>
      <c r="H294" s="11" t="str">
        <f aca="false">INDEX('O QUE MOSTRAR'!$E$4:$E$12,MATCH($D294,'O QUE MOSTRAR'!$A$4:$A$12,0))</f>
        <v>2000 × 2000</v>
      </c>
      <c r="I294" s="11" t="str">
        <f aca="false">INDEX('O QUE MOSTRAR'!$F$4:$F$12,MATCH($D294,'O QUE MOSTRAR'!$A$4:$A$12,0))</f>
        <v>SIM</v>
      </c>
      <c r="J294" s="13" t="s">
        <v>303</v>
      </c>
      <c r="K294" s="13"/>
    </row>
    <row r="295" customFormat="false" ht="15" hidden="false" customHeight="false" outlineLevel="0" collapsed="false">
      <c r="A295" s="14" t="s">
        <v>164</v>
      </c>
      <c r="B295" s="11" t="str">
        <f aca="false">INDEX(PRODUTOS!$E$4:$E$63,MATCH($A295,PRODUTOS!$B$4:$B$63,0))</f>
        <v>Ração Seca Natural Dots Light para Cães - Pacote 1 kg</v>
      </c>
      <c r="C295" s="11" t="str">
        <f aca="false">INDEX(PRODUTOS!$G$4:$G$63,MATCH($A295,PRODUTOS!$B$4:$B$63,0))</f>
        <v>1 kg</v>
      </c>
      <c r="D295" s="11" t="s">
        <v>306</v>
      </c>
      <c r="E295" s="15" t="str">
        <f aca="false">$A295&amp;"."&amp;$D295&amp;".jpg"</f>
        <v>7908591300147.PT03.jpg</v>
      </c>
      <c r="F295" s="11" t="str">
        <f aca="false">INDEX('O QUE MOSTRAR'!$B$4:$B$12,MATCH($D295,'O QUE MOSTRAR'!$A$4:$A$12,0))</f>
        <v>Posição 4</v>
      </c>
      <c r="G295" s="11" t="str">
        <f aca="false">IF(INDEX(PRODUTOS!$F$4:$F$63,MATCH($A295,PRODUTOS!$B$4:$B$63,0))="Ração",INDEX('O QUE MOSTRAR'!$C$4:$C$12,MATCH($D295,'O QUE MOSTRAR'!$A$4:$A$12,0)),INDEX('O QUE MOSTRAR'!$D$4:$D$12,MATCH($D295,'O QUE MOSTRAR'!$A$4:$A$12,0)))</f>
        <v>Formato e tamanho do grão, com medida em mm e referência de tamanho</v>
      </c>
      <c r="H295" s="11" t="str">
        <f aca="false">INDEX('O QUE MOSTRAR'!$E$4:$E$12,MATCH($D295,'O QUE MOSTRAR'!$A$4:$A$12,0))</f>
        <v>2000 × 2000</v>
      </c>
      <c r="I295" s="11" t="str">
        <f aca="false">INDEX('O QUE MOSTRAR'!$F$4:$F$12,MATCH($D295,'O QUE MOSTRAR'!$A$4:$A$12,0))</f>
        <v>SIM</v>
      </c>
      <c r="J295" s="13" t="s">
        <v>303</v>
      </c>
      <c r="K295" s="13"/>
    </row>
    <row r="296" customFormat="false" ht="15" hidden="false" customHeight="false" outlineLevel="0" collapsed="false">
      <c r="A296" s="14" t="s">
        <v>164</v>
      </c>
      <c r="B296" s="11" t="str">
        <f aca="false">INDEX(PRODUTOS!$E$4:$E$63,MATCH($A296,PRODUTOS!$B$4:$B$63,0))</f>
        <v>Ração Seca Natural Dots Light para Cães - Pacote 1 kg</v>
      </c>
      <c r="C296" s="11" t="str">
        <f aca="false">INDEX(PRODUTOS!$G$4:$G$63,MATCH($A296,PRODUTOS!$B$4:$B$63,0))</f>
        <v>1 kg</v>
      </c>
      <c r="D296" s="11" t="s">
        <v>307</v>
      </c>
      <c r="E296" s="15" t="str">
        <f aca="false">$A296&amp;"."&amp;$D296&amp;".jpg"</f>
        <v>7908591300147.PT04.jpg</v>
      </c>
      <c r="F296" s="11" t="str">
        <f aca="false">INDEX('O QUE MOSTRAR'!$B$4:$B$12,MATCH($D296,'O QUE MOSTRAR'!$A$4:$A$12,0))</f>
        <v>Posição 5</v>
      </c>
      <c r="G296" s="11" t="str">
        <f aca="false">IF(INDEX(PRODUTOS!$F$4:$F$63,MATCH($A296,PRODUTOS!$B$4:$B$63,0))="Ração",INDEX('O QUE MOSTRAR'!$C$4:$C$12,MATCH($D296,'O QUE MOSTRAR'!$A$4:$A$12,0)),INDEX('O QUE MOSTRAR'!$D$4:$D$12,MATCH($D296,'O QUE MOSTRAR'!$A$4:$A$12,0)))</f>
        <v>Quantidade diária por peso do pet (números idênticos à embalagem)</v>
      </c>
      <c r="H296" s="11" t="str">
        <f aca="false">INDEX('O QUE MOSTRAR'!$E$4:$E$12,MATCH($D296,'O QUE MOSTRAR'!$A$4:$A$12,0))</f>
        <v>2000 × 2000</v>
      </c>
      <c r="I296" s="11" t="str">
        <f aca="false">INDEX('O QUE MOSTRAR'!$F$4:$F$12,MATCH($D296,'O QUE MOSTRAR'!$A$4:$A$12,0))</f>
        <v>SIM</v>
      </c>
      <c r="J296" s="13" t="s">
        <v>303</v>
      </c>
      <c r="K296" s="13"/>
    </row>
    <row r="297" customFormat="false" ht="15" hidden="false" customHeight="false" outlineLevel="0" collapsed="false">
      <c r="A297" s="14" t="s">
        <v>164</v>
      </c>
      <c r="B297" s="11" t="str">
        <f aca="false">INDEX(PRODUTOS!$E$4:$E$63,MATCH($A297,PRODUTOS!$B$4:$B$63,0))</f>
        <v>Ração Seca Natural Dots Light para Cães - Pacote 1 kg</v>
      </c>
      <c r="C297" s="11" t="str">
        <f aca="false">INDEX(PRODUTOS!$G$4:$G$63,MATCH($A297,PRODUTOS!$B$4:$B$63,0))</f>
        <v>1 kg</v>
      </c>
      <c r="D297" s="11" t="s">
        <v>308</v>
      </c>
      <c r="E297" s="15" t="str">
        <f aca="false">$A297&amp;"."&amp;$D297&amp;".jpg"</f>
        <v>7908591300147.PT05.jpg</v>
      </c>
      <c r="F297" s="11" t="str">
        <f aca="false">INDEX('O QUE MOSTRAR'!$B$4:$B$12,MATCH($D297,'O QUE MOSTRAR'!$A$4:$A$12,0))</f>
        <v>Posição 6</v>
      </c>
      <c r="G297" s="11" t="str">
        <f aca="false">IF(INDEX(PRODUTOS!$F$4:$F$63,MATCH($A297,PRODUTOS!$B$4:$B$63,0))="Ração",INDEX('O QUE MOSTRAR'!$C$4:$C$12,MATCH($D297,'O QUE MOSTRAR'!$A$4:$A$12,0)),INDEX('O QUE MOSTRAR'!$D$4:$D$12,MATCH($D297,'O QUE MOSTRAR'!$A$4:$A$12,0)))</f>
        <v>Transição alimentar dia a dia (igual ao verso da embalagem)</v>
      </c>
      <c r="H297" s="11" t="str">
        <f aca="false">INDEX('O QUE MOSTRAR'!$E$4:$E$12,MATCH($D297,'O QUE MOSTRAR'!$A$4:$A$12,0))</f>
        <v>2000 × 2000</v>
      </c>
      <c r="I297" s="11" t="str">
        <f aca="false">INDEX('O QUE MOSTRAR'!$F$4:$F$12,MATCH($D297,'O QUE MOSTRAR'!$A$4:$A$12,0))</f>
        <v>Recomendada</v>
      </c>
      <c r="J297" s="13" t="s">
        <v>303</v>
      </c>
      <c r="K297" s="13"/>
    </row>
    <row r="298" customFormat="false" ht="15" hidden="false" customHeight="false" outlineLevel="0" collapsed="false">
      <c r="A298" s="14" t="s">
        <v>164</v>
      </c>
      <c r="B298" s="11" t="str">
        <f aca="false">INDEX(PRODUTOS!$E$4:$E$63,MATCH($A298,PRODUTOS!$B$4:$B$63,0))</f>
        <v>Ração Seca Natural Dots Light para Cães - Pacote 1 kg</v>
      </c>
      <c r="C298" s="11" t="str">
        <f aca="false">INDEX(PRODUTOS!$G$4:$G$63,MATCH($A298,PRODUTOS!$B$4:$B$63,0))</f>
        <v>1 kg</v>
      </c>
      <c r="D298" s="11" t="s">
        <v>309</v>
      </c>
      <c r="E298" s="15" t="str">
        <f aca="false">$A298&amp;"."&amp;$D298&amp;".jpg"</f>
        <v>7908591300147.PT06.jpg</v>
      </c>
      <c r="F298" s="11" t="str">
        <f aca="false">INDEX('O QUE MOSTRAR'!$B$4:$B$12,MATCH($D298,'O QUE MOSTRAR'!$A$4:$A$12,0))</f>
        <v>Posição 7</v>
      </c>
      <c r="G298" s="11" t="str">
        <f aca="false">IF(INDEX(PRODUTOS!$F$4:$F$63,MATCH($A298,PRODUTOS!$B$4:$B$63,0))="Ração",INDEX('O QUE MOSTRAR'!$C$4:$C$12,MATCH($D298,'O QUE MOSTRAR'!$A$4:$A$12,0)),INDEX('O QUE MOSTRAR'!$D$4:$D$12,MATCH($D298,'O QUE MOSTRAR'!$A$4:$A$12,0)))</f>
        <v>Composição e níveis de garantia em letra grande</v>
      </c>
      <c r="H298" s="11" t="str">
        <f aca="false">INDEX('O QUE MOSTRAR'!$E$4:$E$12,MATCH($D298,'O QUE MOSTRAR'!$A$4:$A$12,0))</f>
        <v>2000 × 2000</v>
      </c>
      <c r="I298" s="11" t="str">
        <f aca="false">INDEX('O QUE MOSTRAR'!$F$4:$F$12,MATCH($D298,'O QUE MOSTRAR'!$A$4:$A$12,0))</f>
        <v>SIM</v>
      </c>
      <c r="J298" s="13" t="s">
        <v>303</v>
      </c>
      <c r="K298" s="13"/>
    </row>
    <row r="299" customFormat="false" ht="15" hidden="false" customHeight="false" outlineLevel="0" collapsed="false">
      <c r="A299" s="14" t="s">
        <v>164</v>
      </c>
      <c r="B299" s="11" t="str">
        <f aca="false">INDEX(PRODUTOS!$E$4:$E$63,MATCH($A299,PRODUTOS!$B$4:$B$63,0))</f>
        <v>Ração Seca Natural Dots Light para Cães - Pacote 1 kg</v>
      </c>
      <c r="C299" s="11" t="str">
        <f aca="false">INDEX(PRODUTOS!$G$4:$G$63,MATCH($A299,PRODUTOS!$B$4:$B$63,0))</f>
        <v>1 kg</v>
      </c>
      <c r="D299" s="11" t="s">
        <v>310</v>
      </c>
      <c r="E299" s="15" t="str">
        <f aca="false">$A299&amp;"."&amp;$D299&amp;".jpg"</f>
        <v>7908591300147.PT07.jpg</v>
      </c>
      <c r="F299" s="11" t="str">
        <f aca="false">INDEX('O QUE MOSTRAR'!$B$4:$B$12,MATCH($D299,'O QUE MOSTRAR'!$A$4:$A$12,0))</f>
        <v>Posição 8</v>
      </c>
      <c r="G299" s="11" t="str">
        <f aca="false">IF(INDEX(PRODUTOS!$F$4:$F$63,MATCH($A299,PRODUTOS!$B$4:$B$63,0))="Ração",INDEX('O QUE MOSTRAR'!$C$4:$C$12,MATCH($D299,'O QUE MOSTRAR'!$A$4:$A$12,0)),INDEX('O QUE MOSTRAR'!$D$4:$D$12,MATCH($D299,'O QUE MOSTRAR'!$A$4:$A$12,0)))</f>
        <v>Emocional / momento de uso (pet do porte certo, pote cheio)</v>
      </c>
      <c r="H299" s="11" t="str">
        <f aca="false">INDEX('O QUE MOSTRAR'!$E$4:$E$12,MATCH($D299,'O QUE MOSTRAR'!$A$4:$A$12,0))</f>
        <v>2000 × 2000</v>
      </c>
      <c r="I299" s="11" t="str">
        <f aca="false">INDEX('O QUE MOSTRAR'!$F$4:$F$12,MATCH($D299,'O QUE MOSTRAR'!$A$4:$A$12,0))</f>
        <v>Recomendada</v>
      </c>
      <c r="J299" s="13" t="s">
        <v>303</v>
      </c>
      <c r="K299" s="13"/>
    </row>
    <row r="300" customFormat="false" ht="15" hidden="false" customHeight="false" outlineLevel="0" collapsed="false">
      <c r="A300" s="14" t="s">
        <v>164</v>
      </c>
      <c r="B300" s="11" t="str">
        <f aca="false">INDEX(PRODUTOS!$E$4:$E$63,MATCH($A300,PRODUTOS!$B$4:$B$63,0))</f>
        <v>Ração Seca Natural Dots Light para Cães - Pacote 1 kg</v>
      </c>
      <c r="C300" s="11" t="str">
        <f aca="false">INDEX(PRODUTOS!$G$4:$G$63,MATCH($A300,PRODUTOS!$B$4:$B$63,0))</f>
        <v>1 kg</v>
      </c>
      <c r="D300" s="11" t="s">
        <v>311</v>
      </c>
      <c r="E300" s="15" t="str">
        <f aca="false">$A300&amp;"."&amp;$D300&amp;".jpg"</f>
        <v>7908591300147.PT08.jpg</v>
      </c>
      <c r="F300" s="11" t="str">
        <f aca="false">INDEX('O QUE MOSTRAR'!$B$4:$B$12,MATCH($D300,'O QUE MOSTRAR'!$A$4:$A$12,0))</f>
        <v>Posição 9</v>
      </c>
      <c r="G300" s="11" t="str">
        <f aca="false">IF(INDEX(PRODUTOS!$F$4:$F$63,MATCH($A300,PRODUTOS!$B$4:$B$63,0))="Ração",INDEX('O QUE MOSTRAR'!$C$4:$C$12,MATCH($D300,'O QUE MOSTRAR'!$A$4:$A$12,0)),INDEX('O QUE MOSTRAR'!$D$4:$D$12,MATCH($D300,'O QUE MOSTRAR'!$A$4:$A$12,0)))</f>
        <v>Linha da marca ou embalagem anterior × nova</v>
      </c>
      <c r="H300" s="11" t="str">
        <f aca="false">INDEX('O QUE MOSTRAR'!$E$4:$E$12,MATCH($D300,'O QUE MOSTRAR'!$A$4:$A$12,0))</f>
        <v>2000 × 2000</v>
      </c>
      <c r="I300" s="11" t="str">
        <f aca="false">INDEX('O QUE MOSTRAR'!$F$4:$F$12,MATCH($D300,'O QUE MOSTRAR'!$A$4:$A$12,0))</f>
        <v>Recomendada</v>
      </c>
      <c r="J300" s="13" t="s">
        <v>303</v>
      </c>
      <c r="K300" s="13"/>
    </row>
    <row r="301" customFormat="false" ht="15" hidden="false" customHeight="false" outlineLevel="0" collapsed="false">
      <c r="A301" s="14" t="s">
        <v>168</v>
      </c>
      <c r="B301" s="11" t="str">
        <f aca="false">INDEX(PRODUTOS!$E$4:$E$63,MATCH($A301,PRODUTOS!$B$4:$B$63,0))</f>
        <v>Sachê Natural Dots Livre de Trangênico Cães Carne ao Molho 85 g</v>
      </c>
      <c r="C301" s="11" t="str">
        <f aca="false">INDEX(PRODUTOS!$G$4:$G$63,MATCH($A301,PRODUTOS!$B$4:$B$63,0))</f>
        <v>85 g</v>
      </c>
      <c r="D301" s="11" t="s">
        <v>302</v>
      </c>
      <c r="E301" s="15" t="str">
        <f aca="false">$A301&amp;"."&amp;$D301&amp;".jpg"</f>
        <v>7908591300376.MAIN.jpg</v>
      </c>
      <c r="F301" s="11" t="str">
        <f aca="false">INDEX('O QUE MOSTRAR'!$B$4:$B$12,MATCH($D301,'O QUE MOSTRAR'!$A$4:$A$12,0))</f>
        <v>Capa (posição 1)</v>
      </c>
      <c r="G301" s="11" t="str">
        <f aca="false">IF(INDEX(PRODUTOS!$F$4:$F$63,MATCH($A301,PRODUTOS!$B$4:$B$63,0))="Ração",INDEX('O QUE MOSTRAR'!$C$4:$C$12,MATCH($D301,'O QUE MOSTRAR'!$A$4:$A$12,0)),INDEX('O QUE MOSTRAR'!$D$4:$D$12,MATCH($D301,'O QUE MOSTRAR'!$A$4:$A$12,0)))</f>
        <v>Embalagem de frente, fundo branco puro, 85% da área, nada adicionado</v>
      </c>
      <c r="H301" s="11" t="str">
        <f aca="false">INDEX('O QUE MOSTRAR'!$E$4:$E$12,MATCH($D301,'O QUE MOSTRAR'!$A$4:$A$12,0))</f>
        <v>2000 × 2000</v>
      </c>
      <c r="I301" s="11" t="str">
        <f aca="false">INDEX('O QUE MOSTRAR'!$F$4:$F$12,MATCH($D301,'O QUE MOSTRAR'!$A$4:$A$12,0))</f>
        <v>SIM</v>
      </c>
      <c r="J301" s="13" t="s">
        <v>303</v>
      </c>
      <c r="K301" s="13"/>
    </row>
    <row r="302" customFormat="false" ht="15" hidden="false" customHeight="false" outlineLevel="0" collapsed="false">
      <c r="A302" s="14" t="s">
        <v>168</v>
      </c>
      <c r="B302" s="11" t="str">
        <f aca="false">INDEX(PRODUTOS!$E$4:$E$63,MATCH($A302,PRODUTOS!$B$4:$B$63,0))</f>
        <v>Sachê Natural Dots Livre de Trangênico Cães Carne ao Molho 85 g</v>
      </c>
      <c r="C302" s="11" t="str">
        <f aca="false">INDEX(PRODUTOS!$G$4:$G$63,MATCH($A302,PRODUTOS!$B$4:$B$63,0))</f>
        <v>85 g</v>
      </c>
      <c r="D302" s="11" t="s">
        <v>304</v>
      </c>
      <c r="E302" s="15" t="str">
        <f aca="false">$A302&amp;"."&amp;$D302&amp;".jpg"</f>
        <v>7908591300376.PT01.jpg</v>
      </c>
      <c r="F302" s="11" t="str">
        <f aca="false">INDEX('O QUE MOSTRAR'!$B$4:$B$12,MATCH($D302,'O QUE MOSTRAR'!$A$4:$A$12,0))</f>
        <v>Posição 2</v>
      </c>
      <c r="G302" s="11" t="str">
        <f aca="false">IF(INDEX(PRODUTOS!$F$4:$F$63,MATCH($A302,PRODUTOS!$B$4:$B$63,0))="Ração",INDEX('O QUE MOSTRAR'!$C$4:$C$12,MATCH($D302,'O QUE MOSTRAR'!$A$4:$A$12,0)),INDEX('O QUE MOSTRAR'!$D$4:$D$12,MATCH($D302,'O QUE MOSTRAR'!$A$4:$A$12,0)))</f>
        <v>Grande diferencial da linha (número ou promessa forte + grão e ingrediente)</v>
      </c>
      <c r="H302" s="11" t="str">
        <f aca="false">INDEX('O QUE MOSTRAR'!$E$4:$E$12,MATCH($D302,'O QUE MOSTRAR'!$A$4:$A$12,0))</f>
        <v>2000 × 2000</v>
      </c>
      <c r="I302" s="11" t="str">
        <f aca="false">INDEX('O QUE MOSTRAR'!$F$4:$F$12,MATCH($D302,'O QUE MOSTRAR'!$A$4:$A$12,0))</f>
        <v>SIM</v>
      </c>
      <c r="J302" s="13" t="s">
        <v>303</v>
      </c>
      <c r="K302" s="13"/>
    </row>
    <row r="303" customFormat="false" ht="15" hidden="false" customHeight="false" outlineLevel="0" collapsed="false">
      <c r="A303" s="14" t="s">
        <v>168</v>
      </c>
      <c r="B303" s="11" t="str">
        <f aca="false">INDEX(PRODUTOS!$E$4:$E$63,MATCH($A303,PRODUTOS!$B$4:$B$63,0))</f>
        <v>Sachê Natural Dots Livre de Trangênico Cães Carne ao Molho 85 g</v>
      </c>
      <c r="C303" s="11" t="str">
        <f aca="false">INDEX(PRODUTOS!$G$4:$G$63,MATCH($A303,PRODUTOS!$B$4:$B$63,0))</f>
        <v>85 g</v>
      </c>
      <c r="D303" s="11" t="s">
        <v>305</v>
      </c>
      <c r="E303" s="15" t="str">
        <f aca="false">$A303&amp;"."&amp;$D303&amp;".jpg"</f>
        <v>7908591300376.PT02.jpg</v>
      </c>
      <c r="F303" s="11" t="str">
        <f aca="false">INDEX('O QUE MOSTRAR'!$B$4:$B$12,MATCH($D303,'O QUE MOSTRAR'!$A$4:$A$12,0))</f>
        <v>Posição 3</v>
      </c>
      <c r="G303" s="11" t="str">
        <f aca="false">IF(INDEX(PRODUTOS!$F$4:$F$63,MATCH($A303,PRODUTOS!$B$4:$B$63,0))="Ração",INDEX('O QUE MOSTRAR'!$C$4:$C$12,MATCH($D303,'O QUE MOSTRAR'!$A$4:$A$12,0)),INDEX('O QUE MOSTRAR'!$D$4:$D$12,MATCH($D303,'O QUE MOSTRAR'!$A$4:$A$12,0)))</f>
        <v>Benefícios com ícones (4 a 6, impressos na embalagem) + ingrediente</v>
      </c>
      <c r="H303" s="11" t="str">
        <f aca="false">INDEX('O QUE MOSTRAR'!$E$4:$E$12,MATCH($D303,'O QUE MOSTRAR'!$A$4:$A$12,0))</f>
        <v>2000 × 2000</v>
      </c>
      <c r="I303" s="11" t="str">
        <f aca="false">INDEX('O QUE MOSTRAR'!$F$4:$F$12,MATCH($D303,'O QUE MOSTRAR'!$A$4:$A$12,0))</f>
        <v>SIM</v>
      </c>
      <c r="J303" s="13" t="s">
        <v>303</v>
      </c>
      <c r="K303" s="13"/>
    </row>
    <row r="304" customFormat="false" ht="15" hidden="false" customHeight="false" outlineLevel="0" collapsed="false">
      <c r="A304" s="14" t="s">
        <v>168</v>
      </c>
      <c r="B304" s="11" t="str">
        <f aca="false">INDEX(PRODUTOS!$E$4:$E$63,MATCH($A304,PRODUTOS!$B$4:$B$63,0))</f>
        <v>Sachê Natural Dots Livre de Trangênico Cães Carne ao Molho 85 g</v>
      </c>
      <c r="C304" s="11" t="str">
        <f aca="false">INDEX(PRODUTOS!$G$4:$G$63,MATCH($A304,PRODUTOS!$B$4:$B$63,0))</f>
        <v>85 g</v>
      </c>
      <c r="D304" s="11" t="s">
        <v>306</v>
      </c>
      <c r="E304" s="15" t="str">
        <f aca="false">$A304&amp;"."&amp;$D304&amp;".jpg"</f>
        <v>7908591300376.PT03.jpg</v>
      </c>
      <c r="F304" s="11" t="str">
        <f aca="false">INDEX('O QUE MOSTRAR'!$B$4:$B$12,MATCH($D304,'O QUE MOSTRAR'!$A$4:$A$12,0))</f>
        <v>Posição 4</v>
      </c>
      <c r="G304" s="11" t="str">
        <f aca="false">IF(INDEX(PRODUTOS!$F$4:$F$63,MATCH($A304,PRODUTOS!$B$4:$B$63,0))="Ração",INDEX('O QUE MOSTRAR'!$C$4:$C$12,MATCH($D304,'O QUE MOSTRAR'!$A$4:$A$12,0)),INDEX('O QUE MOSTRAR'!$D$4:$D$12,MATCH($D304,'O QUE MOSTRAR'!$A$4:$A$12,0)))</f>
        <v>Formato e tamanho do grão, com medida em mm e referência de tamanho</v>
      </c>
      <c r="H304" s="11" t="str">
        <f aca="false">INDEX('O QUE MOSTRAR'!$E$4:$E$12,MATCH($D304,'O QUE MOSTRAR'!$A$4:$A$12,0))</f>
        <v>2000 × 2000</v>
      </c>
      <c r="I304" s="11" t="str">
        <f aca="false">INDEX('O QUE MOSTRAR'!$F$4:$F$12,MATCH($D304,'O QUE MOSTRAR'!$A$4:$A$12,0))</f>
        <v>SIM</v>
      </c>
      <c r="J304" s="13" t="s">
        <v>303</v>
      </c>
      <c r="K304" s="13"/>
    </row>
    <row r="305" customFormat="false" ht="15" hidden="false" customHeight="false" outlineLevel="0" collapsed="false">
      <c r="A305" s="14" t="s">
        <v>168</v>
      </c>
      <c r="B305" s="11" t="str">
        <f aca="false">INDEX(PRODUTOS!$E$4:$E$63,MATCH($A305,PRODUTOS!$B$4:$B$63,0))</f>
        <v>Sachê Natural Dots Livre de Trangênico Cães Carne ao Molho 85 g</v>
      </c>
      <c r="C305" s="11" t="str">
        <f aca="false">INDEX(PRODUTOS!$G$4:$G$63,MATCH($A305,PRODUTOS!$B$4:$B$63,0))</f>
        <v>85 g</v>
      </c>
      <c r="D305" s="11" t="s">
        <v>307</v>
      </c>
      <c r="E305" s="15" t="str">
        <f aca="false">$A305&amp;"."&amp;$D305&amp;".jpg"</f>
        <v>7908591300376.PT04.jpg</v>
      </c>
      <c r="F305" s="11" t="str">
        <f aca="false">INDEX('O QUE MOSTRAR'!$B$4:$B$12,MATCH($D305,'O QUE MOSTRAR'!$A$4:$A$12,0))</f>
        <v>Posição 5</v>
      </c>
      <c r="G305" s="11" t="str">
        <f aca="false">IF(INDEX(PRODUTOS!$F$4:$F$63,MATCH($A305,PRODUTOS!$B$4:$B$63,0))="Ração",INDEX('O QUE MOSTRAR'!$C$4:$C$12,MATCH($D305,'O QUE MOSTRAR'!$A$4:$A$12,0)),INDEX('O QUE MOSTRAR'!$D$4:$D$12,MATCH($D305,'O QUE MOSTRAR'!$A$4:$A$12,0)))</f>
        <v>Quantidade diária por peso do pet (números idênticos à embalagem)</v>
      </c>
      <c r="H305" s="11" t="str">
        <f aca="false">INDEX('O QUE MOSTRAR'!$E$4:$E$12,MATCH($D305,'O QUE MOSTRAR'!$A$4:$A$12,0))</f>
        <v>2000 × 2000</v>
      </c>
      <c r="I305" s="11" t="str">
        <f aca="false">INDEX('O QUE MOSTRAR'!$F$4:$F$12,MATCH($D305,'O QUE MOSTRAR'!$A$4:$A$12,0))</f>
        <v>SIM</v>
      </c>
      <c r="J305" s="13" t="s">
        <v>303</v>
      </c>
      <c r="K305" s="13"/>
    </row>
    <row r="306" customFormat="false" ht="15" hidden="false" customHeight="false" outlineLevel="0" collapsed="false">
      <c r="A306" s="14" t="s">
        <v>168</v>
      </c>
      <c r="B306" s="11" t="str">
        <f aca="false">INDEX(PRODUTOS!$E$4:$E$63,MATCH($A306,PRODUTOS!$B$4:$B$63,0))</f>
        <v>Sachê Natural Dots Livre de Trangênico Cães Carne ao Molho 85 g</v>
      </c>
      <c r="C306" s="11" t="str">
        <f aca="false">INDEX(PRODUTOS!$G$4:$G$63,MATCH($A306,PRODUTOS!$B$4:$B$63,0))</f>
        <v>85 g</v>
      </c>
      <c r="D306" s="11" t="s">
        <v>308</v>
      </c>
      <c r="E306" s="15" t="str">
        <f aca="false">$A306&amp;"."&amp;$D306&amp;".jpg"</f>
        <v>7908591300376.PT05.jpg</v>
      </c>
      <c r="F306" s="11" t="str">
        <f aca="false">INDEX('O QUE MOSTRAR'!$B$4:$B$12,MATCH($D306,'O QUE MOSTRAR'!$A$4:$A$12,0))</f>
        <v>Posição 6</v>
      </c>
      <c r="G306" s="11" t="str">
        <f aca="false">IF(INDEX(PRODUTOS!$F$4:$F$63,MATCH($A306,PRODUTOS!$B$4:$B$63,0))="Ração",INDEX('O QUE MOSTRAR'!$C$4:$C$12,MATCH($D306,'O QUE MOSTRAR'!$A$4:$A$12,0)),INDEX('O QUE MOSTRAR'!$D$4:$D$12,MATCH($D306,'O QUE MOSTRAR'!$A$4:$A$12,0)))</f>
        <v>Transição alimentar dia a dia (igual ao verso da embalagem)</v>
      </c>
      <c r="H306" s="11" t="str">
        <f aca="false">INDEX('O QUE MOSTRAR'!$E$4:$E$12,MATCH($D306,'O QUE MOSTRAR'!$A$4:$A$12,0))</f>
        <v>2000 × 2000</v>
      </c>
      <c r="I306" s="11" t="str">
        <f aca="false">INDEX('O QUE MOSTRAR'!$F$4:$F$12,MATCH($D306,'O QUE MOSTRAR'!$A$4:$A$12,0))</f>
        <v>Recomendada</v>
      </c>
      <c r="J306" s="13" t="s">
        <v>303</v>
      </c>
      <c r="K306" s="13"/>
    </row>
    <row r="307" customFormat="false" ht="15" hidden="false" customHeight="false" outlineLevel="0" collapsed="false">
      <c r="A307" s="14" t="s">
        <v>168</v>
      </c>
      <c r="B307" s="11" t="str">
        <f aca="false">INDEX(PRODUTOS!$E$4:$E$63,MATCH($A307,PRODUTOS!$B$4:$B$63,0))</f>
        <v>Sachê Natural Dots Livre de Trangênico Cães Carne ao Molho 85 g</v>
      </c>
      <c r="C307" s="11" t="str">
        <f aca="false">INDEX(PRODUTOS!$G$4:$G$63,MATCH($A307,PRODUTOS!$B$4:$B$63,0))</f>
        <v>85 g</v>
      </c>
      <c r="D307" s="11" t="s">
        <v>309</v>
      </c>
      <c r="E307" s="15" t="str">
        <f aca="false">$A307&amp;"."&amp;$D307&amp;".jpg"</f>
        <v>7908591300376.PT06.jpg</v>
      </c>
      <c r="F307" s="11" t="str">
        <f aca="false">INDEX('O QUE MOSTRAR'!$B$4:$B$12,MATCH($D307,'O QUE MOSTRAR'!$A$4:$A$12,0))</f>
        <v>Posição 7</v>
      </c>
      <c r="G307" s="11" t="str">
        <f aca="false">IF(INDEX(PRODUTOS!$F$4:$F$63,MATCH($A307,PRODUTOS!$B$4:$B$63,0))="Ração",INDEX('O QUE MOSTRAR'!$C$4:$C$12,MATCH($D307,'O QUE MOSTRAR'!$A$4:$A$12,0)),INDEX('O QUE MOSTRAR'!$D$4:$D$12,MATCH($D307,'O QUE MOSTRAR'!$A$4:$A$12,0)))</f>
        <v>Composição e níveis de garantia em letra grande</v>
      </c>
      <c r="H307" s="11" t="str">
        <f aca="false">INDEX('O QUE MOSTRAR'!$E$4:$E$12,MATCH($D307,'O QUE MOSTRAR'!$A$4:$A$12,0))</f>
        <v>2000 × 2000</v>
      </c>
      <c r="I307" s="11" t="str">
        <f aca="false">INDEX('O QUE MOSTRAR'!$F$4:$F$12,MATCH($D307,'O QUE MOSTRAR'!$A$4:$A$12,0))</f>
        <v>SIM</v>
      </c>
      <c r="J307" s="13" t="s">
        <v>303</v>
      </c>
      <c r="K307" s="13"/>
    </row>
    <row r="308" customFormat="false" ht="15" hidden="false" customHeight="false" outlineLevel="0" collapsed="false">
      <c r="A308" s="14" t="s">
        <v>168</v>
      </c>
      <c r="B308" s="11" t="str">
        <f aca="false">INDEX(PRODUTOS!$E$4:$E$63,MATCH($A308,PRODUTOS!$B$4:$B$63,0))</f>
        <v>Sachê Natural Dots Livre de Trangênico Cães Carne ao Molho 85 g</v>
      </c>
      <c r="C308" s="11" t="str">
        <f aca="false">INDEX(PRODUTOS!$G$4:$G$63,MATCH($A308,PRODUTOS!$B$4:$B$63,0))</f>
        <v>85 g</v>
      </c>
      <c r="D308" s="11" t="s">
        <v>310</v>
      </c>
      <c r="E308" s="15" t="str">
        <f aca="false">$A308&amp;"."&amp;$D308&amp;".jpg"</f>
        <v>7908591300376.PT07.jpg</v>
      </c>
      <c r="F308" s="11" t="str">
        <f aca="false">INDEX('O QUE MOSTRAR'!$B$4:$B$12,MATCH($D308,'O QUE MOSTRAR'!$A$4:$A$12,0))</f>
        <v>Posição 8</v>
      </c>
      <c r="G308" s="11" t="str">
        <f aca="false">IF(INDEX(PRODUTOS!$F$4:$F$63,MATCH($A308,PRODUTOS!$B$4:$B$63,0))="Ração",INDEX('O QUE MOSTRAR'!$C$4:$C$12,MATCH($D308,'O QUE MOSTRAR'!$A$4:$A$12,0)),INDEX('O QUE MOSTRAR'!$D$4:$D$12,MATCH($D308,'O QUE MOSTRAR'!$A$4:$A$12,0)))</f>
        <v>Emocional / momento de uso (pet do porte certo, pote cheio)</v>
      </c>
      <c r="H308" s="11" t="str">
        <f aca="false">INDEX('O QUE MOSTRAR'!$E$4:$E$12,MATCH($D308,'O QUE MOSTRAR'!$A$4:$A$12,0))</f>
        <v>2000 × 2000</v>
      </c>
      <c r="I308" s="11" t="str">
        <f aca="false">INDEX('O QUE MOSTRAR'!$F$4:$F$12,MATCH($D308,'O QUE MOSTRAR'!$A$4:$A$12,0))</f>
        <v>Recomendada</v>
      </c>
      <c r="J308" s="13" t="s">
        <v>303</v>
      </c>
      <c r="K308" s="13"/>
    </row>
    <row r="309" customFormat="false" ht="15" hidden="false" customHeight="false" outlineLevel="0" collapsed="false">
      <c r="A309" s="14" t="s">
        <v>168</v>
      </c>
      <c r="B309" s="11" t="str">
        <f aca="false">INDEX(PRODUTOS!$E$4:$E$63,MATCH($A309,PRODUTOS!$B$4:$B$63,0))</f>
        <v>Sachê Natural Dots Livre de Trangênico Cães Carne ao Molho 85 g</v>
      </c>
      <c r="C309" s="11" t="str">
        <f aca="false">INDEX(PRODUTOS!$G$4:$G$63,MATCH($A309,PRODUTOS!$B$4:$B$63,0))</f>
        <v>85 g</v>
      </c>
      <c r="D309" s="11" t="s">
        <v>311</v>
      </c>
      <c r="E309" s="15" t="str">
        <f aca="false">$A309&amp;"."&amp;$D309&amp;".jpg"</f>
        <v>7908591300376.PT08.jpg</v>
      </c>
      <c r="F309" s="11" t="str">
        <f aca="false">INDEX('O QUE MOSTRAR'!$B$4:$B$12,MATCH($D309,'O QUE MOSTRAR'!$A$4:$A$12,0))</f>
        <v>Posição 9</v>
      </c>
      <c r="G309" s="11" t="str">
        <f aca="false">IF(INDEX(PRODUTOS!$F$4:$F$63,MATCH($A309,PRODUTOS!$B$4:$B$63,0))="Ração",INDEX('O QUE MOSTRAR'!$C$4:$C$12,MATCH($D309,'O QUE MOSTRAR'!$A$4:$A$12,0)),INDEX('O QUE MOSTRAR'!$D$4:$D$12,MATCH($D309,'O QUE MOSTRAR'!$A$4:$A$12,0)))</f>
        <v>Linha da marca ou embalagem anterior × nova</v>
      </c>
      <c r="H309" s="11" t="str">
        <f aca="false">INDEX('O QUE MOSTRAR'!$E$4:$E$12,MATCH($D309,'O QUE MOSTRAR'!$A$4:$A$12,0))</f>
        <v>2000 × 2000</v>
      </c>
      <c r="I309" s="11" t="str">
        <f aca="false">INDEX('O QUE MOSTRAR'!$F$4:$F$12,MATCH($D309,'O QUE MOSTRAR'!$A$4:$A$12,0))</f>
        <v>Recomendada</v>
      </c>
      <c r="J309" s="13" t="s">
        <v>303</v>
      </c>
      <c r="K309" s="13"/>
    </row>
    <row r="310" customFormat="false" ht="15" hidden="false" customHeight="false" outlineLevel="0" collapsed="false">
      <c r="A310" s="14" t="s">
        <v>173</v>
      </c>
      <c r="B310" s="11" t="str">
        <f aca="false">INDEX(PRODUTOS!$E$4:$E$63,MATCH($A310,PRODUTOS!$B$4:$B$63,0))</f>
        <v>Sachê Natural Dots Livre de Trangênico Cães Cordeiro 85 g</v>
      </c>
      <c r="C310" s="11" t="str">
        <f aca="false">INDEX(PRODUTOS!$G$4:$G$63,MATCH($A310,PRODUTOS!$B$4:$B$63,0))</f>
        <v>85 g</v>
      </c>
      <c r="D310" s="11" t="s">
        <v>302</v>
      </c>
      <c r="E310" s="15" t="str">
        <f aca="false">$A310&amp;"."&amp;$D310&amp;".jpg"</f>
        <v>7908591300383.MAIN.jpg</v>
      </c>
      <c r="F310" s="11" t="str">
        <f aca="false">INDEX('O QUE MOSTRAR'!$B$4:$B$12,MATCH($D310,'O QUE MOSTRAR'!$A$4:$A$12,0))</f>
        <v>Capa (posição 1)</v>
      </c>
      <c r="G310" s="11" t="str">
        <f aca="false">IF(INDEX(PRODUTOS!$F$4:$F$63,MATCH($A310,PRODUTOS!$B$4:$B$63,0))="Ração",INDEX('O QUE MOSTRAR'!$C$4:$C$12,MATCH($D310,'O QUE MOSTRAR'!$A$4:$A$12,0)),INDEX('O QUE MOSTRAR'!$D$4:$D$12,MATCH($D310,'O QUE MOSTRAR'!$A$4:$A$12,0)))</f>
        <v>Embalagem de frente, fundo branco puro, 85% da área, nada adicionado</v>
      </c>
      <c r="H310" s="11" t="str">
        <f aca="false">INDEX('O QUE MOSTRAR'!$E$4:$E$12,MATCH($D310,'O QUE MOSTRAR'!$A$4:$A$12,0))</f>
        <v>2000 × 2000</v>
      </c>
      <c r="I310" s="11" t="str">
        <f aca="false">INDEX('O QUE MOSTRAR'!$F$4:$F$12,MATCH($D310,'O QUE MOSTRAR'!$A$4:$A$12,0))</f>
        <v>SIM</v>
      </c>
      <c r="J310" s="13" t="s">
        <v>303</v>
      </c>
      <c r="K310" s="13"/>
    </row>
    <row r="311" customFormat="false" ht="15" hidden="false" customHeight="false" outlineLevel="0" collapsed="false">
      <c r="A311" s="14" t="s">
        <v>173</v>
      </c>
      <c r="B311" s="11" t="str">
        <f aca="false">INDEX(PRODUTOS!$E$4:$E$63,MATCH($A311,PRODUTOS!$B$4:$B$63,0))</f>
        <v>Sachê Natural Dots Livre de Trangênico Cães Cordeiro 85 g</v>
      </c>
      <c r="C311" s="11" t="str">
        <f aca="false">INDEX(PRODUTOS!$G$4:$G$63,MATCH($A311,PRODUTOS!$B$4:$B$63,0))</f>
        <v>85 g</v>
      </c>
      <c r="D311" s="11" t="s">
        <v>304</v>
      </c>
      <c r="E311" s="15" t="str">
        <f aca="false">$A311&amp;"."&amp;$D311&amp;".jpg"</f>
        <v>7908591300383.PT01.jpg</v>
      </c>
      <c r="F311" s="11" t="str">
        <f aca="false">INDEX('O QUE MOSTRAR'!$B$4:$B$12,MATCH($D311,'O QUE MOSTRAR'!$A$4:$A$12,0))</f>
        <v>Posição 2</v>
      </c>
      <c r="G311" s="11" t="str">
        <f aca="false">IF(INDEX(PRODUTOS!$F$4:$F$63,MATCH($A311,PRODUTOS!$B$4:$B$63,0))="Ração",INDEX('O QUE MOSTRAR'!$C$4:$C$12,MATCH($D311,'O QUE MOSTRAR'!$A$4:$A$12,0)),INDEX('O QUE MOSTRAR'!$D$4:$D$12,MATCH($D311,'O QUE MOSTRAR'!$A$4:$A$12,0)))</f>
        <v>Grande diferencial da linha (número ou promessa forte + grão e ingrediente)</v>
      </c>
      <c r="H311" s="11" t="str">
        <f aca="false">INDEX('O QUE MOSTRAR'!$E$4:$E$12,MATCH($D311,'O QUE MOSTRAR'!$A$4:$A$12,0))</f>
        <v>2000 × 2000</v>
      </c>
      <c r="I311" s="11" t="str">
        <f aca="false">INDEX('O QUE MOSTRAR'!$F$4:$F$12,MATCH($D311,'O QUE MOSTRAR'!$A$4:$A$12,0))</f>
        <v>SIM</v>
      </c>
      <c r="J311" s="13" t="s">
        <v>303</v>
      </c>
      <c r="K311" s="13"/>
    </row>
    <row r="312" customFormat="false" ht="15" hidden="false" customHeight="false" outlineLevel="0" collapsed="false">
      <c r="A312" s="14" t="s">
        <v>173</v>
      </c>
      <c r="B312" s="11" t="str">
        <f aca="false">INDEX(PRODUTOS!$E$4:$E$63,MATCH($A312,PRODUTOS!$B$4:$B$63,0))</f>
        <v>Sachê Natural Dots Livre de Trangênico Cães Cordeiro 85 g</v>
      </c>
      <c r="C312" s="11" t="str">
        <f aca="false">INDEX(PRODUTOS!$G$4:$G$63,MATCH($A312,PRODUTOS!$B$4:$B$63,0))</f>
        <v>85 g</v>
      </c>
      <c r="D312" s="11" t="s">
        <v>305</v>
      </c>
      <c r="E312" s="15" t="str">
        <f aca="false">$A312&amp;"."&amp;$D312&amp;".jpg"</f>
        <v>7908591300383.PT02.jpg</v>
      </c>
      <c r="F312" s="11" t="str">
        <f aca="false">INDEX('O QUE MOSTRAR'!$B$4:$B$12,MATCH($D312,'O QUE MOSTRAR'!$A$4:$A$12,0))</f>
        <v>Posição 3</v>
      </c>
      <c r="G312" s="11" t="str">
        <f aca="false">IF(INDEX(PRODUTOS!$F$4:$F$63,MATCH($A312,PRODUTOS!$B$4:$B$63,0))="Ração",INDEX('O QUE MOSTRAR'!$C$4:$C$12,MATCH($D312,'O QUE MOSTRAR'!$A$4:$A$12,0)),INDEX('O QUE MOSTRAR'!$D$4:$D$12,MATCH($D312,'O QUE MOSTRAR'!$A$4:$A$12,0)))</f>
        <v>Benefícios com ícones (4 a 6, impressos na embalagem) + ingrediente</v>
      </c>
      <c r="H312" s="11" t="str">
        <f aca="false">INDEX('O QUE MOSTRAR'!$E$4:$E$12,MATCH($D312,'O QUE MOSTRAR'!$A$4:$A$12,0))</f>
        <v>2000 × 2000</v>
      </c>
      <c r="I312" s="11" t="str">
        <f aca="false">INDEX('O QUE MOSTRAR'!$F$4:$F$12,MATCH($D312,'O QUE MOSTRAR'!$A$4:$A$12,0))</f>
        <v>SIM</v>
      </c>
      <c r="J312" s="13" t="s">
        <v>303</v>
      </c>
      <c r="K312" s="13"/>
    </row>
    <row r="313" customFormat="false" ht="15" hidden="false" customHeight="false" outlineLevel="0" collapsed="false">
      <c r="A313" s="14" t="s">
        <v>173</v>
      </c>
      <c r="B313" s="11" t="str">
        <f aca="false">INDEX(PRODUTOS!$E$4:$E$63,MATCH($A313,PRODUTOS!$B$4:$B$63,0))</f>
        <v>Sachê Natural Dots Livre de Trangênico Cães Cordeiro 85 g</v>
      </c>
      <c r="C313" s="11" t="str">
        <f aca="false">INDEX(PRODUTOS!$G$4:$G$63,MATCH($A313,PRODUTOS!$B$4:$B$63,0))</f>
        <v>85 g</v>
      </c>
      <c r="D313" s="11" t="s">
        <v>306</v>
      </c>
      <c r="E313" s="15" t="str">
        <f aca="false">$A313&amp;"."&amp;$D313&amp;".jpg"</f>
        <v>7908591300383.PT03.jpg</v>
      </c>
      <c r="F313" s="11" t="str">
        <f aca="false">INDEX('O QUE MOSTRAR'!$B$4:$B$12,MATCH($D313,'O QUE MOSTRAR'!$A$4:$A$12,0))</f>
        <v>Posição 4</v>
      </c>
      <c r="G313" s="11" t="str">
        <f aca="false">IF(INDEX(PRODUTOS!$F$4:$F$63,MATCH($A313,PRODUTOS!$B$4:$B$63,0))="Ração",INDEX('O QUE MOSTRAR'!$C$4:$C$12,MATCH($D313,'O QUE MOSTRAR'!$A$4:$A$12,0)),INDEX('O QUE MOSTRAR'!$D$4:$D$12,MATCH($D313,'O QUE MOSTRAR'!$A$4:$A$12,0)))</f>
        <v>Formato e tamanho do grão, com medida em mm e referência de tamanho</v>
      </c>
      <c r="H313" s="11" t="str">
        <f aca="false">INDEX('O QUE MOSTRAR'!$E$4:$E$12,MATCH($D313,'O QUE MOSTRAR'!$A$4:$A$12,0))</f>
        <v>2000 × 2000</v>
      </c>
      <c r="I313" s="11" t="str">
        <f aca="false">INDEX('O QUE MOSTRAR'!$F$4:$F$12,MATCH($D313,'O QUE MOSTRAR'!$A$4:$A$12,0))</f>
        <v>SIM</v>
      </c>
      <c r="J313" s="13" t="s">
        <v>303</v>
      </c>
      <c r="K313" s="13"/>
    </row>
    <row r="314" customFormat="false" ht="15" hidden="false" customHeight="false" outlineLevel="0" collapsed="false">
      <c r="A314" s="14" t="s">
        <v>173</v>
      </c>
      <c r="B314" s="11" t="str">
        <f aca="false">INDEX(PRODUTOS!$E$4:$E$63,MATCH($A314,PRODUTOS!$B$4:$B$63,0))</f>
        <v>Sachê Natural Dots Livre de Trangênico Cães Cordeiro 85 g</v>
      </c>
      <c r="C314" s="11" t="str">
        <f aca="false">INDEX(PRODUTOS!$G$4:$G$63,MATCH($A314,PRODUTOS!$B$4:$B$63,0))</f>
        <v>85 g</v>
      </c>
      <c r="D314" s="11" t="s">
        <v>307</v>
      </c>
      <c r="E314" s="15" t="str">
        <f aca="false">$A314&amp;"."&amp;$D314&amp;".jpg"</f>
        <v>7908591300383.PT04.jpg</v>
      </c>
      <c r="F314" s="11" t="str">
        <f aca="false">INDEX('O QUE MOSTRAR'!$B$4:$B$12,MATCH($D314,'O QUE MOSTRAR'!$A$4:$A$12,0))</f>
        <v>Posição 5</v>
      </c>
      <c r="G314" s="11" t="str">
        <f aca="false">IF(INDEX(PRODUTOS!$F$4:$F$63,MATCH($A314,PRODUTOS!$B$4:$B$63,0))="Ração",INDEX('O QUE MOSTRAR'!$C$4:$C$12,MATCH($D314,'O QUE MOSTRAR'!$A$4:$A$12,0)),INDEX('O QUE MOSTRAR'!$D$4:$D$12,MATCH($D314,'O QUE MOSTRAR'!$A$4:$A$12,0)))</f>
        <v>Quantidade diária por peso do pet (números idênticos à embalagem)</v>
      </c>
      <c r="H314" s="11" t="str">
        <f aca="false">INDEX('O QUE MOSTRAR'!$E$4:$E$12,MATCH($D314,'O QUE MOSTRAR'!$A$4:$A$12,0))</f>
        <v>2000 × 2000</v>
      </c>
      <c r="I314" s="11" t="str">
        <f aca="false">INDEX('O QUE MOSTRAR'!$F$4:$F$12,MATCH($D314,'O QUE MOSTRAR'!$A$4:$A$12,0))</f>
        <v>SIM</v>
      </c>
      <c r="J314" s="13" t="s">
        <v>303</v>
      </c>
      <c r="K314" s="13"/>
    </row>
    <row r="315" customFormat="false" ht="15" hidden="false" customHeight="false" outlineLevel="0" collapsed="false">
      <c r="A315" s="14" t="s">
        <v>173</v>
      </c>
      <c r="B315" s="11" t="str">
        <f aca="false">INDEX(PRODUTOS!$E$4:$E$63,MATCH($A315,PRODUTOS!$B$4:$B$63,0))</f>
        <v>Sachê Natural Dots Livre de Trangênico Cães Cordeiro 85 g</v>
      </c>
      <c r="C315" s="11" t="str">
        <f aca="false">INDEX(PRODUTOS!$G$4:$G$63,MATCH($A315,PRODUTOS!$B$4:$B$63,0))</f>
        <v>85 g</v>
      </c>
      <c r="D315" s="11" t="s">
        <v>308</v>
      </c>
      <c r="E315" s="15" t="str">
        <f aca="false">$A315&amp;"."&amp;$D315&amp;".jpg"</f>
        <v>7908591300383.PT05.jpg</v>
      </c>
      <c r="F315" s="11" t="str">
        <f aca="false">INDEX('O QUE MOSTRAR'!$B$4:$B$12,MATCH($D315,'O QUE MOSTRAR'!$A$4:$A$12,0))</f>
        <v>Posição 6</v>
      </c>
      <c r="G315" s="11" t="str">
        <f aca="false">IF(INDEX(PRODUTOS!$F$4:$F$63,MATCH($A315,PRODUTOS!$B$4:$B$63,0))="Ração",INDEX('O QUE MOSTRAR'!$C$4:$C$12,MATCH($D315,'O QUE MOSTRAR'!$A$4:$A$12,0)),INDEX('O QUE MOSTRAR'!$D$4:$D$12,MATCH($D315,'O QUE MOSTRAR'!$A$4:$A$12,0)))</f>
        <v>Transição alimentar dia a dia (igual ao verso da embalagem)</v>
      </c>
      <c r="H315" s="11" t="str">
        <f aca="false">INDEX('O QUE MOSTRAR'!$E$4:$E$12,MATCH($D315,'O QUE MOSTRAR'!$A$4:$A$12,0))</f>
        <v>2000 × 2000</v>
      </c>
      <c r="I315" s="11" t="str">
        <f aca="false">INDEX('O QUE MOSTRAR'!$F$4:$F$12,MATCH($D315,'O QUE MOSTRAR'!$A$4:$A$12,0))</f>
        <v>Recomendada</v>
      </c>
      <c r="J315" s="13" t="s">
        <v>303</v>
      </c>
      <c r="K315" s="13"/>
    </row>
    <row r="316" customFormat="false" ht="15" hidden="false" customHeight="false" outlineLevel="0" collapsed="false">
      <c r="A316" s="14" t="s">
        <v>173</v>
      </c>
      <c r="B316" s="11" t="str">
        <f aca="false">INDEX(PRODUTOS!$E$4:$E$63,MATCH($A316,PRODUTOS!$B$4:$B$63,0))</f>
        <v>Sachê Natural Dots Livre de Trangênico Cães Cordeiro 85 g</v>
      </c>
      <c r="C316" s="11" t="str">
        <f aca="false">INDEX(PRODUTOS!$G$4:$G$63,MATCH($A316,PRODUTOS!$B$4:$B$63,0))</f>
        <v>85 g</v>
      </c>
      <c r="D316" s="11" t="s">
        <v>309</v>
      </c>
      <c r="E316" s="15" t="str">
        <f aca="false">$A316&amp;"."&amp;$D316&amp;".jpg"</f>
        <v>7908591300383.PT06.jpg</v>
      </c>
      <c r="F316" s="11" t="str">
        <f aca="false">INDEX('O QUE MOSTRAR'!$B$4:$B$12,MATCH($D316,'O QUE MOSTRAR'!$A$4:$A$12,0))</f>
        <v>Posição 7</v>
      </c>
      <c r="G316" s="11" t="str">
        <f aca="false">IF(INDEX(PRODUTOS!$F$4:$F$63,MATCH($A316,PRODUTOS!$B$4:$B$63,0))="Ração",INDEX('O QUE MOSTRAR'!$C$4:$C$12,MATCH($D316,'O QUE MOSTRAR'!$A$4:$A$12,0)),INDEX('O QUE MOSTRAR'!$D$4:$D$12,MATCH($D316,'O QUE MOSTRAR'!$A$4:$A$12,0)))</f>
        <v>Composição e níveis de garantia em letra grande</v>
      </c>
      <c r="H316" s="11" t="str">
        <f aca="false">INDEX('O QUE MOSTRAR'!$E$4:$E$12,MATCH($D316,'O QUE MOSTRAR'!$A$4:$A$12,0))</f>
        <v>2000 × 2000</v>
      </c>
      <c r="I316" s="11" t="str">
        <f aca="false">INDEX('O QUE MOSTRAR'!$F$4:$F$12,MATCH($D316,'O QUE MOSTRAR'!$A$4:$A$12,0))</f>
        <v>SIM</v>
      </c>
      <c r="J316" s="13" t="s">
        <v>303</v>
      </c>
      <c r="K316" s="13"/>
    </row>
    <row r="317" customFormat="false" ht="15" hidden="false" customHeight="false" outlineLevel="0" collapsed="false">
      <c r="A317" s="14" t="s">
        <v>173</v>
      </c>
      <c r="B317" s="11" t="str">
        <f aca="false">INDEX(PRODUTOS!$E$4:$E$63,MATCH($A317,PRODUTOS!$B$4:$B$63,0))</f>
        <v>Sachê Natural Dots Livre de Trangênico Cães Cordeiro 85 g</v>
      </c>
      <c r="C317" s="11" t="str">
        <f aca="false">INDEX(PRODUTOS!$G$4:$G$63,MATCH($A317,PRODUTOS!$B$4:$B$63,0))</f>
        <v>85 g</v>
      </c>
      <c r="D317" s="11" t="s">
        <v>310</v>
      </c>
      <c r="E317" s="15" t="str">
        <f aca="false">$A317&amp;"."&amp;$D317&amp;".jpg"</f>
        <v>7908591300383.PT07.jpg</v>
      </c>
      <c r="F317" s="11" t="str">
        <f aca="false">INDEX('O QUE MOSTRAR'!$B$4:$B$12,MATCH($D317,'O QUE MOSTRAR'!$A$4:$A$12,0))</f>
        <v>Posição 8</v>
      </c>
      <c r="G317" s="11" t="str">
        <f aca="false">IF(INDEX(PRODUTOS!$F$4:$F$63,MATCH($A317,PRODUTOS!$B$4:$B$63,0))="Ração",INDEX('O QUE MOSTRAR'!$C$4:$C$12,MATCH($D317,'O QUE MOSTRAR'!$A$4:$A$12,0)),INDEX('O QUE MOSTRAR'!$D$4:$D$12,MATCH($D317,'O QUE MOSTRAR'!$A$4:$A$12,0)))</f>
        <v>Emocional / momento de uso (pet do porte certo, pote cheio)</v>
      </c>
      <c r="H317" s="11" t="str">
        <f aca="false">INDEX('O QUE MOSTRAR'!$E$4:$E$12,MATCH($D317,'O QUE MOSTRAR'!$A$4:$A$12,0))</f>
        <v>2000 × 2000</v>
      </c>
      <c r="I317" s="11" t="str">
        <f aca="false">INDEX('O QUE MOSTRAR'!$F$4:$F$12,MATCH($D317,'O QUE MOSTRAR'!$A$4:$A$12,0))</f>
        <v>Recomendada</v>
      </c>
      <c r="J317" s="13" t="s">
        <v>303</v>
      </c>
      <c r="K317" s="13"/>
    </row>
    <row r="318" customFormat="false" ht="15" hidden="false" customHeight="false" outlineLevel="0" collapsed="false">
      <c r="A318" s="14" t="s">
        <v>173</v>
      </c>
      <c r="B318" s="11" t="str">
        <f aca="false">INDEX(PRODUTOS!$E$4:$E$63,MATCH($A318,PRODUTOS!$B$4:$B$63,0))</f>
        <v>Sachê Natural Dots Livre de Trangênico Cães Cordeiro 85 g</v>
      </c>
      <c r="C318" s="11" t="str">
        <f aca="false">INDEX(PRODUTOS!$G$4:$G$63,MATCH($A318,PRODUTOS!$B$4:$B$63,0))</f>
        <v>85 g</v>
      </c>
      <c r="D318" s="11" t="s">
        <v>311</v>
      </c>
      <c r="E318" s="15" t="str">
        <f aca="false">$A318&amp;"."&amp;$D318&amp;".jpg"</f>
        <v>7908591300383.PT08.jpg</v>
      </c>
      <c r="F318" s="11" t="str">
        <f aca="false">INDEX('O QUE MOSTRAR'!$B$4:$B$12,MATCH($D318,'O QUE MOSTRAR'!$A$4:$A$12,0))</f>
        <v>Posição 9</v>
      </c>
      <c r="G318" s="11" t="str">
        <f aca="false">IF(INDEX(PRODUTOS!$F$4:$F$63,MATCH($A318,PRODUTOS!$B$4:$B$63,0))="Ração",INDEX('O QUE MOSTRAR'!$C$4:$C$12,MATCH($D318,'O QUE MOSTRAR'!$A$4:$A$12,0)),INDEX('O QUE MOSTRAR'!$D$4:$D$12,MATCH($D318,'O QUE MOSTRAR'!$A$4:$A$12,0)))</f>
        <v>Linha da marca ou embalagem anterior × nova</v>
      </c>
      <c r="H318" s="11" t="str">
        <f aca="false">INDEX('O QUE MOSTRAR'!$E$4:$E$12,MATCH($D318,'O QUE MOSTRAR'!$A$4:$A$12,0))</f>
        <v>2000 × 2000</v>
      </c>
      <c r="I318" s="11" t="str">
        <f aca="false">INDEX('O QUE MOSTRAR'!$F$4:$F$12,MATCH($D318,'O QUE MOSTRAR'!$A$4:$A$12,0))</f>
        <v>Recomendada</v>
      </c>
      <c r="J318" s="13" t="s">
        <v>303</v>
      </c>
      <c r="K318" s="13"/>
    </row>
    <row r="319" customFormat="false" ht="15" hidden="false" customHeight="false" outlineLevel="0" collapsed="false">
      <c r="A319" s="14" t="s">
        <v>177</v>
      </c>
      <c r="B319" s="11" t="str">
        <f aca="false">INDEX(PRODUTOS!$E$4:$E$63,MATCH($A319,PRODUTOS!$B$4:$B$63,0))</f>
        <v>Sachê Natural Dots Livre de Trangênico Gato Carne 85 g</v>
      </c>
      <c r="C319" s="11" t="str">
        <f aca="false">INDEX(PRODUTOS!$G$4:$G$63,MATCH($A319,PRODUTOS!$B$4:$B$63,0))</f>
        <v>85 g</v>
      </c>
      <c r="D319" s="11" t="s">
        <v>302</v>
      </c>
      <c r="E319" s="15" t="str">
        <f aca="false">$A319&amp;"."&amp;$D319&amp;".jpg"</f>
        <v>7908591300390.MAIN.jpg</v>
      </c>
      <c r="F319" s="11" t="str">
        <f aca="false">INDEX('O QUE MOSTRAR'!$B$4:$B$12,MATCH($D319,'O QUE MOSTRAR'!$A$4:$A$12,0))</f>
        <v>Capa (posição 1)</v>
      </c>
      <c r="G319" s="11" t="str">
        <f aca="false">IF(INDEX(PRODUTOS!$F$4:$F$63,MATCH($A319,PRODUTOS!$B$4:$B$63,0))="Ração",INDEX('O QUE MOSTRAR'!$C$4:$C$12,MATCH($D319,'O QUE MOSTRAR'!$A$4:$A$12,0)),INDEX('O QUE MOSTRAR'!$D$4:$D$12,MATCH($D319,'O QUE MOSTRAR'!$A$4:$A$12,0)))</f>
        <v>Embalagem de frente, fundo branco puro, 85% da área, nada adicionado</v>
      </c>
      <c r="H319" s="11" t="str">
        <f aca="false">INDEX('O QUE MOSTRAR'!$E$4:$E$12,MATCH($D319,'O QUE MOSTRAR'!$A$4:$A$12,0))</f>
        <v>2000 × 2000</v>
      </c>
      <c r="I319" s="11" t="str">
        <f aca="false">INDEX('O QUE MOSTRAR'!$F$4:$F$12,MATCH($D319,'O QUE MOSTRAR'!$A$4:$A$12,0))</f>
        <v>SIM</v>
      </c>
      <c r="J319" s="13" t="s">
        <v>303</v>
      </c>
      <c r="K319" s="13"/>
    </row>
    <row r="320" customFormat="false" ht="15" hidden="false" customHeight="false" outlineLevel="0" collapsed="false">
      <c r="A320" s="14" t="s">
        <v>177</v>
      </c>
      <c r="B320" s="11" t="str">
        <f aca="false">INDEX(PRODUTOS!$E$4:$E$63,MATCH($A320,PRODUTOS!$B$4:$B$63,0))</f>
        <v>Sachê Natural Dots Livre de Trangênico Gato Carne 85 g</v>
      </c>
      <c r="C320" s="11" t="str">
        <f aca="false">INDEX(PRODUTOS!$G$4:$G$63,MATCH($A320,PRODUTOS!$B$4:$B$63,0))</f>
        <v>85 g</v>
      </c>
      <c r="D320" s="11" t="s">
        <v>304</v>
      </c>
      <c r="E320" s="15" t="str">
        <f aca="false">$A320&amp;"."&amp;$D320&amp;".jpg"</f>
        <v>7908591300390.PT01.jpg</v>
      </c>
      <c r="F320" s="11" t="str">
        <f aca="false">INDEX('O QUE MOSTRAR'!$B$4:$B$12,MATCH($D320,'O QUE MOSTRAR'!$A$4:$A$12,0))</f>
        <v>Posição 2</v>
      </c>
      <c r="G320" s="11" t="str">
        <f aca="false">IF(INDEX(PRODUTOS!$F$4:$F$63,MATCH($A320,PRODUTOS!$B$4:$B$63,0))="Ração",INDEX('O QUE MOSTRAR'!$C$4:$C$12,MATCH($D320,'O QUE MOSTRAR'!$A$4:$A$12,0)),INDEX('O QUE MOSTRAR'!$D$4:$D$12,MATCH($D320,'O QUE MOSTRAR'!$A$4:$A$12,0)))</f>
        <v>Grande diferencial da linha (número ou promessa forte + grão e ingrediente)</v>
      </c>
      <c r="H320" s="11" t="str">
        <f aca="false">INDEX('O QUE MOSTRAR'!$E$4:$E$12,MATCH($D320,'O QUE MOSTRAR'!$A$4:$A$12,0))</f>
        <v>2000 × 2000</v>
      </c>
      <c r="I320" s="11" t="str">
        <f aca="false">INDEX('O QUE MOSTRAR'!$F$4:$F$12,MATCH($D320,'O QUE MOSTRAR'!$A$4:$A$12,0))</f>
        <v>SIM</v>
      </c>
      <c r="J320" s="13" t="s">
        <v>303</v>
      </c>
      <c r="K320" s="13"/>
    </row>
    <row r="321" customFormat="false" ht="15" hidden="false" customHeight="false" outlineLevel="0" collapsed="false">
      <c r="A321" s="14" t="s">
        <v>177</v>
      </c>
      <c r="B321" s="11" t="str">
        <f aca="false">INDEX(PRODUTOS!$E$4:$E$63,MATCH($A321,PRODUTOS!$B$4:$B$63,0))</f>
        <v>Sachê Natural Dots Livre de Trangênico Gato Carne 85 g</v>
      </c>
      <c r="C321" s="11" t="str">
        <f aca="false">INDEX(PRODUTOS!$G$4:$G$63,MATCH($A321,PRODUTOS!$B$4:$B$63,0))</f>
        <v>85 g</v>
      </c>
      <c r="D321" s="11" t="s">
        <v>305</v>
      </c>
      <c r="E321" s="15" t="str">
        <f aca="false">$A321&amp;"."&amp;$D321&amp;".jpg"</f>
        <v>7908591300390.PT02.jpg</v>
      </c>
      <c r="F321" s="11" t="str">
        <f aca="false">INDEX('O QUE MOSTRAR'!$B$4:$B$12,MATCH($D321,'O QUE MOSTRAR'!$A$4:$A$12,0))</f>
        <v>Posição 3</v>
      </c>
      <c r="G321" s="11" t="str">
        <f aca="false">IF(INDEX(PRODUTOS!$F$4:$F$63,MATCH($A321,PRODUTOS!$B$4:$B$63,0))="Ração",INDEX('O QUE MOSTRAR'!$C$4:$C$12,MATCH($D321,'O QUE MOSTRAR'!$A$4:$A$12,0)),INDEX('O QUE MOSTRAR'!$D$4:$D$12,MATCH($D321,'O QUE MOSTRAR'!$A$4:$A$12,0)))</f>
        <v>Benefícios com ícones (4 a 6, impressos na embalagem) + ingrediente</v>
      </c>
      <c r="H321" s="11" t="str">
        <f aca="false">INDEX('O QUE MOSTRAR'!$E$4:$E$12,MATCH($D321,'O QUE MOSTRAR'!$A$4:$A$12,0))</f>
        <v>2000 × 2000</v>
      </c>
      <c r="I321" s="11" t="str">
        <f aca="false">INDEX('O QUE MOSTRAR'!$F$4:$F$12,MATCH($D321,'O QUE MOSTRAR'!$A$4:$A$12,0))</f>
        <v>SIM</v>
      </c>
      <c r="J321" s="13" t="s">
        <v>303</v>
      </c>
      <c r="K321" s="13"/>
    </row>
    <row r="322" customFormat="false" ht="15" hidden="false" customHeight="false" outlineLevel="0" collapsed="false">
      <c r="A322" s="14" t="s">
        <v>177</v>
      </c>
      <c r="B322" s="11" t="str">
        <f aca="false">INDEX(PRODUTOS!$E$4:$E$63,MATCH($A322,PRODUTOS!$B$4:$B$63,0))</f>
        <v>Sachê Natural Dots Livre de Trangênico Gato Carne 85 g</v>
      </c>
      <c r="C322" s="11" t="str">
        <f aca="false">INDEX(PRODUTOS!$G$4:$G$63,MATCH($A322,PRODUTOS!$B$4:$B$63,0))</f>
        <v>85 g</v>
      </c>
      <c r="D322" s="11" t="s">
        <v>306</v>
      </c>
      <c r="E322" s="15" t="str">
        <f aca="false">$A322&amp;"."&amp;$D322&amp;".jpg"</f>
        <v>7908591300390.PT03.jpg</v>
      </c>
      <c r="F322" s="11" t="str">
        <f aca="false">INDEX('O QUE MOSTRAR'!$B$4:$B$12,MATCH($D322,'O QUE MOSTRAR'!$A$4:$A$12,0))</f>
        <v>Posição 4</v>
      </c>
      <c r="G322" s="11" t="str">
        <f aca="false">IF(INDEX(PRODUTOS!$F$4:$F$63,MATCH($A322,PRODUTOS!$B$4:$B$63,0))="Ração",INDEX('O QUE MOSTRAR'!$C$4:$C$12,MATCH($D322,'O QUE MOSTRAR'!$A$4:$A$12,0)),INDEX('O QUE MOSTRAR'!$D$4:$D$12,MATCH($D322,'O QUE MOSTRAR'!$A$4:$A$12,0)))</f>
        <v>Formato e tamanho do grão, com medida em mm e referência de tamanho</v>
      </c>
      <c r="H322" s="11" t="str">
        <f aca="false">INDEX('O QUE MOSTRAR'!$E$4:$E$12,MATCH($D322,'O QUE MOSTRAR'!$A$4:$A$12,0))</f>
        <v>2000 × 2000</v>
      </c>
      <c r="I322" s="11" t="str">
        <f aca="false">INDEX('O QUE MOSTRAR'!$F$4:$F$12,MATCH($D322,'O QUE MOSTRAR'!$A$4:$A$12,0))</f>
        <v>SIM</v>
      </c>
      <c r="J322" s="13" t="s">
        <v>303</v>
      </c>
      <c r="K322" s="13"/>
    </row>
    <row r="323" customFormat="false" ht="15" hidden="false" customHeight="false" outlineLevel="0" collapsed="false">
      <c r="A323" s="14" t="s">
        <v>177</v>
      </c>
      <c r="B323" s="11" t="str">
        <f aca="false">INDEX(PRODUTOS!$E$4:$E$63,MATCH($A323,PRODUTOS!$B$4:$B$63,0))</f>
        <v>Sachê Natural Dots Livre de Trangênico Gato Carne 85 g</v>
      </c>
      <c r="C323" s="11" t="str">
        <f aca="false">INDEX(PRODUTOS!$G$4:$G$63,MATCH($A323,PRODUTOS!$B$4:$B$63,0))</f>
        <v>85 g</v>
      </c>
      <c r="D323" s="11" t="s">
        <v>307</v>
      </c>
      <c r="E323" s="15" t="str">
        <f aca="false">$A323&amp;"."&amp;$D323&amp;".jpg"</f>
        <v>7908591300390.PT04.jpg</v>
      </c>
      <c r="F323" s="11" t="str">
        <f aca="false">INDEX('O QUE MOSTRAR'!$B$4:$B$12,MATCH($D323,'O QUE MOSTRAR'!$A$4:$A$12,0))</f>
        <v>Posição 5</v>
      </c>
      <c r="G323" s="11" t="str">
        <f aca="false">IF(INDEX(PRODUTOS!$F$4:$F$63,MATCH($A323,PRODUTOS!$B$4:$B$63,0))="Ração",INDEX('O QUE MOSTRAR'!$C$4:$C$12,MATCH($D323,'O QUE MOSTRAR'!$A$4:$A$12,0)),INDEX('O QUE MOSTRAR'!$D$4:$D$12,MATCH($D323,'O QUE MOSTRAR'!$A$4:$A$12,0)))</f>
        <v>Quantidade diária por peso do pet (números idênticos à embalagem)</v>
      </c>
      <c r="H323" s="11" t="str">
        <f aca="false">INDEX('O QUE MOSTRAR'!$E$4:$E$12,MATCH($D323,'O QUE MOSTRAR'!$A$4:$A$12,0))</f>
        <v>2000 × 2000</v>
      </c>
      <c r="I323" s="11" t="str">
        <f aca="false">INDEX('O QUE MOSTRAR'!$F$4:$F$12,MATCH($D323,'O QUE MOSTRAR'!$A$4:$A$12,0))</f>
        <v>SIM</v>
      </c>
      <c r="J323" s="13" t="s">
        <v>303</v>
      </c>
      <c r="K323" s="13"/>
    </row>
    <row r="324" customFormat="false" ht="15" hidden="false" customHeight="false" outlineLevel="0" collapsed="false">
      <c r="A324" s="14" t="s">
        <v>177</v>
      </c>
      <c r="B324" s="11" t="str">
        <f aca="false">INDEX(PRODUTOS!$E$4:$E$63,MATCH($A324,PRODUTOS!$B$4:$B$63,0))</f>
        <v>Sachê Natural Dots Livre de Trangênico Gato Carne 85 g</v>
      </c>
      <c r="C324" s="11" t="str">
        <f aca="false">INDEX(PRODUTOS!$G$4:$G$63,MATCH($A324,PRODUTOS!$B$4:$B$63,0))</f>
        <v>85 g</v>
      </c>
      <c r="D324" s="11" t="s">
        <v>308</v>
      </c>
      <c r="E324" s="15" t="str">
        <f aca="false">$A324&amp;"."&amp;$D324&amp;".jpg"</f>
        <v>7908591300390.PT05.jpg</v>
      </c>
      <c r="F324" s="11" t="str">
        <f aca="false">INDEX('O QUE MOSTRAR'!$B$4:$B$12,MATCH($D324,'O QUE MOSTRAR'!$A$4:$A$12,0))</f>
        <v>Posição 6</v>
      </c>
      <c r="G324" s="11" t="str">
        <f aca="false">IF(INDEX(PRODUTOS!$F$4:$F$63,MATCH($A324,PRODUTOS!$B$4:$B$63,0))="Ração",INDEX('O QUE MOSTRAR'!$C$4:$C$12,MATCH($D324,'O QUE MOSTRAR'!$A$4:$A$12,0)),INDEX('O QUE MOSTRAR'!$D$4:$D$12,MATCH($D324,'O QUE MOSTRAR'!$A$4:$A$12,0)))</f>
        <v>Transição alimentar dia a dia (igual ao verso da embalagem)</v>
      </c>
      <c r="H324" s="11" t="str">
        <f aca="false">INDEX('O QUE MOSTRAR'!$E$4:$E$12,MATCH($D324,'O QUE MOSTRAR'!$A$4:$A$12,0))</f>
        <v>2000 × 2000</v>
      </c>
      <c r="I324" s="11" t="str">
        <f aca="false">INDEX('O QUE MOSTRAR'!$F$4:$F$12,MATCH($D324,'O QUE MOSTRAR'!$A$4:$A$12,0))</f>
        <v>Recomendada</v>
      </c>
      <c r="J324" s="13" t="s">
        <v>303</v>
      </c>
      <c r="K324" s="13"/>
    </row>
    <row r="325" customFormat="false" ht="15" hidden="false" customHeight="false" outlineLevel="0" collapsed="false">
      <c r="A325" s="14" t="s">
        <v>177</v>
      </c>
      <c r="B325" s="11" t="str">
        <f aca="false">INDEX(PRODUTOS!$E$4:$E$63,MATCH($A325,PRODUTOS!$B$4:$B$63,0))</f>
        <v>Sachê Natural Dots Livre de Trangênico Gato Carne 85 g</v>
      </c>
      <c r="C325" s="11" t="str">
        <f aca="false">INDEX(PRODUTOS!$G$4:$G$63,MATCH($A325,PRODUTOS!$B$4:$B$63,0))</f>
        <v>85 g</v>
      </c>
      <c r="D325" s="11" t="s">
        <v>309</v>
      </c>
      <c r="E325" s="15" t="str">
        <f aca="false">$A325&amp;"."&amp;$D325&amp;".jpg"</f>
        <v>7908591300390.PT06.jpg</v>
      </c>
      <c r="F325" s="11" t="str">
        <f aca="false">INDEX('O QUE MOSTRAR'!$B$4:$B$12,MATCH($D325,'O QUE MOSTRAR'!$A$4:$A$12,0))</f>
        <v>Posição 7</v>
      </c>
      <c r="G325" s="11" t="str">
        <f aca="false">IF(INDEX(PRODUTOS!$F$4:$F$63,MATCH($A325,PRODUTOS!$B$4:$B$63,0))="Ração",INDEX('O QUE MOSTRAR'!$C$4:$C$12,MATCH($D325,'O QUE MOSTRAR'!$A$4:$A$12,0)),INDEX('O QUE MOSTRAR'!$D$4:$D$12,MATCH($D325,'O QUE MOSTRAR'!$A$4:$A$12,0)))</f>
        <v>Composição e níveis de garantia em letra grande</v>
      </c>
      <c r="H325" s="11" t="str">
        <f aca="false">INDEX('O QUE MOSTRAR'!$E$4:$E$12,MATCH($D325,'O QUE MOSTRAR'!$A$4:$A$12,0))</f>
        <v>2000 × 2000</v>
      </c>
      <c r="I325" s="11" t="str">
        <f aca="false">INDEX('O QUE MOSTRAR'!$F$4:$F$12,MATCH($D325,'O QUE MOSTRAR'!$A$4:$A$12,0))</f>
        <v>SIM</v>
      </c>
      <c r="J325" s="13" t="s">
        <v>303</v>
      </c>
      <c r="K325" s="13"/>
    </row>
    <row r="326" customFormat="false" ht="15" hidden="false" customHeight="false" outlineLevel="0" collapsed="false">
      <c r="A326" s="14" t="s">
        <v>177</v>
      </c>
      <c r="B326" s="11" t="str">
        <f aca="false">INDEX(PRODUTOS!$E$4:$E$63,MATCH($A326,PRODUTOS!$B$4:$B$63,0))</f>
        <v>Sachê Natural Dots Livre de Trangênico Gato Carne 85 g</v>
      </c>
      <c r="C326" s="11" t="str">
        <f aca="false">INDEX(PRODUTOS!$G$4:$G$63,MATCH($A326,PRODUTOS!$B$4:$B$63,0))</f>
        <v>85 g</v>
      </c>
      <c r="D326" s="11" t="s">
        <v>310</v>
      </c>
      <c r="E326" s="15" t="str">
        <f aca="false">$A326&amp;"."&amp;$D326&amp;".jpg"</f>
        <v>7908591300390.PT07.jpg</v>
      </c>
      <c r="F326" s="11" t="str">
        <f aca="false">INDEX('O QUE MOSTRAR'!$B$4:$B$12,MATCH($D326,'O QUE MOSTRAR'!$A$4:$A$12,0))</f>
        <v>Posição 8</v>
      </c>
      <c r="G326" s="11" t="str">
        <f aca="false">IF(INDEX(PRODUTOS!$F$4:$F$63,MATCH($A326,PRODUTOS!$B$4:$B$63,0))="Ração",INDEX('O QUE MOSTRAR'!$C$4:$C$12,MATCH($D326,'O QUE MOSTRAR'!$A$4:$A$12,0)),INDEX('O QUE MOSTRAR'!$D$4:$D$12,MATCH($D326,'O QUE MOSTRAR'!$A$4:$A$12,0)))</f>
        <v>Emocional / momento de uso (pet do porte certo, pote cheio)</v>
      </c>
      <c r="H326" s="11" t="str">
        <f aca="false">INDEX('O QUE MOSTRAR'!$E$4:$E$12,MATCH($D326,'O QUE MOSTRAR'!$A$4:$A$12,0))</f>
        <v>2000 × 2000</v>
      </c>
      <c r="I326" s="11" t="str">
        <f aca="false">INDEX('O QUE MOSTRAR'!$F$4:$F$12,MATCH($D326,'O QUE MOSTRAR'!$A$4:$A$12,0))</f>
        <v>Recomendada</v>
      </c>
      <c r="J326" s="13" t="s">
        <v>303</v>
      </c>
      <c r="K326" s="13"/>
    </row>
    <row r="327" customFormat="false" ht="15" hidden="false" customHeight="false" outlineLevel="0" collapsed="false">
      <c r="A327" s="14" t="s">
        <v>177</v>
      </c>
      <c r="B327" s="11" t="str">
        <f aca="false">INDEX(PRODUTOS!$E$4:$E$63,MATCH($A327,PRODUTOS!$B$4:$B$63,0))</f>
        <v>Sachê Natural Dots Livre de Trangênico Gato Carne 85 g</v>
      </c>
      <c r="C327" s="11" t="str">
        <f aca="false">INDEX(PRODUTOS!$G$4:$G$63,MATCH($A327,PRODUTOS!$B$4:$B$63,0))</f>
        <v>85 g</v>
      </c>
      <c r="D327" s="11" t="s">
        <v>311</v>
      </c>
      <c r="E327" s="15" t="str">
        <f aca="false">$A327&amp;"."&amp;$D327&amp;".jpg"</f>
        <v>7908591300390.PT08.jpg</v>
      </c>
      <c r="F327" s="11" t="str">
        <f aca="false">INDEX('O QUE MOSTRAR'!$B$4:$B$12,MATCH($D327,'O QUE MOSTRAR'!$A$4:$A$12,0))</f>
        <v>Posição 9</v>
      </c>
      <c r="G327" s="11" t="str">
        <f aca="false">IF(INDEX(PRODUTOS!$F$4:$F$63,MATCH($A327,PRODUTOS!$B$4:$B$63,0))="Ração",INDEX('O QUE MOSTRAR'!$C$4:$C$12,MATCH($D327,'O QUE MOSTRAR'!$A$4:$A$12,0)),INDEX('O QUE MOSTRAR'!$D$4:$D$12,MATCH($D327,'O QUE MOSTRAR'!$A$4:$A$12,0)))</f>
        <v>Linha da marca ou embalagem anterior × nova</v>
      </c>
      <c r="H327" s="11" t="str">
        <f aca="false">INDEX('O QUE MOSTRAR'!$E$4:$E$12,MATCH($D327,'O QUE MOSTRAR'!$A$4:$A$12,0))</f>
        <v>2000 × 2000</v>
      </c>
      <c r="I327" s="11" t="str">
        <f aca="false">INDEX('O QUE MOSTRAR'!$F$4:$F$12,MATCH($D327,'O QUE MOSTRAR'!$A$4:$A$12,0))</f>
        <v>Recomendada</v>
      </c>
      <c r="J327" s="13" t="s">
        <v>303</v>
      </c>
      <c r="K327" s="13"/>
    </row>
    <row r="328" customFormat="false" ht="15" hidden="false" customHeight="false" outlineLevel="0" collapsed="false">
      <c r="A328" s="14" t="s">
        <v>181</v>
      </c>
      <c r="B328" s="11" t="str">
        <f aca="false">INDEX(PRODUTOS!$E$4:$E$63,MATCH($A328,PRODUTOS!$B$4:$B$63,0))</f>
        <v>Sachê Natural Dots para Gatos Sabor Salmão 85 g - Livre de Transgênicos</v>
      </c>
      <c r="C328" s="11" t="str">
        <f aca="false">INDEX(PRODUTOS!$G$4:$G$63,MATCH($A328,PRODUTOS!$B$4:$B$63,0))</f>
        <v>85 g</v>
      </c>
      <c r="D328" s="11" t="s">
        <v>302</v>
      </c>
      <c r="E328" s="15" t="str">
        <f aca="false">$A328&amp;"."&amp;$D328&amp;".jpg"</f>
        <v>7908591300673.MAIN.jpg</v>
      </c>
      <c r="F328" s="11" t="str">
        <f aca="false">INDEX('O QUE MOSTRAR'!$B$4:$B$12,MATCH($D328,'O QUE MOSTRAR'!$A$4:$A$12,0))</f>
        <v>Capa (posição 1)</v>
      </c>
      <c r="G328" s="11" t="str">
        <f aca="false">IF(INDEX(PRODUTOS!$F$4:$F$63,MATCH($A328,PRODUTOS!$B$4:$B$63,0))="Ração",INDEX('O QUE MOSTRAR'!$C$4:$C$12,MATCH($D328,'O QUE MOSTRAR'!$A$4:$A$12,0)),INDEX('O QUE MOSTRAR'!$D$4:$D$12,MATCH($D328,'O QUE MOSTRAR'!$A$4:$A$12,0)))</f>
        <v>Embalagem de frente, fundo branco puro, 85% da área, nada adicionado</v>
      </c>
      <c r="H328" s="11" t="str">
        <f aca="false">INDEX('O QUE MOSTRAR'!$E$4:$E$12,MATCH($D328,'O QUE MOSTRAR'!$A$4:$A$12,0))</f>
        <v>2000 × 2000</v>
      </c>
      <c r="I328" s="11" t="str">
        <f aca="false">INDEX('O QUE MOSTRAR'!$F$4:$F$12,MATCH($D328,'O QUE MOSTRAR'!$A$4:$A$12,0))</f>
        <v>SIM</v>
      </c>
      <c r="J328" s="13" t="s">
        <v>303</v>
      </c>
      <c r="K328" s="13"/>
    </row>
    <row r="329" customFormat="false" ht="15" hidden="false" customHeight="false" outlineLevel="0" collapsed="false">
      <c r="A329" s="14" t="s">
        <v>181</v>
      </c>
      <c r="B329" s="11" t="str">
        <f aca="false">INDEX(PRODUTOS!$E$4:$E$63,MATCH($A329,PRODUTOS!$B$4:$B$63,0))</f>
        <v>Sachê Natural Dots para Gatos Sabor Salmão 85 g - Livre de Transgênicos</v>
      </c>
      <c r="C329" s="11" t="str">
        <f aca="false">INDEX(PRODUTOS!$G$4:$G$63,MATCH($A329,PRODUTOS!$B$4:$B$63,0))</f>
        <v>85 g</v>
      </c>
      <c r="D329" s="11" t="s">
        <v>304</v>
      </c>
      <c r="E329" s="15" t="str">
        <f aca="false">$A329&amp;"."&amp;$D329&amp;".jpg"</f>
        <v>7908591300673.PT01.jpg</v>
      </c>
      <c r="F329" s="11" t="str">
        <f aca="false">INDEX('O QUE MOSTRAR'!$B$4:$B$12,MATCH($D329,'O QUE MOSTRAR'!$A$4:$A$12,0))</f>
        <v>Posição 2</v>
      </c>
      <c r="G329" s="11" t="str">
        <f aca="false">IF(INDEX(PRODUTOS!$F$4:$F$63,MATCH($A329,PRODUTOS!$B$4:$B$63,0))="Ração",INDEX('O QUE MOSTRAR'!$C$4:$C$12,MATCH($D329,'O QUE MOSTRAR'!$A$4:$A$12,0)),INDEX('O QUE MOSTRAR'!$D$4:$D$12,MATCH($D329,'O QUE MOSTRAR'!$A$4:$A$12,0)))</f>
        <v>Grande diferencial da linha (número ou promessa forte + grão e ingrediente)</v>
      </c>
      <c r="H329" s="11" t="str">
        <f aca="false">INDEX('O QUE MOSTRAR'!$E$4:$E$12,MATCH($D329,'O QUE MOSTRAR'!$A$4:$A$12,0))</f>
        <v>2000 × 2000</v>
      </c>
      <c r="I329" s="11" t="str">
        <f aca="false">INDEX('O QUE MOSTRAR'!$F$4:$F$12,MATCH($D329,'O QUE MOSTRAR'!$A$4:$A$12,0))</f>
        <v>SIM</v>
      </c>
      <c r="J329" s="13" t="s">
        <v>303</v>
      </c>
      <c r="K329" s="13"/>
    </row>
    <row r="330" customFormat="false" ht="15" hidden="false" customHeight="false" outlineLevel="0" collapsed="false">
      <c r="A330" s="14" t="s">
        <v>181</v>
      </c>
      <c r="B330" s="11" t="str">
        <f aca="false">INDEX(PRODUTOS!$E$4:$E$63,MATCH($A330,PRODUTOS!$B$4:$B$63,0))</f>
        <v>Sachê Natural Dots para Gatos Sabor Salmão 85 g - Livre de Transgênicos</v>
      </c>
      <c r="C330" s="11" t="str">
        <f aca="false">INDEX(PRODUTOS!$G$4:$G$63,MATCH($A330,PRODUTOS!$B$4:$B$63,0))</f>
        <v>85 g</v>
      </c>
      <c r="D330" s="11" t="s">
        <v>305</v>
      </c>
      <c r="E330" s="15" t="str">
        <f aca="false">$A330&amp;"."&amp;$D330&amp;".jpg"</f>
        <v>7908591300673.PT02.jpg</v>
      </c>
      <c r="F330" s="11" t="str">
        <f aca="false">INDEX('O QUE MOSTRAR'!$B$4:$B$12,MATCH($D330,'O QUE MOSTRAR'!$A$4:$A$12,0))</f>
        <v>Posição 3</v>
      </c>
      <c r="G330" s="11" t="str">
        <f aca="false">IF(INDEX(PRODUTOS!$F$4:$F$63,MATCH($A330,PRODUTOS!$B$4:$B$63,0))="Ração",INDEX('O QUE MOSTRAR'!$C$4:$C$12,MATCH($D330,'O QUE MOSTRAR'!$A$4:$A$12,0)),INDEX('O QUE MOSTRAR'!$D$4:$D$12,MATCH($D330,'O QUE MOSTRAR'!$A$4:$A$12,0)))</f>
        <v>Benefícios com ícones (4 a 6, impressos na embalagem) + ingrediente</v>
      </c>
      <c r="H330" s="11" t="str">
        <f aca="false">INDEX('O QUE MOSTRAR'!$E$4:$E$12,MATCH($D330,'O QUE MOSTRAR'!$A$4:$A$12,0))</f>
        <v>2000 × 2000</v>
      </c>
      <c r="I330" s="11" t="str">
        <f aca="false">INDEX('O QUE MOSTRAR'!$F$4:$F$12,MATCH($D330,'O QUE MOSTRAR'!$A$4:$A$12,0))</f>
        <v>SIM</v>
      </c>
      <c r="J330" s="13" t="s">
        <v>303</v>
      </c>
      <c r="K330" s="13"/>
    </row>
    <row r="331" customFormat="false" ht="15" hidden="false" customHeight="false" outlineLevel="0" collapsed="false">
      <c r="A331" s="14" t="s">
        <v>181</v>
      </c>
      <c r="B331" s="11" t="str">
        <f aca="false">INDEX(PRODUTOS!$E$4:$E$63,MATCH($A331,PRODUTOS!$B$4:$B$63,0))</f>
        <v>Sachê Natural Dots para Gatos Sabor Salmão 85 g - Livre de Transgênicos</v>
      </c>
      <c r="C331" s="11" t="str">
        <f aca="false">INDEX(PRODUTOS!$G$4:$G$63,MATCH($A331,PRODUTOS!$B$4:$B$63,0))</f>
        <v>85 g</v>
      </c>
      <c r="D331" s="11" t="s">
        <v>306</v>
      </c>
      <c r="E331" s="15" t="str">
        <f aca="false">$A331&amp;"."&amp;$D331&amp;".jpg"</f>
        <v>7908591300673.PT03.jpg</v>
      </c>
      <c r="F331" s="11" t="str">
        <f aca="false">INDEX('O QUE MOSTRAR'!$B$4:$B$12,MATCH($D331,'O QUE MOSTRAR'!$A$4:$A$12,0))</f>
        <v>Posição 4</v>
      </c>
      <c r="G331" s="11" t="str">
        <f aca="false">IF(INDEX(PRODUTOS!$F$4:$F$63,MATCH($A331,PRODUTOS!$B$4:$B$63,0))="Ração",INDEX('O QUE MOSTRAR'!$C$4:$C$12,MATCH($D331,'O QUE MOSTRAR'!$A$4:$A$12,0)),INDEX('O QUE MOSTRAR'!$D$4:$D$12,MATCH($D331,'O QUE MOSTRAR'!$A$4:$A$12,0)))</f>
        <v>Formato e tamanho do grão, com medida em mm e referência de tamanho</v>
      </c>
      <c r="H331" s="11" t="str">
        <f aca="false">INDEX('O QUE MOSTRAR'!$E$4:$E$12,MATCH($D331,'O QUE MOSTRAR'!$A$4:$A$12,0))</f>
        <v>2000 × 2000</v>
      </c>
      <c r="I331" s="11" t="str">
        <f aca="false">INDEX('O QUE MOSTRAR'!$F$4:$F$12,MATCH($D331,'O QUE MOSTRAR'!$A$4:$A$12,0))</f>
        <v>SIM</v>
      </c>
      <c r="J331" s="13" t="s">
        <v>303</v>
      </c>
      <c r="K331" s="13"/>
    </row>
    <row r="332" customFormat="false" ht="15" hidden="false" customHeight="false" outlineLevel="0" collapsed="false">
      <c r="A332" s="14" t="s">
        <v>181</v>
      </c>
      <c r="B332" s="11" t="str">
        <f aca="false">INDEX(PRODUTOS!$E$4:$E$63,MATCH($A332,PRODUTOS!$B$4:$B$63,0))</f>
        <v>Sachê Natural Dots para Gatos Sabor Salmão 85 g - Livre de Transgênicos</v>
      </c>
      <c r="C332" s="11" t="str">
        <f aca="false">INDEX(PRODUTOS!$G$4:$G$63,MATCH($A332,PRODUTOS!$B$4:$B$63,0))</f>
        <v>85 g</v>
      </c>
      <c r="D332" s="11" t="s">
        <v>307</v>
      </c>
      <c r="E332" s="15" t="str">
        <f aca="false">$A332&amp;"."&amp;$D332&amp;".jpg"</f>
        <v>7908591300673.PT04.jpg</v>
      </c>
      <c r="F332" s="11" t="str">
        <f aca="false">INDEX('O QUE MOSTRAR'!$B$4:$B$12,MATCH($D332,'O QUE MOSTRAR'!$A$4:$A$12,0))</f>
        <v>Posição 5</v>
      </c>
      <c r="G332" s="11" t="str">
        <f aca="false">IF(INDEX(PRODUTOS!$F$4:$F$63,MATCH($A332,PRODUTOS!$B$4:$B$63,0))="Ração",INDEX('O QUE MOSTRAR'!$C$4:$C$12,MATCH($D332,'O QUE MOSTRAR'!$A$4:$A$12,0)),INDEX('O QUE MOSTRAR'!$D$4:$D$12,MATCH($D332,'O QUE MOSTRAR'!$A$4:$A$12,0)))</f>
        <v>Quantidade diária por peso do pet (números idênticos à embalagem)</v>
      </c>
      <c r="H332" s="11" t="str">
        <f aca="false">INDEX('O QUE MOSTRAR'!$E$4:$E$12,MATCH($D332,'O QUE MOSTRAR'!$A$4:$A$12,0))</f>
        <v>2000 × 2000</v>
      </c>
      <c r="I332" s="11" t="str">
        <f aca="false">INDEX('O QUE MOSTRAR'!$F$4:$F$12,MATCH($D332,'O QUE MOSTRAR'!$A$4:$A$12,0))</f>
        <v>SIM</v>
      </c>
      <c r="J332" s="13" t="s">
        <v>303</v>
      </c>
      <c r="K332" s="13"/>
    </row>
    <row r="333" customFormat="false" ht="15" hidden="false" customHeight="false" outlineLevel="0" collapsed="false">
      <c r="A333" s="14" t="s">
        <v>181</v>
      </c>
      <c r="B333" s="11" t="str">
        <f aca="false">INDEX(PRODUTOS!$E$4:$E$63,MATCH($A333,PRODUTOS!$B$4:$B$63,0))</f>
        <v>Sachê Natural Dots para Gatos Sabor Salmão 85 g - Livre de Transgênicos</v>
      </c>
      <c r="C333" s="11" t="str">
        <f aca="false">INDEX(PRODUTOS!$G$4:$G$63,MATCH($A333,PRODUTOS!$B$4:$B$63,0))</f>
        <v>85 g</v>
      </c>
      <c r="D333" s="11" t="s">
        <v>308</v>
      </c>
      <c r="E333" s="15" t="str">
        <f aca="false">$A333&amp;"."&amp;$D333&amp;".jpg"</f>
        <v>7908591300673.PT05.jpg</v>
      </c>
      <c r="F333" s="11" t="str">
        <f aca="false">INDEX('O QUE MOSTRAR'!$B$4:$B$12,MATCH($D333,'O QUE MOSTRAR'!$A$4:$A$12,0))</f>
        <v>Posição 6</v>
      </c>
      <c r="G333" s="11" t="str">
        <f aca="false">IF(INDEX(PRODUTOS!$F$4:$F$63,MATCH($A333,PRODUTOS!$B$4:$B$63,0))="Ração",INDEX('O QUE MOSTRAR'!$C$4:$C$12,MATCH($D333,'O QUE MOSTRAR'!$A$4:$A$12,0)),INDEX('O QUE MOSTRAR'!$D$4:$D$12,MATCH($D333,'O QUE MOSTRAR'!$A$4:$A$12,0)))</f>
        <v>Transição alimentar dia a dia (igual ao verso da embalagem)</v>
      </c>
      <c r="H333" s="11" t="str">
        <f aca="false">INDEX('O QUE MOSTRAR'!$E$4:$E$12,MATCH($D333,'O QUE MOSTRAR'!$A$4:$A$12,0))</f>
        <v>2000 × 2000</v>
      </c>
      <c r="I333" s="11" t="str">
        <f aca="false">INDEX('O QUE MOSTRAR'!$F$4:$F$12,MATCH($D333,'O QUE MOSTRAR'!$A$4:$A$12,0))</f>
        <v>Recomendada</v>
      </c>
      <c r="J333" s="13" t="s">
        <v>303</v>
      </c>
      <c r="K333" s="13"/>
    </row>
    <row r="334" customFormat="false" ht="15" hidden="false" customHeight="false" outlineLevel="0" collapsed="false">
      <c r="A334" s="14" t="s">
        <v>181</v>
      </c>
      <c r="B334" s="11" t="str">
        <f aca="false">INDEX(PRODUTOS!$E$4:$E$63,MATCH($A334,PRODUTOS!$B$4:$B$63,0))</f>
        <v>Sachê Natural Dots para Gatos Sabor Salmão 85 g - Livre de Transgênicos</v>
      </c>
      <c r="C334" s="11" t="str">
        <f aca="false">INDEX(PRODUTOS!$G$4:$G$63,MATCH($A334,PRODUTOS!$B$4:$B$63,0))</f>
        <v>85 g</v>
      </c>
      <c r="D334" s="11" t="s">
        <v>309</v>
      </c>
      <c r="E334" s="15" t="str">
        <f aca="false">$A334&amp;"."&amp;$D334&amp;".jpg"</f>
        <v>7908591300673.PT06.jpg</v>
      </c>
      <c r="F334" s="11" t="str">
        <f aca="false">INDEX('O QUE MOSTRAR'!$B$4:$B$12,MATCH($D334,'O QUE MOSTRAR'!$A$4:$A$12,0))</f>
        <v>Posição 7</v>
      </c>
      <c r="G334" s="11" t="str">
        <f aca="false">IF(INDEX(PRODUTOS!$F$4:$F$63,MATCH($A334,PRODUTOS!$B$4:$B$63,0))="Ração",INDEX('O QUE MOSTRAR'!$C$4:$C$12,MATCH($D334,'O QUE MOSTRAR'!$A$4:$A$12,0)),INDEX('O QUE MOSTRAR'!$D$4:$D$12,MATCH($D334,'O QUE MOSTRAR'!$A$4:$A$12,0)))</f>
        <v>Composição e níveis de garantia em letra grande</v>
      </c>
      <c r="H334" s="11" t="str">
        <f aca="false">INDEX('O QUE MOSTRAR'!$E$4:$E$12,MATCH($D334,'O QUE MOSTRAR'!$A$4:$A$12,0))</f>
        <v>2000 × 2000</v>
      </c>
      <c r="I334" s="11" t="str">
        <f aca="false">INDEX('O QUE MOSTRAR'!$F$4:$F$12,MATCH($D334,'O QUE MOSTRAR'!$A$4:$A$12,0))</f>
        <v>SIM</v>
      </c>
      <c r="J334" s="13" t="s">
        <v>303</v>
      </c>
      <c r="K334" s="13"/>
    </row>
    <row r="335" customFormat="false" ht="15" hidden="false" customHeight="false" outlineLevel="0" collapsed="false">
      <c r="A335" s="14" t="s">
        <v>181</v>
      </c>
      <c r="B335" s="11" t="str">
        <f aca="false">INDEX(PRODUTOS!$E$4:$E$63,MATCH($A335,PRODUTOS!$B$4:$B$63,0))</f>
        <v>Sachê Natural Dots para Gatos Sabor Salmão 85 g - Livre de Transgênicos</v>
      </c>
      <c r="C335" s="11" t="str">
        <f aca="false">INDEX(PRODUTOS!$G$4:$G$63,MATCH($A335,PRODUTOS!$B$4:$B$63,0))</f>
        <v>85 g</v>
      </c>
      <c r="D335" s="11" t="s">
        <v>310</v>
      </c>
      <c r="E335" s="15" t="str">
        <f aca="false">$A335&amp;"."&amp;$D335&amp;".jpg"</f>
        <v>7908591300673.PT07.jpg</v>
      </c>
      <c r="F335" s="11" t="str">
        <f aca="false">INDEX('O QUE MOSTRAR'!$B$4:$B$12,MATCH($D335,'O QUE MOSTRAR'!$A$4:$A$12,0))</f>
        <v>Posição 8</v>
      </c>
      <c r="G335" s="11" t="str">
        <f aca="false">IF(INDEX(PRODUTOS!$F$4:$F$63,MATCH($A335,PRODUTOS!$B$4:$B$63,0))="Ração",INDEX('O QUE MOSTRAR'!$C$4:$C$12,MATCH($D335,'O QUE MOSTRAR'!$A$4:$A$12,0)),INDEX('O QUE MOSTRAR'!$D$4:$D$12,MATCH($D335,'O QUE MOSTRAR'!$A$4:$A$12,0)))</f>
        <v>Emocional / momento de uso (pet do porte certo, pote cheio)</v>
      </c>
      <c r="H335" s="11" t="str">
        <f aca="false">INDEX('O QUE MOSTRAR'!$E$4:$E$12,MATCH($D335,'O QUE MOSTRAR'!$A$4:$A$12,0))</f>
        <v>2000 × 2000</v>
      </c>
      <c r="I335" s="11" t="str">
        <f aca="false">INDEX('O QUE MOSTRAR'!$F$4:$F$12,MATCH($D335,'O QUE MOSTRAR'!$A$4:$A$12,0))</f>
        <v>Recomendada</v>
      </c>
      <c r="J335" s="13" t="s">
        <v>303</v>
      </c>
      <c r="K335" s="13"/>
    </row>
    <row r="336" customFormat="false" ht="15" hidden="false" customHeight="false" outlineLevel="0" collapsed="false">
      <c r="A336" s="14" t="s">
        <v>181</v>
      </c>
      <c r="B336" s="11" t="str">
        <f aca="false">INDEX(PRODUTOS!$E$4:$E$63,MATCH($A336,PRODUTOS!$B$4:$B$63,0))</f>
        <v>Sachê Natural Dots para Gatos Sabor Salmão 85 g - Livre de Transgênicos</v>
      </c>
      <c r="C336" s="11" t="str">
        <f aca="false">INDEX(PRODUTOS!$G$4:$G$63,MATCH($A336,PRODUTOS!$B$4:$B$63,0))</f>
        <v>85 g</v>
      </c>
      <c r="D336" s="11" t="s">
        <v>311</v>
      </c>
      <c r="E336" s="15" t="str">
        <f aca="false">$A336&amp;"."&amp;$D336&amp;".jpg"</f>
        <v>7908591300673.PT08.jpg</v>
      </c>
      <c r="F336" s="11" t="str">
        <f aca="false">INDEX('O QUE MOSTRAR'!$B$4:$B$12,MATCH($D336,'O QUE MOSTRAR'!$A$4:$A$12,0))</f>
        <v>Posição 9</v>
      </c>
      <c r="G336" s="11" t="str">
        <f aca="false">IF(INDEX(PRODUTOS!$F$4:$F$63,MATCH($A336,PRODUTOS!$B$4:$B$63,0))="Ração",INDEX('O QUE MOSTRAR'!$C$4:$C$12,MATCH($D336,'O QUE MOSTRAR'!$A$4:$A$12,0)),INDEX('O QUE MOSTRAR'!$D$4:$D$12,MATCH($D336,'O QUE MOSTRAR'!$A$4:$A$12,0)))</f>
        <v>Linha da marca ou embalagem anterior × nova</v>
      </c>
      <c r="H336" s="11" t="str">
        <f aca="false">INDEX('O QUE MOSTRAR'!$E$4:$E$12,MATCH($D336,'O QUE MOSTRAR'!$A$4:$A$12,0))</f>
        <v>2000 × 2000</v>
      </c>
      <c r="I336" s="11" t="str">
        <f aca="false">INDEX('O QUE MOSTRAR'!$F$4:$F$12,MATCH($D336,'O QUE MOSTRAR'!$A$4:$A$12,0))</f>
        <v>Recomendada</v>
      </c>
      <c r="J336" s="13" t="s">
        <v>303</v>
      </c>
      <c r="K336" s="13"/>
    </row>
    <row r="337" customFormat="false" ht="15" hidden="false" customHeight="false" outlineLevel="0" collapsed="false">
      <c r="A337" s="14" t="s">
        <v>185</v>
      </c>
      <c r="B337" s="11" t="str">
        <f aca="false">INDEX(PRODUTOS!$E$4:$E$63,MATCH($A337,PRODUTOS!$B$4:$B$63,0))</f>
        <v>Bifinhos New Dots Cães Carne, Vegetais e Cereais 50 g</v>
      </c>
      <c r="C337" s="11" t="str">
        <f aca="false">INDEX(PRODUTOS!$G$4:$G$63,MATCH($A337,PRODUTOS!$B$4:$B$63,0))</f>
        <v>50 g</v>
      </c>
      <c r="D337" s="11" t="s">
        <v>302</v>
      </c>
      <c r="E337" s="15" t="str">
        <f aca="false">$A337&amp;"."&amp;$D337&amp;".jpg"</f>
        <v>7898968541887.MAIN.jpg</v>
      </c>
      <c r="F337" s="11" t="str">
        <f aca="false">INDEX('O QUE MOSTRAR'!$B$4:$B$12,MATCH($D337,'O QUE MOSTRAR'!$A$4:$A$12,0))</f>
        <v>Capa (posição 1)</v>
      </c>
      <c r="G337" s="11" t="str">
        <f aca="false">IF(INDEX(PRODUTOS!$F$4:$F$63,MATCH($A337,PRODUTOS!$B$4:$B$63,0))="Ração",INDEX('O QUE MOSTRAR'!$C$4:$C$12,MATCH($D337,'O QUE MOSTRAR'!$A$4:$A$12,0)),INDEX('O QUE MOSTRAR'!$D$4:$D$12,MATCH($D337,'O QUE MOSTRAR'!$A$4:$A$12,0)))</f>
        <v>Embalagem de frente, fundo branco puro, 85% da área, nada adicionado</v>
      </c>
      <c r="H337" s="11" t="str">
        <f aca="false">INDEX('O QUE MOSTRAR'!$E$4:$E$12,MATCH($D337,'O QUE MOSTRAR'!$A$4:$A$12,0))</f>
        <v>2000 × 2000</v>
      </c>
      <c r="I337" s="11" t="str">
        <f aca="false">INDEX('O QUE MOSTRAR'!$F$4:$F$12,MATCH($D337,'O QUE MOSTRAR'!$A$4:$A$12,0))</f>
        <v>SIM</v>
      </c>
      <c r="J337" s="13" t="s">
        <v>303</v>
      </c>
      <c r="K337" s="13"/>
    </row>
    <row r="338" customFormat="false" ht="15" hidden="false" customHeight="false" outlineLevel="0" collapsed="false">
      <c r="A338" s="14" t="s">
        <v>185</v>
      </c>
      <c r="B338" s="11" t="str">
        <f aca="false">INDEX(PRODUTOS!$E$4:$E$63,MATCH($A338,PRODUTOS!$B$4:$B$63,0))</f>
        <v>Bifinhos New Dots Cães Carne, Vegetais e Cereais 50 g</v>
      </c>
      <c r="C338" s="11" t="str">
        <f aca="false">INDEX(PRODUTOS!$G$4:$G$63,MATCH($A338,PRODUTOS!$B$4:$B$63,0))</f>
        <v>50 g</v>
      </c>
      <c r="D338" s="11" t="s">
        <v>304</v>
      </c>
      <c r="E338" s="15" t="str">
        <f aca="false">$A338&amp;"."&amp;$D338&amp;".jpg"</f>
        <v>7898968541887.PT01.jpg</v>
      </c>
      <c r="F338" s="11" t="str">
        <f aca="false">INDEX('O QUE MOSTRAR'!$B$4:$B$12,MATCH($D338,'O QUE MOSTRAR'!$A$4:$A$12,0))</f>
        <v>Posição 2</v>
      </c>
      <c r="G338" s="11" t="str">
        <f aca="false">IF(INDEX(PRODUTOS!$F$4:$F$63,MATCH($A338,PRODUTOS!$B$4:$B$63,0))="Ração",INDEX('O QUE MOSTRAR'!$C$4:$C$12,MATCH($D338,'O QUE MOSTRAR'!$A$4:$A$12,0)),INDEX('O QUE MOSTRAR'!$D$4:$D$12,MATCH($D338,'O QUE MOSTRAR'!$A$4:$A$12,0)))</f>
        <v>Grande diferencial (ex.: natural, biodegradável, perfumado)</v>
      </c>
      <c r="H338" s="11" t="str">
        <f aca="false">INDEX('O QUE MOSTRAR'!$E$4:$E$12,MATCH($D338,'O QUE MOSTRAR'!$A$4:$A$12,0))</f>
        <v>2000 × 2000</v>
      </c>
      <c r="I338" s="11" t="str">
        <f aca="false">INDEX('O QUE MOSTRAR'!$F$4:$F$12,MATCH($D338,'O QUE MOSTRAR'!$A$4:$A$12,0))</f>
        <v>SIM</v>
      </c>
      <c r="J338" s="13" t="s">
        <v>303</v>
      </c>
      <c r="K338" s="13"/>
    </row>
    <row r="339" customFormat="false" ht="15" hidden="false" customHeight="false" outlineLevel="0" collapsed="false">
      <c r="A339" s="14" t="s">
        <v>185</v>
      </c>
      <c r="B339" s="11" t="str">
        <f aca="false">INDEX(PRODUTOS!$E$4:$E$63,MATCH($A339,PRODUTOS!$B$4:$B$63,0))</f>
        <v>Bifinhos New Dots Cães Carne, Vegetais e Cereais 50 g</v>
      </c>
      <c r="C339" s="11" t="str">
        <f aca="false">INDEX(PRODUTOS!$G$4:$G$63,MATCH($A339,PRODUTOS!$B$4:$B$63,0))</f>
        <v>50 g</v>
      </c>
      <c r="D339" s="11" t="s">
        <v>305</v>
      </c>
      <c r="E339" s="15" t="str">
        <f aca="false">$A339&amp;"."&amp;$D339&amp;".jpg"</f>
        <v>7898968541887.PT02.jpg</v>
      </c>
      <c r="F339" s="11" t="str">
        <f aca="false">INDEX('O QUE MOSTRAR'!$B$4:$B$12,MATCH($D339,'O QUE MOSTRAR'!$A$4:$A$12,0))</f>
        <v>Posição 3</v>
      </c>
      <c r="G339" s="11" t="str">
        <f aca="false">IF(INDEX(PRODUTOS!$F$4:$F$63,MATCH($A339,PRODUTOS!$B$4:$B$63,0))="Ração",INDEX('O QUE MOSTRAR'!$C$4:$C$12,MATCH($D339,'O QUE MOSTRAR'!$A$4:$A$12,0)),INDEX('O QUE MOSTRAR'!$D$4:$D$12,MATCH($D339,'O QUE MOSTRAR'!$A$4:$A$12,0)))</f>
        <v>Benefícios com ícones (4 a 6, impressos na embalagem)</v>
      </c>
      <c r="H339" s="11" t="str">
        <f aca="false">INDEX('O QUE MOSTRAR'!$E$4:$E$12,MATCH($D339,'O QUE MOSTRAR'!$A$4:$A$12,0))</f>
        <v>2000 × 2000</v>
      </c>
      <c r="I339" s="11" t="str">
        <f aca="false">INDEX('O QUE MOSTRAR'!$F$4:$F$12,MATCH($D339,'O QUE MOSTRAR'!$A$4:$A$12,0))</f>
        <v>SIM</v>
      </c>
      <c r="J339" s="13" t="s">
        <v>303</v>
      </c>
      <c r="K339" s="13"/>
    </row>
    <row r="340" customFormat="false" ht="15" hidden="false" customHeight="false" outlineLevel="0" collapsed="false">
      <c r="A340" s="14" t="s">
        <v>185</v>
      </c>
      <c r="B340" s="11" t="str">
        <f aca="false">INDEX(PRODUTOS!$E$4:$E$63,MATCH($A340,PRODUTOS!$B$4:$B$63,0))</f>
        <v>Bifinhos New Dots Cães Carne, Vegetais e Cereais 50 g</v>
      </c>
      <c r="C340" s="11" t="str">
        <f aca="false">INDEX(PRODUTOS!$G$4:$G$63,MATCH($A340,PRODUTOS!$B$4:$B$63,0))</f>
        <v>50 g</v>
      </c>
      <c r="D340" s="11" t="s">
        <v>306</v>
      </c>
      <c r="E340" s="15" t="str">
        <f aca="false">$A340&amp;"."&amp;$D340&amp;".jpg"</f>
        <v>7898968541887.PT03.jpg</v>
      </c>
      <c r="F340" s="11" t="str">
        <f aca="false">INDEX('O QUE MOSTRAR'!$B$4:$B$12,MATCH($D340,'O QUE MOSTRAR'!$A$4:$A$12,0))</f>
        <v>Posição 4</v>
      </c>
      <c r="G340" s="11" t="str">
        <f aca="false">IF(INDEX(PRODUTOS!$F$4:$F$63,MATCH($A340,PRODUTOS!$B$4:$B$63,0))="Ração",INDEX('O QUE MOSTRAR'!$C$4:$C$12,MATCH($D340,'O QUE MOSTRAR'!$A$4:$A$12,0)),INDEX('O QUE MOSTRAR'!$D$4:$D$12,MATCH($D340,'O QUE MOSTRAR'!$A$4:$A$12,0)))</f>
        <v>Detalhe e tamanho real (petisco, grânulo ou tapete aberto), com medidas</v>
      </c>
      <c r="H340" s="11" t="str">
        <f aca="false">INDEX('O QUE MOSTRAR'!$E$4:$E$12,MATCH($D340,'O QUE MOSTRAR'!$A$4:$A$12,0))</f>
        <v>2000 × 2000</v>
      </c>
      <c r="I340" s="11" t="str">
        <f aca="false">INDEX('O QUE MOSTRAR'!$F$4:$F$12,MATCH($D340,'O QUE MOSTRAR'!$A$4:$A$12,0))</f>
        <v>SIM</v>
      </c>
      <c r="J340" s="13" t="s">
        <v>303</v>
      </c>
      <c r="K340" s="13"/>
    </row>
    <row r="341" customFormat="false" ht="15" hidden="false" customHeight="false" outlineLevel="0" collapsed="false">
      <c r="A341" s="14" t="s">
        <v>185</v>
      </c>
      <c r="B341" s="11" t="str">
        <f aca="false">INDEX(PRODUTOS!$E$4:$E$63,MATCH($A341,PRODUTOS!$B$4:$B$63,0))</f>
        <v>Bifinhos New Dots Cães Carne, Vegetais e Cereais 50 g</v>
      </c>
      <c r="C341" s="11" t="str">
        <f aca="false">INDEX(PRODUTOS!$G$4:$G$63,MATCH($A341,PRODUTOS!$B$4:$B$63,0))</f>
        <v>50 g</v>
      </c>
      <c r="D341" s="11" t="s">
        <v>307</v>
      </c>
      <c r="E341" s="15" t="str">
        <f aca="false">$A341&amp;"."&amp;$D341&amp;".jpg"</f>
        <v>7898968541887.PT04.jpg</v>
      </c>
      <c r="F341" s="11" t="str">
        <f aca="false">INDEX('O QUE MOSTRAR'!$B$4:$B$12,MATCH($D341,'O QUE MOSTRAR'!$A$4:$A$12,0))</f>
        <v>Posição 5</v>
      </c>
      <c r="G341" s="11" t="str">
        <f aca="false">IF(INDEX(PRODUTOS!$F$4:$F$63,MATCH($A341,PRODUTOS!$B$4:$B$63,0))="Ração",INDEX('O QUE MOSTRAR'!$C$4:$C$12,MATCH($D341,'O QUE MOSTRAR'!$A$4:$A$12,0)),INDEX('O QUE MOSTRAR'!$D$4:$D$12,MATCH($D341,'O QUE MOSTRAR'!$A$4:$A$12,0)))</f>
        <v>Modo de uso (como oferecer o petisco / como usar o produto)</v>
      </c>
      <c r="H341" s="11" t="str">
        <f aca="false">INDEX('O QUE MOSTRAR'!$E$4:$E$12,MATCH($D341,'O QUE MOSTRAR'!$A$4:$A$12,0))</f>
        <v>2000 × 2000</v>
      </c>
      <c r="I341" s="11" t="str">
        <f aca="false">INDEX('O QUE MOSTRAR'!$F$4:$F$12,MATCH($D341,'O QUE MOSTRAR'!$A$4:$A$12,0))</f>
        <v>SIM</v>
      </c>
      <c r="J341" s="13" t="s">
        <v>303</v>
      </c>
      <c r="K341" s="13"/>
    </row>
    <row r="342" customFormat="false" ht="15" hidden="false" customHeight="false" outlineLevel="0" collapsed="false">
      <c r="A342" s="14" t="s">
        <v>185</v>
      </c>
      <c r="B342" s="11" t="str">
        <f aca="false">INDEX(PRODUTOS!$E$4:$E$63,MATCH($A342,PRODUTOS!$B$4:$B$63,0))</f>
        <v>Bifinhos New Dots Cães Carne, Vegetais e Cereais 50 g</v>
      </c>
      <c r="C342" s="11" t="str">
        <f aca="false">INDEX(PRODUTOS!$G$4:$G$63,MATCH($A342,PRODUTOS!$B$4:$B$63,0))</f>
        <v>50 g</v>
      </c>
      <c r="D342" s="11" t="s">
        <v>308</v>
      </c>
      <c r="E342" s="15" t="str">
        <f aca="false">$A342&amp;"."&amp;$D342&amp;".jpg"</f>
        <v>7898968541887.PT05.jpg</v>
      </c>
      <c r="F342" s="11" t="str">
        <f aca="false">INDEX('O QUE MOSTRAR'!$B$4:$B$12,MATCH($D342,'O QUE MOSTRAR'!$A$4:$A$12,0))</f>
        <v>Posição 6</v>
      </c>
      <c r="G342" s="11" t="str">
        <f aca="false">IF(INDEX(PRODUTOS!$F$4:$F$63,MATCH($A342,PRODUTOS!$B$4:$B$63,0))="Ração",INDEX('O QUE MOSTRAR'!$C$4:$C$12,MATCH($D342,'O QUE MOSTRAR'!$A$4:$A$12,0)),INDEX('O QUE MOSTRAR'!$D$4:$D$12,MATCH($D342,'O QUE MOSTRAR'!$A$4:$A$12,0)))</f>
        <v>Quantidade por dia ou rendimento do pacote</v>
      </c>
      <c r="H342" s="11" t="str">
        <f aca="false">INDEX('O QUE MOSTRAR'!$E$4:$E$12,MATCH($D342,'O QUE MOSTRAR'!$A$4:$A$12,0))</f>
        <v>2000 × 2000</v>
      </c>
      <c r="I342" s="11" t="str">
        <f aca="false">INDEX('O QUE MOSTRAR'!$F$4:$F$12,MATCH($D342,'O QUE MOSTRAR'!$A$4:$A$12,0))</f>
        <v>Recomendada</v>
      </c>
      <c r="J342" s="13" t="s">
        <v>303</v>
      </c>
      <c r="K342" s="13"/>
    </row>
    <row r="343" customFormat="false" ht="15" hidden="false" customHeight="false" outlineLevel="0" collapsed="false">
      <c r="A343" s="14" t="s">
        <v>185</v>
      </c>
      <c r="B343" s="11" t="str">
        <f aca="false">INDEX(PRODUTOS!$E$4:$E$63,MATCH($A343,PRODUTOS!$B$4:$B$63,0))</f>
        <v>Bifinhos New Dots Cães Carne, Vegetais e Cereais 50 g</v>
      </c>
      <c r="C343" s="11" t="str">
        <f aca="false">INDEX(PRODUTOS!$G$4:$G$63,MATCH($A343,PRODUTOS!$B$4:$B$63,0))</f>
        <v>50 g</v>
      </c>
      <c r="D343" s="11" t="s">
        <v>309</v>
      </c>
      <c r="E343" s="15" t="str">
        <f aca="false">$A343&amp;"."&amp;$D343&amp;".jpg"</f>
        <v>7898968541887.PT06.jpg</v>
      </c>
      <c r="F343" s="11" t="str">
        <f aca="false">INDEX('O QUE MOSTRAR'!$B$4:$B$12,MATCH($D343,'O QUE MOSTRAR'!$A$4:$A$12,0))</f>
        <v>Posição 7</v>
      </c>
      <c r="G343" s="11" t="str">
        <f aca="false">IF(INDEX(PRODUTOS!$F$4:$F$63,MATCH($A343,PRODUTOS!$B$4:$B$63,0))="Ração",INDEX('O QUE MOSTRAR'!$C$4:$C$12,MATCH($D343,'O QUE MOSTRAR'!$A$4:$A$12,0)),INDEX('O QUE MOSTRAR'!$D$4:$D$12,MATCH($D343,'O QUE MOSTRAR'!$A$4:$A$12,0)))</f>
        <v>Composição/níveis de garantia (petiscos) ou especificações (higiene)</v>
      </c>
      <c r="H343" s="11" t="str">
        <f aca="false">INDEX('O QUE MOSTRAR'!$E$4:$E$12,MATCH($D343,'O QUE MOSTRAR'!$A$4:$A$12,0))</f>
        <v>2000 × 2000</v>
      </c>
      <c r="I343" s="11" t="str">
        <f aca="false">INDEX('O QUE MOSTRAR'!$F$4:$F$12,MATCH($D343,'O QUE MOSTRAR'!$A$4:$A$12,0))</f>
        <v>SIM</v>
      </c>
      <c r="J343" s="13" t="s">
        <v>303</v>
      </c>
      <c r="K343" s="13"/>
    </row>
    <row r="344" customFormat="false" ht="15" hidden="false" customHeight="false" outlineLevel="0" collapsed="false">
      <c r="A344" s="14" t="s">
        <v>185</v>
      </c>
      <c r="B344" s="11" t="str">
        <f aca="false">INDEX(PRODUTOS!$E$4:$E$63,MATCH($A344,PRODUTOS!$B$4:$B$63,0))</f>
        <v>Bifinhos New Dots Cães Carne, Vegetais e Cereais 50 g</v>
      </c>
      <c r="C344" s="11" t="str">
        <f aca="false">INDEX(PRODUTOS!$G$4:$G$63,MATCH($A344,PRODUTOS!$B$4:$B$63,0))</f>
        <v>50 g</v>
      </c>
      <c r="D344" s="11" t="s">
        <v>310</v>
      </c>
      <c r="E344" s="15" t="str">
        <f aca="false">$A344&amp;"."&amp;$D344&amp;".jpg"</f>
        <v>7898968541887.PT07.jpg</v>
      </c>
      <c r="F344" s="11" t="str">
        <f aca="false">INDEX('O QUE MOSTRAR'!$B$4:$B$12,MATCH($D344,'O QUE MOSTRAR'!$A$4:$A$12,0))</f>
        <v>Posição 8</v>
      </c>
      <c r="G344" s="11" t="str">
        <f aca="false">IF(INDEX(PRODUTOS!$F$4:$F$63,MATCH($A344,PRODUTOS!$B$4:$B$63,0))="Ração",INDEX('O QUE MOSTRAR'!$C$4:$C$12,MATCH($D344,'O QUE MOSTRAR'!$A$4:$A$12,0)),INDEX('O QUE MOSTRAR'!$D$4:$D$12,MATCH($D344,'O QUE MOSTRAR'!$A$4:$A$12,0)))</f>
        <v>Emocional / momento de uso</v>
      </c>
      <c r="H344" s="11" t="str">
        <f aca="false">INDEX('O QUE MOSTRAR'!$E$4:$E$12,MATCH($D344,'O QUE MOSTRAR'!$A$4:$A$12,0))</f>
        <v>2000 × 2000</v>
      </c>
      <c r="I344" s="11" t="str">
        <f aca="false">INDEX('O QUE MOSTRAR'!$F$4:$F$12,MATCH($D344,'O QUE MOSTRAR'!$A$4:$A$12,0))</f>
        <v>Recomendada</v>
      </c>
      <c r="J344" s="13" t="s">
        <v>303</v>
      </c>
      <c r="K344" s="13"/>
    </row>
    <row r="345" customFormat="false" ht="15" hidden="false" customHeight="false" outlineLevel="0" collapsed="false">
      <c r="A345" s="14" t="s">
        <v>185</v>
      </c>
      <c r="B345" s="11" t="str">
        <f aca="false">INDEX(PRODUTOS!$E$4:$E$63,MATCH($A345,PRODUTOS!$B$4:$B$63,0))</f>
        <v>Bifinhos New Dots Cães Carne, Vegetais e Cereais 50 g</v>
      </c>
      <c r="C345" s="11" t="str">
        <f aca="false">INDEX(PRODUTOS!$G$4:$G$63,MATCH($A345,PRODUTOS!$B$4:$B$63,0))</f>
        <v>50 g</v>
      </c>
      <c r="D345" s="11" t="s">
        <v>311</v>
      </c>
      <c r="E345" s="15" t="str">
        <f aca="false">$A345&amp;"."&amp;$D345&amp;".jpg"</f>
        <v>7898968541887.PT08.jpg</v>
      </c>
      <c r="F345" s="11" t="str">
        <f aca="false">INDEX('O QUE MOSTRAR'!$B$4:$B$12,MATCH($D345,'O QUE MOSTRAR'!$A$4:$A$12,0))</f>
        <v>Posição 9</v>
      </c>
      <c r="G345" s="11" t="str">
        <f aca="false">IF(INDEX(PRODUTOS!$F$4:$F$63,MATCH($A345,PRODUTOS!$B$4:$B$63,0))="Ração",INDEX('O QUE MOSTRAR'!$C$4:$C$12,MATCH($D345,'O QUE MOSTRAR'!$A$4:$A$12,0)),INDEX('O QUE MOSTRAR'!$D$4:$D$12,MATCH($D345,'O QUE MOSTRAR'!$A$4:$A$12,0)))</f>
        <v>Linha da marca ("conheça também")</v>
      </c>
      <c r="H345" s="11" t="str">
        <f aca="false">INDEX('O QUE MOSTRAR'!$E$4:$E$12,MATCH($D345,'O QUE MOSTRAR'!$A$4:$A$12,0))</f>
        <v>2000 × 2000</v>
      </c>
      <c r="I345" s="11" t="str">
        <f aca="false">INDEX('O QUE MOSTRAR'!$F$4:$F$12,MATCH($D345,'O QUE MOSTRAR'!$A$4:$A$12,0))</f>
        <v>Recomendada</v>
      </c>
      <c r="J345" s="13" t="s">
        <v>303</v>
      </c>
      <c r="K345" s="13"/>
    </row>
    <row r="346" customFormat="false" ht="15" hidden="false" customHeight="false" outlineLevel="0" collapsed="false">
      <c r="A346" s="14" t="s">
        <v>191</v>
      </c>
      <c r="B346" s="11" t="str">
        <f aca="false">INDEX(PRODUTOS!$E$4:$E$63,MATCH($A346,PRODUTOS!$B$4:$B$63,0))</f>
        <v>Bifinhos New Dots Cães Churrasco 400 g</v>
      </c>
      <c r="C346" s="11" t="str">
        <f aca="false">INDEX(PRODUTOS!$G$4:$G$63,MATCH($A346,PRODUTOS!$B$4:$B$63,0))</f>
        <v>400 g</v>
      </c>
      <c r="D346" s="11" t="s">
        <v>302</v>
      </c>
      <c r="E346" s="15" t="str">
        <f aca="false">$A346&amp;"."&amp;$D346&amp;".jpg"</f>
        <v>7898968541863.MAIN.jpg</v>
      </c>
      <c r="F346" s="11" t="str">
        <f aca="false">INDEX('O QUE MOSTRAR'!$B$4:$B$12,MATCH($D346,'O QUE MOSTRAR'!$A$4:$A$12,0))</f>
        <v>Capa (posição 1)</v>
      </c>
      <c r="G346" s="11" t="str">
        <f aca="false">IF(INDEX(PRODUTOS!$F$4:$F$63,MATCH($A346,PRODUTOS!$B$4:$B$63,0))="Ração",INDEX('O QUE MOSTRAR'!$C$4:$C$12,MATCH($D346,'O QUE MOSTRAR'!$A$4:$A$12,0)),INDEX('O QUE MOSTRAR'!$D$4:$D$12,MATCH($D346,'O QUE MOSTRAR'!$A$4:$A$12,0)))</f>
        <v>Embalagem de frente, fundo branco puro, 85% da área, nada adicionado</v>
      </c>
      <c r="H346" s="11" t="str">
        <f aca="false">INDEX('O QUE MOSTRAR'!$E$4:$E$12,MATCH($D346,'O QUE MOSTRAR'!$A$4:$A$12,0))</f>
        <v>2000 × 2000</v>
      </c>
      <c r="I346" s="11" t="str">
        <f aca="false">INDEX('O QUE MOSTRAR'!$F$4:$F$12,MATCH($D346,'O QUE MOSTRAR'!$A$4:$A$12,0))</f>
        <v>SIM</v>
      </c>
      <c r="J346" s="13" t="s">
        <v>303</v>
      </c>
      <c r="K346" s="13"/>
    </row>
    <row r="347" customFormat="false" ht="15" hidden="false" customHeight="false" outlineLevel="0" collapsed="false">
      <c r="A347" s="14" t="s">
        <v>191</v>
      </c>
      <c r="B347" s="11" t="str">
        <f aca="false">INDEX(PRODUTOS!$E$4:$E$63,MATCH($A347,PRODUTOS!$B$4:$B$63,0))</f>
        <v>Bifinhos New Dots Cães Churrasco 400 g</v>
      </c>
      <c r="C347" s="11" t="str">
        <f aca="false">INDEX(PRODUTOS!$G$4:$G$63,MATCH($A347,PRODUTOS!$B$4:$B$63,0))</f>
        <v>400 g</v>
      </c>
      <c r="D347" s="11" t="s">
        <v>304</v>
      </c>
      <c r="E347" s="15" t="str">
        <f aca="false">$A347&amp;"."&amp;$D347&amp;".jpg"</f>
        <v>7898968541863.PT01.jpg</v>
      </c>
      <c r="F347" s="11" t="str">
        <f aca="false">INDEX('O QUE MOSTRAR'!$B$4:$B$12,MATCH($D347,'O QUE MOSTRAR'!$A$4:$A$12,0))</f>
        <v>Posição 2</v>
      </c>
      <c r="G347" s="11" t="str">
        <f aca="false">IF(INDEX(PRODUTOS!$F$4:$F$63,MATCH($A347,PRODUTOS!$B$4:$B$63,0))="Ração",INDEX('O QUE MOSTRAR'!$C$4:$C$12,MATCH($D347,'O QUE MOSTRAR'!$A$4:$A$12,0)),INDEX('O QUE MOSTRAR'!$D$4:$D$12,MATCH($D347,'O QUE MOSTRAR'!$A$4:$A$12,0)))</f>
        <v>Grande diferencial (ex.: natural, biodegradável, perfumado)</v>
      </c>
      <c r="H347" s="11" t="str">
        <f aca="false">INDEX('O QUE MOSTRAR'!$E$4:$E$12,MATCH($D347,'O QUE MOSTRAR'!$A$4:$A$12,0))</f>
        <v>2000 × 2000</v>
      </c>
      <c r="I347" s="11" t="str">
        <f aca="false">INDEX('O QUE MOSTRAR'!$F$4:$F$12,MATCH($D347,'O QUE MOSTRAR'!$A$4:$A$12,0))</f>
        <v>SIM</v>
      </c>
      <c r="J347" s="13" t="s">
        <v>303</v>
      </c>
      <c r="K347" s="13"/>
    </row>
    <row r="348" customFormat="false" ht="15" hidden="false" customHeight="false" outlineLevel="0" collapsed="false">
      <c r="A348" s="14" t="s">
        <v>191</v>
      </c>
      <c r="B348" s="11" t="str">
        <f aca="false">INDEX(PRODUTOS!$E$4:$E$63,MATCH($A348,PRODUTOS!$B$4:$B$63,0))</f>
        <v>Bifinhos New Dots Cães Churrasco 400 g</v>
      </c>
      <c r="C348" s="11" t="str">
        <f aca="false">INDEX(PRODUTOS!$G$4:$G$63,MATCH($A348,PRODUTOS!$B$4:$B$63,0))</f>
        <v>400 g</v>
      </c>
      <c r="D348" s="11" t="s">
        <v>305</v>
      </c>
      <c r="E348" s="15" t="str">
        <f aca="false">$A348&amp;"."&amp;$D348&amp;".jpg"</f>
        <v>7898968541863.PT02.jpg</v>
      </c>
      <c r="F348" s="11" t="str">
        <f aca="false">INDEX('O QUE MOSTRAR'!$B$4:$B$12,MATCH($D348,'O QUE MOSTRAR'!$A$4:$A$12,0))</f>
        <v>Posição 3</v>
      </c>
      <c r="G348" s="11" t="str">
        <f aca="false">IF(INDEX(PRODUTOS!$F$4:$F$63,MATCH($A348,PRODUTOS!$B$4:$B$63,0))="Ração",INDEX('O QUE MOSTRAR'!$C$4:$C$12,MATCH($D348,'O QUE MOSTRAR'!$A$4:$A$12,0)),INDEX('O QUE MOSTRAR'!$D$4:$D$12,MATCH($D348,'O QUE MOSTRAR'!$A$4:$A$12,0)))</f>
        <v>Benefícios com ícones (4 a 6, impressos na embalagem)</v>
      </c>
      <c r="H348" s="11" t="str">
        <f aca="false">INDEX('O QUE MOSTRAR'!$E$4:$E$12,MATCH($D348,'O QUE MOSTRAR'!$A$4:$A$12,0))</f>
        <v>2000 × 2000</v>
      </c>
      <c r="I348" s="11" t="str">
        <f aca="false">INDEX('O QUE MOSTRAR'!$F$4:$F$12,MATCH($D348,'O QUE MOSTRAR'!$A$4:$A$12,0))</f>
        <v>SIM</v>
      </c>
      <c r="J348" s="13" t="s">
        <v>303</v>
      </c>
      <c r="K348" s="13"/>
    </row>
    <row r="349" customFormat="false" ht="15" hidden="false" customHeight="false" outlineLevel="0" collapsed="false">
      <c r="A349" s="14" t="s">
        <v>191</v>
      </c>
      <c r="B349" s="11" t="str">
        <f aca="false">INDEX(PRODUTOS!$E$4:$E$63,MATCH($A349,PRODUTOS!$B$4:$B$63,0))</f>
        <v>Bifinhos New Dots Cães Churrasco 400 g</v>
      </c>
      <c r="C349" s="11" t="str">
        <f aca="false">INDEX(PRODUTOS!$G$4:$G$63,MATCH($A349,PRODUTOS!$B$4:$B$63,0))</f>
        <v>400 g</v>
      </c>
      <c r="D349" s="11" t="s">
        <v>306</v>
      </c>
      <c r="E349" s="15" t="str">
        <f aca="false">$A349&amp;"."&amp;$D349&amp;".jpg"</f>
        <v>7898968541863.PT03.jpg</v>
      </c>
      <c r="F349" s="11" t="str">
        <f aca="false">INDEX('O QUE MOSTRAR'!$B$4:$B$12,MATCH($D349,'O QUE MOSTRAR'!$A$4:$A$12,0))</f>
        <v>Posição 4</v>
      </c>
      <c r="G349" s="11" t="str">
        <f aca="false">IF(INDEX(PRODUTOS!$F$4:$F$63,MATCH($A349,PRODUTOS!$B$4:$B$63,0))="Ração",INDEX('O QUE MOSTRAR'!$C$4:$C$12,MATCH($D349,'O QUE MOSTRAR'!$A$4:$A$12,0)),INDEX('O QUE MOSTRAR'!$D$4:$D$12,MATCH($D349,'O QUE MOSTRAR'!$A$4:$A$12,0)))</f>
        <v>Detalhe e tamanho real (petisco, grânulo ou tapete aberto), com medidas</v>
      </c>
      <c r="H349" s="11" t="str">
        <f aca="false">INDEX('O QUE MOSTRAR'!$E$4:$E$12,MATCH($D349,'O QUE MOSTRAR'!$A$4:$A$12,0))</f>
        <v>2000 × 2000</v>
      </c>
      <c r="I349" s="11" t="str">
        <f aca="false">INDEX('O QUE MOSTRAR'!$F$4:$F$12,MATCH($D349,'O QUE MOSTRAR'!$A$4:$A$12,0))</f>
        <v>SIM</v>
      </c>
      <c r="J349" s="13" t="s">
        <v>303</v>
      </c>
      <c r="K349" s="13"/>
    </row>
    <row r="350" customFormat="false" ht="15" hidden="false" customHeight="false" outlineLevel="0" collapsed="false">
      <c r="A350" s="14" t="s">
        <v>191</v>
      </c>
      <c r="B350" s="11" t="str">
        <f aca="false">INDEX(PRODUTOS!$E$4:$E$63,MATCH($A350,PRODUTOS!$B$4:$B$63,0))</f>
        <v>Bifinhos New Dots Cães Churrasco 400 g</v>
      </c>
      <c r="C350" s="11" t="str">
        <f aca="false">INDEX(PRODUTOS!$G$4:$G$63,MATCH($A350,PRODUTOS!$B$4:$B$63,0))</f>
        <v>400 g</v>
      </c>
      <c r="D350" s="11" t="s">
        <v>307</v>
      </c>
      <c r="E350" s="15" t="str">
        <f aca="false">$A350&amp;"."&amp;$D350&amp;".jpg"</f>
        <v>7898968541863.PT04.jpg</v>
      </c>
      <c r="F350" s="11" t="str">
        <f aca="false">INDEX('O QUE MOSTRAR'!$B$4:$B$12,MATCH($D350,'O QUE MOSTRAR'!$A$4:$A$12,0))</f>
        <v>Posição 5</v>
      </c>
      <c r="G350" s="11" t="str">
        <f aca="false">IF(INDEX(PRODUTOS!$F$4:$F$63,MATCH($A350,PRODUTOS!$B$4:$B$63,0))="Ração",INDEX('O QUE MOSTRAR'!$C$4:$C$12,MATCH($D350,'O QUE MOSTRAR'!$A$4:$A$12,0)),INDEX('O QUE MOSTRAR'!$D$4:$D$12,MATCH($D350,'O QUE MOSTRAR'!$A$4:$A$12,0)))</f>
        <v>Modo de uso (como oferecer o petisco / como usar o produto)</v>
      </c>
      <c r="H350" s="11" t="str">
        <f aca="false">INDEX('O QUE MOSTRAR'!$E$4:$E$12,MATCH($D350,'O QUE MOSTRAR'!$A$4:$A$12,0))</f>
        <v>2000 × 2000</v>
      </c>
      <c r="I350" s="11" t="str">
        <f aca="false">INDEX('O QUE MOSTRAR'!$F$4:$F$12,MATCH($D350,'O QUE MOSTRAR'!$A$4:$A$12,0))</f>
        <v>SIM</v>
      </c>
      <c r="J350" s="13" t="s">
        <v>303</v>
      </c>
      <c r="K350" s="13"/>
    </row>
    <row r="351" customFormat="false" ht="15" hidden="false" customHeight="false" outlineLevel="0" collapsed="false">
      <c r="A351" s="14" t="s">
        <v>191</v>
      </c>
      <c r="B351" s="11" t="str">
        <f aca="false">INDEX(PRODUTOS!$E$4:$E$63,MATCH($A351,PRODUTOS!$B$4:$B$63,0))</f>
        <v>Bifinhos New Dots Cães Churrasco 400 g</v>
      </c>
      <c r="C351" s="11" t="str">
        <f aca="false">INDEX(PRODUTOS!$G$4:$G$63,MATCH($A351,PRODUTOS!$B$4:$B$63,0))</f>
        <v>400 g</v>
      </c>
      <c r="D351" s="11" t="s">
        <v>308</v>
      </c>
      <c r="E351" s="15" t="str">
        <f aca="false">$A351&amp;"."&amp;$D351&amp;".jpg"</f>
        <v>7898968541863.PT05.jpg</v>
      </c>
      <c r="F351" s="11" t="str">
        <f aca="false">INDEX('O QUE MOSTRAR'!$B$4:$B$12,MATCH($D351,'O QUE MOSTRAR'!$A$4:$A$12,0))</f>
        <v>Posição 6</v>
      </c>
      <c r="G351" s="11" t="str">
        <f aca="false">IF(INDEX(PRODUTOS!$F$4:$F$63,MATCH($A351,PRODUTOS!$B$4:$B$63,0))="Ração",INDEX('O QUE MOSTRAR'!$C$4:$C$12,MATCH($D351,'O QUE MOSTRAR'!$A$4:$A$12,0)),INDEX('O QUE MOSTRAR'!$D$4:$D$12,MATCH($D351,'O QUE MOSTRAR'!$A$4:$A$12,0)))</f>
        <v>Quantidade por dia ou rendimento do pacote</v>
      </c>
      <c r="H351" s="11" t="str">
        <f aca="false">INDEX('O QUE MOSTRAR'!$E$4:$E$12,MATCH($D351,'O QUE MOSTRAR'!$A$4:$A$12,0))</f>
        <v>2000 × 2000</v>
      </c>
      <c r="I351" s="11" t="str">
        <f aca="false">INDEX('O QUE MOSTRAR'!$F$4:$F$12,MATCH($D351,'O QUE MOSTRAR'!$A$4:$A$12,0))</f>
        <v>Recomendada</v>
      </c>
      <c r="J351" s="13" t="s">
        <v>303</v>
      </c>
      <c r="K351" s="13"/>
    </row>
    <row r="352" customFormat="false" ht="15" hidden="false" customHeight="false" outlineLevel="0" collapsed="false">
      <c r="A352" s="14" t="s">
        <v>191</v>
      </c>
      <c r="B352" s="11" t="str">
        <f aca="false">INDEX(PRODUTOS!$E$4:$E$63,MATCH($A352,PRODUTOS!$B$4:$B$63,0))</f>
        <v>Bifinhos New Dots Cães Churrasco 400 g</v>
      </c>
      <c r="C352" s="11" t="str">
        <f aca="false">INDEX(PRODUTOS!$G$4:$G$63,MATCH($A352,PRODUTOS!$B$4:$B$63,0))</f>
        <v>400 g</v>
      </c>
      <c r="D352" s="11" t="s">
        <v>309</v>
      </c>
      <c r="E352" s="15" t="str">
        <f aca="false">$A352&amp;"."&amp;$D352&amp;".jpg"</f>
        <v>7898968541863.PT06.jpg</v>
      </c>
      <c r="F352" s="11" t="str">
        <f aca="false">INDEX('O QUE MOSTRAR'!$B$4:$B$12,MATCH($D352,'O QUE MOSTRAR'!$A$4:$A$12,0))</f>
        <v>Posição 7</v>
      </c>
      <c r="G352" s="11" t="str">
        <f aca="false">IF(INDEX(PRODUTOS!$F$4:$F$63,MATCH($A352,PRODUTOS!$B$4:$B$63,0))="Ração",INDEX('O QUE MOSTRAR'!$C$4:$C$12,MATCH($D352,'O QUE MOSTRAR'!$A$4:$A$12,0)),INDEX('O QUE MOSTRAR'!$D$4:$D$12,MATCH($D352,'O QUE MOSTRAR'!$A$4:$A$12,0)))</f>
        <v>Composição/níveis de garantia (petiscos) ou especificações (higiene)</v>
      </c>
      <c r="H352" s="11" t="str">
        <f aca="false">INDEX('O QUE MOSTRAR'!$E$4:$E$12,MATCH($D352,'O QUE MOSTRAR'!$A$4:$A$12,0))</f>
        <v>2000 × 2000</v>
      </c>
      <c r="I352" s="11" t="str">
        <f aca="false">INDEX('O QUE MOSTRAR'!$F$4:$F$12,MATCH($D352,'O QUE MOSTRAR'!$A$4:$A$12,0))</f>
        <v>SIM</v>
      </c>
      <c r="J352" s="13" t="s">
        <v>303</v>
      </c>
      <c r="K352" s="13"/>
    </row>
    <row r="353" customFormat="false" ht="15" hidden="false" customHeight="false" outlineLevel="0" collapsed="false">
      <c r="A353" s="14" t="s">
        <v>191</v>
      </c>
      <c r="B353" s="11" t="str">
        <f aca="false">INDEX(PRODUTOS!$E$4:$E$63,MATCH($A353,PRODUTOS!$B$4:$B$63,0))</f>
        <v>Bifinhos New Dots Cães Churrasco 400 g</v>
      </c>
      <c r="C353" s="11" t="str">
        <f aca="false">INDEX(PRODUTOS!$G$4:$G$63,MATCH($A353,PRODUTOS!$B$4:$B$63,0))</f>
        <v>400 g</v>
      </c>
      <c r="D353" s="11" t="s">
        <v>310</v>
      </c>
      <c r="E353" s="15" t="str">
        <f aca="false">$A353&amp;"."&amp;$D353&amp;".jpg"</f>
        <v>7898968541863.PT07.jpg</v>
      </c>
      <c r="F353" s="11" t="str">
        <f aca="false">INDEX('O QUE MOSTRAR'!$B$4:$B$12,MATCH($D353,'O QUE MOSTRAR'!$A$4:$A$12,0))</f>
        <v>Posição 8</v>
      </c>
      <c r="G353" s="11" t="str">
        <f aca="false">IF(INDEX(PRODUTOS!$F$4:$F$63,MATCH($A353,PRODUTOS!$B$4:$B$63,0))="Ração",INDEX('O QUE MOSTRAR'!$C$4:$C$12,MATCH($D353,'O QUE MOSTRAR'!$A$4:$A$12,0)),INDEX('O QUE MOSTRAR'!$D$4:$D$12,MATCH($D353,'O QUE MOSTRAR'!$A$4:$A$12,0)))</f>
        <v>Emocional / momento de uso</v>
      </c>
      <c r="H353" s="11" t="str">
        <f aca="false">INDEX('O QUE MOSTRAR'!$E$4:$E$12,MATCH($D353,'O QUE MOSTRAR'!$A$4:$A$12,0))</f>
        <v>2000 × 2000</v>
      </c>
      <c r="I353" s="11" t="str">
        <f aca="false">INDEX('O QUE MOSTRAR'!$F$4:$F$12,MATCH($D353,'O QUE MOSTRAR'!$A$4:$A$12,0))</f>
        <v>Recomendada</v>
      </c>
      <c r="J353" s="13" t="s">
        <v>303</v>
      </c>
      <c r="K353" s="13"/>
    </row>
    <row r="354" customFormat="false" ht="15" hidden="false" customHeight="false" outlineLevel="0" collapsed="false">
      <c r="A354" s="14" t="s">
        <v>191</v>
      </c>
      <c r="B354" s="11" t="str">
        <f aca="false">INDEX(PRODUTOS!$E$4:$E$63,MATCH($A354,PRODUTOS!$B$4:$B$63,0))</f>
        <v>Bifinhos New Dots Cães Churrasco 400 g</v>
      </c>
      <c r="C354" s="11" t="str">
        <f aca="false">INDEX(PRODUTOS!$G$4:$G$63,MATCH($A354,PRODUTOS!$B$4:$B$63,0))</f>
        <v>400 g</v>
      </c>
      <c r="D354" s="11" t="s">
        <v>311</v>
      </c>
      <c r="E354" s="15" t="str">
        <f aca="false">$A354&amp;"."&amp;$D354&amp;".jpg"</f>
        <v>7898968541863.PT08.jpg</v>
      </c>
      <c r="F354" s="11" t="str">
        <f aca="false">INDEX('O QUE MOSTRAR'!$B$4:$B$12,MATCH($D354,'O QUE MOSTRAR'!$A$4:$A$12,0))</f>
        <v>Posição 9</v>
      </c>
      <c r="G354" s="11" t="str">
        <f aca="false">IF(INDEX(PRODUTOS!$F$4:$F$63,MATCH($A354,PRODUTOS!$B$4:$B$63,0))="Ração",INDEX('O QUE MOSTRAR'!$C$4:$C$12,MATCH($D354,'O QUE MOSTRAR'!$A$4:$A$12,0)),INDEX('O QUE MOSTRAR'!$D$4:$D$12,MATCH($D354,'O QUE MOSTRAR'!$A$4:$A$12,0)))</f>
        <v>Linha da marca ("conheça também")</v>
      </c>
      <c r="H354" s="11" t="str">
        <f aca="false">INDEX('O QUE MOSTRAR'!$E$4:$E$12,MATCH($D354,'O QUE MOSTRAR'!$A$4:$A$12,0))</f>
        <v>2000 × 2000</v>
      </c>
      <c r="I354" s="11" t="str">
        <f aca="false">INDEX('O QUE MOSTRAR'!$F$4:$F$12,MATCH($D354,'O QUE MOSTRAR'!$A$4:$A$12,0))</f>
        <v>Recomendada</v>
      </c>
      <c r="J354" s="13" t="s">
        <v>303</v>
      </c>
      <c r="K354" s="13"/>
    </row>
    <row r="355" customFormat="false" ht="15" hidden="false" customHeight="false" outlineLevel="0" collapsed="false">
      <c r="A355" s="14" t="s">
        <v>196</v>
      </c>
      <c r="B355" s="11" t="str">
        <f aca="false">INDEX(PRODUTOS!$E$4:$E$63,MATCH($A355,PRODUTOS!$B$4:$B$63,0))</f>
        <v>Bifinhos New Dots Cães Churrasco 50 g</v>
      </c>
      <c r="C355" s="11" t="str">
        <f aca="false">INDEX(PRODUTOS!$G$4:$G$63,MATCH($A355,PRODUTOS!$B$4:$B$63,0))</f>
        <v>50 g</v>
      </c>
      <c r="D355" s="11" t="s">
        <v>302</v>
      </c>
      <c r="E355" s="15" t="str">
        <f aca="false">$A355&amp;"."&amp;$D355&amp;".jpg"</f>
        <v>7898968541856.MAIN.jpg</v>
      </c>
      <c r="F355" s="11" t="str">
        <f aca="false">INDEX('O QUE MOSTRAR'!$B$4:$B$12,MATCH($D355,'O QUE MOSTRAR'!$A$4:$A$12,0))</f>
        <v>Capa (posição 1)</v>
      </c>
      <c r="G355" s="11" t="str">
        <f aca="false">IF(INDEX(PRODUTOS!$F$4:$F$63,MATCH($A355,PRODUTOS!$B$4:$B$63,0))="Ração",INDEX('O QUE MOSTRAR'!$C$4:$C$12,MATCH($D355,'O QUE MOSTRAR'!$A$4:$A$12,0)),INDEX('O QUE MOSTRAR'!$D$4:$D$12,MATCH($D355,'O QUE MOSTRAR'!$A$4:$A$12,0)))</f>
        <v>Embalagem de frente, fundo branco puro, 85% da área, nada adicionado</v>
      </c>
      <c r="H355" s="11" t="str">
        <f aca="false">INDEX('O QUE MOSTRAR'!$E$4:$E$12,MATCH($D355,'O QUE MOSTRAR'!$A$4:$A$12,0))</f>
        <v>2000 × 2000</v>
      </c>
      <c r="I355" s="11" t="str">
        <f aca="false">INDEX('O QUE MOSTRAR'!$F$4:$F$12,MATCH($D355,'O QUE MOSTRAR'!$A$4:$A$12,0))</f>
        <v>SIM</v>
      </c>
      <c r="J355" s="13" t="s">
        <v>303</v>
      </c>
      <c r="K355" s="13"/>
    </row>
    <row r="356" customFormat="false" ht="15" hidden="false" customHeight="false" outlineLevel="0" collapsed="false">
      <c r="A356" s="14" t="s">
        <v>196</v>
      </c>
      <c r="B356" s="11" t="str">
        <f aca="false">INDEX(PRODUTOS!$E$4:$E$63,MATCH($A356,PRODUTOS!$B$4:$B$63,0))</f>
        <v>Bifinhos New Dots Cães Churrasco 50 g</v>
      </c>
      <c r="C356" s="11" t="str">
        <f aca="false">INDEX(PRODUTOS!$G$4:$G$63,MATCH($A356,PRODUTOS!$B$4:$B$63,0))</f>
        <v>50 g</v>
      </c>
      <c r="D356" s="11" t="s">
        <v>304</v>
      </c>
      <c r="E356" s="15" t="str">
        <f aca="false">$A356&amp;"."&amp;$D356&amp;".jpg"</f>
        <v>7898968541856.PT01.jpg</v>
      </c>
      <c r="F356" s="11" t="str">
        <f aca="false">INDEX('O QUE MOSTRAR'!$B$4:$B$12,MATCH($D356,'O QUE MOSTRAR'!$A$4:$A$12,0))</f>
        <v>Posição 2</v>
      </c>
      <c r="G356" s="11" t="str">
        <f aca="false">IF(INDEX(PRODUTOS!$F$4:$F$63,MATCH($A356,PRODUTOS!$B$4:$B$63,0))="Ração",INDEX('O QUE MOSTRAR'!$C$4:$C$12,MATCH($D356,'O QUE MOSTRAR'!$A$4:$A$12,0)),INDEX('O QUE MOSTRAR'!$D$4:$D$12,MATCH($D356,'O QUE MOSTRAR'!$A$4:$A$12,0)))</f>
        <v>Grande diferencial (ex.: natural, biodegradável, perfumado)</v>
      </c>
      <c r="H356" s="11" t="str">
        <f aca="false">INDEX('O QUE MOSTRAR'!$E$4:$E$12,MATCH($D356,'O QUE MOSTRAR'!$A$4:$A$12,0))</f>
        <v>2000 × 2000</v>
      </c>
      <c r="I356" s="11" t="str">
        <f aca="false">INDEX('O QUE MOSTRAR'!$F$4:$F$12,MATCH($D356,'O QUE MOSTRAR'!$A$4:$A$12,0))</f>
        <v>SIM</v>
      </c>
      <c r="J356" s="13" t="s">
        <v>303</v>
      </c>
      <c r="K356" s="13"/>
    </row>
    <row r="357" customFormat="false" ht="15" hidden="false" customHeight="false" outlineLevel="0" collapsed="false">
      <c r="A357" s="14" t="s">
        <v>196</v>
      </c>
      <c r="B357" s="11" t="str">
        <f aca="false">INDEX(PRODUTOS!$E$4:$E$63,MATCH($A357,PRODUTOS!$B$4:$B$63,0))</f>
        <v>Bifinhos New Dots Cães Churrasco 50 g</v>
      </c>
      <c r="C357" s="11" t="str">
        <f aca="false">INDEX(PRODUTOS!$G$4:$G$63,MATCH($A357,PRODUTOS!$B$4:$B$63,0))</f>
        <v>50 g</v>
      </c>
      <c r="D357" s="11" t="s">
        <v>305</v>
      </c>
      <c r="E357" s="15" t="str">
        <f aca="false">$A357&amp;"."&amp;$D357&amp;".jpg"</f>
        <v>7898968541856.PT02.jpg</v>
      </c>
      <c r="F357" s="11" t="str">
        <f aca="false">INDEX('O QUE MOSTRAR'!$B$4:$B$12,MATCH($D357,'O QUE MOSTRAR'!$A$4:$A$12,0))</f>
        <v>Posição 3</v>
      </c>
      <c r="G357" s="11" t="str">
        <f aca="false">IF(INDEX(PRODUTOS!$F$4:$F$63,MATCH($A357,PRODUTOS!$B$4:$B$63,0))="Ração",INDEX('O QUE MOSTRAR'!$C$4:$C$12,MATCH($D357,'O QUE MOSTRAR'!$A$4:$A$12,0)),INDEX('O QUE MOSTRAR'!$D$4:$D$12,MATCH($D357,'O QUE MOSTRAR'!$A$4:$A$12,0)))</f>
        <v>Benefícios com ícones (4 a 6, impressos na embalagem)</v>
      </c>
      <c r="H357" s="11" t="str">
        <f aca="false">INDEX('O QUE MOSTRAR'!$E$4:$E$12,MATCH($D357,'O QUE MOSTRAR'!$A$4:$A$12,0))</f>
        <v>2000 × 2000</v>
      </c>
      <c r="I357" s="11" t="str">
        <f aca="false">INDEX('O QUE MOSTRAR'!$F$4:$F$12,MATCH($D357,'O QUE MOSTRAR'!$A$4:$A$12,0))</f>
        <v>SIM</v>
      </c>
      <c r="J357" s="13" t="s">
        <v>303</v>
      </c>
      <c r="K357" s="13"/>
    </row>
    <row r="358" customFormat="false" ht="15" hidden="false" customHeight="false" outlineLevel="0" collapsed="false">
      <c r="A358" s="14" t="s">
        <v>196</v>
      </c>
      <c r="B358" s="11" t="str">
        <f aca="false">INDEX(PRODUTOS!$E$4:$E$63,MATCH($A358,PRODUTOS!$B$4:$B$63,0))</f>
        <v>Bifinhos New Dots Cães Churrasco 50 g</v>
      </c>
      <c r="C358" s="11" t="str">
        <f aca="false">INDEX(PRODUTOS!$G$4:$G$63,MATCH($A358,PRODUTOS!$B$4:$B$63,0))</f>
        <v>50 g</v>
      </c>
      <c r="D358" s="11" t="s">
        <v>306</v>
      </c>
      <c r="E358" s="15" t="str">
        <f aca="false">$A358&amp;"."&amp;$D358&amp;".jpg"</f>
        <v>7898968541856.PT03.jpg</v>
      </c>
      <c r="F358" s="11" t="str">
        <f aca="false">INDEX('O QUE MOSTRAR'!$B$4:$B$12,MATCH($D358,'O QUE MOSTRAR'!$A$4:$A$12,0))</f>
        <v>Posição 4</v>
      </c>
      <c r="G358" s="11" t="str">
        <f aca="false">IF(INDEX(PRODUTOS!$F$4:$F$63,MATCH($A358,PRODUTOS!$B$4:$B$63,0))="Ração",INDEX('O QUE MOSTRAR'!$C$4:$C$12,MATCH($D358,'O QUE MOSTRAR'!$A$4:$A$12,0)),INDEX('O QUE MOSTRAR'!$D$4:$D$12,MATCH($D358,'O QUE MOSTRAR'!$A$4:$A$12,0)))</f>
        <v>Detalhe e tamanho real (petisco, grânulo ou tapete aberto), com medidas</v>
      </c>
      <c r="H358" s="11" t="str">
        <f aca="false">INDEX('O QUE MOSTRAR'!$E$4:$E$12,MATCH($D358,'O QUE MOSTRAR'!$A$4:$A$12,0))</f>
        <v>2000 × 2000</v>
      </c>
      <c r="I358" s="11" t="str">
        <f aca="false">INDEX('O QUE MOSTRAR'!$F$4:$F$12,MATCH($D358,'O QUE MOSTRAR'!$A$4:$A$12,0))</f>
        <v>SIM</v>
      </c>
      <c r="J358" s="13" t="s">
        <v>303</v>
      </c>
      <c r="K358" s="13"/>
    </row>
    <row r="359" customFormat="false" ht="15" hidden="false" customHeight="false" outlineLevel="0" collapsed="false">
      <c r="A359" s="14" t="s">
        <v>196</v>
      </c>
      <c r="B359" s="11" t="str">
        <f aca="false">INDEX(PRODUTOS!$E$4:$E$63,MATCH($A359,PRODUTOS!$B$4:$B$63,0))</f>
        <v>Bifinhos New Dots Cães Churrasco 50 g</v>
      </c>
      <c r="C359" s="11" t="str">
        <f aca="false">INDEX(PRODUTOS!$G$4:$G$63,MATCH($A359,PRODUTOS!$B$4:$B$63,0))</f>
        <v>50 g</v>
      </c>
      <c r="D359" s="11" t="s">
        <v>307</v>
      </c>
      <c r="E359" s="15" t="str">
        <f aca="false">$A359&amp;"."&amp;$D359&amp;".jpg"</f>
        <v>7898968541856.PT04.jpg</v>
      </c>
      <c r="F359" s="11" t="str">
        <f aca="false">INDEX('O QUE MOSTRAR'!$B$4:$B$12,MATCH($D359,'O QUE MOSTRAR'!$A$4:$A$12,0))</f>
        <v>Posição 5</v>
      </c>
      <c r="G359" s="11" t="str">
        <f aca="false">IF(INDEX(PRODUTOS!$F$4:$F$63,MATCH($A359,PRODUTOS!$B$4:$B$63,0))="Ração",INDEX('O QUE MOSTRAR'!$C$4:$C$12,MATCH($D359,'O QUE MOSTRAR'!$A$4:$A$12,0)),INDEX('O QUE MOSTRAR'!$D$4:$D$12,MATCH($D359,'O QUE MOSTRAR'!$A$4:$A$12,0)))</f>
        <v>Modo de uso (como oferecer o petisco / como usar o produto)</v>
      </c>
      <c r="H359" s="11" t="str">
        <f aca="false">INDEX('O QUE MOSTRAR'!$E$4:$E$12,MATCH($D359,'O QUE MOSTRAR'!$A$4:$A$12,0))</f>
        <v>2000 × 2000</v>
      </c>
      <c r="I359" s="11" t="str">
        <f aca="false">INDEX('O QUE MOSTRAR'!$F$4:$F$12,MATCH($D359,'O QUE MOSTRAR'!$A$4:$A$12,0))</f>
        <v>SIM</v>
      </c>
      <c r="J359" s="13" t="s">
        <v>303</v>
      </c>
      <c r="K359" s="13"/>
    </row>
    <row r="360" customFormat="false" ht="15" hidden="false" customHeight="false" outlineLevel="0" collapsed="false">
      <c r="A360" s="14" t="s">
        <v>196</v>
      </c>
      <c r="B360" s="11" t="str">
        <f aca="false">INDEX(PRODUTOS!$E$4:$E$63,MATCH($A360,PRODUTOS!$B$4:$B$63,0))</f>
        <v>Bifinhos New Dots Cães Churrasco 50 g</v>
      </c>
      <c r="C360" s="11" t="str">
        <f aca="false">INDEX(PRODUTOS!$G$4:$G$63,MATCH($A360,PRODUTOS!$B$4:$B$63,0))</f>
        <v>50 g</v>
      </c>
      <c r="D360" s="11" t="s">
        <v>308</v>
      </c>
      <c r="E360" s="15" t="str">
        <f aca="false">$A360&amp;"."&amp;$D360&amp;".jpg"</f>
        <v>7898968541856.PT05.jpg</v>
      </c>
      <c r="F360" s="11" t="str">
        <f aca="false">INDEX('O QUE MOSTRAR'!$B$4:$B$12,MATCH($D360,'O QUE MOSTRAR'!$A$4:$A$12,0))</f>
        <v>Posição 6</v>
      </c>
      <c r="G360" s="11" t="str">
        <f aca="false">IF(INDEX(PRODUTOS!$F$4:$F$63,MATCH($A360,PRODUTOS!$B$4:$B$63,0))="Ração",INDEX('O QUE MOSTRAR'!$C$4:$C$12,MATCH($D360,'O QUE MOSTRAR'!$A$4:$A$12,0)),INDEX('O QUE MOSTRAR'!$D$4:$D$12,MATCH($D360,'O QUE MOSTRAR'!$A$4:$A$12,0)))</f>
        <v>Quantidade por dia ou rendimento do pacote</v>
      </c>
      <c r="H360" s="11" t="str">
        <f aca="false">INDEX('O QUE MOSTRAR'!$E$4:$E$12,MATCH($D360,'O QUE MOSTRAR'!$A$4:$A$12,0))</f>
        <v>2000 × 2000</v>
      </c>
      <c r="I360" s="11" t="str">
        <f aca="false">INDEX('O QUE MOSTRAR'!$F$4:$F$12,MATCH($D360,'O QUE MOSTRAR'!$A$4:$A$12,0))</f>
        <v>Recomendada</v>
      </c>
      <c r="J360" s="13" t="s">
        <v>303</v>
      </c>
      <c r="K360" s="13"/>
    </row>
    <row r="361" customFormat="false" ht="15" hidden="false" customHeight="false" outlineLevel="0" collapsed="false">
      <c r="A361" s="14" t="s">
        <v>196</v>
      </c>
      <c r="B361" s="11" t="str">
        <f aca="false">INDEX(PRODUTOS!$E$4:$E$63,MATCH($A361,PRODUTOS!$B$4:$B$63,0))</f>
        <v>Bifinhos New Dots Cães Churrasco 50 g</v>
      </c>
      <c r="C361" s="11" t="str">
        <f aca="false">INDEX(PRODUTOS!$G$4:$G$63,MATCH($A361,PRODUTOS!$B$4:$B$63,0))</f>
        <v>50 g</v>
      </c>
      <c r="D361" s="11" t="s">
        <v>309</v>
      </c>
      <c r="E361" s="15" t="str">
        <f aca="false">$A361&amp;"."&amp;$D361&amp;".jpg"</f>
        <v>7898968541856.PT06.jpg</v>
      </c>
      <c r="F361" s="11" t="str">
        <f aca="false">INDEX('O QUE MOSTRAR'!$B$4:$B$12,MATCH($D361,'O QUE MOSTRAR'!$A$4:$A$12,0))</f>
        <v>Posição 7</v>
      </c>
      <c r="G361" s="11" t="str">
        <f aca="false">IF(INDEX(PRODUTOS!$F$4:$F$63,MATCH($A361,PRODUTOS!$B$4:$B$63,0))="Ração",INDEX('O QUE MOSTRAR'!$C$4:$C$12,MATCH($D361,'O QUE MOSTRAR'!$A$4:$A$12,0)),INDEX('O QUE MOSTRAR'!$D$4:$D$12,MATCH($D361,'O QUE MOSTRAR'!$A$4:$A$12,0)))</f>
        <v>Composição/níveis de garantia (petiscos) ou especificações (higiene)</v>
      </c>
      <c r="H361" s="11" t="str">
        <f aca="false">INDEX('O QUE MOSTRAR'!$E$4:$E$12,MATCH($D361,'O QUE MOSTRAR'!$A$4:$A$12,0))</f>
        <v>2000 × 2000</v>
      </c>
      <c r="I361" s="11" t="str">
        <f aca="false">INDEX('O QUE MOSTRAR'!$F$4:$F$12,MATCH($D361,'O QUE MOSTRAR'!$A$4:$A$12,0))</f>
        <v>SIM</v>
      </c>
      <c r="J361" s="13" t="s">
        <v>303</v>
      </c>
      <c r="K361" s="13"/>
    </row>
    <row r="362" customFormat="false" ht="15" hidden="false" customHeight="false" outlineLevel="0" collapsed="false">
      <c r="A362" s="14" t="s">
        <v>196</v>
      </c>
      <c r="B362" s="11" t="str">
        <f aca="false">INDEX(PRODUTOS!$E$4:$E$63,MATCH($A362,PRODUTOS!$B$4:$B$63,0))</f>
        <v>Bifinhos New Dots Cães Churrasco 50 g</v>
      </c>
      <c r="C362" s="11" t="str">
        <f aca="false">INDEX(PRODUTOS!$G$4:$G$63,MATCH($A362,PRODUTOS!$B$4:$B$63,0))</f>
        <v>50 g</v>
      </c>
      <c r="D362" s="11" t="s">
        <v>310</v>
      </c>
      <c r="E362" s="15" t="str">
        <f aca="false">$A362&amp;"."&amp;$D362&amp;".jpg"</f>
        <v>7898968541856.PT07.jpg</v>
      </c>
      <c r="F362" s="11" t="str">
        <f aca="false">INDEX('O QUE MOSTRAR'!$B$4:$B$12,MATCH($D362,'O QUE MOSTRAR'!$A$4:$A$12,0))</f>
        <v>Posição 8</v>
      </c>
      <c r="G362" s="11" t="str">
        <f aca="false">IF(INDEX(PRODUTOS!$F$4:$F$63,MATCH($A362,PRODUTOS!$B$4:$B$63,0))="Ração",INDEX('O QUE MOSTRAR'!$C$4:$C$12,MATCH($D362,'O QUE MOSTRAR'!$A$4:$A$12,0)),INDEX('O QUE MOSTRAR'!$D$4:$D$12,MATCH($D362,'O QUE MOSTRAR'!$A$4:$A$12,0)))</f>
        <v>Emocional / momento de uso</v>
      </c>
      <c r="H362" s="11" t="str">
        <f aca="false">INDEX('O QUE MOSTRAR'!$E$4:$E$12,MATCH($D362,'O QUE MOSTRAR'!$A$4:$A$12,0))</f>
        <v>2000 × 2000</v>
      </c>
      <c r="I362" s="11" t="str">
        <f aca="false">INDEX('O QUE MOSTRAR'!$F$4:$F$12,MATCH($D362,'O QUE MOSTRAR'!$A$4:$A$12,0))</f>
        <v>Recomendada</v>
      </c>
      <c r="J362" s="13" t="s">
        <v>303</v>
      </c>
      <c r="K362" s="13"/>
    </row>
    <row r="363" customFormat="false" ht="15" hidden="false" customHeight="false" outlineLevel="0" collapsed="false">
      <c r="A363" s="14" t="s">
        <v>196</v>
      </c>
      <c r="B363" s="11" t="str">
        <f aca="false">INDEX(PRODUTOS!$E$4:$E$63,MATCH($A363,PRODUTOS!$B$4:$B$63,0))</f>
        <v>Bifinhos New Dots Cães Churrasco 50 g</v>
      </c>
      <c r="C363" s="11" t="str">
        <f aca="false">INDEX(PRODUTOS!$G$4:$G$63,MATCH($A363,PRODUTOS!$B$4:$B$63,0))</f>
        <v>50 g</v>
      </c>
      <c r="D363" s="11" t="s">
        <v>311</v>
      </c>
      <c r="E363" s="15" t="str">
        <f aca="false">$A363&amp;"."&amp;$D363&amp;".jpg"</f>
        <v>7898968541856.PT08.jpg</v>
      </c>
      <c r="F363" s="11" t="str">
        <f aca="false">INDEX('O QUE MOSTRAR'!$B$4:$B$12,MATCH($D363,'O QUE MOSTRAR'!$A$4:$A$12,0))</f>
        <v>Posição 9</v>
      </c>
      <c r="G363" s="11" t="str">
        <f aca="false">IF(INDEX(PRODUTOS!$F$4:$F$63,MATCH($A363,PRODUTOS!$B$4:$B$63,0))="Ração",INDEX('O QUE MOSTRAR'!$C$4:$C$12,MATCH($D363,'O QUE MOSTRAR'!$A$4:$A$12,0)),INDEX('O QUE MOSTRAR'!$D$4:$D$12,MATCH($D363,'O QUE MOSTRAR'!$A$4:$A$12,0)))</f>
        <v>Linha da marca ("conheça também")</v>
      </c>
      <c r="H363" s="11" t="str">
        <f aca="false">INDEX('O QUE MOSTRAR'!$E$4:$E$12,MATCH($D363,'O QUE MOSTRAR'!$A$4:$A$12,0))</f>
        <v>2000 × 2000</v>
      </c>
      <c r="I363" s="11" t="str">
        <f aca="false">INDEX('O QUE MOSTRAR'!$F$4:$F$12,MATCH($D363,'O QUE MOSTRAR'!$A$4:$A$12,0))</f>
        <v>Recomendada</v>
      </c>
      <c r="J363" s="13" t="s">
        <v>303</v>
      </c>
      <c r="K363" s="13"/>
    </row>
    <row r="364" customFormat="false" ht="15" hidden="false" customHeight="false" outlineLevel="0" collapsed="false">
      <c r="A364" s="14" t="s">
        <v>200</v>
      </c>
      <c r="B364" s="11" t="str">
        <f aca="false">INDEX(PRODUTOS!$E$4:$E$63,MATCH($A364,PRODUTOS!$B$4:$B$63,0))</f>
        <v>Bifinhos New Dots Cães RPM Cordeiro 50 g</v>
      </c>
      <c r="C364" s="11" t="str">
        <f aca="false">INDEX(PRODUTOS!$G$4:$G$63,MATCH($A364,PRODUTOS!$B$4:$B$63,0))</f>
        <v>50 g</v>
      </c>
      <c r="D364" s="11" t="s">
        <v>302</v>
      </c>
      <c r="E364" s="15" t="str">
        <f aca="false">$A364&amp;"."&amp;$D364&amp;".jpg"</f>
        <v>7898968541870.MAIN.jpg</v>
      </c>
      <c r="F364" s="11" t="str">
        <f aca="false">INDEX('O QUE MOSTRAR'!$B$4:$B$12,MATCH($D364,'O QUE MOSTRAR'!$A$4:$A$12,0))</f>
        <v>Capa (posição 1)</v>
      </c>
      <c r="G364" s="11" t="str">
        <f aca="false">IF(INDEX(PRODUTOS!$F$4:$F$63,MATCH($A364,PRODUTOS!$B$4:$B$63,0))="Ração",INDEX('O QUE MOSTRAR'!$C$4:$C$12,MATCH($D364,'O QUE MOSTRAR'!$A$4:$A$12,0)),INDEX('O QUE MOSTRAR'!$D$4:$D$12,MATCH($D364,'O QUE MOSTRAR'!$A$4:$A$12,0)))</f>
        <v>Embalagem de frente, fundo branco puro, 85% da área, nada adicionado</v>
      </c>
      <c r="H364" s="11" t="str">
        <f aca="false">INDEX('O QUE MOSTRAR'!$E$4:$E$12,MATCH($D364,'O QUE MOSTRAR'!$A$4:$A$12,0))</f>
        <v>2000 × 2000</v>
      </c>
      <c r="I364" s="11" t="str">
        <f aca="false">INDEX('O QUE MOSTRAR'!$F$4:$F$12,MATCH($D364,'O QUE MOSTRAR'!$A$4:$A$12,0))</f>
        <v>SIM</v>
      </c>
      <c r="J364" s="13" t="s">
        <v>303</v>
      </c>
      <c r="K364" s="13"/>
    </row>
    <row r="365" customFormat="false" ht="15" hidden="false" customHeight="false" outlineLevel="0" collapsed="false">
      <c r="A365" s="14" t="s">
        <v>200</v>
      </c>
      <c r="B365" s="11" t="str">
        <f aca="false">INDEX(PRODUTOS!$E$4:$E$63,MATCH($A365,PRODUTOS!$B$4:$B$63,0))</f>
        <v>Bifinhos New Dots Cães RPM Cordeiro 50 g</v>
      </c>
      <c r="C365" s="11" t="str">
        <f aca="false">INDEX(PRODUTOS!$G$4:$G$63,MATCH($A365,PRODUTOS!$B$4:$B$63,0))</f>
        <v>50 g</v>
      </c>
      <c r="D365" s="11" t="s">
        <v>304</v>
      </c>
      <c r="E365" s="15" t="str">
        <f aca="false">$A365&amp;"."&amp;$D365&amp;".jpg"</f>
        <v>7898968541870.PT01.jpg</v>
      </c>
      <c r="F365" s="11" t="str">
        <f aca="false">INDEX('O QUE MOSTRAR'!$B$4:$B$12,MATCH($D365,'O QUE MOSTRAR'!$A$4:$A$12,0))</f>
        <v>Posição 2</v>
      </c>
      <c r="G365" s="11" t="str">
        <f aca="false">IF(INDEX(PRODUTOS!$F$4:$F$63,MATCH($A365,PRODUTOS!$B$4:$B$63,0))="Ração",INDEX('O QUE MOSTRAR'!$C$4:$C$12,MATCH($D365,'O QUE MOSTRAR'!$A$4:$A$12,0)),INDEX('O QUE MOSTRAR'!$D$4:$D$12,MATCH($D365,'O QUE MOSTRAR'!$A$4:$A$12,0)))</f>
        <v>Grande diferencial (ex.: natural, biodegradável, perfumado)</v>
      </c>
      <c r="H365" s="11" t="str">
        <f aca="false">INDEX('O QUE MOSTRAR'!$E$4:$E$12,MATCH($D365,'O QUE MOSTRAR'!$A$4:$A$12,0))</f>
        <v>2000 × 2000</v>
      </c>
      <c r="I365" s="11" t="str">
        <f aca="false">INDEX('O QUE MOSTRAR'!$F$4:$F$12,MATCH($D365,'O QUE MOSTRAR'!$A$4:$A$12,0))</f>
        <v>SIM</v>
      </c>
      <c r="J365" s="13" t="s">
        <v>303</v>
      </c>
      <c r="K365" s="13"/>
    </row>
    <row r="366" customFormat="false" ht="15" hidden="false" customHeight="false" outlineLevel="0" collapsed="false">
      <c r="A366" s="14" t="s">
        <v>200</v>
      </c>
      <c r="B366" s="11" t="str">
        <f aca="false">INDEX(PRODUTOS!$E$4:$E$63,MATCH($A366,PRODUTOS!$B$4:$B$63,0))</f>
        <v>Bifinhos New Dots Cães RPM Cordeiro 50 g</v>
      </c>
      <c r="C366" s="11" t="str">
        <f aca="false">INDEX(PRODUTOS!$G$4:$G$63,MATCH($A366,PRODUTOS!$B$4:$B$63,0))</f>
        <v>50 g</v>
      </c>
      <c r="D366" s="11" t="s">
        <v>305</v>
      </c>
      <c r="E366" s="15" t="str">
        <f aca="false">$A366&amp;"."&amp;$D366&amp;".jpg"</f>
        <v>7898968541870.PT02.jpg</v>
      </c>
      <c r="F366" s="11" t="str">
        <f aca="false">INDEX('O QUE MOSTRAR'!$B$4:$B$12,MATCH($D366,'O QUE MOSTRAR'!$A$4:$A$12,0))</f>
        <v>Posição 3</v>
      </c>
      <c r="G366" s="11" t="str">
        <f aca="false">IF(INDEX(PRODUTOS!$F$4:$F$63,MATCH($A366,PRODUTOS!$B$4:$B$63,0))="Ração",INDEX('O QUE MOSTRAR'!$C$4:$C$12,MATCH($D366,'O QUE MOSTRAR'!$A$4:$A$12,0)),INDEX('O QUE MOSTRAR'!$D$4:$D$12,MATCH($D366,'O QUE MOSTRAR'!$A$4:$A$12,0)))</f>
        <v>Benefícios com ícones (4 a 6, impressos na embalagem)</v>
      </c>
      <c r="H366" s="11" t="str">
        <f aca="false">INDEX('O QUE MOSTRAR'!$E$4:$E$12,MATCH($D366,'O QUE MOSTRAR'!$A$4:$A$12,0))</f>
        <v>2000 × 2000</v>
      </c>
      <c r="I366" s="11" t="str">
        <f aca="false">INDEX('O QUE MOSTRAR'!$F$4:$F$12,MATCH($D366,'O QUE MOSTRAR'!$A$4:$A$12,0))</f>
        <v>SIM</v>
      </c>
      <c r="J366" s="13" t="s">
        <v>303</v>
      </c>
      <c r="K366" s="13"/>
    </row>
    <row r="367" customFormat="false" ht="15" hidden="false" customHeight="false" outlineLevel="0" collapsed="false">
      <c r="A367" s="14" t="s">
        <v>200</v>
      </c>
      <c r="B367" s="11" t="str">
        <f aca="false">INDEX(PRODUTOS!$E$4:$E$63,MATCH($A367,PRODUTOS!$B$4:$B$63,0))</f>
        <v>Bifinhos New Dots Cães RPM Cordeiro 50 g</v>
      </c>
      <c r="C367" s="11" t="str">
        <f aca="false">INDEX(PRODUTOS!$G$4:$G$63,MATCH($A367,PRODUTOS!$B$4:$B$63,0))</f>
        <v>50 g</v>
      </c>
      <c r="D367" s="11" t="s">
        <v>306</v>
      </c>
      <c r="E367" s="15" t="str">
        <f aca="false">$A367&amp;"."&amp;$D367&amp;".jpg"</f>
        <v>7898968541870.PT03.jpg</v>
      </c>
      <c r="F367" s="11" t="str">
        <f aca="false">INDEX('O QUE MOSTRAR'!$B$4:$B$12,MATCH($D367,'O QUE MOSTRAR'!$A$4:$A$12,0))</f>
        <v>Posição 4</v>
      </c>
      <c r="G367" s="11" t="str">
        <f aca="false">IF(INDEX(PRODUTOS!$F$4:$F$63,MATCH($A367,PRODUTOS!$B$4:$B$63,0))="Ração",INDEX('O QUE MOSTRAR'!$C$4:$C$12,MATCH($D367,'O QUE MOSTRAR'!$A$4:$A$12,0)),INDEX('O QUE MOSTRAR'!$D$4:$D$12,MATCH($D367,'O QUE MOSTRAR'!$A$4:$A$12,0)))</f>
        <v>Detalhe e tamanho real (petisco, grânulo ou tapete aberto), com medidas</v>
      </c>
      <c r="H367" s="11" t="str">
        <f aca="false">INDEX('O QUE MOSTRAR'!$E$4:$E$12,MATCH($D367,'O QUE MOSTRAR'!$A$4:$A$12,0))</f>
        <v>2000 × 2000</v>
      </c>
      <c r="I367" s="11" t="str">
        <f aca="false">INDEX('O QUE MOSTRAR'!$F$4:$F$12,MATCH($D367,'O QUE MOSTRAR'!$A$4:$A$12,0))</f>
        <v>SIM</v>
      </c>
      <c r="J367" s="13" t="s">
        <v>303</v>
      </c>
      <c r="K367" s="13"/>
    </row>
    <row r="368" customFormat="false" ht="15" hidden="false" customHeight="false" outlineLevel="0" collapsed="false">
      <c r="A368" s="14" t="s">
        <v>200</v>
      </c>
      <c r="B368" s="11" t="str">
        <f aca="false">INDEX(PRODUTOS!$E$4:$E$63,MATCH($A368,PRODUTOS!$B$4:$B$63,0))</f>
        <v>Bifinhos New Dots Cães RPM Cordeiro 50 g</v>
      </c>
      <c r="C368" s="11" t="str">
        <f aca="false">INDEX(PRODUTOS!$G$4:$G$63,MATCH($A368,PRODUTOS!$B$4:$B$63,0))</f>
        <v>50 g</v>
      </c>
      <c r="D368" s="11" t="s">
        <v>307</v>
      </c>
      <c r="E368" s="15" t="str">
        <f aca="false">$A368&amp;"."&amp;$D368&amp;".jpg"</f>
        <v>7898968541870.PT04.jpg</v>
      </c>
      <c r="F368" s="11" t="str">
        <f aca="false">INDEX('O QUE MOSTRAR'!$B$4:$B$12,MATCH($D368,'O QUE MOSTRAR'!$A$4:$A$12,0))</f>
        <v>Posição 5</v>
      </c>
      <c r="G368" s="11" t="str">
        <f aca="false">IF(INDEX(PRODUTOS!$F$4:$F$63,MATCH($A368,PRODUTOS!$B$4:$B$63,0))="Ração",INDEX('O QUE MOSTRAR'!$C$4:$C$12,MATCH($D368,'O QUE MOSTRAR'!$A$4:$A$12,0)),INDEX('O QUE MOSTRAR'!$D$4:$D$12,MATCH($D368,'O QUE MOSTRAR'!$A$4:$A$12,0)))</f>
        <v>Modo de uso (como oferecer o petisco / como usar o produto)</v>
      </c>
      <c r="H368" s="11" t="str">
        <f aca="false">INDEX('O QUE MOSTRAR'!$E$4:$E$12,MATCH($D368,'O QUE MOSTRAR'!$A$4:$A$12,0))</f>
        <v>2000 × 2000</v>
      </c>
      <c r="I368" s="11" t="str">
        <f aca="false">INDEX('O QUE MOSTRAR'!$F$4:$F$12,MATCH($D368,'O QUE MOSTRAR'!$A$4:$A$12,0))</f>
        <v>SIM</v>
      </c>
      <c r="J368" s="13" t="s">
        <v>303</v>
      </c>
      <c r="K368" s="13"/>
    </row>
    <row r="369" customFormat="false" ht="15" hidden="false" customHeight="false" outlineLevel="0" collapsed="false">
      <c r="A369" s="14" t="s">
        <v>200</v>
      </c>
      <c r="B369" s="11" t="str">
        <f aca="false">INDEX(PRODUTOS!$E$4:$E$63,MATCH($A369,PRODUTOS!$B$4:$B$63,0))</f>
        <v>Bifinhos New Dots Cães RPM Cordeiro 50 g</v>
      </c>
      <c r="C369" s="11" t="str">
        <f aca="false">INDEX(PRODUTOS!$G$4:$G$63,MATCH($A369,PRODUTOS!$B$4:$B$63,0))</f>
        <v>50 g</v>
      </c>
      <c r="D369" s="11" t="s">
        <v>308</v>
      </c>
      <c r="E369" s="15" t="str">
        <f aca="false">$A369&amp;"."&amp;$D369&amp;".jpg"</f>
        <v>7898968541870.PT05.jpg</v>
      </c>
      <c r="F369" s="11" t="str">
        <f aca="false">INDEX('O QUE MOSTRAR'!$B$4:$B$12,MATCH($D369,'O QUE MOSTRAR'!$A$4:$A$12,0))</f>
        <v>Posição 6</v>
      </c>
      <c r="G369" s="11" t="str">
        <f aca="false">IF(INDEX(PRODUTOS!$F$4:$F$63,MATCH($A369,PRODUTOS!$B$4:$B$63,0))="Ração",INDEX('O QUE MOSTRAR'!$C$4:$C$12,MATCH($D369,'O QUE MOSTRAR'!$A$4:$A$12,0)),INDEX('O QUE MOSTRAR'!$D$4:$D$12,MATCH($D369,'O QUE MOSTRAR'!$A$4:$A$12,0)))</f>
        <v>Quantidade por dia ou rendimento do pacote</v>
      </c>
      <c r="H369" s="11" t="str">
        <f aca="false">INDEX('O QUE MOSTRAR'!$E$4:$E$12,MATCH($D369,'O QUE MOSTRAR'!$A$4:$A$12,0))</f>
        <v>2000 × 2000</v>
      </c>
      <c r="I369" s="11" t="str">
        <f aca="false">INDEX('O QUE MOSTRAR'!$F$4:$F$12,MATCH($D369,'O QUE MOSTRAR'!$A$4:$A$12,0))</f>
        <v>Recomendada</v>
      </c>
      <c r="J369" s="13" t="s">
        <v>303</v>
      </c>
      <c r="K369" s="13"/>
    </row>
    <row r="370" customFormat="false" ht="15" hidden="false" customHeight="false" outlineLevel="0" collapsed="false">
      <c r="A370" s="14" t="s">
        <v>200</v>
      </c>
      <c r="B370" s="11" t="str">
        <f aca="false">INDEX(PRODUTOS!$E$4:$E$63,MATCH($A370,PRODUTOS!$B$4:$B$63,0))</f>
        <v>Bifinhos New Dots Cães RPM Cordeiro 50 g</v>
      </c>
      <c r="C370" s="11" t="str">
        <f aca="false">INDEX(PRODUTOS!$G$4:$G$63,MATCH($A370,PRODUTOS!$B$4:$B$63,0))</f>
        <v>50 g</v>
      </c>
      <c r="D370" s="11" t="s">
        <v>309</v>
      </c>
      <c r="E370" s="15" t="str">
        <f aca="false">$A370&amp;"."&amp;$D370&amp;".jpg"</f>
        <v>7898968541870.PT06.jpg</v>
      </c>
      <c r="F370" s="11" t="str">
        <f aca="false">INDEX('O QUE MOSTRAR'!$B$4:$B$12,MATCH($D370,'O QUE MOSTRAR'!$A$4:$A$12,0))</f>
        <v>Posição 7</v>
      </c>
      <c r="G370" s="11" t="str">
        <f aca="false">IF(INDEX(PRODUTOS!$F$4:$F$63,MATCH($A370,PRODUTOS!$B$4:$B$63,0))="Ração",INDEX('O QUE MOSTRAR'!$C$4:$C$12,MATCH($D370,'O QUE MOSTRAR'!$A$4:$A$12,0)),INDEX('O QUE MOSTRAR'!$D$4:$D$12,MATCH($D370,'O QUE MOSTRAR'!$A$4:$A$12,0)))</f>
        <v>Composição/níveis de garantia (petiscos) ou especificações (higiene)</v>
      </c>
      <c r="H370" s="11" t="str">
        <f aca="false">INDEX('O QUE MOSTRAR'!$E$4:$E$12,MATCH($D370,'O QUE MOSTRAR'!$A$4:$A$12,0))</f>
        <v>2000 × 2000</v>
      </c>
      <c r="I370" s="11" t="str">
        <f aca="false">INDEX('O QUE MOSTRAR'!$F$4:$F$12,MATCH($D370,'O QUE MOSTRAR'!$A$4:$A$12,0))</f>
        <v>SIM</v>
      </c>
      <c r="J370" s="13" t="s">
        <v>303</v>
      </c>
      <c r="K370" s="13"/>
    </row>
    <row r="371" customFormat="false" ht="15" hidden="false" customHeight="false" outlineLevel="0" collapsed="false">
      <c r="A371" s="14" t="s">
        <v>200</v>
      </c>
      <c r="B371" s="11" t="str">
        <f aca="false">INDEX(PRODUTOS!$E$4:$E$63,MATCH($A371,PRODUTOS!$B$4:$B$63,0))</f>
        <v>Bifinhos New Dots Cães RPM Cordeiro 50 g</v>
      </c>
      <c r="C371" s="11" t="str">
        <f aca="false">INDEX(PRODUTOS!$G$4:$G$63,MATCH($A371,PRODUTOS!$B$4:$B$63,0))</f>
        <v>50 g</v>
      </c>
      <c r="D371" s="11" t="s">
        <v>310</v>
      </c>
      <c r="E371" s="15" t="str">
        <f aca="false">$A371&amp;"."&amp;$D371&amp;".jpg"</f>
        <v>7898968541870.PT07.jpg</v>
      </c>
      <c r="F371" s="11" t="str">
        <f aca="false">INDEX('O QUE MOSTRAR'!$B$4:$B$12,MATCH($D371,'O QUE MOSTRAR'!$A$4:$A$12,0))</f>
        <v>Posição 8</v>
      </c>
      <c r="G371" s="11" t="str">
        <f aca="false">IF(INDEX(PRODUTOS!$F$4:$F$63,MATCH($A371,PRODUTOS!$B$4:$B$63,0))="Ração",INDEX('O QUE MOSTRAR'!$C$4:$C$12,MATCH($D371,'O QUE MOSTRAR'!$A$4:$A$12,0)),INDEX('O QUE MOSTRAR'!$D$4:$D$12,MATCH($D371,'O QUE MOSTRAR'!$A$4:$A$12,0)))</f>
        <v>Emocional / momento de uso</v>
      </c>
      <c r="H371" s="11" t="str">
        <f aca="false">INDEX('O QUE MOSTRAR'!$E$4:$E$12,MATCH($D371,'O QUE MOSTRAR'!$A$4:$A$12,0))</f>
        <v>2000 × 2000</v>
      </c>
      <c r="I371" s="11" t="str">
        <f aca="false">INDEX('O QUE MOSTRAR'!$F$4:$F$12,MATCH($D371,'O QUE MOSTRAR'!$A$4:$A$12,0))</f>
        <v>Recomendada</v>
      </c>
      <c r="J371" s="13" t="s">
        <v>303</v>
      </c>
      <c r="K371" s="13"/>
    </row>
    <row r="372" customFormat="false" ht="15" hidden="false" customHeight="false" outlineLevel="0" collapsed="false">
      <c r="A372" s="14" t="s">
        <v>200</v>
      </c>
      <c r="B372" s="11" t="str">
        <f aca="false">INDEX(PRODUTOS!$E$4:$E$63,MATCH($A372,PRODUTOS!$B$4:$B$63,0))</f>
        <v>Bifinhos New Dots Cães RPM Cordeiro 50 g</v>
      </c>
      <c r="C372" s="11" t="str">
        <f aca="false">INDEX(PRODUTOS!$G$4:$G$63,MATCH($A372,PRODUTOS!$B$4:$B$63,0))</f>
        <v>50 g</v>
      </c>
      <c r="D372" s="11" t="s">
        <v>311</v>
      </c>
      <c r="E372" s="15" t="str">
        <f aca="false">$A372&amp;"."&amp;$D372&amp;".jpg"</f>
        <v>7898968541870.PT08.jpg</v>
      </c>
      <c r="F372" s="11" t="str">
        <f aca="false">INDEX('O QUE MOSTRAR'!$B$4:$B$12,MATCH($D372,'O QUE MOSTRAR'!$A$4:$A$12,0))</f>
        <v>Posição 9</v>
      </c>
      <c r="G372" s="11" t="str">
        <f aca="false">IF(INDEX(PRODUTOS!$F$4:$F$63,MATCH($A372,PRODUTOS!$B$4:$B$63,0))="Ração",INDEX('O QUE MOSTRAR'!$C$4:$C$12,MATCH($D372,'O QUE MOSTRAR'!$A$4:$A$12,0)),INDEX('O QUE MOSTRAR'!$D$4:$D$12,MATCH($D372,'O QUE MOSTRAR'!$A$4:$A$12,0)))</f>
        <v>Linha da marca ("conheça também")</v>
      </c>
      <c r="H372" s="11" t="str">
        <f aca="false">INDEX('O QUE MOSTRAR'!$E$4:$E$12,MATCH($D372,'O QUE MOSTRAR'!$A$4:$A$12,0))</f>
        <v>2000 × 2000</v>
      </c>
      <c r="I372" s="11" t="str">
        <f aca="false">INDEX('O QUE MOSTRAR'!$F$4:$F$12,MATCH($D372,'O QUE MOSTRAR'!$A$4:$A$12,0))</f>
        <v>Recomendada</v>
      </c>
      <c r="J372" s="13" t="s">
        <v>303</v>
      </c>
      <c r="K372" s="13"/>
    </row>
    <row r="373" customFormat="false" ht="15" hidden="false" customHeight="false" outlineLevel="0" collapsed="false">
      <c r="A373" s="14" t="s">
        <v>204</v>
      </c>
      <c r="B373" s="11" t="str">
        <f aca="false">INDEX(PRODUTOS!$E$4:$E$63,MATCH($A373,PRODUTOS!$B$4:$B$63,0))</f>
        <v>Biscoito Cães Adultos New Dots 400 g</v>
      </c>
      <c r="C373" s="11" t="str">
        <f aca="false">INDEX(PRODUTOS!$G$4:$G$63,MATCH($A373,PRODUTOS!$B$4:$B$63,0))</f>
        <v>400 g</v>
      </c>
      <c r="D373" s="11" t="s">
        <v>302</v>
      </c>
      <c r="E373" s="15" t="str">
        <f aca="false">$A373&amp;"."&amp;$D373&amp;".jpg"</f>
        <v>7908591300000.MAIN.jpg</v>
      </c>
      <c r="F373" s="11" t="str">
        <f aca="false">INDEX('O QUE MOSTRAR'!$B$4:$B$12,MATCH($D373,'O QUE MOSTRAR'!$A$4:$A$12,0))</f>
        <v>Capa (posição 1)</v>
      </c>
      <c r="G373" s="11" t="str">
        <f aca="false">IF(INDEX(PRODUTOS!$F$4:$F$63,MATCH($A373,PRODUTOS!$B$4:$B$63,0))="Ração",INDEX('O QUE MOSTRAR'!$C$4:$C$12,MATCH($D373,'O QUE MOSTRAR'!$A$4:$A$12,0)),INDEX('O QUE MOSTRAR'!$D$4:$D$12,MATCH($D373,'O QUE MOSTRAR'!$A$4:$A$12,0)))</f>
        <v>Embalagem de frente, fundo branco puro, 85% da área, nada adicionado</v>
      </c>
      <c r="H373" s="11" t="str">
        <f aca="false">INDEX('O QUE MOSTRAR'!$E$4:$E$12,MATCH($D373,'O QUE MOSTRAR'!$A$4:$A$12,0))</f>
        <v>2000 × 2000</v>
      </c>
      <c r="I373" s="11" t="str">
        <f aca="false">INDEX('O QUE MOSTRAR'!$F$4:$F$12,MATCH($D373,'O QUE MOSTRAR'!$A$4:$A$12,0))</f>
        <v>SIM</v>
      </c>
      <c r="J373" s="13" t="s">
        <v>303</v>
      </c>
      <c r="K373" s="13"/>
    </row>
    <row r="374" customFormat="false" ht="15" hidden="false" customHeight="false" outlineLevel="0" collapsed="false">
      <c r="A374" s="14" t="s">
        <v>204</v>
      </c>
      <c r="B374" s="11" t="str">
        <f aca="false">INDEX(PRODUTOS!$E$4:$E$63,MATCH($A374,PRODUTOS!$B$4:$B$63,0))</f>
        <v>Biscoito Cães Adultos New Dots 400 g</v>
      </c>
      <c r="C374" s="11" t="str">
        <f aca="false">INDEX(PRODUTOS!$G$4:$G$63,MATCH($A374,PRODUTOS!$B$4:$B$63,0))</f>
        <v>400 g</v>
      </c>
      <c r="D374" s="11" t="s">
        <v>304</v>
      </c>
      <c r="E374" s="15" t="str">
        <f aca="false">$A374&amp;"."&amp;$D374&amp;".jpg"</f>
        <v>7908591300000.PT01.jpg</v>
      </c>
      <c r="F374" s="11" t="str">
        <f aca="false">INDEX('O QUE MOSTRAR'!$B$4:$B$12,MATCH($D374,'O QUE MOSTRAR'!$A$4:$A$12,0))</f>
        <v>Posição 2</v>
      </c>
      <c r="G374" s="11" t="str">
        <f aca="false">IF(INDEX(PRODUTOS!$F$4:$F$63,MATCH($A374,PRODUTOS!$B$4:$B$63,0))="Ração",INDEX('O QUE MOSTRAR'!$C$4:$C$12,MATCH($D374,'O QUE MOSTRAR'!$A$4:$A$12,0)),INDEX('O QUE MOSTRAR'!$D$4:$D$12,MATCH($D374,'O QUE MOSTRAR'!$A$4:$A$12,0)))</f>
        <v>Grande diferencial (ex.: natural, biodegradável, perfumado)</v>
      </c>
      <c r="H374" s="11" t="str">
        <f aca="false">INDEX('O QUE MOSTRAR'!$E$4:$E$12,MATCH($D374,'O QUE MOSTRAR'!$A$4:$A$12,0))</f>
        <v>2000 × 2000</v>
      </c>
      <c r="I374" s="11" t="str">
        <f aca="false">INDEX('O QUE MOSTRAR'!$F$4:$F$12,MATCH($D374,'O QUE MOSTRAR'!$A$4:$A$12,0))</f>
        <v>SIM</v>
      </c>
      <c r="J374" s="13" t="s">
        <v>303</v>
      </c>
      <c r="K374" s="13"/>
    </row>
    <row r="375" customFormat="false" ht="15" hidden="false" customHeight="false" outlineLevel="0" collapsed="false">
      <c r="A375" s="14" t="s">
        <v>204</v>
      </c>
      <c r="B375" s="11" t="str">
        <f aca="false">INDEX(PRODUTOS!$E$4:$E$63,MATCH($A375,PRODUTOS!$B$4:$B$63,0))</f>
        <v>Biscoito Cães Adultos New Dots 400 g</v>
      </c>
      <c r="C375" s="11" t="str">
        <f aca="false">INDEX(PRODUTOS!$G$4:$G$63,MATCH($A375,PRODUTOS!$B$4:$B$63,0))</f>
        <v>400 g</v>
      </c>
      <c r="D375" s="11" t="s">
        <v>305</v>
      </c>
      <c r="E375" s="15" t="str">
        <f aca="false">$A375&amp;"."&amp;$D375&amp;".jpg"</f>
        <v>7908591300000.PT02.jpg</v>
      </c>
      <c r="F375" s="11" t="str">
        <f aca="false">INDEX('O QUE MOSTRAR'!$B$4:$B$12,MATCH($D375,'O QUE MOSTRAR'!$A$4:$A$12,0))</f>
        <v>Posição 3</v>
      </c>
      <c r="G375" s="11" t="str">
        <f aca="false">IF(INDEX(PRODUTOS!$F$4:$F$63,MATCH($A375,PRODUTOS!$B$4:$B$63,0))="Ração",INDEX('O QUE MOSTRAR'!$C$4:$C$12,MATCH($D375,'O QUE MOSTRAR'!$A$4:$A$12,0)),INDEX('O QUE MOSTRAR'!$D$4:$D$12,MATCH($D375,'O QUE MOSTRAR'!$A$4:$A$12,0)))</f>
        <v>Benefícios com ícones (4 a 6, impressos na embalagem)</v>
      </c>
      <c r="H375" s="11" t="str">
        <f aca="false">INDEX('O QUE MOSTRAR'!$E$4:$E$12,MATCH($D375,'O QUE MOSTRAR'!$A$4:$A$12,0))</f>
        <v>2000 × 2000</v>
      </c>
      <c r="I375" s="11" t="str">
        <f aca="false">INDEX('O QUE MOSTRAR'!$F$4:$F$12,MATCH($D375,'O QUE MOSTRAR'!$A$4:$A$12,0))</f>
        <v>SIM</v>
      </c>
      <c r="J375" s="13" t="s">
        <v>303</v>
      </c>
      <c r="K375" s="13"/>
    </row>
    <row r="376" customFormat="false" ht="15" hidden="false" customHeight="false" outlineLevel="0" collapsed="false">
      <c r="A376" s="14" t="s">
        <v>204</v>
      </c>
      <c r="B376" s="11" t="str">
        <f aca="false">INDEX(PRODUTOS!$E$4:$E$63,MATCH($A376,PRODUTOS!$B$4:$B$63,0))</f>
        <v>Biscoito Cães Adultos New Dots 400 g</v>
      </c>
      <c r="C376" s="11" t="str">
        <f aca="false">INDEX(PRODUTOS!$G$4:$G$63,MATCH($A376,PRODUTOS!$B$4:$B$63,0))</f>
        <v>400 g</v>
      </c>
      <c r="D376" s="11" t="s">
        <v>306</v>
      </c>
      <c r="E376" s="15" t="str">
        <f aca="false">$A376&amp;"."&amp;$D376&amp;".jpg"</f>
        <v>7908591300000.PT03.jpg</v>
      </c>
      <c r="F376" s="11" t="str">
        <f aca="false">INDEX('O QUE MOSTRAR'!$B$4:$B$12,MATCH($D376,'O QUE MOSTRAR'!$A$4:$A$12,0))</f>
        <v>Posição 4</v>
      </c>
      <c r="G376" s="11" t="str">
        <f aca="false">IF(INDEX(PRODUTOS!$F$4:$F$63,MATCH($A376,PRODUTOS!$B$4:$B$63,0))="Ração",INDEX('O QUE MOSTRAR'!$C$4:$C$12,MATCH($D376,'O QUE MOSTRAR'!$A$4:$A$12,0)),INDEX('O QUE MOSTRAR'!$D$4:$D$12,MATCH($D376,'O QUE MOSTRAR'!$A$4:$A$12,0)))</f>
        <v>Detalhe e tamanho real (petisco, grânulo ou tapete aberto), com medidas</v>
      </c>
      <c r="H376" s="11" t="str">
        <f aca="false">INDEX('O QUE MOSTRAR'!$E$4:$E$12,MATCH($D376,'O QUE MOSTRAR'!$A$4:$A$12,0))</f>
        <v>2000 × 2000</v>
      </c>
      <c r="I376" s="11" t="str">
        <f aca="false">INDEX('O QUE MOSTRAR'!$F$4:$F$12,MATCH($D376,'O QUE MOSTRAR'!$A$4:$A$12,0))</f>
        <v>SIM</v>
      </c>
      <c r="J376" s="13" t="s">
        <v>303</v>
      </c>
      <c r="K376" s="13"/>
    </row>
    <row r="377" customFormat="false" ht="15" hidden="false" customHeight="false" outlineLevel="0" collapsed="false">
      <c r="A377" s="14" t="s">
        <v>204</v>
      </c>
      <c r="B377" s="11" t="str">
        <f aca="false">INDEX(PRODUTOS!$E$4:$E$63,MATCH($A377,PRODUTOS!$B$4:$B$63,0))</f>
        <v>Biscoito Cães Adultos New Dots 400 g</v>
      </c>
      <c r="C377" s="11" t="str">
        <f aca="false">INDEX(PRODUTOS!$G$4:$G$63,MATCH($A377,PRODUTOS!$B$4:$B$63,0))</f>
        <v>400 g</v>
      </c>
      <c r="D377" s="11" t="s">
        <v>307</v>
      </c>
      <c r="E377" s="15" t="str">
        <f aca="false">$A377&amp;"."&amp;$D377&amp;".jpg"</f>
        <v>7908591300000.PT04.jpg</v>
      </c>
      <c r="F377" s="11" t="str">
        <f aca="false">INDEX('O QUE MOSTRAR'!$B$4:$B$12,MATCH($D377,'O QUE MOSTRAR'!$A$4:$A$12,0))</f>
        <v>Posição 5</v>
      </c>
      <c r="G377" s="11" t="str">
        <f aca="false">IF(INDEX(PRODUTOS!$F$4:$F$63,MATCH($A377,PRODUTOS!$B$4:$B$63,0))="Ração",INDEX('O QUE MOSTRAR'!$C$4:$C$12,MATCH($D377,'O QUE MOSTRAR'!$A$4:$A$12,0)),INDEX('O QUE MOSTRAR'!$D$4:$D$12,MATCH($D377,'O QUE MOSTRAR'!$A$4:$A$12,0)))</f>
        <v>Modo de uso (como oferecer o petisco / como usar o produto)</v>
      </c>
      <c r="H377" s="11" t="str">
        <f aca="false">INDEX('O QUE MOSTRAR'!$E$4:$E$12,MATCH($D377,'O QUE MOSTRAR'!$A$4:$A$12,0))</f>
        <v>2000 × 2000</v>
      </c>
      <c r="I377" s="11" t="str">
        <f aca="false">INDEX('O QUE MOSTRAR'!$F$4:$F$12,MATCH($D377,'O QUE MOSTRAR'!$A$4:$A$12,0))</f>
        <v>SIM</v>
      </c>
      <c r="J377" s="13" t="s">
        <v>303</v>
      </c>
      <c r="K377" s="13"/>
    </row>
    <row r="378" customFormat="false" ht="15" hidden="false" customHeight="false" outlineLevel="0" collapsed="false">
      <c r="A378" s="14" t="s">
        <v>204</v>
      </c>
      <c r="B378" s="11" t="str">
        <f aca="false">INDEX(PRODUTOS!$E$4:$E$63,MATCH($A378,PRODUTOS!$B$4:$B$63,0))</f>
        <v>Biscoito Cães Adultos New Dots 400 g</v>
      </c>
      <c r="C378" s="11" t="str">
        <f aca="false">INDEX(PRODUTOS!$G$4:$G$63,MATCH($A378,PRODUTOS!$B$4:$B$63,0))</f>
        <v>400 g</v>
      </c>
      <c r="D378" s="11" t="s">
        <v>308</v>
      </c>
      <c r="E378" s="15" t="str">
        <f aca="false">$A378&amp;"."&amp;$D378&amp;".jpg"</f>
        <v>7908591300000.PT05.jpg</v>
      </c>
      <c r="F378" s="11" t="str">
        <f aca="false">INDEX('O QUE MOSTRAR'!$B$4:$B$12,MATCH($D378,'O QUE MOSTRAR'!$A$4:$A$12,0))</f>
        <v>Posição 6</v>
      </c>
      <c r="G378" s="11" t="str">
        <f aca="false">IF(INDEX(PRODUTOS!$F$4:$F$63,MATCH($A378,PRODUTOS!$B$4:$B$63,0))="Ração",INDEX('O QUE MOSTRAR'!$C$4:$C$12,MATCH($D378,'O QUE MOSTRAR'!$A$4:$A$12,0)),INDEX('O QUE MOSTRAR'!$D$4:$D$12,MATCH($D378,'O QUE MOSTRAR'!$A$4:$A$12,0)))</f>
        <v>Quantidade por dia ou rendimento do pacote</v>
      </c>
      <c r="H378" s="11" t="str">
        <f aca="false">INDEX('O QUE MOSTRAR'!$E$4:$E$12,MATCH($D378,'O QUE MOSTRAR'!$A$4:$A$12,0))</f>
        <v>2000 × 2000</v>
      </c>
      <c r="I378" s="11" t="str">
        <f aca="false">INDEX('O QUE MOSTRAR'!$F$4:$F$12,MATCH($D378,'O QUE MOSTRAR'!$A$4:$A$12,0))</f>
        <v>Recomendada</v>
      </c>
      <c r="J378" s="13" t="s">
        <v>303</v>
      </c>
      <c r="K378" s="13"/>
    </row>
    <row r="379" customFormat="false" ht="15" hidden="false" customHeight="false" outlineLevel="0" collapsed="false">
      <c r="A379" s="14" t="s">
        <v>204</v>
      </c>
      <c r="B379" s="11" t="str">
        <f aca="false">INDEX(PRODUTOS!$E$4:$E$63,MATCH($A379,PRODUTOS!$B$4:$B$63,0))</f>
        <v>Biscoito Cães Adultos New Dots 400 g</v>
      </c>
      <c r="C379" s="11" t="str">
        <f aca="false">INDEX(PRODUTOS!$G$4:$G$63,MATCH($A379,PRODUTOS!$B$4:$B$63,0))</f>
        <v>400 g</v>
      </c>
      <c r="D379" s="11" t="s">
        <v>309</v>
      </c>
      <c r="E379" s="15" t="str">
        <f aca="false">$A379&amp;"."&amp;$D379&amp;".jpg"</f>
        <v>7908591300000.PT06.jpg</v>
      </c>
      <c r="F379" s="11" t="str">
        <f aca="false">INDEX('O QUE MOSTRAR'!$B$4:$B$12,MATCH($D379,'O QUE MOSTRAR'!$A$4:$A$12,0))</f>
        <v>Posição 7</v>
      </c>
      <c r="G379" s="11" t="str">
        <f aca="false">IF(INDEX(PRODUTOS!$F$4:$F$63,MATCH($A379,PRODUTOS!$B$4:$B$63,0))="Ração",INDEX('O QUE MOSTRAR'!$C$4:$C$12,MATCH($D379,'O QUE MOSTRAR'!$A$4:$A$12,0)),INDEX('O QUE MOSTRAR'!$D$4:$D$12,MATCH($D379,'O QUE MOSTRAR'!$A$4:$A$12,0)))</f>
        <v>Composição/níveis de garantia (petiscos) ou especificações (higiene)</v>
      </c>
      <c r="H379" s="11" t="str">
        <f aca="false">INDEX('O QUE MOSTRAR'!$E$4:$E$12,MATCH($D379,'O QUE MOSTRAR'!$A$4:$A$12,0))</f>
        <v>2000 × 2000</v>
      </c>
      <c r="I379" s="11" t="str">
        <f aca="false">INDEX('O QUE MOSTRAR'!$F$4:$F$12,MATCH($D379,'O QUE MOSTRAR'!$A$4:$A$12,0))</f>
        <v>SIM</v>
      </c>
      <c r="J379" s="13" t="s">
        <v>303</v>
      </c>
      <c r="K379" s="13"/>
    </row>
    <row r="380" customFormat="false" ht="15" hidden="false" customHeight="false" outlineLevel="0" collapsed="false">
      <c r="A380" s="14" t="s">
        <v>204</v>
      </c>
      <c r="B380" s="11" t="str">
        <f aca="false">INDEX(PRODUTOS!$E$4:$E$63,MATCH($A380,PRODUTOS!$B$4:$B$63,0))</f>
        <v>Biscoito Cães Adultos New Dots 400 g</v>
      </c>
      <c r="C380" s="11" t="str">
        <f aca="false">INDEX(PRODUTOS!$G$4:$G$63,MATCH($A380,PRODUTOS!$B$4:$B$63,0))</f>
        <v>400 g</v>
      </c>
      <c r="D380" s="11" t="s">
        <v>310</v>
      </c>
      <c r="E380" s="15" t="str">
        <f aca="false">$A380&amp;"."&amp;$D380&amp;".jpg"</f>
        <v>7908591300000.PT07.jpg</v>
      </c>
      <c r="F380" s="11" t="str">
        <f aca="false">INDEX('O QUE MOSTRAR'!$B$4:$B$12,MATCH($D380,'O QUE MOSTRAR'!$A$4:$A$12,0))</f>
        <v>Posição 8</v>
      </c>
      <c r="G380" s="11" t="str">
        <f aca="false">IF(INDEX(PRODUTOS!$F$4:$F$63,MATCH($A380,PRODUTOS!$B$4:$B$63,0))="Ração",INDEX('O QUE MOSTRAR'!$C$4:$C$12,MATCH($D380,'O QUE MOSTRAR'!$A$4:$A$12,0)),INDEX('O QUE MOSTRAR'!$D$4:$D$12,MATCH($D380,'O QUE MOSTRAR'!$A$4:$A$12,0)))</f>
        <v>Emocional / momento de uso</v>
      </c>
      <c r="H380" s="11" t="str">
        <f aca="false">INDEX('O QUE MOSTRAR'!$E$4:$E$12,MATCH($D380,'O QUE MOSTRAR'!$A$4:$A$12,0))</f>
        <v>2000 × 2000</v>
      </c>
      <c r="I380" s="11" t="str">
        <f aca="false">INDEX('O QUE MOSTRAR'!$F$4:$F$12,MATCH($D380,'O QUE MOSTRAR'!$A$4:$A$12,0))</f>
        <v>Recomendada</v>
      </c>
      <c r="J380" s="13" t="s">
        <v>303</v>
      </c>
      <c r="K380" s="13"/>
    </row>
    <row r="381" customFormat="false" ht="15" hidden="false" customHeight="false" outlineLevel="0" collapsed="false">
      <c r="A381" s="14" t="s">
        <v>204</v>
      </c>
      <c r="B381" s="11" t="str">
        <f aca="false">INDEX(PRODUTOS!$E$4:$E$63,MATCH($A381,PRODUTOS!$B$4:$B$63,0))</f>
        <v>Biscoito Cães Adultos New Dots 400 g</v>
      </c>
      <c r="C381" s="11" t="str">
        <f aca="false">INDEX(PRODUTOS!$G$4:$G$63,MATCH($A381,PRODUTOS!$B$4:$B$63,0))</f>
        <v>400 g</v>
      </c>
      <c r="D381" s="11" t="s">
        <v>311</v>
      </c>
      <c r="E381" s="15" t="str">
        <f aca="false">$A381&amp;"."&amp;$D381&amp;".jpg"</f>
        <v>7908591300000.PT08.jpg</v>
      </c>
      <c r="F381" s="11" t="str">
        <f aca="false">INDEX('O QUE MOSTRAR'!$B$4:$B$12,MATCH($D381,'O QUE MOSTRAR'!$A$4:$A$12,0))</f>
        <v>Posição 9</v>
      </c>
      <c r="G381" s="11" t="str">
        <f aca="false">IF(INDEX(PRODUTOS!$F$4:$F$63,MATCH($A381,PRODUTOS!$B$4:$B$63,0))="Ração",INDEX('O QUE MOSTRAR'!$C$4:$C$12,MATCH($D381,'O QUE MOSTRAR'!$A$4:$A$12,0)),INDEX('O QUE MOSTRAR'!$D$4:$D$12,MATCH($D381,'O QUE MOSTRAR'!$A$4:$A$12,0)))</f>
        <v>Linha da marca ("conheça também")</v>
      </c>
      <c r="H381" s="11" t="str">
        <f aca="false">INDEX('O QUE MOSTRAR'!$E$4:$E$12,MATCH($D381,'O QUE MOSTRAR'!$A$4:$A$12,0))</f>
        <v>2000 × 2000</v>
      </c>
      <c r="I381" s="11" t="str">
        <f aca="false">INDEX('O QUE MOSTRAR'!$F$4:$F$12,MATCH($D381,'O QUE MOSTRAR'!$A$4:$A$12,0))</f>
        <v>Recomendada</v>
      </c>
      <c r="J381" s="13" t="s">
        <v>303</v>
      </c>
      <c r="K381" s="13"/>
    </row>
    <row r="382" customFormat="false" ht="15" hidden="false" customHeight="false" outlineLevel="0" collapsed="false">
      <c r="A382" s="14" t="s">
        <v>208</v>
      </c>
      <c r="B382" s="11" t="str">
        <f aca="false">INDEX(PRODUTOS!$E$4:$E$63,MATCH($A382,PRODUTOS!$B$4:$B$63,0))</f>
        <v>Biscoito Cães Raças Pequenas e Médias New Dots 400 g</v>
      </c>
      <c r="C382" s="11" t="str">
        <f aca="false">INDEX(PRODUTOS!$G$4:$G$63,MATCH($A382,PRODUTOS!$B$4:$B$63,0))</f>
        <v>400 g</v>
      </c>
      <c r="D382" s="11" t="s">
        <v>302</v>
      </c>
      <c r="E382" s="15" t="str">
        <f aca="false">$A382&amp;"."&amp;$D382&amp;".jpg"</f>
        <v>7908591300017.MAIN.jpg</v>
      </c>
      <c r="F382" s="11" t="str">
        <f aca="false">INDEX('O QUE MOSTRAR'!$B$4:$B$12,MATCH($D382,'O QUE MOSTRAR'!$A$4:$A$12,0))</f>
        <v>Capa (posição 1)</v>
      </c>
      <c r="G382" s="11" t="str">
        <f aca="false">IF(INDEX(PRODUTOS!$F$4:$F$63,MATCH($A382,PRODUTOS!$B$4:$B$63,0))="Ração",INDEX('O QUE MOSTRAR'!$C$4:$C$12,MATCH($D382,'O QUE MOSTRAR'!$A$4:$A$12,0)),INDEX('O QUE MOSTRAR'!$D$4:$D$12,MATCH($D382,'O QUE MOSTRAR'!$A$4:$A$12,0)))</f>
        <v>Embalagem de frente, fundo branco puro, 85% da área, nada adicionado</v>
      </c>
      <c r="H382" s="11" t="str">
        <f aca="false">INDEX('O QUE MOSTRAR'!$E$4:$E$12,MATCH($D382,'O QUE MOSTRAR'!$A$4:$A$12,0))</f>
        <v>2000 × 2000</v>
      </c>
      <c r="I382" s="11" t="str">
        <f aca="false">INDEX('O QUE MOSTRAR'!$F$4:$F$12,MATCH($D382,'O QUE MOSTRAR'!$A$4:$A$12,0))</f>
        <v>SIM</v>
      </c>
      <c r="J382" s="13" t="s">
        <v>303</v>
      </c>
      <c r="K382" s="13"/>
    </row>
    <row r="383" customFormat="false" ht="15" hidden="false" customHeight="false" outlineLevel="0" collapsed="false">
      <c r="A383" s="14" t="s">
        <v>208</v>
      </c>
      <c r="B383" s="11" t="str">
        <f aca="false">INDEX(PRODUTOS!$E$4:$E$63,MATCH($A383,PRODUTOS!$B$4:$B$63,0))</f>
        <v>Biscoito Cães Raças Pequenas e Médias New Dots 400 g</v>
      </c>
      <c r="C383" s="11" t="str">
        <f aca="false">INDEX(PRODUTOS!$G$4:$G$63,MATCH($A383,PRODUTOS!$B$4:$B$63,0))</f>
        <v>400 g</v>
      </c>
      <c r="D383" s="11" t="s">
        <v>304</v>
      </c>
      <c r="E383" s="15" t="str">
        <f aca="false">$A383&amp;"."&amp;$D383&amp;".jpg"</f>
        <v>7908591300017.PT01.jpg</v>
      </c>
      <c r="F383" s="11" t="str">
        <f aca="false">INDEX('O QUE MOSTRAR'!$B$4:$B$12,MATCH($D383,'O QUE MOSTRAR'!$A$4:$A$12,0))</f>
        <v>Posição 2</v>
      </c>
      <c r="G383" s="11" t="str">
        <f aca="false">IF(INDEX(PRODUTOS!$F$4:$F$63,MATCH($A383,PRODUTOS!$B$4:$B$63,0))="Ração",INDEX('O QUE MOSTRAR'!$C$4:$C$12,MATCH($D383,'O QUE MOSTRAR'!$A$4:$A$12,0)),INDEX('O QUE MOSTRAR'!$D$4:$D$12,MATCH($D383,'O QUE MOSTRAR'!$A$4:$A$12,0)))</f>
        <v>Grande diferencial (ex.: natural, biodegradável, perfumado)</v>
      </c>
      <c r="H383" s="11" t="str">
        <f aca="false">INDEX('O QUE MOSTRAR'!$E$4:$E$12,MATCH($D383,'O QUE MOSTRAR'!$A$4:$A$12,0))</f>
        <v>2000 × 2000</v>
      </c>
      <c r="I383" s="11" t="str">
        <f aca="false">INDEX('O QUE MOSTRAR'!$F$4:$F$12,MATCH($D383,'O QUE MOSTRAR'!$A$4:$A$12,0))</f>
        <v>SIM</v>
      </c>
      <c r="J383" s="13" t="s">
        <v>303</v>
      </c>
      <c r="K383" s="13"/>
    </row>
    <row r="384" customFormat="false" ht="15" hidden="false" customHeight="false" outlineLevel="0" collapsed="false">
      <c r="A384" s="14" t="s">
        <v>208</v>
      </c>
      <c r="B384" s="11" t="str">
        <f aca="false">INDEX(PRODUTOS!$E$4:$E$63,MATCH($A384,PRODUTOS!$B$4:$B$63,0))</f>
        <v>Biscoito Cães Raças Pequenas e Médias New Dots 400 g</v>
      </c>
      <c r="C384" s="11" t="str">
        <f aca="false">INDEX(PRODUTOS!$G$4:$G$63,MATCH($A384,PRODUTOS!$B$4:$B$63,0))</f>
        <v>400 g</v>
      </c>
      <c r="D384" s="11" t="s">
        <v>305</v>
      </c>
      <c r="E384" s="15" t="str">
        <f aca="false">$A384&amp;"."&amp;$D384&amp;".jpg"</f>
        <v>7908591300017.PT02.jpg</v>
      </c>
      <c r="F384" s="11" t="str">
        <f aca="false">INDEX('O QUE MOSTRAR'!$B$4:$B$12,MATCH($D384,'O QUE MOSTRAR'!$A$4:$A$12,0))</f>
        <v>Posição 3</v>
      </c>
      <c r="G384" s="11" t="str">
        <f aca="false">IF(INDEX(PRODUTOS!$F$4:$F$63,MATCH($A384,PRODUTOS!$B$4:$B$63,0))="Ração",INDEX('O QUE MOSTRAR'!$C$4:$C$12,MATCH($D384,'O QUE MOSTRAR'!$A$4:$A$12,0)),INDEX('O QUE MOSTRAR'!$D$4:$D$12,MATCH($D384,'O QUE MOSTRAR'!$A$4:$A$12,0)))</f>
        <v>Benefícios com ícones (4 a 6, impressos na embalagem)</v>
      </c>
      <c r="H384" s="11" t="str">
        <f aca="false">INDEX('O QUE MOSTRAR'!$E$4:$E$12,MATCH($D384,'O QUE MOSTRAR'!$A$4:$A$12,0))</f>
        <v>2000 × 2000</v>
      </c>
      <c r="I384" s="11" t="str">
        <f aca="false">INDEX('O QUE MOSTRAR'!$F$4:$F$12,MATCH($D384,'O QUE MOSTRAR'!$A$4:$A$12,0))</f>
        <v>SIM</v>
      </c>
      <c r="J384" s="13" t="s">
        <v>303</v>
      </c>
      <c r="K384" s="13"/>
    </row>
    <row r="385" customFormat="false" ht="15" hidden="false" customHeight="false" outlineLevel="0" collapsed="false">
      <c r="A385" s="14" t="s">
        <v>208</v>
      </c>
      <c r="B385" s="11" t="str">
        <f aca="false">INDEX(PRODUTOS!$E$4:$E$63,MATCH($A385,PRODUTOS!$B$4:$B$63,0))</f>
        <v>Biscoito Cães Raças Pequenas e Médias New Dots 400 g</v>
      </c>
      <c r="C385" s="11" t="str">
        <f aca="false">INDEX(PRODUTOS!$G$4:$G$63,MATCH($A385,PRODUTOS!$B$4:$B$63,0))</f>
        <v>400 g</v>
      </c>
      <c r="D385" s="11" t="s">
        <v>306</v>
      </c>
      <c r="E385" s="15" t="str">
        <f aca="false">$A385&amp;"."&amp;$D385&amp;".jpg"</f>
        <v>7908591300017.PT03.jpg</v>
      </c>
      <c r="F385" s="11" t="str">
        <f aca="false">INDEX('O QUE MOSTRAR'!$B$4:$B$12,MATCH($D385,'O QUE MOSTRAR'!$A$4:$A$12,0))</f>
        <v>Posição 4</v>
      </c>
      <c r="G385" s="11" t="str">
        <f aca="false">IF(INDEX(PRODUTOS!$F$4:$F$63,MATCH($A385,PRODUTOS!$B$4:$B$63,0))="Ração",INDEX('O QUE MOSTRAR'!$C$4:$C$12,MATCH($D385,'O QUE MOSTRAR'!$A$4:$A$12,0)),INDEX('O QUE MOSTRAR'!$D$4:$D$12,MATCH($D385,'O QUE MOSTRAR'!$A$4:$A$12,0)))</f>
        <v>Detalhe e tamanho real (petisco, grânulo ou tapete aberto), com medidas</v>
      </c>
      <c r="H385" s="11" t="str">
        <f aca="false">INDEX('O QUE MOSTRAR'!$E$4:$E$12,MATCH($D385,'O QUE MOSTRAR'!$A$4:$A$12,0))</f>
        <v>2000 × 2000</v>
      </c>
      <c r="I385" s="11" t="str">
        <f aca="false">INDEX('O QUE MOSTRAR'!$F$4:$F$12,MATCH($D385,'O QUE MOSTRAR'!$A$4:$A$12,0))</f>
        <v>SIM</v>
      </c>
      <c r="J385" s="13" t="s">
        <v>303</v>
      </c>
      <c r="K385" s="13"/>
    </row>
    <row r="386" customFormat="false" ht="15" hidden="false" customHeight="false" outlineLevel="0" collapsed="false">
      <c r="A386" s="14" t="s">
        <v>208</v>
      </c>
      <c r="B386" s="11" t="str">
        <f aca="false">INDEX(PRODUTOS!$E$4:$E$63,MATCH($A386,PRODUTOS!$B$4:$B$63,0))</f>
        <v>Biscoito Cães Raças Pequenas e Médias New Dots 400 g</v>
      </c>
      <c r="C386" s="11" t="str">
        <f aca="false">INDEX(PRODUTOS!$G$4:$G$63,MATCH($A386,PRODUTOS!$B$4:$B$63,0))</f>
        <v>400 g</v>
      </c>
      <c r="D386" s="11" t="s">
        <v>307</v>
      </c>
      <c r="E386" s="15" t="str">
        <f aca="false">$A386&amp;"."&amp;$D386&amp;".jpg"</f>
        <v>7908591300017.PT04.jpg</v>
      </c>
      <c r="F386" s="11" t="str">
        <f aca="false">INDEX('O QUE MOSTRAR'!$B$4:$B$12,MATCH($D386,'O QUE MOSTRAR'!$A$4:$A$12,0))</f>
        <v>Posição 5</v>
      </c>
      <c r="G386" s="11" t="str">
        <f aca="false">IF(INDEX(PRODUTOS!$F$4:$F$63,MATCH($A386,PRODUTOS!$B$4:$B$63,0))="Ração",INDEX('O QUE MOSTRAR'!$C$4:$C$12,MATCH($D386,'O QUE MOSTRAR'!$A$4:$A$12,0)),INDEX('O QUE MOSTRAR'!$D$4:$D$12,MATCH($D386,'O QUE MOSTRAR'!$A$4:$A$12,0)))</f>
        <v>Modo de uso (como oferecer o petisco / como usar o produto)</v>
      </c>
      <c r="H386" s="11" t="str">
        <f aca="false">INDEX('O QUE MOSTRAR'!$E$4:$E$12,MATCH($D386,'O QUE MOSTRAR'!$A$4:$A$12,0))</f>
        <v>2000 × 2000</v>
      </c>
      <c r="I386" s="11" t="str">
        <f aca="false">INDEX('O QUE MOSTRAR'!$F$4:$F$12,MATCH($D386,'O QUE MOSTRAR'!$A$4:$A$12,0))</f>
        <v>SIM</v>
      </c>
      <c r="J386" s="13" t="s">
        <v>303</v>
      </c>
      <c r="K386" s="13"/>
    </row>
    <row r="387" customFormat="false" ht="15" hidden="false" customHeight="false" outlineLevel="0" collapsed="false">
      <c r="A387" s="14" t="s">
        <v>208</v>
      </c>
      <c r="B387" s="11" t="str">
        <f aca="false">INDEX(PRODUTOS!$E$4:$E$63,MATCH($A387,PRODUTOS!$B$4:$B$63,0))</f>
        <v>Biscoito Cães Raças Pequenas e Médias New Dots 400 g</v>
      </c>
      <c r="C387" s="11" t="str">
        <f aca="false">INDEX(PRODUTOS!$G$4:$G$63,MATCH($A387,PRODUTOS!$B$4:$B$63,0))</f>
        <v>400 g</v>
      </c>
      <c r="D387" s="11" t="s">
        <v>308</v>
      </c>
      <c r="E387" s="15" t="str">
        <f aca="false">$A387&amp;"."&amp;$D387&amp;".jpg"</f>
        <v>7908591300017.PT05.jpg</v>
      </c>
      <c r="F387" s="11" t="str">
        <f aca="false">INDEX('O QUE MOSTRAR'!$B$4:$B$12,MATCH($D387,'O QUE MOSTRAR'!$A$4:$A$12,0))</f>
        <v>Posição 6</v>
      </c>
      <c r="G387" s="11" t="str">
        <f aca="false">IF(INDEX(PRODUTOS!$F$4:$F$63,MATCH($A387,PRODUTOS!$B$4:$B$63,0))="Ração",INDEX('O QUE MOSTRAR'!$C$4:$C$12,MATCH($D387,'O QUE MOSTRAR'!$A$4:$A$12,0)),INDEX('O QUE MOSTRAR'!$D$4:$D$12,MATCH($D387,'O QUE MOSTRAR'!$A$4:$A$12,0)))</f>
        <v>Quantidade por dia ou rendimento do pacote</v>
      </c>
      <c r="H387" s="11" t="str">
        <f aca="false">INDEX('O QUE MOSTRAR'!$E$4:$E$12,MATCH($D387,'O QUE MOSTRAR'!$A$4:$A$12,0))</f>
        <v>2000 × 2000</v>
      </c>
      <c r="I387" s="11" t="str">
        <f aca="false">INDEX('O QUE MOSTRAR'!$F$4:$F$12,MATCH($D387,'O QUE MOSTRAR'!$A$4:$A$12,0))</f>
        <v>Recomendada</v>
      </c>
      <c r="J387" s="13" t="s">
        <v>303</v>
      </c>
      <c r="K387" s="13"/>
    </row>
    <row r="388" customFormat="false" ht="15" hidden="false" customHeight="false" outlineLevel="0" collapsed="false">
      <c r="A388" s="14" t="s">
        <v>208</v>
      </c>
      <c r="B388" s="11" t="str">
        <f aca="false">INDEX(PRODUTOS!$E$4:$E$63,MATCH($A388,PRODUTOS!$B$4:$B$63,0))</f>
        <v>Biscoito Cães Raças Pequenas e Médias New Dots 400 g</v>
      </c>
      <c r="C388" s="11" t="str">
        <f aca="false">INDEX(PRODUTOS!$G$4:$G$63,MATCH($A388,PRODUTOS!$B$4:$B$63,0))</f>
        <v>400 g</v>
      </c>
      <c r="D388" s="11" t="s">
        <v>309</v>
      </c>
      <c r="E388" s="15" t="str">
        <f aca="false">$A388&amp;"."&amp;$D388&amp;".jpg"</f>
        <v>7908591300017.PT06.jpg</v>
      </c>
      <c r="F388" s="11" t="str">
        <f aca="false">INDEX('O QUE MOSTRAR'!$B$4:$B$12,MATCH($D388,'O QUE MOSTRAR'!$A$4:$A$12,0))</f>
        <v>Posição 7</v>
      </c>
      <c r="G388" s="11" t="str">
        <f aca="false">IF(INDEX(PRODUTOS!$F$4:$F$63,MATCH($A388,PRODUTOS!$B$4:$B$63,0))="Ração",INDEX('O QUE MOSTRAR'!$C$4:$C$12,MATCH($D388,'O QUE MOSTRAR'!$A$4:$A$12,0)),INDEX('O QUE MOSTRAR'!$D$4:$D$12,MATCH($D388,'O QUE MOSTRAR'!$A$4:$A$12,0)))</f>
        <v>Composição/níveis de garantia (petiscos) ou especificações (higiene)</v>
      </c>
      <c r="H388" s="11" t="str">
        <f aca="false">INDEX('O QUE MOSTRAR'!$E$4:$E$12,MATCH($D388,'O QUE MOSTRAR'!$A$4:$A$12,0))</f>
        <v>2000 × 2000</v>
      </c>
      <c r="I388" s="11" t="str">
        <f aca="false">INDEX('O QUE MOSTRAR'!$F$4:$F$12,MATCH($D388,'O QUE MOSTRAR'!$A$4:$A$12,0))</f>
        <v>SIM</v>
      </c>
      <c r="J388" s="13" t="s">
        <v>303</v>
      </c>
      <c r="K388" s="13"/>
    </row>
    <row r="389" customFormat="false" ht="15" hidden="false" customHeight="false" outlineLevel="0" collapsed="false">
      <c r="A389" s="14" t="s">
        <v>208</v>
      </c>
      <c r="B389" s="11" t="str">
        <f aca="false">INDEX(PRODUTOS!$E$4:$E$63,MATCH($A389,PRODUTOS!$B$4:$B$63,0))</f>
        <v>Biscoito Cães Raças Pequenas e Médias New Dots 400 g</v>
      </c>
      <c r="C389" s="11" t="str">
        <f aca="false">INDEX(PRODUTOS!$G$4:$G$63,MATCH($A389,PRODUTOS!$B$4:$B$63,0))</f>
        <v>400 g</v>
      </c>
      <c r="D389" s="11" t="s">
        <v>310</v>
      </c>
      <c r="E389" s="15" t="str">
        <f aca="false">$A389&amp;"."&amp;$D389&amp;".jpg"</f>
        <v>7908591300017.PT07.jpg</v>
      </c>
      <c r="F389" s="11" t="str">
        <f aca="false">INDEX('O QUE MOSTRAR'!$B$4:$B$12,MATCH($D389,'O QUE MOSTRAR'!$A$4:$A$12,0))</f>
        <v>Posição 8</v>
      </c>
      <c r="G389" s="11" t="str">
        <f aca="false">IF(INDEX(PRODUTOS!$F$4:$F$63,MATCH($A389,PRODUTOS!$B$4:$B$63,0))="Ração",INDEX('O QUE MOSTRAR'!$C$4:$C$12,MATCH($D389,'O QUE MOSTRAR'!$A$4:$A$12,0)),INDEX('O QUE MOSTRAR'!$D$4:$D$12,MATCH($D389,'O QUE MOSTRAR'!$A$4:$A$12,0)))</f>
        <v>Emocional / momento de uso</v>
      </c>
      <c r="H389" s="11" t="str">
        <f aca="false">INDEX('O QUE MOSTRAR'!$E$4:$E$12,MATCH($D389,'O QUE MOSTRAR'!$A$4:$A$12,0))</f>
        <v>2000 × 2000</v>
      </c>
      <c r="I389" s="11" t="str">
        <f aca="false">INDEX('O QUE MOSTRAR'!$F$4:$F$12,MATCH($D389,'O QUE MOSTRAR'!$A$4:$A$12,0))</f>
        <v>Recomendada</v>
      </c>
      <c r="J389" s="13" t="s">
        <v>303</v>
      </c>
      <c r="K389" s="13"/>
    </row>
    <row r="390" customFormat="false" ht="15" hidden="false" customHeight="false" outlineLevel="0" collapsed="false">
      <c r="A390" s="14" t="s">
        <v>208</v>
      </c>
      <c r="B390" s="11" t="str">
        <f aca="false">INDEX(PRODUTOS!$E$4:$E$63,MATCH($A390,PRODUTOS!$B$4:$B$63,0))</f>
        <v>Biscoito Cães Raças Pequenas e Médias New Dots 400 g</v>
      </c>
      <c r="C390" s="11" t="str">
        <f aca="false">INDEX(PRODUTOS!$G$4:$G$63,MATCH($A390,PRODUTOS!$B$4:$B$63,0))</f>
        <v>400 g</v>
      </c>
      <c r="D390" s="11" t="s">
        <v>311</v>
      </c>
      <c r="E390" s="15" t="str">
        <f aca="false">$A390&amp;"."&amp;$D390&amp;".jpg"</f>
        <v>7908591300017.PT08.jpg</v>
      </c>
      <c r="F390" s="11" t="str">
        <f aca="false">INDEX('O QUE MOSTRAR'!$B$4:$B$12,MATCH($D390,'O QUE MOSTRAR'!$A$4:$A$12,0))</f>
        <v>Posição 9</v>
      </c>
      <c r="G390" s="11" t="str">
        <f aca="false">IF(INDEX(PRODUTOS!$F$4:$F$63,MATCH($A390,PRODUTOS!$B$4:$B$63,0))="Ração",INDEX('O QUE MOSTRAR'!$C$4:$C$12,MATCH($D390,'O QUE MOSTRAR'!$A$4:$A$12,0)),INDEX('O QUE MOSTRAR'!$D$4:$D$12,MATCH($D390,'O QUE MOSTRAR'!$A$4:$A$12,0)))</f>
        <v>Linha da marca ("conheça também")</v>
      </c>
      <c r="H390" s="11" t="str">
        <f aca="false">INDEX('O QUE MOSTRAR'!$E$4:$E$12,MATCH($D390,'O QUE MOSTRAR'!$A$4:$A$12,0))</f>
        <v>2000 × 2000</v>
      </c>
      <c r="I390" s="11" t="str">
        <f aca="false">INDEX('O QUE MOSTRAR'!$F$4:$F$12,MATCH($D390,'O QUE MOSTRAR'!$A$4:$A$12,0))</f>
        <v>Recomendada</v>
      </c>
      <c r="J390" s="13" t="s">
        <v>303</v>
      </c>
      <c r="K390" s="13"/>
    </row>
    <row r="391" customFormat="false" ht="15" hidden="false" customHeight="false" outlineLevel="0" collapsed="false">
      <c r="A391" s="14" t="s">
        <v>212</v>
      </c>
      <c r="B391" s="11" t="str">
        <f aca="false">INDEX(PRODUTOS!$E$4:$E$63,MATCH($A391,PRODUTOS!$B$4:$B$63,0))</f>
        <v>Cookie Natural Dots Petisco para Pets Sabor Maracujá e Camomila 250 g</v>
      </c>
      <c r="C391" s="11" t="str">
        <f aca="false">INDEX(PRODUTOS!$G$4:$G$63,MATCH($A391,PRODUTOS!$B$4:$B$63,0))</f>
        <v>250 g</v>
      </c>
      <c r="D391" s="11" t="s">
        <v>302</v>
      </c>
      <c r="E391" s="15" t="str">
        <f aca="false">$A391&amp;"."&amp;$D391&amp;".jpg"</f>
        <v>7908591300758.MAIN.jpg</v>
      </c>
      <c r="F391" s="11" t="str">
        <f aca="false">INDEX('O QUE MOSTRAR'!$B$4:$B$12,MATCH($D391,'O QUE MOSTRAR'!$A$4:$A$12,0))</f>
        <v>Capa (posição 1)</v>
      </c>
      <c r="G391" s="11" t="str">
        <f aca="false">IF(INDEX(PRODUTOS!$F$4:$F$63,MATCH($A391,PRODUTOS!$B$4:$B$63,0))="Ração",INDEX('O QUE MOSTRAR'!$C$4:$C$12,MATCH($D391,'O QUE MOSTRAR'!$A$4:$A$12,0)),INDEX('O QUE MOSTRAR'!$D$4:$D$12,MATCH($D391,'O QUE MOSTRAR'!$A$4:$A$12,0)))</f>
        <v>Embalagem de frente, fundo branco puro, 85% da área, nada adicionado</v>
      </c>
      <c r="H391" s="11" t="str">
        <f aca="false">INDEX('O QUE MOSTRAR'!$E$4:$E$12,MATCH($D391,'O QUE MOSTRAR'!$A$4:$A$12,0))</f>
        <v>2000 × 2000</v>
      </c>
      <c r="I391" s="11" t="str">
        <f aca="false">INDEX('O QUE MOSTRAR'!$F$4:$F$12,MATCH($D391,'O QUE MOSTRAR'!$A$4:$A$12,0))</f>
        <v>SIM</v>
      </c>
      <c r="J391" s="13" t="s">
        <v>303</v>
      </c>
      <c r="K391" s="13"/>
    </row>
    <row r="392" customFormat="false" ht="15" hidden="false" customHeight="false" outlineLevel="0" collapsed="false">
      <c r="A392" s="14" t="s">
        <v>212</v>
      </c>
      <c r="B392" s="11" t="str">
        <f aca="false">INDEX(PRODUTOS!$E$4:$E$63,MATCH($A392,PRODUTOS!$B$4:$B$63,0))</f>
        <v>Cookie Natural Dots Petisco para Pets Sabor Maracujá e Camomila 250 g</v>
      </c>
      <c r="C392" s="11" t="str">
        <f aca="false">INDEX(PRODUTOS!$G$4:$G$63,MATCH($A392,PRODUTOS!$B$4:$B$63,0))</f>
        <v>250 g</v>
      </c>
      <c r="D392" s="11" t="s">
        <v>304</v>
      </c>
      <c r="E392" s="15" t="str">
        <f aca="false">$A392&amp;"."&amp;$D392&amp;".jpg"</f>
        <v>7908591300758.PT01.jpg</v>
      </c>
      <c r="F392" s="11" t="str">
        <f aca="false">INDEX('O QUE MOSTRAR'!$B$4:$B$12,MATCH($D392,'O QUE MOSTRAR'!$A$4:$A$12,0))</f>
        <v>Posição 2</v>
      </c>
      <c r="G392" s="11" t="str">
        <f aca="false">IF(INDEX(PRODUTOS!$F$4:$F$63,MATCH($A392,PRODUTOS!$B$4:$B$63,0))="Ração",INDEX('O QUE MOSTRAR'!$C$4:$C$12,MATCH($D392,'O QUE MOSTRAR'!$A$4:$A$12,0)),INDEX('O QUE MOSTRAR'!$D$4:$D$12,MATCH($D392,'O QUE MOSTRAR'!$A$4:$A$12,0)))</f>
        <v>Grande diferencial (ex.: natural, biodegradável, perfumado)</v>
      </c>
      <c r="H392" s="11" t="str">
        <f aca="false">INDEX('O QUE MOSTRAR'!$E$4:$E$12,MATCH($D392,'O QUE MOSTRAR'!$A$4:$A$12,0))</f>
        <v>2000 × 2000</v>
      </c>
      <c r="I392" s="11" t="str">
        <f aca="false">INDEX('O QUE MOSTRAR'!$F$4:$F$12,MATCH($D392,'O QUE MOSTRAR'!$A$4:$A$12,0))</f>
        <v>SIM</v>
      </c>
      <c r="J392" s="13" t="s">
        <v>303</v>
      </c>
      <c r="K392" s="13"/>
    </row>
    <row r="393" customFormat="false" ht="15" hidden="false" customHeight="false" outlineLevel="0" collapsed="false">
      <c r="A393" s="14" t="s">
        <v>212</v>
      </c>
      <c r="B393" s="11" t="str">
        <f aca="false">INDEX(PRODUTOS!$E$4:$E$63,MATCH($A393,PRODUTOS!$B$4:$B$63,0))</f>
        <v>Cookie Natural Dots Petisco para Pets Sabor Maracujá e Camomila 250 g</v>
      </c>
      <c r="C393" s="11" t="str">
        <f aca="false">INDEX(PRODUTOS!$G$4:$G$63,MATCH($A393,PRODUTOS!$B$4:$B$63,0))</f>
        <v>250 g</v>
      </c>
      <c r="D393" s="11" t="s">
        <v>305</v>
      </c>
      <c r="E393" s="15" t="str">
        <f aca="false">$A393&amp;"."&amp;$D393&amp;".jpg"</f>
        <v>7908591300758.PT02.jpg</v>
      </c>
      <c r="F393" s="11" t="str">
        <f aca="false">INDEX('O QUE MOSTRAR'!$B$4:$B$12,MATCH($D393,'O QUE MOSTRAR'!$A$4:$A$12,0))</f>
        <v>Posição 3</v>
      </c>
      <c r="G393" s="11" t="str">
        <f aca="false">IF(INDEX(PRODUTOS!$F$4:$F$63,MATCH($A393,PRODUTOS!$B$4:$B$63,0))="Ração",INDEX('O QUE MOSTRAR'!$C$4:$C$12,MATCH($D393,'O QUE MOSTRAR'!$A$4:$A$12,0)),INDEX('O QUE MOSTRAR'!$D$4:$D$12,MATCH($D393,'O QUE MOSTRAR'!$A$4:$A$12,0)))</f>
        <v>Benefícios com ícones (4 a 6, impressos na embalagem)</v>
      </c>
      <c r="H393" s="11" t="str">
        <f aca="false">INDEX('O QUE MOSTRAR'!$E$4:$E$12,MATCH($D393,'O QUE MOSTRAR'!$A$4:$A$12,0))</f>
        <v>2000 × 2000</v>
      </c>
      <c r="I393" s="11" t="str">
        <f aca="false">INDEX('O QUE MOSTRAR'!$F$4:$F$12,MATCH($D393,'O QUE MOSTRAR'!$A$4:$A$12,0))</f>
        <v>SIM</v>
      </c>
      <c r="J393" s="13" t="s">
        <v>303</v>
      </c>
      <c r="K393" s="13"/>
    </row>
    <row r="394" customFormat="false" ht="15" hidden="false" customHeight="false" outlineLevel="0" collapsed="false">
      <c r="A394" s="14" t="s">
        <v>212</v>
      </c>
      <c r="B394" s="11" t="str">
        <f aca="false">INDEX(PRODUTOS!$E$4:$E$63,MATCH($A394,PRODUTOS!$B$4:$B$63,0))</f>
        <v>Cookie Natural Dots Petisco para Pets Sabor Maracujá e Camomila 250 g</v>
      </c>
      <c r="C394" s="11" t="str">
        <f aca="false">INDEX(PRODUTOS!$G$4:$G$63,MATCH($A394,PRODUTOS!$B$4:$B$63,0))</f>
        <v>250 g</v>
      </c>
      <c r="D394" s="11" t="s">
        <v>306</v>
      </c>
      <c r="E394" s="15" t="str">
        <f aca="false">$A394&amp;"."&amp;$D394&amp;".jpg"</f>
        <v>7908591300758.PT03.jpg</v>
      </c>
      <c r="F394" s="11" t="str">
        <f aca="false">INDEX('O QUE MOSTRAR'!$B$4:$B$12,MATCH($D394,'O QUE MOSTRAR'!$A$4:$A$12,0))</f>
        <v>Posição 4</v>
      </c>
      <c r="G394" s="11" t="str">
        <f aca="false">IF(INDEX(PRODUTOS!$F$4:$F$63,MATCH($A394,PRODUTOS!$B$4:$B$63,0))="Ração",INDEX('O QUE MOSTRAR'!$C$4:$C$12,MATCH($D394,'O QUE MOSTRAR'!$A$4:$A$12,0)),INDEX('O QUE MOSTRAR'!$D$4:$D$12,MATCH($D394,'O QUE MOSTRAR'!$A$4:$A$12,0)))</f>
        <v>Detalhe e tamanho real (petisco, grânulo ou tapete aberto), com medidas</v>
      </c>
      <c r="H394" s="11" t="str">
        <f aca="false">INDEX('O QUE MOSTRAR'!$E$4:$E$12,MATCH($D394,'O QUE MOSTRAR'!$A$4:$A$12,0))</f>
        <v>2000 × 2000</v>
      </c>
      <c r="I394" s="11" t="str">
        <f aca="false">INDEX('O QUE MOSTRAR'!$F$4:$F$12,MATCH($D394,'O QUE MOSTRAR'!$A$4:$A$12,0))</f>
        <v>SIM</v>
      </c>
      <c r="J394" s="13" t="s">
        <v>303</v>
      </c>
      <c r="K394" s="13"/>
    </row>
    <row r="395" customFormat="false" ht="15" hidden="false" customHeight="false" outlineLevel="0" collapsed="false">
      <c r="A395" s="14" t="s">
        <v>212</v>
      </c>
      <c r="B395" s="11" t="str">
        <f aca="false">INDEX(PRODUTOS!$E$4:$E$63,MATCH($A395,PRODUTOS!$B$4:$B$63,0))</f>
        <v>Cookie Natural Dots Petisco para Pets Sabor Maracujá e Camomila 250 g</v>
      </c>
      <c r="C395" s="11" t="str">
        <f aca="false">INDEX(PRODUTOS!$G$4:$G$63,MATCH($A395,PRODUTOS!$B$4:$B$63,0))</f>
        <v>250 g</v>
      </c>
      <c r="D395" s="11" t="s">
        <v>307</v>
      </c>
      <c r="E395" s="15" t="str">
        <f aca="false">$A395&amp;"."&amp;$D395&amp;".jpg"</f>
        <v>7908591300758.PT04.jpg</v>
      </c>
      <c r="F395" s="11" t="str">
        <f aca="false">INDEX('O QUE MOSTRAR'!$B$4:$B$12,MATCH($D395,'O QUE MOSTRAR'!$A$4:$A$12,0))</f>
        <v>Posição 5</v>
      </c>
      <c r="G395" s="11" t="str">
        <f aca="false">IF(INDEX(PRODUTOS!$F$4:$F$63,MATCH($A395,PRODUTOS!$B$4:$B$63,0))="Ração",INDEX('O QUE MOSTRAR'!$C$4:$C$12,MATCH($D395,'O QUE MOSTRAR'!$A$4:$A$12,0)),INDEX('O QUE MOSTRAR'!$D$4:$D$12,MATCH($D395,'O QUE MOSTRAR'!$A$4:$A$12,0)))</f>
        <v>Modo de uso (como oferecer o petisco / como usar o produto)</v>
      </c>
      <c r="H395" s="11" t="str">
        <f aca="false">INDEX('O QUE MOSTRAR'!$E$4:$E$12,MATCH($D395,'O QUE MOSTRAR'!$A$4:$A$12,0))</f>
        <v>2000 × 2000</v>
      </c>
      <c r="I395" s="11" t="str">
        <f aca="false">INDEX('O QUE MOSTRAR'!$F$4:$F$12,MATCH($D395,'O QUE MOSTRAR'!$A$4:$A$12,0))</f>
        <v>SIM</v>
      </c>
      <c r="J395" s="13" t="s">
        <v>303</v>
      </c>
      <c r="K395" s="13"/>
    </row>
    <row r="396" customFormat="false" ht="15" hidden="false" customHeight="false" outlineLevel="0" collapsed="false">
      <c r="A396" s="14" t="s">
        <v>212</v>
      </c>
      <c r="B396" s="11" t="str">
        <f aca="false">INDEX(PRODUTOS!$E$4:$E$63,MATCH($A396,PRODUTOS!$B$4:$B$63,0))</f>
        <v>Cookie Natural Dots Petisco para Pets Sabor Maracujá e Camomila 250 g</v>
      </c>
      <c r="C396" s="11" t="str">
        <f aca="false">INDEX(PRODUTOS!$G$4:$G$63,MATCH($A396,PRODUTOS!$B$4:$B$63,0))</f>
        <v>250 g</v>
      </c>
      <c r="D396" s="11" t="s">
        <v>308</v>
      </c>
      <c r="E396" s="15" t="str">
        <f aca="false">$A396&amp;"."&amp;$D396&amp;".jpg"</f>
        <v>7908591300758.PT05.jpg</v>
      </c>
      <c r="F396" s="11" t="str">
        <f aca="false">INDEX('O QUE MOSTRAR'!$B$4:$B$12,MATCH($D396,'O QUE MOSTRAR'!$A$4:$A$12,0))</f>
        <v>Posição 6</v>
      </c>
      <c r="G396" s="11" t="str">
        <f aca="false">IF(INDEX(PRODUTOS!$F$4:$F$63,MATCH($A396,PRODUTOS!$B$4:$B$63,0))="Ração",INDEX('O QUE MOSTRAR'!$C$4:$C$12,MATCH($D396,'O QUE MOSTRAR'!$A$4:$A$12,0)),INDEX('O QUE MOSTRAR'!$D$4:$D$12,MATCH($D396,'O QUE MOSTRAR'!$A$4:$A$12,0)))</f>
        <v>Quantidade por dia ou rendimento do pacote</v>
      </c>
      <c r="H396" s="11" t="str">
        <f aca="false">INDEX('O QUE MOSTRAR'!$E$4:$E$12,MATCH($D396,'O QUE MOSTRAR'!$A$4:$A$12,0))</f>
        <v>2000 × 2000</v>
      </c>
      <c r="I396" s="11" t="str">
        <f aca="false">INDEX('O QUE MOSTRAR'!$F$4:$F$12,MATCH($D396,'O QUE MOSTRAR'!$A$4:$A$12,0))</f>
        <v>Recomendada</v>
      </c>
      <c r="J396" s="13" t="s">
        <v>303</v>
      </c>
      <c r="K396" s="13"/>
    </row>
    <row r="397" customFormat="false" ht="15" hidden="false" customHeight="false" outlineLevel="0" collapsed="false">
      <c r="A397" s="14" t="s">
        <v>212</v>
      </c>
      <c r="B397" s="11" t="str">
        <f aca="false">INDEX(PRODUTOS!$E$4:$E$63,MATCH($A397,PRODUTOS!$B$4:$B$63,0))</f>
        <v>Cookie Natural Dots Petisco para Pets Sabor Maracujá e Camomila 250 g</v>
      </c>
      <c r="C397" s="11" t="str">
        <f aca="false">INDEX(PRODUTOS!$G$4:$G$63,MATCH($A397,PRODUTOS!$B$4:$B$63,0))</f>
        <v>250 g</v>
      </c>
      <c r="D397" s="11" t="s">
        <v>309</v>
      </c>
      <c r="E397" s="15" t="str">
        <f aca="false">$A397&amp;"."&amp;$D397&amp;".jpg"</f>
        <v>7908591300758.PT06.jpg</v>
      </c>
      <c r="F397" s="11" t="str">
        <f aca="false">INDEX('O QUE MOSTRAR'!$B$4:$B$12,MATCH($D397,'O QUE MOSTRAR'!$A$4:$A$12,0))</f>
        <v>Posição 7</v>
      </c>
      <c r="G397" s="11" t="str">
        <f aca="false">IF(INDEX(PRODUTOS!$F$4:$F$63,MATCH($A397,PRODUTOS!$B$4:$B$63,0))="Ração",INDEX('O QUE MOSTRAR'!$C$4:$C$12,MATCH($D397,'O QUE MOSTRAR'!$A$4:$A$12,0)),INDEX('O QUE MOSTRAR'!$D$4:$D$12,MATCH($D397,'O QUE MOSTRAR'!$A$4:$A$12,0)))</f>
        <v>Composição/níveis de garantia (petiscos) ou especificações (higiene)</v>
      </c>
      <c r="H397" s="11" t="str">
        <f aca="false">INDEX('O QUE MOSTRAR'!$E$4:$E$12,MATCH($D397,'O QUE MOSTRAR'!$A$4:$A$12,0))</f>
        <v>2000 × 2000</v>
      </c>
      <c r="I397" s="11" t="str">
        <f aca="false">INDEX('O QUE MOSTRAR'!$F$4:$F$12,MATCH($D397,'O QUE MOSTRAR'!$A$4:$A$12,0))</f>
        <v>SIM</v>
      </c>
      <c r="J397" s="13" t="s">
        <v>303</v>
      </c>
      <c r="K397" s="13"/>
    </row>
    <row r="398" customFormat="false" ht="15" hidden="false" customHeight="false" outlineLevel="0" collapsed="false">
      <c r="A398" s="14" t="s">
        <v>212</v>
      </c>
      <c r="B398" s="11" t="str">
        <f aca="false">INDEX(PRODUTOS!$E$4:$E$63,MATCH($A398,PRODUTOS!$B$4:$B$63,0))</f>
        <v>Cookie Natural Dots Petisco para Pets Sabor Maracujá e Camomila 250 g</v>
      </c>
      <c r="C398" s="11" t="str">
        <f aca="false">INDEX(PRODUTOS!$G$4:$G$63,MATCH($A398,PRODUTOS!$B$4:$B$63,0))</f>
        <v>250 g</v>
      </c>
      <c r="D398" s="11" t="s">
        <v>310</v>
      </c>
      <c r="E398" s="15" t="str">
        <f aca="false">$A398&amp;"."&amp;$D398&amp;".jpg"</f>
        <v>7908591300758.PT07.jpg</v>
      </c>
      <c r="F398" s="11" t="str">
        <f aca="false">INDEX('O QUE MOSTRAR'!$B$4:$B$12,MATCH($D398,'O QUE MOSTRAR'!$A$4:$A$12,0))</f>
        <v>Posição 8</v>
      </c>
      <c r="G398" s="11" t="str">
        <f aca="false">IF(INDEX(PRODUTOS!$F$4:$F$63,MATCH($A398,PRODUTOS!$B$4:$B$63,0))="Ração",INDEX('O QUE MOSTRAR'!$C$4:$C$12,MATCH($D398,'O QUE MOSTRAR'!$A$4:$A$12,0)),INDEX('O QUE MOSTRAR'!$D$4:$D$12,MATCH($D398,'O QUE MOSTRAR'!$A$4:$A$12,0)))</f>
        <v>Emocional / momento de uso</v>
      </c>
      <c r="H398" s="11" t="str">
        <f aca="false">INDEX('O QUE MOSTRAR'!$E$4:$E$12,MATCH($D398,'O QUE MOSTRAR'!$A$4:$A$12,0))</f>
        <v>2000 × 2000</v>
      </c>
      <c r="I398" s="11" t="str">
        <f aca="false">INDEX('O QUE MOSTRAR'!$F$4:$F$12,MATCH($D398,'O QUE MOSTRAR'!$A$4:$A$12,0))</f>
        <v>Recomendada</v>
      </c>
      <c r="J398" s="13" t="s">
        <v>303</v>
      </c>
      <c r="K398" s="13"/>
    </row>
    <row r="399" customFormat="false" ht="15" hidden="false" customHeight="false" outlineLevel="0" collapsed="false">
      <c r="A399" s="14" t="s">
        <v>212</v>
      </c>
      <c r="B399" s="11" t="str">
        <f aca="false">INDEX(PRODUTOS!$E$4:$E$63,MATCH($A399,PRODUTOS!$B$4:$B$63,0))</f>
        <v>Cookie Natural Dots Petisco para Pets Sabor Maracujá e Camomila 250 g</v>
      </c>
      <c r="C399" s="11" t="str">
        <f aca="false">INDEX(PRODUTOS!$G$4:$G$63,MATCH($A399,PRODUTOS!$B$4:$B$63,0))</f>
        <v>250 g</v>
      </c>
      <c r="D399" s="11" t="s">
        <v>311</v>
      </c>
      <c r="E399" s="15" t="str">
        <f aca="false">$A399&amp;"."&amp;$D399&amp;".jpg"</f>
        <v>7908591300758.PT08.jpg</v>
      </c>
      <c r="F399" s="11" t="str">
        <f aca="false">INDEX('O QUE MOSTRAR'!$B$4:$B$12,MATCH($D399,'O QUE MOSTRAR'!$A$4:$A$12,0))</f>
        <v>Posição 9</v>
      </c>
      <c r="G399" s="11" t="str">
        <f aca="false">IF(INDEX(PRODUTOS!$F$4:$F$63,MATCH($A399,PRODUTOS!$B$4:$B$63,0))="Ração",INDEX('O QUE MOSTRAR'!$C$4:$C$12,MATCH($D399,'O QUE MOSTRAR'!$A$4:$A$12,0)),INDEX('O QUE MOSTRAR'!$D$4:$D$12,MATCH($D399,'O QUE MOSTRAR'!$A$4:$A$12,0)))</f>
        <v>Linha da marca ("conheça também")</v>
      </c>
      <c r="H399" s="11" t="str">
        <f aca="false">INDEX('O QUE MOSTRAR'!$E$4:$E$12,MATCH($D399,'O QUE MOSTRAR'!$A$4:$A$12,0))</f>
        <v>2000 × 2000</v>
      </c>
      <c r="I399" s="11" t="str">
        <f aca="false">INDEX('O QUE MOSTRAR'!$F$4:$F$12,MATCH($D399,'O QUE MOSTRAR'!$A$4:$A$12,0))</f>
        <v>Recomendada</v>
      </c>
      <c r="J399" s="13" t="s">
        <v>303</v>
      </c>
      <c r="K399" s="13"/>
    </row>
    <row r="400" customFormat="false" ht="15" hidden="false" customHeight="false" outlineLevel="0" collapsed="false">
      <c r="A400" s="14" t="s">
        <v>217</v>
      </c>
      <c r="B400" s="11" t="str">
        <f aca="false">INDEX(PRODUTOS!$E$4:$E$63,MATCH($A400,PRODUTOS!$B$4:$B$63,0))</f>
        <v>Nuggets Recheados Gatos New Dots Bolas de Pelo 40 g</v>
      </c>
      <c r="C400" s="11" t="str">
        <f aca="false">INDEX(PRODUTOS!$G$4:$G$63,MATCH($A400,PRODUTOS!$B$4:$B$63,0))</f>
        <v>40 g</v>
      </c>
      <c r="D400" s="11" t="s">
        <v>302</v>
      </c>
      <c r="E400" s="15" t="str">
        <f aca="false">$A400&amp;"."&amp;$D400&amp;".jpg"</f>
        <v>7908591300727.MAIN.jpg</v>
      </c>
      <c r="F400" s="11" t="str">
        <f aca="false">INDEX('O QUE MOSTRAR'!$B$4:$B$12,MATCH($D400,'O QUE MOSTRAR'!$A$4:$A$12,0))</f>
        <v>Capa (posição 1)</v>
      </c>
      <c r="G400" s="11" t="str">
        <f aca="false">IF(INDEX(PRODUTOS!$F$4:$F$63,MATCH($A400,PRODUTOS!$B$4:$B$63,0))="Ração",INDEX('O QUE MOSTRAR'!$C$4:$C$12,MATCH($D400,'O QUE MOSTRAR'!$A$4:$A$12,0)),INDEX('O QUE MOSTRAR'!$D$4:$D$12,MATCH($D400,'O QUE MOSTRAR'!$A$4:$A$12,0)))</f>
        <v>Embalagem de frente, fundo branco puro, 85% da área, nada adicionado</v>
      </c>
      <c r="H400" s="11" t="str">
        <f aca="false">INDEX('O QUE MOSTRAR'!$E$4:$E$12,MATCH($D400,'O QUE MOSTRAR'!$A$4:$A$12,0))</f>
        <v>2000 × 2000</v>
      </c>
      <c r="I400" s="11" t="str">
        <f aca="false">INDEX('O QUE MOSTRAR'!$F$4:$F$12,MATCH($D400,'O QUE MOSTRAR'!$A$4:$A$12,0))</f>
        <v>SIM</v>
      </c>
      <c r="J400" s="13" t="s">
        <v>303</v>
      </c>
      <c r="K400" s="13"/>
    </row>
    <row r="401" customFormat="false" ht="15" hidden="false" customHeight="false" outlineLevel="0" collapsed="false">
      <c r="A401" s="14" t="s">
        <v>217</v>
      </c>
      <c r="B401" s="11" t="str">
        <f aca="false">INDEX(PRODUTOS!$E$4:$E$63,MATCH($A401,PRODUTOS!$B$4:$B$63,0))</f>
        <v>Nuggets Recheados Gatos New Dots Bolas de Pelo 40 g</v>
      </c>
      <c r="C401" s="11" t="str">
        <f aca="false">INDEX(PRODUTOS!$G$4:$G$63,MATCH($A401,PRODUTOS!$B$4:$B$63,0))</f>
        <v>40 g</v>
      </c>
      <c r="D401" s="11" t="s">
        <v>304</v>
      </c>
      <c r="E401" s="15" t="str">
        <f aca="false">$A401&amp;"."&amp;$D401&amp;".jpg"</f>
        <v>7908591300727.PT01.jpg</v>
      </c>
      <c r="F401" s="11" t="str">
        <f aca="false">INDEX('O QUE MOSTRAR'!$B$4:$B$12,MATCH($D401,'O QUE MOSTRAR'!$A$4:$A$12,0))</f>
        <v>Posição 2</v>
      </c>
      <c r="G401" s="11" t="str">
        <f aca="false">IF(INDEX(PRODUTOS!$F$4:$F$63,MATCH($A401,PRODUTOS!$B$4:$B$63,0))="Ração",INDEX('O QUE MOSTRAR'!$C$4:$C$12,MATCH($D401,'O QUE MOSTRAR'!$A$4:$A$12,0)),INDEX('O QUE MOSTRAR'!$D$4:$D$12,MATCH($D401,'O QUE MOSTRAR'!$A$4:$A$12,0)))</f>
        <v>Grande diferencial (ex.: natural, biodegradável, perfumado)</v>
      </c>
      <c r="H401" s="11" t="str">
        <f aca="false">INDEX('O QUE MOSTRAR'!$E$4:$E$12,MATCH($D401,'O QUE MOSTRAR'!$A$4:$A$12,0))</f>
        <v>2000 × 2000</v>
      </c>
      <c r="I401" s="11" t="str">
        <f aca="false">INDEX('O QUE MOSTRAR'!$F$4:$F$12,MATCH($D401,'O QUE MOSTRAR'!$A$4:$A$12,0))</f>
        <v>SIM</v>
      </c>
      <c r="J401" s="13" t="s">
        <v>303</v>
      </c>
      <c r="K401" s="13"/>
    </row>
    <row r="402" customFormat="false" ht="15" hidden="false" customHeight="false" outlineLevel="0" collapsed="false">
      <c r="A402" s="14" t="s">
        <v>217</v>
      </c>
      <c r="B402" s="11" t="str">
        <f aca="false">INDEX(PRODUTOS!$E$4:$E$63,MATCH($A402,PRODUTOS!$B$4:$B$63,0))</f>
        <v>Nuggets Recheados Gatos New Dots Bolas de Pelo 40 g</v>
      </c>
      <c r="C402" s="11" t="str">
        <f aca="false">INDEX(PRODUTOS!$G$4:$G$63,MATCH($A402,PRODUTOS!$B$4:$B$63,0))</f>
        <v>40 g</v>
      </c>
      <c r="D402" s="11" t="s">
        <v>305</v>
      </c>
      <c r="E402" s="15" t="str">
        <f aca="false">$A402&amp;"."&amp;$D402&amp;".jpg"</f>
        <v>7908591300727.PT02.jpg</v>
      </c>
      <c r="F402" s="11" t="str">
        <f aca="false">INDEX('O QUE MOSTRAR'!$B$4:$B$12,MATCH($D402,'O QUE MOSTRAR'!$A$4:$A$12,0))</f>
        <v>Posição 3</v>
      </c>
      <c r="G402" s="11" t="str">
        <f aca="false">IF(INDEX(PRODUTOS!$F$4:$F$63,MATCH($A402,PRODUTOS!$B$4:$B$63,0))="Ração",INDEX('O QUE MOSTRAR'!$C$4:$C$12,MATCH($D402,'O QUE MOSTRAR'!$A$4:$A$12,0)),INDEX('O QUE MOSTRAR'!$D$4:$D$12,MATCH($D402,'O QUE MOSTRAR'!$A$4:$A$12,0)))</f>
        <v>Benefícios com ícones (4 a 6, impressos na embalagem)</v>
      </c>
      <c r="H402" s="11" t="str">
        <f aca="false">INDEX('O QUE MOSTRAR'!$E$4:$E$12,MATCH($D402,'O QUE MOSTRAR'!$A$4:$A$12,0))</f>
        <v>2000 × 2000</v>
      </c>
      <c r="I402" s="11" t="str">
        <f aca="false">INDEX('O QUE MOSTRAR'!$F$4:$F$12,MATCH($D402,'O QUE MOSTRAR'!$A$4:$A$12,0))</f>
        <v>SIM</v>
      </c>
      <c r="J402" s="13" t="s">
        <v>303</v>
      </c>
      <c r="K402" s="13"/>
    </row>
    <row r="403" customFormat="false" ht="15" hidden="false" customHeight="false" outlineLevel="0" collapsed="false">
      <c r="A403" s="14" t="s">
        <v>217</v>
      </c>
      <c r="B403" s="11" t="str">
        <f aca="false">INDEX(PRODUTOS!$E$4:$E$63,MATCH($A403,PRODUTOS!$B$4:$B$63,0))</f>
        <v>Nuggets Recheados Gatos New Dots Bolas de Pelo 40 g</v>
      </c>
      <c r="C403" s="11" t="str">
        <f aca="false">INDEX(PRODUTOS!$G$4:$G$63,MATCH($A403,PRODUTOS!$B$4:$B$63,0))</f>
        <v>40 g</v>
      </c>
      <c r="D403" s="11" t="s">
        <v>306</v>
      </c>
      <c r="E403" s="15" t="str">
        <f aca="false">$A403&amp;"."&amp;$D403&amp;".jpg"</f>
        <v>7908591300727.PT03.jpg</v>
      </c>
      <c r="F403" s="11" t="str">
        <f aca="false">INDEX('O QUE MOSTRAR'!$B$4:$B$12,MATCH($D403,'O QUE MOSTRAR'!$A$4:$A$12,0))</f>
        <v>Posição 4</v>
      </c>
      <c r="G403" s="11" t="str">
        <f aca="false">IF(INDEX(PRODUTOS!$F$4:$F$63,MATCH($A403,PRODUTOS!$B$4:$B$63,0))="Ração",INDEX('O QUE MOSTRAR'!$C$4:$C$12,MATCH($D403,'O QUE MOSTRAR'!$A$4:$A$12,0)),INDEX('O QUE MOSTRAR'!$D$4:$D$12,MATCH($D403,'O QUE MOSTRAR'!$A$4:$A$12,0)))</f>
        <v>Detalhe e tamanho real (petisco, grânulo ou tapete aberto), com medidas</v>
      </c>
      <c r="H403" s="11" t="str">
        <f aca="false">INDEX('O QUE MOSTRAR'!$E$4:$E$12,MATCH($D403,'O QUE MOSTRAR'!$A$4:$A$12,0))</f>
        <v>2000 × 2000</v>
      </c>
      <c r="I403" s="11" t="str">
        <f aca="false">INDEX('O QUE MOSTRAR'!$F$4:$F$12,MATCH($D403,'O QUE MOSTRAR'!$A$4:$A$12,0))</f>
        <v>SIM</v>
      </c>
      <c r="J403" s="13" t="s">
        <v>303</v>
      </c>
      <c r="K403" s="13"/>
    </row>
    <row r="404" customFormat="false" ht="15" hidden="false" customHeight="false" outlineLevel="0" collapsed="false">
      <c r="A404" s="14" t="s">
        <v>217</v>
      </c>
      <c r="B404" s="11" t="str">
        <f aca="false">INDEX(PRODUTOS!$E$4:$E$63,MATCH($A404,PRODUTOS!$B$4:$B$63,0))</f>
        <v>Nuggets Recheados Gatos New Dots Bolas de Pelo 40 g</v>
      </c>
      <c r="C404" s="11" t="str">
        <f aca="false">INDEX(PRODUTOS!$G$4:$G$63,MATCH($A404,PRODUTOS!$B$4:$B$63,0))</f>
        <v>40 g</v>
      </c>
      <c r="D404" s="11" t="s">
        <v>307</v>
      </c>
      <c r="E404" s="15" t="str">
        <f aca="false">$A404&amp;"."&amp;$D404&amp;".jpg"</f>
        <v>7908591300727.PT04.jpg</v>
      </c>
      <c r="F404" s="11" t="str">
        <f aca="false">INDEX('O QUE MOSTRAR'!$B$4:$B$12,MATCH($D404,'O QUE MOSTRAR'!$A$4:$A$12,0))</f>
        <v>Posição 5</v>
      </c>
      <c r="G404" s="11" t="str">
        <f aca="false">IF(INDEX(PRODUTOS!$F$4:$F$63,MATCH($A404,PRODUTOS!$B$4:$B$63,0))="Ração",INDEX('O QUE MOSTRAR'!$C$4:$C$12,MATCH($D404,'O QUE MOSTRAR'!$A$4:$A$12,0)),INDEX('O QUE MOSTRAR'!$D$4:$D$12,MATCH($D404,'O QUE MOSTRAR'!$A$4:$A$12,0)))</f>
        <v>Modo de uso (como oferecer o petisco / como usar o produto)</v>
      </c>
      <c r="H404" s="11" t="str">
        <f aca="false">INDEX('O QUE MOSTRAR'!$E$4:$E$12,MATCH($D404,'O QUE MOSTRAR'!$A$4:$A$12,0))</f>
        <v>2000 × 2000</v>
      </c>
      <c r="I404" s="11" t="str">
        <f aca="false">INDEX('O QUE MOSTRAR'!$F$4:$F$12,MATCH($D404,'O QUE MOSTRAR'!$A$4:$A$12,0))</f>
        <v>SIM</v>
      </c>
      <c r="J404" s="13" t="s">
        <v>303</v>
      </c>
      <c r="K404" s="13"/>
    </row>
    <row r="405" customFormat="false" ht="15" hidden="false" customHeight="false" outlineLevel="0" collapsed="false">
      <c r="A405" s="14" t="s">
        <v>217</v>
      </c>
      <c r="B405" s="11" t="str">
        <f aca="false">INDEX(PRODUTOS!$E$4:$E$63,MATCH($A405,PRODUTOS!$B$4:$B$63,0))</f>
        <v>Nuggets Recheados Gatos New Dots Bolas de Pelo 40 g</v>
      </c>
      <c r="C405" s="11" t="str">
        <f aca="false">INDEX(PRODUTOS!$G$4:$G$63,MATCH($A405,PRODUTOS!$B$4:$B$63,0))</f>
        <v>40 g</v>
      </c>
      <c r="D405" s="11" t="s">
        <v>308</v>
      </c>
      <c r="E405" s="15" t="str">
        <f aca="false">$A405&amp;"."&amp;$D405&amp;".jpg"</f>
        <v>7908591300727.PT05.jpg</v>
      </c>
      <c r="F405" s="11" t="str">
        <f aca="false">INDEX('O QUE MOSTRAR'!$B$4:$B$12,MATCH($D405,'O QUE MOSTRAR'!$A$4:$A$12,0))</f>
        <v>Posição 6</v>
      </c>
      <c r="G405" s="11" t="str">
        <f aca="false">IF(INDEX(PRODUTOS!$F$4:$F$63,MATCH($A405,PRODUTOS!$B$4:$B$63,0))="Ração",INDEX('O QUE MOSTRAR'!$C$4:$C$12,MATCH($D405,'O QUE MOSTRAR'!$A$4:$A$12,0)),INDEX('O QUE MOSTRAR'!$D$4:$D$12,MATCH($D405,'O QUE MOSTRAR'!$A$4:$A$12,0)))</f>
        <v>Quantidade por dia ou rendimento do pacote</v>
      </c>
      <c r="H405" s="11" t="str">
        <f aca="false">INDEX('O QUE MOSTRAR'!$E$4:$E$12,MATCH($D405,'O QUE MOSTRAR'!$A$4:$A$12,0))</f>
        <v>2000 × 2000</v>
      </c>
      <c r="I405" s="11" t="str">
        <f aca="false">INDEX('O QUE MOSTRAR'!$F$4:$F$12,MATCH($D405,'O QUE MOSTRAR'!$A$4:$A$12,0))</f>
        <v>Recomendada</v>
      </c>
      <c r="J405" s="13" t="s">
        <v>303</v>
      </c>
      <c r="K405" s="13"/>
    </row>
    <row r="406" customFormat="false" ht="15" hidden="false" customHeight="false" outlineLevel="0" collapsed="false">
      <c r="A406" s="14" t="s">
        <v>217</v>
      </c>
      <c r="B406" s="11" t="str">
        <f aca="false">INDEX(PRODUTOS!$E$4:$E$63,MATCH($A406,PRODUTOS!$B$4:$B$63,0))</f>
        <v>Nuggets Recheados Gatos New Dots Bolas de Pelo 40 g</v>
      </c>
      <c r="C406" s="11" t="str">
        <f aca="false">INDEX(PRODUTOS!$G$4:$G$63,MATCH($A406,PRODUTOS!$B$4:$B$63,0))</f>
        <v>40 g</v>
      </c>
      <c r="D406" s="11" t="s">
        <v>309</v>
      </c>
      <c r="E406" s="15" t="str">
        <f aca="false">$A406&amp;"."&amp;$D406&amp;".jpg"</f>
        <v>7908591300727.PT06.jpg</v>
      </c>
      <c r="F406" s="11" t="str">
        <f aca="false">INDEX('O QUE MOSTRAR'!$B$4:$B$12,MATCH($D406,'O QUE MOSTRAR'!$A$4:$A$12,0))</f>
        <v>Posição 7</v>
      </c>
      <c r="G406" s="11" t="str">
        <f aca="false">IF(INDEX(PRODUTOS!$F$4:$F$63,MATCH($A406,PRODUTOS!$B$4:$B$63,0))="Ração",INDEX('O QUE MOSTRAR'!$C$4:$C$12,MATCH($D406,'O QUE MOSTRAR'!$A$4:$A$12,0)),INDEX('O QUE MOSTRAR'!$D$4:$D$12,MATCH($D406,'O QUE MOSTRAR'!$A$4:$A$12,0)))</f>
        <v>Composição/níveis de garantia (petiscos) ou especificações (higiene)</v>
      </c>
      <c r="H406" s="11" t="str">
        <f aca="false">INDEX('O QUE MOSTRAR'!$E$4:$E$12,MATCH($D406,'O QUE MOSTRAR'!$A$4:$A$12,0))</f>
        <v>2000 × 2000</v>
      </c>
      <c r="I406" s="11" t="str">
        <f aca="false">INDEX('O QUE MOSTRAR'!$F$4:$F$12,MATCH($D406,'O QUE MOSTRAR'!$A$4:$A$12,0))</f>
        <v>SIM</v>
      </c>
      <c r="J406" s="13" t="s">
        <v>303</v>
      </c>
      <c r="K406" s="13"/>
    </row>
    <row r="407" customFormat="false" ht="15" hidden="false" customHeight="false" outlineLevel="0" collapsed="false">
      <c r="A407" s="14" t="s">
        <v>217</v>
      </c>
      <c r="B407" s="11" t="str">
        <f aca="false">INDEX(PRODUTOS!$E$4:$E$63,MATCH($A407,PRODUTOS!$B$4:$B$63,0))</f>
        <v>Nuggets Recheados Gatos New Dots Bolas de Pelo 40 g</v>
      </c>
      <c r="C407" s="11" t="str">
        <f aca="false">INDEX(PRODUTOS!$G$4:$G$63,MATCH($A407,PRODUTOS!$B$4:$B$63,0))</f>
        <v>40 g</v>
      </c>
      <c r="D407" s="11" t="s">
        <v>310</v>
      </c>
      <c r="E407" s="15" t="str">
        <f aca="false">$A407&amp;"."&amp;$D407&amp;".jpg"</f>
        <v>7908591300727.PT07.jpg</v>
      </c>
      <c r="F407" s="11" t="str">
        <f aca="false">INDEX('O QUE MOSTRAR'!$B$4:$B$12,MATCH($D407,'O QUE MOSTRAR'!$A$4:$A$12,0))</f>
        <v>Posição 8</v>
      </c>
      <c r="G407" s="11" t="str">
        <f aca="false">IF(INDEX(PRODUTOS!$F$4:$F$63,MATCH($A407,PRODUTOS!$B$4:$B$63,0))="Ração",INDEX('O QUE MOSTRAR'!$C$4:$C$12,MATCH($D407,'O QUE MOSTRAR'!$A$4:$A$12,0)),INDEX('O QUE MOSTRAR'!$D$4:$D$12,MATCH($D407,'O QUE MOSTRAR'!$A$4:$A$12,0)))</f>
        <v>Emocional / momento de uso</v>
      </c>
      <c r="H407" s="11" t="str">
        <f aca="false">INDEX('O QUE MOSTRAR'!$E$4:$E$12,MATCH($D407,'O QUE MOSTRAR'!$A$4:$A$12,0))</f>
        <v>2000 × 2000</v>
      </c>
      <c r="I407" s="11" t="str">
        <f aca="false">INDEX('O QUE MOSTRAR'!$F$4:$F$12,MATCH($D407,'O QUE MOSTRAR'!$A$4:$A$12,0))</f>
        <v>Recomendada</v>
      </c>
      <c r="J407" s="13" t="s">
        <v>303</v>
      </c>
      <c r="K407" s="13"/>
    </row>
    <row r="408" customFormat="false" ht="15" hidden="false" customHeight="false" outlineLevel="0" collapsed="false">
      <c r="A408" s="14" t="s">
        <v>217</v>
      </c>
      <c r="B408" s="11" t="str">
        <f aca="false">INDEX(PRODUTOS!$E$4:$E$63,MATCH($A408,PRODUTOS!$B$4:$B$63,0))</f>
        <v>Nuggets Recheados Gatos New Dots Bolas de Pelo 40 g</v>
      </c>
      <c r="C408" s="11" t="str">
        <f aca="false">INDEX(PRODUTOS!$G$4:$G$63,MATCH($A408,PRODUTOS!$B$4:$B$63,0))</f>
        <v>40 g</v>
      </c>
      <c r="D408" s="11" t="s">
        <v>311</v>
      </c>
      <c r="E408" s="15" t="str">
        <f aca="false">$A408&amp;"."&amp;$D408&amp;".jpg"</f>
        <v>7908591300727.PT08.jpg</v>
      </c>
      <c r="F408" s="11" t="str">
        <f aca="false">INDEX('O QUE MOSTRAR'!$B$4:$B$12,MATCH($D408,'O QUE MOSTRAR'!$A$4:$A$12,0))</f>
        <v>Posição 9</v>
      </c>
      <c r="G408" s="11" t="str">
        <f aca="false">IF(INDEX(PRODUTOS!$F$4:$F$63,MATCH($A408,PRODUTOS!$B$4:$B$63,0))="Ração",INDEX('O QUE MOSTRAR'!$C$4:$C$12,MATCH($D408,'O QUE MOSTRAR'!$A$4:$A$12,0)),INDEX('O QUE MOSTRAR'!$D$4:$D$12,MATCH($D408,'O QUE MOSTRAR'!$A$4:$A$12,0)))</f>
        <v>Linha da marca ("conheça também")</v>
      </c>
      <c r="H408" s="11" t="str">
        <f aca="false">INDEX('O QUE MOSTRAR'!$E$4:$E$12,MATCH($D408,'O QUE MOSTRAR'!$A$4:$A$12,0))</f>
        <v>2000 × 2000</v>
      </c>
      <c r="I408" s="11" t="str">
        <f aca="false">INDEX('O QUE MOSTRAR'!$F$4:$F$12,MATCH($D408,'O QUE MOSTRAR'!$A$4:$A$12,0))</f>
        <v>Recomendada</v>
      </c>
      <c r="J408" s="13" t="s">
        <v>303</v>
      </c>
      <c r="K408" s="13"/>
    </row>
    <row r="409" customFormat="false" ht="15" hidden="false" customHeight="false" outlineLevel="0" collapsed="false">
      <c r="A409" s="14" t="s">
        <v>222</v>
      </c>
      <c r="B409" s="11" t="str">
        <f aca="false">INDEX(PRODUTOS!$E$4:$E$63,MATCH($A409,PRODUTOS!$B$4:$B$63,0))</f>
        <v>Nuggets Recheados Gatos New Dots Controle PH Urinário 40 g</v>
      </c>
      <c r="C409" s="11" t="str">
        <f aca="false">INDEX(PRODUTOS!$G$4:$G$63,MATCH($A409,PRODUTOS!$B$4:$B$63,0))</f>
        <v>40 g</v>
      </c>
      <c r="D409" s="11" t="s">
        <v>302</v>
      </c>
      <c r="E409" s="15" t="str">
        <f aca="false">$A409&amp;"."&amp;$D409&amp;".jpg"</f>
        <v>7908591300741.MAIN.jpg</v>
      </c>
      <c r="F409" s="11" t="str">
        <f aca="false">INDEX('O QUE MOSTRAR'!$B$4:$B$12,MATCH($D409,'O QUE MOSTRAR'!$A$4:$A$12,0))</f>
        <v>Capa (posição 1)</v>
      </c>
      <c r="G409" s="11" t="str">
        <f aca="false">IF(INDEX(PRODUTOS!$F$4:$F$63,MATCH($A409,PRODUTOS!$B$4:$B$63,0))="Ração",INDEX('O QUE MOSTRAR'!$C$4:$C$12,MATCH($D409,'O QUE MOSTRAR'!$A$4:$A$12,0)),INDEX('O QUE MOSTRAR'!$D$4:$D$12,MATCH($D409,'O QUE MOSTRAR'!$A$4:$A$12,0)))</f>
        <v>Embalagem de frente, fundo branco puro, 85% da área, nada adicionado</v>
      </c>
      <c r="H409" s="11" t="str">
        <f aca="false">INDEX('O QUE MOSTRAR'!$E$4:$E$12,MATCH($D409,'O QUE MOSTRAR'!$A$4:$A$12,0))</f>
        <v>2000 × 2000</v>
      </c>
      <c r="I409" s="11" t="str">
        <f aca="false">INDEX('O QUE MOSTRAR'!$F$4:$F$12,MATCH($D409,'O QUE MOSTRAR'!$A$4:$A$12,0))</f>
        <v>SIM</v>
      </c>
      <c r="J409" s="13" t="s">
        <v>303</v>
      </c>
      <c r="K409" s="13"/>
    </row>
    <row r="410" customFormat="false" ht="15" hidden="false" customHeight="false" outlineLevel="0" collapsed="false">
      <c r="A410" s="14" t="s">
        <v>222</v>
      </c>
      <c r="B410" s="11" t="str">
        <f aca="false">INDEX(PRODUTOS!$E$4:$E$63,MATCH($A410,PRODUTOS!$B$4:$B$63,0))</f>
        <v>Nuggets Recheados Gatos New Dots Controle PH Urinário 40 g</v>
      </c>
      <c r="C410" s="11" t="str">
        <f aca="false">INDEX(PRODUTOS!$G$4:$G$63,MATCH($A410,PRODUTOS!$B$4:$B$63,0))</f>
        <v>40 g</v>
      </c>
      <c r="D410" s="11" t="s">
        <v>304</v>
      </c>
      <c r="E410" s="15" t="str">
        <f aca="false">$A410&amp;"."&amp;$D410&amp;".jpg"</f>
        <v>7908591300741.PT01.jpg</v>
      </c>
      <c r="F410" s="11" t="str">
        <f aca="false">INDEX('O QUE MOSTRAR'!$B$4:$B$12,MATCH($D410,'O QUE MOSTRAR'!$A$4:$A$12,0))</f>
        <v>Posição 2</v>
      </c>
      <c r="G410" s="11" t="str">
        <f aca="false">IF(INDEX(PRODUTOS!$F$4:$F$63,MATCH($A410,PRODUTOS!$B$4:$B$63,0))="Ração",INDEX('O QUE MOSTRAR'!$C$4:$C$12,MATCH($D410,'O QUE MOSTRAR'!$A$4:$A$12,0)),INDEX('O QUE MOSTRAR'!$D$4:$D$12,MATCH($D410,'O QUE MOSTRAR'!$A$4:$A$12,0)))</f>
        <v>Grande diferencial (ex.: natural, biodegradável, perfumado)</v>
      </c>
      <c r="H410" s="11" t="str">
        <f aca="false">INDEX('O QUE MOSTRAR'!$E$4:$E$12,MATCH($D410,'O QUE MOSTRAR'!$A$4:$A$12,0))</f>
        <v>2000 × 2000</v>
      </c>
      <c r="I410" s="11" t="str">
        <f aca="false">INDEX('O QUE MOSTRAR'!$F$4:$F$12,MATCH($D410,'O QUE MOSTRAR'!$A$4:$A$12,0))</f>
        <v>SIM</v>
      </c>
      <c r="J410" s="13" t="s">
        <v>303</v>
      </c>
      <c r="K410" s="13"/>
    </row>
    <row r="411" customFormat="false" ht="15" hidden="false" customHeight="false" outlineLevel="0" collapsed="false">
      <c r="A411" s="14" t="s">
        <v>222</v>
      </c>
      <c r="B411" s="11" t="str">
        <f aca="false">INDEX(PRODUTOS!$E$4:$E$63,MATCH($A411,PRODUTOS!$B$4:$B$63,0))</f>
        <v>Nuggets Recheados Gatos New Dots Controle PH Urinário 40 g</v>
      </c>
      <c r="C411" s="11" t="str">
        <f aca="false">INDEX(PRODUTOS!$G$4:$G$63,MATCH($A411,PRODUTOS!$B$4:$B$63,0))</f>
        <v>40 g</v>
      </c>
      <c r="D411" s="11" t="s">
        <v>305</v>
      </c>
      <c r="E411" s="15" t="str">
        <f aca="false">$A411&amp;"."&amp;$D411&amp;".jpg"</f>
        <v>7908591300741.PT02.jpg</v>
      </c>
      <c r="F411" s="11" t="str">
        <f aca="false">INDEX('O QUE MOSTRAR'!$B$4:$B$12,MATCH($D411,'O QUE MOSTRAR'!$A$4:$A$12,0))</f>
        <v>Posição 3</v>
      </c>
      <c r="G411" s="11" t="str">
        <f aca="false">IF(INDEX(PRODUTOS!$F$4:$F$63,MATCH($A411,PRODUTOS!$B$4:$B$63,0))="Ração",INDEX('O QUE MOSTRAR'!$C$4:$C$12,MATCH($D411,'O QUE MOSTRAR'!$A$4:$A$12,0)),INDEX('O QUE MOSTRAR'!$D$4:$D$12,MATCH($D411,'O QUE MOSTRAR'!$A$4:$A$12,0)))</f>
        <v>Benefícios com ícones (4 a 6, impressos na embalagem)</v>
      </c>
      <c r="H411" s="11" t="str">
        <f aca="false">INDEX('O QUE MOSTRAR'!$E$4:$E$12,MATCH($D411,'O QUE MOSTRAR'!$A$4:$A$12,0))</f>
        <v>2000 × 2000</v>
      </c>
      <c r="I411" s="11" t="str">
        <f aca="false">INDEX('O QUE MOSTRAR'!$F$4:$F$12,MATCH($D411,'O QUE MOSTRAR'!$A$4:$A$12,0))</f>
        <v>SIM</v>
      </c>
      <c r="J411" s="13" t="s">
        <v>303</v>
      </c>
      <c r="K411" s="13"/>
    </row>
    <row r="412" customFormat="false" ht="15" hidden="false" customHeight="false" outlineLevel="0" collapsed="false">
      <c r="A412" s="14" t="s">
        <v>222</v>
      </c>
      <c r="B412" s="11" t="str">
        <f aca="false">INDEX(PRODUTOS!$E$4:$E$63,MATCH($A412,PRODUTOS!$B$4:$B$63,0))</f>
        <v>Nuggets Recheados Gatos New Dots Controle PH Urinário 40 g</v>
      </c>
      <c r="C412" s="11" t="str">
        <f aca="false">INDEX(PRODUTOS!$G$4:$G$63,MATCH($A412,PRODUTOS!$B$4:$B$63,0))</f>
        <v>40 g</v>
      </c>
      <c r="D412" s="11" t="s">
        <v>306</v>
      </c>
      <c r="E412" s="15" t="str">
        <f aca="false">$A412&amp;"."&amp;$D412&amp;".jpg"</f>
        <v>7908591300741.PT03.jpg</v>
      </c>
      <c r="F412" s="11" t="str">
        <f aca="false">INDEX('O QUE MOSTRAR'!$B$4:$B$12,MATCH($D412,'O QUE MOSTRAR'!$A$4:$A$12,0))</f>
        <v>Posição 4</v>
      </c>
      <c r="G412" s="11" t="str">
        <f aca="false">IF(INDEX(PRODUTOS!$F$4:$F$63,MATCH($A412,PRODUTOS!$B$4:$B$63,0))="Ração",INDEX('O QUE MOSTRAR'!$C$4:$C$12,MATCH($D412,'O QUE MOSTRAR'!$A$4:$A$12,0)),INDEX('O QUE MOSTRAR'!$D$4:$D$12,MATCH($D412,'O QUE MOSTRAR'!$A$4:$A$12,0)))</f>
        <v>Detalhe e tamanho real (petisco, grânulo ou tapete aberto), com medidas</v>
      </c>
      <c r="H412" s="11" t="str">
        <f aca="false">INDEX('O QUE MOSTRAR'!$E$4:$E$12,MATCH($D412,'O QUE MOSTRAR'!$A$4:$A$12,0))</f>
        <v>2000 × 2000</v>
      </c>
      <c r="I412" s="11" t="str">
        <f aca="false">INDEX('O QUE MOSTRAR'!$F$4:$F$12,MATCH($D412,'O QUE MOSTRAR'!$A$4:$A$12,0))</f>
        <v>SIM</v>
      </c>
      <c r="J412" s="13" t="s">
        <v>303</v>
      </c>
      <c r="K412" s="13"/>
    </row>
    <row r="413" customFormat="false" ht="15" hidden="false" customHeight="false" outlineLevel="0" collapsed="false">
      <c r="A413" s="14" t="s">
        <v>222</v>
      </c>
      <c r="B413" s="11" t="str">
        <f aca="false">INDEX(PRODUTOS!$E$4:$E$63,MATCH($A413,PRODUTOS!$B$4:$B$63,0))</f>
        <v>Nuggets Recheados Gatos New Dots Controle PH Urinário 40 g</v>
      </c>
      <c r="C413" s="11" t="str">
        <f aca="false">INDEX(PRODUTOS!$G$4:$G$63,MATCH($A413,PRODUTOS!$B$4:$B$63,0))</f>
        <v>40 g</v>
      </c>
      <c r="D413" s="11" t="s">
        <v>307</v>
      </c>
      <c r="E413" s="15" t="str">
        <f aca="false">$A413&amp;"."&amp;$D413&amp;".jpg"</f>
        <v>7908591300741.PT04.jpg</v>
      </c>
      <c r="F413" s="11" t="str">
        <f aca="false">INDEX('O QUE MOSTRAR'!$B$4:$B$12,MATCH($D413,'O QUE MOSTRAR'!$A$4:$A$12,0))</f>
        <v>Posição 5</v>
      </c>
      <c r="G413" s="11" t="str">
        <f aca="false">IF(INDEX(PRODUTOS!$F$4:$F$63,MATCH($A413,PRODUTOS!$B$4:$B$63,0))="Ração",INDEX('O QUE MOSTRAR'!$C$4:$C$12,MATCH($D413,'O QUE MOSTRAR'!$A$4:$A$12,0)),INDEX('O QUE MOSTRAR'!$D$4:$D$12,MATCH($D413,'O QUE MOSTRAR'!$A$4:$A$12,0)))</f>
        <v>Modo de uso (como oferecer o petisco / como usar o produto)</v>
      </c>
      <c r="H413" s="11" t="str">
        <f aca="false">INDEX('O QUE MOSTRAR'!$E$4:$E$12,MATCH($D413,'O QUE MOSTRAR'!$A$4:$A$12,0))</f>
        <v>2000 × 2000</v>
      </c>
      <c r="I413" s="11" t="str">
        <f aca="false">INDEX('O QUE MOSTRAR'!$F$4:$F$12,MATCH($D413,'O QUE MOSTRAR'!$A$4:$A$12,0))</f>
        <v>SIM</v>
      </c>
      <c r="J413" s="13" t="s">
        <v>303</v>
      </c>
      <c r="K413" s="13"/>
    </row>
    <row r="414" customFormat="false" ht="15" hidden="false" customHeight="false" outlineLevel="0" collapsed="false">
      <c r="A414" s="14" t="s">
        <v>222</v>
      </c>
      <c r="B414" s="11" t="str">
        <f aca="false">INDEX(PRODUTOS!$E$4:$E$63,MATCH($A414,PRODUTOS!$B$4:$B$63,0))</f>
        <v>Nuggets Recheados Gatos New Dots Controle PH Urinário 40 g</v>
      </c>
      <c r="C414" s="11" t="str">
        <f aca="false">INDEX(PRODUTOS!$G$4:$G$63,MATCH($A414,PRODUTOS!$B$4:$B$63,0))</f>
        <v>40 g</v>
      </c>
      <c r="D414" s="11" t="s">
        <v>308</v>
      </c>
      <c r="E414" s="15" t="str">
        <f aca="false">$A414&amp;"."&amp;$D414&amp;".jpg"</f>
        <v>7908591300741.PT05.jpg</v>
      </c>
      <c r="F414" s="11" t="str">
        <f aca="false">INDEX('O QUE MOSTRAR'!$B$4:$B$12,MATCH($D414,'O QUE MOSTRAR'!$A$4:$A$12,0))</f>
        <v>Posição 6</v>
      </c>
      <c r="G414" s="11" t="str">
        <f aca="false">IF(INDEX(PRODUTOS!$F$4:$F$63,MATCH($A414,PRODUTOS!$B$4:$B$63,0))="Ração",INDEX('O QUE MOSTRAR'!$C$4:$C$12,MATCH($D414,'O QUE MOSTRAR'!$A$4:$A$12,0)),INDEX('O QUE MOSTRAR'!$D$4:$D$12,MATCH($D414,'O QUE MOSTRAR'!$A$4:$A$12,0)))</f>
        <v>Quantidade por dia ou rendimento do pacote</v>
      </c>
      <c r="H414" s="11" t="str">
        <f aca="false">INDEX('O QUE MOSTRAR'!$E$4:$E$12,MATCH($D414,'O QUE MOSTRAR'!$A$4:$A$12,0))</f>
        <v>2000 × 2000</v>
      </c>
      <c r="I414" s="11" t="str">
        <f aca="false">INDEX('O QUE MOSTRAR'!$F$4:$F$12,MATCH($D414,'O QUE MOSTRAR'!$A$4:$A$12,0))</f>
        <v>Recomendada</v>
      </c>
      <c r="J414" s="13" t="s">
        <v>303</v>
      </c>
      <c r="K414" s="13"/>
    </row>
    <row r="415" customFormat="false" ht="15" hidden="false" customHeight="false" outlineLevel="0" collapsed="false">
      <c r="A415" s="14" t="s">
        <v>222</v>
      </c>
      <c r="B415" s="11" t="str">
        <f aca="false">INDEX(PRODUTOS!$E$4:$E$63,MATCH($A415,PRODUTOS!$B$4:$B$63,0))</f>
        <v>Nuggets Recheados Gatos New Dots Controle PH Urinário 40 g</v>
      </c>
      <c r="C415" s="11" t="str">
        <f aca="false">INDEX(PRODUTOS!$G$4:$G$63,MATCH($A415,PRODUTOS!$B$4:$B$63,0))</f>
        <v>40 g</v>
      </c>
      <c r="D415" s="11" t="s">
        <v>309</v>
      </c>
      <c r="E415" s="15" t="str">
        <f aca="false">$A415&amp;"."&amp;$D415&amp;".jpg"</f>
        <v>7908591300741.PT06.jpg</v>
      </c>
      <c r="F415" s="11" t="str">
        <f aca="false">INDEX('O QUE MOSTRAR'!$B$4:$B$12,MATCH($D415,'O QUE MOSTRAR'!$A$4:$A$12,0))</f>
        <v>Posição 7</v>
      </c>
      <c r="G415" s="11" t="str">
        <f aca="false">IF(INDEX(PRODUTOS!$F$4:$F$63,MATCH($A415,PRODUTOS!$B$4:$B$63,0))="Ração",INDEX('O QUE MOSTRAR'!$C$4:$C$12,MATCH($D415,'O QUE MOSTRAR'!$A$4:$A$12,0)),INDEX('O QUE MOSTRAR'!$D$4:$D$12,MATCH($D415,'O QUE MOSTRAR'!$A$4:$A$12,0)))</f>
        <v>Composição/níveis de garantia (petiscos) ou especificações (higiene)</v>
      </c>
      <c r="H415" s="11" t="str">
        <f aca="false">INDEX('O QUE MOSTRAR'!$E$4:$E$12,MATCH($D415,'O QUE MOSTRAR'!$A$4:$A$12,0))</f>
        <v>2000 × 2000</v>
      </c>
      <c r="I415" s="11" t="str">
        <f aca="false">INDEX('O QUE MOSTRAR'!$F$4:$F$12,MATCH($D415,'O QUE MOSTRAR'!$A$4:$A$12,0))</f>
        <v>SIM</v>
      </c>
      <c r="J415" s="13" t="s">
        <v>303</v>
      </c>
      <c r="K415" s="13"/>
    </row>
    <row r="416" customFormat="false" ht="15" hidden="false" customHeight="false" outlineLevel="0" collapsed="false">
      <c r="A416" s="14" t="s">
        <v>222</v>
      </c>
      <c r="B416" s="11" t="str">
        <f aca="false">INDEX(PRODUTOS!$E$4:$E$63,MATCH($A416,PRODUTOS!$B$4:$B$63,0))</f>
        <v>Nuggets Recheados Gatos New Dots Controle PH Urinário 40 g</v>
      </c>
      <c r="C416" s="11" t="str">
        <f aca="false">INDEX(PRODUTOS!$G$4:$G$63,MATCH($A416,PRODUTOS!$B$4:$B$63,0))</f>
        <v>40 g</v>
      </c>
      <c r="D416" s="11" t="s">
        <v>310</v>
      </c>
      <c r="E416" s="15" t="str">
        <f aca="false">$A416&amp;"."&amp;$D416&amp;".jpg"</f>
        <v>7908591300741.PT07.jpg</v>
      </c>
      <c r="F416" s="11" t="str">
        <f aca="false">INDEX('O QUE MOSTRAR'!$B$4:$B$12,MATCH($D416,'O QUE MOSTRAR'!$A$4:$A$12,0))</f>
        <v>Posição 8</v>
      </c>
      <c r="G416" s="11" t="str">
        <f aca="false">IF(INDEX(PRODUTOS!$F$4:$F$63,MATCH($A416,PRODUTOS!$B$4:$B$63,0))="Ração",INDEX('O QUE MOSTRAR'!$C$4:$C$12,MATCH($D416,'O QUE MOSTRAR'!$A$4:$A$12,0)),INDEX('O QUE MOSTRAR'!$D$4:$D$12,MATCH($D416,'O QUE MOSTRAR'!$A$4:$A$12,0)))</f>
        <v>Emocional / momento de uso</v>
      </c>
      <c r="H416" s="11" t="str">
        <f aca="false">INDEX('O QUE MOSTRAR'!$E$4:$E$12,MATCH($D416,'O QUE MOSTRAR'!$A$4:$A$12,0))</f>
        <v>2000 × 2000</v>
      </c>
      <c r="I416" s="11" t="str">
        <f aca="false">INDEX('O QUE MOSTRAR'!$F$4:$F$12,MATCH($D416,'O QUE MOSTRAR'!$A$4:$A$12,0))</f>
        <v>Recomendada</v>
      </c>
      <c r="J416" s="13" t="s">
        <v>303</v>
      </c>
      <c r="K416" s="13"/>
    </row>
    <row r="417" customFormat="false" ht="15" hidden="false" customHeight="false" outlineLevel="0" collapsed="false">
      <c r="A417" s="14" t="s">
        <v>222</v>
      </c>
      <c r="B417" s="11" t="str">
        <f aca="false">INDEX(PRODUTOS!$E$4:$E$63,MATCH($A417,PRODUTOS!$B$4:$B$63,0))</f>
        <v>Nuggets Recheados Gatos New Dots Controle PH Urinário 40 g</v>
      </c>
      <c r="C417" s="11" t="str">
        <f aca="false">INDEX(PRODUTOS!$G$4:$G$63,MATCH($A417,PRODUTOS!$B$4:$B$63,0))</f>
        <v>40 g</v>
      </c>
      <c r="D417" s="11" t="s">
        <v>311</v>
      </c>
      <c r="E417" s="15" t="str">
        <f aca="false">$A417&amp;"."&amp;$D417&amp;".jpg"</f>
        <v>7908591300741.PT08.jpg</v>
      </c>
      <c r="F417" s="11" t="str">
        <f aca="false">INDEX('O QUE MOSTRAR'!$B$4:$B$12,MATCH($D417,'O QUE MOSTRAR'!$A$4:$A$12,0))</f>
        <v>Posição 9</v>
      </c>
      <c r="G417" s="11" t="str">
        <f aca="false">IF(INDEX(PRODUTOS!$F$4:$F$63,MATCH($A417,PRODUTOS!$B$4:$B$63,0))="Ração",INDEX('O QUE MOSTRAR'!$C$4:$C$12,MATCH($D417,'O QUE MOSTRAR'!$A$4:$A$12,0)),INDEX('O QUE MOSTRAR'!$D$4:$D$12,MATCH($D417,'O QUE MOSTRAR'!$A$4:$A$12,0)))</f>
        <v>Linha da marca ("conheça também")</v>
      </c>
      <c r="H417" s="11" t="str">
        <f aca="false">INDEX('O QUE MOSTRAR'!$E$4:$E$12,MATCH($D417,'O QUE MOSTRAR'!$A$4:$A$12,0))</f>
        <v>2000 × 2000</v>
      </c>
      <c r="I417" s="11" t="str">
        <f aca="false">INDEX('O QUE MOSTRAR'!$F$4:$F$12,MATCH($D417,'O QUE MOSTRAR'!$A$4:$A$12,0))</f>
        <v>Recomendada</v>
      </c>
      <c r="J417" s="13" t="s">
        <v>303</v>
      </c>
      <c r="K417" s="13"/>
    </row>
    <row r="418" customFormat="false" ht="15" hidden="false" customHeight="false" outlineLevel="0" collapsed="false">
      <c r="A418" s="14" t="s">
        <v>226</v>
      </c>
      <c r="B418" s="11" t="str">
        <f aca="false">INDEX(PRODUTOS!$E$4:$E$63,MATCH($A418,PRODUTOS!$B$4:$B$63,0))</f>
        <v>Nuggets Recheados Gatos New Dots Dental 40 g</v>
      </c>
      <c r="C418" s="11" t="str">
        <f aca="false">INDEX(PRODUTOS!$G$4:$G$63,MATCH($A418,PRODUTOS!$B$4:$B$63,0))</f>
        <v>40 g</v>
      </c>
      <c r="D418" s="11" t="s">
        <v>302</v>
      </c>
      <c r="E418" s="15" t="str">
        <f aca="false">$A418&amp;"."&amp;$D418&amp;".jpg"</f>
        <v>7908591300734.MAIN.jpg</v>
      </c>
      <c r="F418" s="11" t="str">
        <f aca="false">INDEX('O QUE MOSTRAR'!$B$4:$B$12,MATCH($D418,'O QUE MOSTRAR'!$A$4:$A$12,0))</f>
        <v>Capa (posição 1)</v>
      </c>
      <c r="G418" s="11" t="str">
        <f aca="false">IF(INDEX(PRODUTOS!$F$4:$F$63,MATCH($A418,PRODUTOS!$B$4:$B$63,0))="Ração",INDEX('O QUE MOSTRAR'!$C$4:$C$12,MATCH($D418,'O QUE MOSTRAR'!$A$4:$A$12,0)),INDEX('O QUE MOSTRAR'!$D$4:$D$12,MATCH($D418,'O QUE MOSTRAR'!$A$4:$A$12,0)))</f>
        <v>Embalagem de frente, fundo branco puro, 85% da área, nada adicionado</v>
      </c>
      <c r="H418" s="11" t="str">
        <f aca="false">INDEX('O QUE MOSTRAR'!$E$4:$E$12,MATCH($D418,'O QUE MOSTRAR'!$A$4:$A$12,0))</f>
        <v>2000 × 2000</v>
      </c>
      <c r="I418" s="11" t="str">
        <f aca="false">INDEX('O QUE MOSTRAR'!$F$4:$F$12,MATCH($D418,'O QUE MOSTRAR'!$A$4:$A$12,0))</f>
        <v>SIM</v>
      </c>
      <c r="J418" s="13" t="s">
        <v>303</v>
      </c>
      <c r="K418" s="13"/>
    </row>
    <row r="419" customFormat="false" ht="15" hidden="false" customHeight="false" outlineLevel="0" collapsed="false">
      <c r="A419" s="14" t="s">
        <v>226</v>
      </c>
      <c r="B419" s="11" t="str">
        <f aca="false">INDEX(PRODUTOS!$E$4:$E$63,MATCH($A419,PRODUTOS!$B$4:$B$63,0))</f>
        <v>Nuggets Recheados Gatos New Dots Dental 40 g</v>
      </c>
      <c r="C419" s="11" t="str">
        <f aca="false">INDEX(PRODUTOS!$G$4:$G$63,MATCH($A419,PRODUTOS!$B$4:$B$63,0))</f>
        <v>40 g</v>
      </c>
      <c r="D419" s="11" t="s">
        <v>304</v>
      </c>
      <c r="E419" s="15" t="str">
        <f aca="false">$A419&amp;"."&amp;$D419&amp;".jpg"</f>
        <v>7908591300734.PT01.jpg</v>
      </c>
      <c r="F419" s="11" t="str">
        <f aca="false">INDEX('O QUE MOSTRAR'!$B$4:$B$12,MATCH($D419,'O QUE MOSTRAR'!$A$4:$A$12,0))</f>
        <v>Posição 2</v>
      </c>
      <c r="G419" s="11" t="str">
        <f aca="false">IF(INDEX(PRODUTOS!$F$4:$F$63,MATCH($A419,PRODUTOS!$B$4:$B$63,0))="Ração",INDEX('O QUE MOSTRAR'!$C$4:$C$12,MATCH($D419,'O QUE MOSTRAR'!$A$4:$A$12,0)),INDEX('O QUE MOSTRAR'!$D$4:$D$12,MATCH($D419,'O QUE MOSTRAR'!$A$4:$A$12,0)))</f>
        <v>Grande diferencial (ex.: natural, biodegradável, perfumado)</v>
      </c>
      <c r="H419" s="11" t="str">
        <f aca="false">INDEX('O QUE MOSTRAR'!$E$4:$E$12,MATCH($D419,'O QUE MOSTRAR'!$A$4:$A$12,0))</f>
        <v>2000 × 2000</v>
      </c>
      <c r="I419" s="11" t="str">
        <f aca="false">INDEX('O QUE MOSTRAR'!$F$4:$F$12,MATCH($D419,'O QUE MOSTRAR'!$A$4:$A$12,0))</f>
        <v>SIM</v>
      </c>
      <c r="J419" s="13" t="s">
        <v>303</v>
      </c>
      <c r="K419" s="13"/>
    </row>
    <row r="420" customFormat="false" ht="15" hidden="false" customHeight="false" outlineLevel="0" collapsed="false">
      <c r="A420" s="14" t="s">
        <v>226</v>
      </c>
      <c r="B420" s="11" t="str">
        <f aca="false">INDEX(PRODUTOS!$E$4:$E$63,MATCH($A420,PRODUTOS!$B$4:$B$63,0))</f>
        <v>Nuggets Recheados Gatos New Dots Dental 40 g</v>
      </c>
      <c r="C420" s="11" t="str">
        <f aca="false">INDEX(PRODUTOS!$G$4:$G$63,MATCH($A420,PRODUTOS!$B$4:$B$63,0))</f>
        <v>40 g</v>
      </c>
      <c r="D420" s="11" t="s">
        <v>305</v>
      </c>
      <c r="E420" s="15" t="str">
        <f aca="false">$A420&amp;"."&amp;$D420&amp;".jpg"</f>
        <v>7908591300734.PT02.jpg</v>
      </c>
      <c r="F420" s="11" t="str">
        <f aca="false">INDEX('O QUE MOSTRAR'!$B$4:$B$12,MATCH($D420,'O QUE MOSTRAR'!$A$4:$A$12,0))</f>
        <v>Posição 3</v>
      </c>
      <c r="G420" s="11" t="str">
        <f aca="false">IF(INDEX(PRODUTOS!$F$4:$F$63,MATCH($A420,PRODUTOS!$B$4:$B$63,0))="Ração",INDEX('O QUE MOSTRAR'!$C$4:$C$12,MATCH($D420,'O QUE MOSTRAR'!$A$4:$A$12,0)),INDEX('O QUE MOSTRAR'!$D$4:$D$12,MATCH($D420,'O QUE MOSTRAR'!$A$4:$A$12,0)))</f>
        <v>Benefícios com ícones (4 a 6, impressos na embalagem)</v>
      </c>
      <c r="H420" s="11" t="str">
        <f aca="false">INDEX('O QUE MOSTRAR'!$E$4:$E$12,MATCH($D420,'O QUE MOSTRAR'!$A$4:$A$12,0))</f>
        <v>2000 × 2000</v>
      </c>
      <c r="I420" s="11" t="str">
        <f aca="false">INDEX('O QUE MOSTRAR'!$F$4:$F$12,MATCH($D420,'O QUE MOSTRAR'!$A$4:$A$12,0))</f>
        <v>SIM</v>
      </c>
      <c r="J420" s="13" t="s">
        <v>303</v>
      </c>
      <c r="K420" s="13"/>
    </row>
    <row r="421" customFormat="false" ht="15" hidden="false" customHeight="false" outlineLevel="0" collapsed="false">
      <c r="A421" s="14" t="s">
        <v>226</v>
      </c>
      <c r="B421" s="11" t="str">
        <f aca="false">INDEX(PRODUTOS!$E$4:$E$63,MATCH($A421,PRODUTOS!$B$4:$B$63,0))</f>
        <v>Nuggets Recheados Gatos New Dots Dental 40 g</v>
      </c>
      <c r="C421" s="11" t="str">
        <f aca="false">INDEX(PRODUTOS!$G$4:$G$63,MATCH($A421,PRODUTOS!$B$4:$B$63,0))</f>
        <v>40 g</v>
      </c>
      <c r="D421" s="11" t="s">
        <v>306</v>
      </c>
      <c r="E421" s="15" t="str">
        <f aca="false">$A421&amp;"."&amp;$D421&amp;".jpg"</f>
        <v>7908591300734.PT03.jpg</v>
      </c>
      <c r="F421" s="11" t="str">
        <f aca="false">INDEX('O QUE MOSTRAR'!$B$4:$B$12,MATCH($D421,'O QUE MOSTRAR'!$A$4:$A$12,0))</f>
        <v>Posição 4</v>
      </c>
      <c r="G421" s="11" t="str">
        <f aca="false">IF(INDEX(PRODUTOS!$F$4:$F$63,MATCH($A421,PRODUTOS!$B$4:$B$63,0))="Ração",INDEX('O QUE MOSTRAR'!$C$4:$C$12,MATCH($D421,'O QUE MOSTRAR'!$A$4:$A$12,0)),INDEX('O QUE MOSTRAR'!$D$4:$D$12,MATCH($D421,'O QUE MOSTRAR'!$A$4:$A$12,0)))</f>
        <v>Detalhe e tamanho real (petisco, grânulo ou tapete aberto), com medidas</v>
      </c>
      <c r="H421" s="11" t="str">
        <f aca="false">INDEX('O QUE MOSTRAR'!$E$4:$E$12,MATCH($D421,'O QUE MOSTRAR'!$A$4:$A$12,0))</f>
        <v>2000 × 2000</v>
      </c>
      <c r="I421" s="11" t="str">
        <f aca="false">INDEX('O QUE MOSTRAR'!$F$4:$F$12,MATCH($D421,'O QUE MOSTRAR'!$A$4:$A$12,0))</f>
        <v>SIM</v>
      </c>
      <c r="J421" s="13" t="s">
        <v>303</v>
      </c>
      <c r="K421" s="13"/>
    </row>
    <row r="422" customFormat="false" ht="15" hidden="false" customHeight="false" outlineLevel="0" collapsed="false">
      <c r="A422" s="14" t="s">
        <v>226</v>
      </c>
      <c r="B422" s="11" t="str">
        <f aca="false">INDEX(PRODUTOS!$E$4:$E$63,MATCH($A422,PRODUTOS!$B$4:$B$63,0))</f>
        <v>Nuggets Recheados Gatos New Dots Dental 40 g</v>
      </c>
      <c r="C422" s="11" t="str">
        <f aca="false">INDEX(PRODUTOS!$G$4:$G$63,MATCH($A422,PRODUTOS!$B$4:$B$63,0))</f>
        <v>40 g</v>
      </c>
      <c r="D422" s="11" t="s">
        <v>307</v>
      </c>
      <c r="E422" s="15" t="str">
        <f aca="false">$A422&amp;"."&amp;$D422&amp;".jpg"</f>
        <v>7908591300734.PT04.jpg</v>
      </c>
      <c r="F422" s="11" t="str">
        <f aca="false">INDEX('O QUE MOSTRAR'!$B$4:$B$12,MATCH($D422,'O QUE MOSTRAR'!$A$4:$A$12,0))</f>
        <v>Posição 5</v>
      </c>
      <c r="G422" s="11" t="str">
        <f aca="false">IF(INDEX(PRODUTOS!$F$4:$F$63,MATCH($A422,PRODUTOS!$B$4:$B$63,0))="Ração",INDEX('O QUE MOSTRAR'!$C$4:$C$12,MATCH($D422,'O QUE MOSTRAR'!$A$4:$A$12,0)),INDEX('O QUE MOSTRAR'!$D$4:$D$12,MATCH($D422,'O QUE MOSTRAR'!$A$4:$A$12,0)))</f>
        <v>Modo de uso (como oferecer o petisco / como usar o produto)</v>
      </c>
      <c r="H422" s="11" t="str">
        <f aca="false">INDEX('O QUE MOSTRAR'!$E$4:$E$12,MATCH($D422,'O QUE MOSTRAR'!$A$4:$A$12,0))</f>
        <v>2000 × 2000</v>
      </c>
      <c r="I422" s="11" t="str">
        <f aca="false">INDEX('O QUE MOSTRAR'!$F$4:$F$12,MATCH($D422,'O QUE MOSTRAR'!$A$4:$A$12,0))</f>
        <v>SIM</v>
      </c>
      <c r="J422" s="13" t="s">
        <v>303</v>
      </c>
      <c r="K422" s="13"/>
    </row>
    <row r="423" customFormat="false" ht="15" hidden="false" customHeight="false" outlineLevel="0" collapsed="false">
      <c r="A423" s="14" t="s">
        <v>226</v>
      </c>
      <c r="B423" s="11" t="str">
        <f aca="false">INDEX(PRODUTOS!$E$4:$E$63,MATCH($A423,PRODUTOS!$B$4:$B$63,0))</f>
        <v>Nuggets Recheados Gatos New Dots Dental 40 g</v>
      </c>
      <c r="C423" s="11" t="str">
        <f aca="false">INDEX(PRODUTOS!$G$4:$G$63,MATCH($A423,PRODUTOS!$B$4:$B$63,0))</f>
        <v>40 g</v>
      </c>
      <c r="D423" s="11" t="s">
        <v>308</v>
      </c>
      <c r="E423" s="15" t="str">
        <f aca="false">$A423&amp;"."&amp;$D423&amp;".jpg"</f>
        <v>7908591300734.PT05.jpg</v>
      </c>
      <c r="F423" s="11" t="str">
        <f aca="false">INDEX('O QUE MOSTRAR'!$B$4:$B$12,MATCH($D423,'O QUE MOSTRAR'!$A$4:$A$12,0))</f>
        <v>Posição 6</v>
      </c>
      <c r="G423" s="11" t="str">
        <f aca="false">IF(INDEX(PRODUTOS!$F$4:$F$63,MATCH($A423,PRODUTOS!$B$4:$B$63,0))="Ração",INDEX('O QUE MOSTRAR'!$C$4:$C$12,MATCH($D423,'O QUE MOSTRAR'!$A$4:$A$12,0)),INDEX('O QUE MOSTRAR'!$D$4:$D$12,MATCH($D423,'O QUE MOSTRAR'!$A$4:$A$12,0)))</f>
        <v>Quantidade por dia ou rendimento do pacote</v>
      </c>
      <c r="H423" s="11" t="str">
        <f aca="false">INDEX('O QUE MOSTRAR'!$E$4:$E$12,MATCH($D423,'O QUE MOSTRAR'!$A$4:$A$12,0))</f>
        <v>2000 × 2000</v>
      </c>
      <c r="I423" s="11" t="str">
        <f aca="false">INDEX('O QUE MOSTRAR'!$F$4:$F$12,MATCH($D423,'O QUE MOSTRAR'!$A$4:$A$12,0))</f>
        <v>Recomendada</v>
      </c>
      <c r="J423" s="13" t="s">
        <v>303</v>
      </c>
      <c r="K423" s="13"/>
    </row>
    <row r="424" customFormat="false" ht="15" hidden="false" customHeight="false" outlineLevel="0" collapsed="false">
      <c r="A424" s="14" t="s">
        <v>226</v>
      </c>
      <c r="B424" s="11" t="str">
        <f aca="false">INDEX(PRODUTOS!$E$4:$E$63,MATCH($A424,PRODUTOS!$B$4:$B$63,0))</f>
        <v>Nuggets Recheados Gatos New Dots Dental 40 g</v>
      </c>
      <c r="C424" s="11" t="str">
        <f aca="false">INDEX(PRODUTOS!$G$4:$G$63,MATCH($A424,PRODUTOS!$B$4:$B$63,0))</f>
        <v>40 g</v>
      </c>
      <c r="D424" s="11" t="s">
        <v>309</v>
      </c>
      <c r="E424" s="15" t="str">
        <f aca="false">$A424&amp;"."&amp;$D424&amp;".jpg"</f>
        <v>7908591300734.PT06.jpg</v>
      </c>
      <c r="F424" s="11" t="str">
        <f aca="false">INDEX('O QUE MOSTRAR'!$B$4:$B$12,MATCH($D424,'O QUE MOSTRAR'!$A$4:$A$12,0))</f>
        <v>Posição 7</v>
      </c>
      <c r="G424" s="11" t="str">
        <f aca="false">IF(INDEX(PRODUTOS!$F$4:$F$63,MATCH($A424,PRODUTOS!$B$4:$B$63,0))="Ração",INDEX('O QUE MOSTRAR'!$C$4:$C$12,MATCH($D424,'O QUE MOSTRAR'!$A$4:$A$12,0)),INDEX('O QUE MOSTRAR'!$D$4:$D$12,MATCH($D424,'O QUE MOSTRAR'!$A$4:$A$12,0)))</f>
        <v>Composição/níveis de garantia (petiscos) ou especificações (higiene)</v>
      </c>
      <c r="H424" s="11" t="str">
        <f aca="false">INDEX('O QUE MOSTRAR'!$E$4:$E$12,MATCH($D424,'O QUE MOSTRAR'!$A$4:$A$12,0))</f>
        <v>2000 × 2000</v>
      </c>
      <c r="I424" s="11" t="str">
        <f aca="false">INDEX('O QUE MOSTRAR'!$F$4:$F$12,MATCH($D424,'O QUE MOSTRAR'!$A$4:$A$12,0))</f>
        <v>SIM</v>
      </c>
      <c r="J424" s="13" t="s">
        <v>303</v>
      </c>
      <c r="K424" s="13"/>
    </row>
    <row r="425" customFormat="false" ht="15" hidden="false" customHeight="false" outlineLevel="0" collapsed="false">
      <c r="A425" s="14" t="s">
        <v>226</v>
      </c>
      <c r="B425" s="11" t="str">
        <f aca="false">INDEX(PRODUTOS!$E$4:$E$63,MATCH($A425,PRODUTOS!$B$4:$B$63,0))</f>
        <v>Nuggets Recheados Gatos New Dots Dental 40 g</v>
      </c>
      <c r="C425" s="11" t="str">
        <f aca="false">INDEX(PRODUTOS!$G$4:$G$63,MATCH($A425,PRODUTOS!$B$4:$B$63,0))</f>
        <v>40 g</v>
      </c>
      <c r="D425" s="11" t="s">
        <v>310</v>
      </c>
      <c r="E425" s="15" t="str">
        <f aca="false">$A425&amp;"."&amp;$D425&amp;".jpg"</f>
        <v>7908591300734.PT07.jpg</v>
      </c>
      <c r="F425" s="11" t="str">
        <f aca="false">INDEX('O QUE MOSTRAR'!$B$4:$B$12,MATCH($D425,'O QUE MOSTRAR'!$A$4:$A$12,0))</f>
        <v>Posição 8</v>
      </c>
      <c r="G425" s="11" t="str">
        <f aca="false">IF(INDEX(PRODUTOS!$F$4:$F$63,MATCH($A425,PRODUTOS!$B$4:$B$63,0))="Ração",INDEX('O QUE MOSTRAR'!$C$4:$C$12,MATCH($D425,'O QUE MOSTRAR'!$A$4:$A$12,0)),INDEX('O QUE MOSTRAR'!$D$4:$D$12,MATCH($D425,'O QUE MOSTRAR'!$A$4:$A$12,0)))</f>
        <v>Emocional / momento de uso</v>
      </c>
      <c r="H425" s="11" t="str">
        <f aca="false">INDEX('O QUE MOSTRAR'!$E$4:$E$12,MATCH($D425,'O QUE MOSTRAR'!$A$4:$A$12,0))</f>
        <v>2000 × 2000</v>
      </c>
      <c r="I425" s="11" t="str">
        <f aca="false">INDEX('O QUE MOSTRAR'!$F$4:$F$12,MATCH($D425,'O QUE MOSTRAR'!$A$4:$A$12,0))</f>
        <v>Recomendada</v>
      </c>
      <c r="J425" s="13" t="s">
        <v>303</v>
      </c>
      <c r="K425" s="13"/>
    </row>
    <row r="426" customFormat="false" ht="15" hidden="false" customHeight="false" outlineLevel="0" collapsed="false">
      <c r="A426" s="14" t="s">
        <v>226</v>
      </c>
      <c r="B426" s="11" t="str">
        <f aca="false">INDEX(PRODUTOS!$E$4:$E$63,MATCH($A426,PRODUTOS!$B$4:$B$63,0))</f>
        <v>Nuggets Recheados Gatos New Dots Dental 40 g</v>
      </c>
      <c r="C426" s="11" t="str">
        <f aca="false">INDEX(PRODUTOS!$G$4:$G$63,MATCH($A426,PRODUTOS!$B$4:$B$63,0))</f>
        <v>40 g</v>
      </c>
      <c r="D426" s="11" t="s">
        <v>311</v>
      </c>
      <c r="E426" s="15" t="str">
        <f aca="false">$A426&amp;"."&amp;$D426&amp;".jpg"</f>
        <v>7908591300734.PT08.jpg</v>
      </c>
      <c r="F426" s="11" t="str">
        <f aca="false">INDEX('O QUE MOSTRAR'!$B$4:$B$12,MATCH($D426,'O QUE MOSTRAR'!$A$4:$A$12,0))</f>
        <v>Posição 9</v>
      </c>
      <c r="G426" s="11" t="str">
        <f aca="false">IF(INDEX(PRODUTOS!$F$4:$F$63,MATCH($A426,PRODUTOS!$B$4:$B$63,0))="Ração",INDEX('O QUE MOSTRAR'!$C$4:$C$12,MATCH($D426,'O QUE MOSTRAR'!$A$4:$A$12,0)),INDEX('O QUE MOSTRAR'!$D$4:$D$12,MATCH($D426,'O QUE MOSTRAR'!$A$4:$A$12,0)))</f>
        <v>Linha da marca ("conheça também")</v>
      </c>
      <c r="H426" s="11" t="str">
        <f aca="false">INDEX('O QUE MOSTRAR'!$E$4:$E$12,MATCH($D426,'O QUE MOSTRAR'!$A$4:$A$12,0))</f>
        <v>2000 × 2000</v>
      </c>
      <c r="I426" s="11" t="str">
        <f aca="false">INDEX('O QUE MOSTRAR'!$F$4:$F$12,MATCH($D426,'O QUE MOSTRAR'!$A$4:$A$12,0))</f>
        <v>Recomendada</v>
      </c>
      <c r="J426" s="13" t="s">
        <v>303</v>
      </c>
      <c r="K426" s="13"/>
    </row>
    <row r="427" customFormat="false" ht="15" hidden="false" customHeight="false" outlineLevel="0" collapsed="false">
      <c r="A427" s="14" t="s">
        <v>230</v>
      </c>
      <c r="B427" s="11" t="str">
        <f aca="false">INDEX(PRODUTOS!$E$4:$E$63,MATCH($A427,PRODUTOS!$B$4:$B$63,0))</f>
        <v>Palito 8 “ Rígido Natural Dots Encartelado 10 un</v>
      </c>
      <c r="C427" s="11" t="str">
        <f aca="false">INDEX(PRODUTOS!$G$4:$G$63,MATCH($A427,PRODUTOS!$B$4:$B$63,0))</f>
        <v>10 un.</v>
      </c>
      <c r="D427" s="11" t="s">
        <v>302</v>
      </c>
      <c r="E427" s="15" t="str">
        <f aca="false">$A427&amp;"."&amp;$D427&amp;".jpg"</f>
        <v>17908591301158.MAIN.jpg</v>
      </c>
      <c r="F427" s="11" t="str">
        <f aca="false">INDEX('O QUE MOSTRAR'!$B$4:$B$12,MATCH($D427,'O QUE MOSTRAR'!$A$4:$A$12,0))</f>
        <v>Capa (posição 1)</v>
      </c>
      <c r="G427" s="11" t="str">
        <f aca="false">IF(INDEX(PRODUTOS!$F$4:$F$63,MATCH($A427,PRODUTOS!$B$4:$B$63,0))="Ração",INDEX('O QUE MOSTRAR'!$C$4:$C$12,MATCH($D427,'O QUE MOSTRAR'!$A$4:$A$12,0)),INDEX('O QUE MOSTRAR'!$D$4:$D$12,MATCH($D427,'O QUE MOSTRAR'!$A$4:$A$12,0)))</f>
        <v>Embalagem de frente, fundo branco puro, 85% da área, nada adicionado</v>
      </c>
      <c r="H427" s="11" t="str">
        <f aca="false">INDEX('O QUE MOSTRAR'!$E$4:$E$12,MATCH($D427,'O QUE MOSTRAR'!$A$4:$A$12,0))</f>
        <v>2000 × 2000</v>
      </c>
      <c r="I427" s="11" t="str">
        <f aca="false">INDEX('O QUE MOSTRAR'!$F$4:$F$12,MATCH($D427,'O QUE MOSTRAR'!$A$4:$A$12,0))</f>
        <v>SIM</v>
      </c>
      <c r="J427" s="13" t="s">
        <v>303</v>
      </c>
      <c r="K427" s="13"/>
    </row>
    <row r="428" customFormat="false" ht="15" hidden="false" customHeight="false" outlineLevel="0" collapsed="false">
      <c r="A428" s="14" t="s">
        <v>230</v>
      </c>
      <c r="B428" s="11" t="str">
        <f aca="false">INDEX(PRODUTOS!$E$4:$E$63,MATCH($A428,PRODUTOS!$B$4:$B$63,0))</f>
        <v>Palito 8 “ Rígido Natural Dots Encartelado 10 un</v>
      </c>
      <c r="C428" s="11" t="str">
        <f aca="false">INDEX(PRODUTOS!$G$4:$G$63,MATCH($A428,PRODUTOS!$B$4:$B$63,0))</f>
        <v>10 un.</v>
      </c>
      <c r="D428" s="11" t="s">
        <v>304</v>
      </c>
      <c r="E428" s="15" t="str">
        <f aca="false">$A428&amp;"."&amp;$D428&amp;".jpg"</f>
        <v>17908591301158.PT01.jpg</v>
      </c>
      <c r="F428" s="11" t="str">
        <f aca="false">INDEX('O QUE MOSTRAR'!$B$4:$B$12,MATCH($D428,'O QUE MOSTRAR'!$A$4:$A$12,0))</f>
        <v>Posição 2</v>
      </c>
      <c r="G428" s="11" t="str">
        <f aca="false">IF(INDEX(PRODUTOS!$F$4:$F$63,MATCH($A428,PRODUTOS!$B$4:$B$63,0))="Ração",INDEX('O QUE MOSTRAR'!$C$4:$C$12,MATCH($D428,'O QUE MOSTRAR'!$A$4:$A$12,0)),INDEX('O QUE MOSTRAR'!$D$4:$D$12,MATCH($D428,'O QUE MOSTRAR'!$A$4:$A$12,0)))</f>
        <v>Grande diferencial (ex.: natural, biodegradável, perfumado)</v>
      </c>
      <c r="H428" s="11" t="str">
        <f aca="false">INDEX('O QUE MOSTRAR'!$E$4:$E$12,MATCH($D428,'O QUE MOSTRAR'!$A$4:$A$12,0))</f>
        <v>2000 × 2000</v>
      </c>
      <c r="I428" s="11" t="str">
        <f aca="false">INDEX('O QUE MOSTRAR'!$F$4:$F$12,MATCH($D428,'O QUE MOSTRAR'!$A$4:$A$12,0))</f>
        <v>SIM</v>
      </c>
      <c r="J428" s="13" t="s">
        <v>303</v>
      </c>
      <c r="K428" s="13"/>
    </row>
    <row r="429" customFormat="false" ht="15" hidden="false" customHeight="false" outlineLevel="0" collapsed="false">
      <c r="A429" s="14" t="s">
        <v>230</v>
      </c>
      <c r="B429" s="11" t="str">
        <f aca="false">INDEX(PRODUTOS!$E$4:$E$63,MATCH($A429,PRODUTOS!$B$4:$B$63,0))</f>
        <v>Palito 8 “ Rígido Natural Dots Encartelado 10 un</v>
      </c>
      <c r="C429" s="11" t="str">
        <f aca="false">INDEX(PRODUTOS!$G$4:$G$63,MATCH($A429,PRODUTOS!$B$4:$B$63,0))</f>
        <v>10 un.</v>
      </c>
      <c r="D429" s="11" t="s">
        <v>305</v>
      </c>
      <c r="E429" s="15" t="str">
        <f aca="false">$A429&amp;"."&amp;$D429&amp;".jpg"</f>
        <v>17908591301158.PT02.jpg</v>
      </c>
      <c r="F429" s="11" t="str">
        <f aca="false">INDEX('O QUE MOSTRAR'!$B$4:$B$12,MATCH($D429,'O QUE MOSTRAR'!$A$4:$A$12,0))</f>
        <v>Posição 3</v>
      </c>
      <c r="G429" s="11" t="str">
        <f aca="false">IF(INDEX(PRODUTOS!$F$4:$F$63,MATCH($A429,PRODUTOS!$B$4:$B$63,0))="Ração",INDEX('O QUE MOSTRAR'!$C$4:$C$12,MATCH($D429,'O QUE MOSTRAR'!$A$4:$A$12,0)),INDEX('O QUE MOSTRAR'!$D$4:$D$12,MATCH($D429,'O QUE MOSTRAR'!$A$4:$A$12,0)))</f>
        <v>Benefícios com ícones (4 a 6, impressos na embalagem)</v>
      </c>
      <c r="H429" s="11" t="str">
        <f aca="false">INDEX('O QUE MOSTRAR'!$E$4:$E$12,MATCH($D429,'O QUE MOSTRAR'!$A$4:$A$12,0))</f>
        <v>2000 × 2000</v>
      </c>
      <c r="I429" s="11" t="str">
        <f aca="false">INDEX('O QUE MOSTRAR'!$F$4:$F$12,MATCH($D429,'O QUE MOSTRAR'!$A$4:$A$12,0))</f>
        <v>SIM</v>
      </c>
      <c r="J429" s="13" t="s">
        <v>303</v>
      </c>
      <c r="K429" s="13"/>
    </row>
    <row r="430" customFormat="false" ht="15" hidden="false" customHeight="false" outlineLevel="0" collapsed="false">
      <c r="A430" s="14" t="s">
        <v>230</v>
      </c>
      <c r="B430" s="11" t="str">
        <f aca="false">INDEX(PRODUTOS!$E$4:$E$63,MATCH($A430,PRODUTOS!$B$4:$B$63,0))</f>
        <v>Palito 8 “ Rígido Natural Dots Encartelado 10 un</v>
      </c>
      <c r="C430" s="11" t="str">
        <f aca="false">INDEX(PRODUTOS!$G$4:$G$63,MATCH($A430,PRODUTOS!$B$4:$B$63,0))</f>
        <v>10 un.</v>
      </c>
      <c r="D430" s="11" t="s">
        <v>306</v>
      </c>
      <c r="E430" s="15" t="str">
        <f aca="false">$A430&amp;"."&amp;$D430&amp;".jpg"</f>
        <v>17908591301158.PT03.jpg</v>
      </c>
      <c r="F430" s="11" t="str">
        <f aca="false">INDEX('O QUE MOSTRAR'!$B$4:$B$12,MATCH($D430,'O QUE MOSTRAR'!$A$4:$A$12,0))</f>
        <v>Posição 4</v>
      </c>
      <c r="G430" s="11" t="str">
        <f aca="false">IF(INDEX(PRODUTOS!$F$4:$F$63,MATCH($A430,PRODUTOS!$B$4:$B$63,0))="Ração",INDEX('O QUE MOSTRAR'!$C$4:$C$12,MATCH($D430,'O QUE MOSTRAR'!$A$4:$A$12,0)),INDEX('O QUE MOSTRAR'!$D$4:$D$12,MATCH($D430,'O QUE MOSTRAR'!$A$4:$A$12,0)))</f>
        <v>Detalhe e tamanho real (petisco, grânulo ou tapete aberto), com medidas</v>
      </c>
      <c r="H430" s="11" t="str">
        <f aca="false">INDEX('O QUE MOSTRAR'!$E$4:$E$12,MATCH($D430,'O QUE MOSTRAR'!$A$4:$A$12,0))</f>
        <v>2000 × 2000</v>
      </c>
      <c r="I430" s="11" t="str">
        <f aca="false">INDEX('O QUE MOSTRAR'!$F$4:$F$12,MATCH($D430,'O QUE MOSTRAR'!$A$4:$A$12,0))</f>
        <v>SIM</v>
      </c>
      <c r="J430" s="13" t="s">
        <v>303</v>
      </c>
      <c r="K430" s="13"/>
    </row>
    <row r="431" customFormat="false" ht="15" hidden="false" customHeight="false" outlineLevel="0" collapsed="false">
      <c r="A431" s="14" t="s">
        <v>230</v>
      </c>
      <c r="B431" s="11" t="str">
        <f aca="false">INDEX(PRODUTOS!$E$4:$E$63,MATCH($A431,PRODUTOS!$B$4:$B$63,0))</f>
        <v>Palito 8 “ Rígido Natural Dots Encartelado 10 un</v>
      </c>
      <c r="C431" s="11" t="str">
        <f aca="false">INDEX(PRODUTOS!$G$4:$G$63,MATCH($A431,PRODUTOS!$B$4:$B$63,0))</f>
        <v>10 un.</v>
      </c>
      <c r="D431" s="11" t="s">
        <v>307</v>
      </c>
      <c r="E431" s="15" t="str">
        <f aca="false">$A431&amp;"."&amp;$D431&amp;".jpg"</f>
        <v>17908591301158.PT04.jpg</v>
      </c>
      <c r="F431" s="11" t="str">
        <f aca="false">INDEX('O QUE MOSTRAR'!$B$4:$B$12,MATCH($D431,'O QUE MOSTRAR'!$A$4:$A$12,0))</f>
        <v>Posição 5</v>
      </c>
      <c r="G431" s="11" t="str">
        <f aca="false">IF(INDEX(PRODUTOS!$F$4:$F$63,MATCH($A431,PRODUTOS!$B$4:$B$63,0))="Ração",INDEX('O QUE MOSTRAR'!$C$4:$C$12,MATCH($D431,'O QUE MOSTRAR'!$A$4:$A$12,0)),INDEX('O QUE MOSTRAR'!$D$4:$D$12,MATCH($D431,'O QUE MOSTRAR'!$A$4:$A$12,0)))</f>
        <v>Modo de uso (como oferecer o petisco / como usar o produto)</v>
      </c>
      <c r="H431" s="11" t="str">
        <f aca="false">INDEX('O QUE MOSTRAR'!$E$4:$E$12,MATCH($D431,'O QUE MOSTRAR'!$A$4:$A$12,0))</f>
        <v>2000 × 2000</v>
      </c>
      <c r="I431" s="11" t="str">
        <f aca="false">INDEX('O QUE MOSTRAR'!$F$4:$F$12,MATCH($D431,'O QUE MOSTRAR'!$A$4:$A$12,0))</f>
        <v>SIM</v>
      </c>
      <c r="J431" s="13" t="s">
        <v>303</v>
      </c>
      <c r="K431" s="13"/>
    </row>
    <row r="432" customFormat="false" ht="15" hidden="false" customHeight="false" outlineLevel="0" collapsed="false">
      <c r="A432" s="14" t="s">
        <v>230</v>
      </c>
      <c r="B432" s="11" t="str">
        <f aca="false">INDEX(PRODUTOS!$E$4:$E$63,MATCH($A432,PRODUTOS!$B$4:$B$63,0))</f>
        <v>Palito 8 “ Rígido Natural Dots Encartelado 10 un</v>
      </c>
      <c r="C432" s="11" t="str">
        <f aca="false">INDEX(PRODUTOS!$G$4:$G$63,MATCH($A432,PRODUTOS!$B$4:$B$63,0))</f>
        <v>10 un.</v>
      </c>
      <c r="D432" s="11" t="s">
        <v>308</v>
      </c>
      <c r="E432" s="15" t="str">
        <f aca="false">$A432&amp;"."&amp;$D432&amp;".jpg"</f>
        <v>17908591301158.PT05.jpg</v>
      </c>
      <c r="F432" s="11" t="str">
        <f aca="false">INDEX('O QUE MOSTRAR'!$B$4:$B$12,MATCH($D432,'O QUE MOSTRAR'!$A$4:$A$12,0))</f>
        <v>Posição 6</v>
      </c>
      <c r="G432" s="11" t="str">
        <f aca="false">IF(INDEX(PRODUTOS!$F$4:$F$63,MATCH($A432,PRODUTOS!$B$4:$B$63,0))="Ração",INDEX('O QUE MOSTRAR'!$C$4:$C$12,MATCH($D432,'O QUE MOSTRAR'!$A$4:$A$12,0)),INDEX('O QUE MOSTRAR'!$D$4:$D$12,MATCH($D432,'O QUE MOSTRAR'!$A$4:$A$12,0)))</f>
        <v>Quantidade por dia ou rendimento do pacote</v>
      </c>
      <c r="H432" s="11" t="str">
        <f aca="false">INDEX('O QUE MOSTRAR'!$E$4:$E$12,MATCH($D432,'O QUE MOSTRAR'!$A$4:$A$12,0))</f>
        <v>2000 × 2000</v>
      </c>
      <c r="I432" s="11" t="str">
        <f aca="false">INDEX('O QUE MOSTRAR'!$F$4:$F$12,MATCH($D432,'O QUE MOSTRAR'!$A$4:$A$12,0))</f>
        <v>Recomendada</v>
      </c>
      <c r="J432" s="13" t="s">
        <v>303</v>
      </c>
      <c r="K432" s="13"/>
    </row>
    <row r="433" customFormat="false" ht="15" hidden="false" customHeight="false" outlineLevel="0" collapsed="false">
      <c r="A433" s="14" t="s">
        <v>230</v>
      </c>
      <c r="B433" s="11" t="str">
        <f aca="false">INDEX(PRODUTOS!$E$4:$E$63,MATCH($A433,PRODUTOS!$B$4:$B$63,0))</f>
        <v>Palito 8 “ Rígido Natural Dots Encartelado 10 un</v>
      </c>
      <c r="C433" s="11" t="str">
        <f aca="false">INDEX(PRODUTOS!$G$4:$G$63,MATCH($A433,PRODUTOS!$B$4:$B$63,0))</f>
        <v>10 un.</v>
      </c>
      <c r="D433" s="11" t="s">
        <v>309</v>
      </c>
      <c r="E433" s="15" t="str">
        <f aca="false">$A433&amp;"."&amp;$D433&amp;".jpg"</f>
        <v>17908591301158.PT06.jpg</v>
      </c>
      <c r="F433" s="11" t="str">
        <f aca="false">INDEX('O QUE MOSTRAR'!$B$4:$B$12,MATCH($D433,'O QUE MOSTRAR'!$A$4:$A$12,0))</f>
        <v>Posição 7</v>
      </c>
      <c r="G433" s="11" t="str">
        <f aca="false">IF(INDEX(PRODUTOS!$F$4:$F$63,MATCH($A433,PRODUTOS!$B$4:$B$63,0))="Ração",INDEX('O QUE MOSTRAR'!$C$4:$C$12,MATCH($D433,'O QUE MOSTRAR'!$A$4:$A$12,0)),INDEX('O QUE MOSTRAR'!$D$4:$D$12,MATCH($D433,'O QUE MOSTRAR'!$A$4:$A$12,0)))</f>
        <v>Composição/níveis de garantia (petiscos) ou especificações (higiene)</v>
      </c>
      <c r="H433" s="11" t="str">
        <f aca="false">INDEX('O QUE MOSTRAR'!$E$4:$E$12,MATCH($D433,'O QUE MOSTRAR'!$A$4:$A$12,0))</f>
        <v>2000 × 2000</v>
      </c>
      <c r="I433" s="11" t="str">
        <f aca="false">INDEX('O QUE MOSTRAR'!$F$4:$F$12,MATCH($D433,'O QUE MOSTRAR'!$A$4:$A$12,0))</f>
        <v>SIM</v>
      </c>
      <c r="J433" s="13" t="s">
        <v>303</v>
      </c>
      <c r="K433" s="13"/>
    </row>
    <row r="434" customFormat="false" ht="15" hidden="false" customHeight="false" outlineLevel="0" collapsed="false">
      <c r="A434" s="14" t="s">
        <v>230</v>
      </c>
      <c r="B434" s="11" t="str">
        <f aca="false">INDEX(PRODUTOS!$E$4:$E$63,MATCH($A434,PRODUTOS!$B$4:$B$63,0))</f>
        <v>Palito 8 “ Rígido Natural Dots Encartelado 10 un</v>
      </c>
      <c r="C434" s="11" t="str">
        <f aca="false">INDEX(PRODUTOS!$G$4:$G$63,MATCH($A434,PRODUTOS!$B$4:$B$63,0))</f>
        <v>10 un.</v>
      </c>
      <c r="D434" s="11" t="s">
        <v>310</v>
      </c>
      <c r="E434" s="15" t="str">
        <f aca="false">$A434&amp;"."&amp;$D434&amp;".jpg"</f>
        <v>17908591301158.PT07.jpg</v>
      </c>
      <c r="F434" s="11" t="str">
        <f aca="false">INDEX('O QUE MOSTRAR'!$B$4:$B$12,MATCH($D434,'O QUE MOSTRAR'!$A$4:$A$12,0))</f>
        <v>Posição 8</v>
      </c>
      <c r="G434" s="11" t="str">
        <f aca="false">IF(INDEX(PRODUTOS!$F$4:$F$63,MATCH($A434,PRODUTOS!$B$4:$B$63,0))="Ração",INDEX('O QUE MOSTRAR'!$C$4:$C$12,MATCH($D434,'O QUE MOSTRAR'!$A$4:$A$12,0)),INDEX('O QUE MOSTRAR'!$D$4:$D$12,MATCH($D434,'O QUE MOSTRAR'!$A$4:$A$12,0)))</f>
        <v>Emocional / momento de uso</v>
      </c>
      <c r="H434" s="11" t="str">
        <f aca="false">INDEX('O QUE MOSTRAR'!$E$4:$E$12,MATCH($D434,'O QUE MOSTRAR'!$A$4:$A$12,0))</f>
        <v>2000 × 2000</v>
      </c>
      <c r="I434" s="11" t="str">
        <f aca="false">INDEX('O QUE MOSTRAR'!$F$4:$F$12,MATCH($D434,'O QUE MOSTRAR'!$A$4:$A$12,0))</f>
        <v>Recomendada</v>
      </c>
      <c r="J434" s="13" t="s">
        <v>303</v>
      </c>
      <c r="K434" s="13"/>
    </row>
    <row r="435" customFormat="false" ht="15" hidden="false" customHeight="false" outlineLevel="0" collapsed="false">
      <c r="A435" s="14" t="s">
        <v>230</v>
      </c>
      <c r="B435" s="11" t="str">
        <f aca="false">INDEX(PRODUTOS!$E$4:$E$63,MATCH($A435,PRODUTOS!$B$4:$B$63,0))</f>
        <v>Palito 8 “ Rígido Natural Dots Encartelado 10 un</v>
      </c>
      <c r="C435" s="11" t="str">
        <f aca="false">INDEX(PRODUTOS!$G$4:$G$63,MATCH($A435,PRODUTOS!$B$4:$B$63,0))</f>
        <v>10 un.</v>
      </c>
      <c r="D435" s="11" t="s">
        <v>311</v>
      </c>
      <c r="E435" s="15" t="str">
        <f aca="false">$A435&amp;"."&amp;$D435&amp;".jpg"</f>
        <v>17908591301158.PT08.jpg</v>
      </c>
      <c r="F435" s="11" t="str">
        <f aca="false">INDEX('O QUE MOSTRAR'!$B$4:$B$12,MATCH($D435,'O QUE MOSTRAR'!$A$4:$A$12,0))</f>
        <v>Posição 9</v>
      </c>
      <c r="G435" s="11" t="str">
        <f aca="false">IF(INDEX(PRODUTOS!$F$4:$F$63,MATCH($A435,PRODUTOS!$B$4:$B$63,0))="Ração",INDEX('O QUE MOSTRAR'!$C$4:$C$12,MATCH($D435,'O QUE MOSTRAR'!$A$4:$A$12,0)),INDEX('O QUE MOSTRAR'!$D$4:$D$12,MATCH($D435,'O QUE MOSTRAR'!$A$4:$A$12,0)))</f>
        <v>Linha da marca ("conheça também")</v>
      </c>
      <c r="H435" s="11" t="str">
        <f aca="false">INDEX('O QUE MOSTRAR'!$E$4:$E$12,MATCH($D435,'O QUE MOSTRAR'!$A$4:$A$12,0))</f>
        <v>2000 × 2000</v>
      </c>
      <c r="I435" s="11" t="str">
        <f aca="false">INDEX('O QUE MOSTRAR'!$F$4:$F$12,MATCH($D435,'O QUE MOSTRAR'!$A$4:$A$12,0))</f>
        <v>Recomendada</v>
      </c>
      <c r="J435" s="13" t="s">
        <v>303</v>
      </c>
      <c r="K435" s="13"/>
    </row>
    <row r="436" customFormat="false" ht="15" hidden="false" customHeight="false" outlineLevel="0" collapsed="false">
      <c r="A436" s="14" t="s">
        <v>236</v>
      </c>
      <c r="B436" s="11" t="str">
        <f aca="false">INDEX(PRODUTOS!$E$4:$E$63,MATCH($A436,PRODUTOS!$B$4:$B$63,0))</f>
        <v>Palito 8 ” Rígido Bacon Natural Dots Encartelado 10 un</v>
      </c>
      <c r="C436" s="11" t="str">
        <f aca="false">INDEX(PRODUTOS!$G$4:$G$63,MATCH($A436,PRODUTOS!$B$4:$B$63,0))</f>
        <v>10 un.</v>
      </c>
      <c r="D436" s="11" t="s">
        <v>302</v>
      </c>
      <c r="E436" s="15" t="str">
        <f aca="false">$A436&amp;"."&amp;$D436&amp;".jpg"</f>
        <v>7908591301168.MAIN.jpg</v>
      </c>
      <c r="F436" s="11" t="str">
        <f aca="false">INDEX('O QUE MOSTRAR'!$B$4:$B$12,MATCH($D436,'O QUE MOSTRAR'!$A$4:$A$12,0))</f>
        <v>Capa (posição 1)</v>
      </c>
      <c r="G436" s="11" t="str">
        <f aca="false">IF(INDEX(PRODUTOS!$F$4:$F$63,MATCH($A436,PRODUTOS!$B$4:$B$63,0))="Ração",INDEX('O QUE MOSTRAR'!$C$4:$C$12,MATCH($D436,'O QUE MOSTRAR'!$A$4:$A$12,0)),INDEX('O QUE MOSTRAR'!$D$4:$D$12,MATCH($D436,'O QUE MOSTRAR'!$A$4:$A$12,0)))</f>
        <v>Embalagem de frente, fundo branco puro, 85% da área, nada adicionado</v>
      </c>
      <c r="H436" s="11" t="str">
        <f aca="false">INDEX('O QUE MOSTRAR'!$E$4:$E$12,MATCH($D436,'O QUE MOSTRAR'!$A$4:$A$12,0))</f>
        <v>2000 × 2000</v>
      </c>
      <c r="I436" s="11" t="str">
        <f aca="false">INDEX('O QUE MOSTRAR'!$F$4:$F$12,MATCH($D436,'O QUE MOSTRAR'!$A$4:$A$12,0))</f>
        <v>SIM</v>
      </c>
      <c r="J436" s="13" t="s">
        <v>303</v>
      </c>
      <c r="K436" s="13"/>
    </row>
    <row r="437" customFormat="false" ht="15" hidden="false" customHeight="false" outlineLevel="0" collapsed="false">
      <c r="A437" s="14" t="s">
        <v>236</v>
      </c>
      <c r="B437" s="11" t="str">
        <f aca="false">INDEX(PRODUTOS!$E$4:$E$63,MATCH($A437,PRODUTOS!$B$4:$B$63,0))</f>
        <v>Palito 8 ” Rígido Bacon Natural Dots Encartelado 10 un</v>
      </c>
      <c r="C437" s="11" t="str">
        <f aca="false">INDEX(PRODUTOS!$G$4:$G$63,MATCH($A437,PRODUTOS!$B$4:$B$63,0))</f>
        <v>10 un.</v>
      </c>
      <c r="D437" s="11" t="s">
        <v>304</v>
      </c>
      <c r="E437" s="15" t="str">
        <f aca="false">$A437&amp;"."&amp;$D437&amp;".jpg"</f>
        <v>7908591301168.PT01.jpg</v>
      </c>
      <c r="F437" s="11" t="str">
        <f aca="false">INDEX('O QUE MOSTRAR'!$B$4:$B$12,MATCH($D437,'O QUE MOSTRAR'!$A$4:$A$12,0))</f>
        <v>Posição 2</v>
      </c>
      <c r="G437" s="11" t="str">
        <f aca="false">IF(INDEX(PRODUTOS!$F$4:$F$63,MATCH($A437,PRODUTOS!$B$4:$B$63,0))="Ração",INDEX('O QUE MOSTRAR'!$C$4:$C$12,MATCH($D437,'O QUE MOSTRAR'!$A$4:$A$12,0)),INDEX('O QUE MOSTRAR'!$D$4:$D$12,MATCH($D437,'O QUE MOSTRAR'!$A$4:$A$12,0)))</f>
        <v>Grande diferencial (ex.: natural, biodegradável, perfumado)</v>
      </c>
      <c r="H437" s="11" t="str">
        <f aca="false">INDEX('O QUE MOSTRAR'!$E$4:$E$12,MATCH($D437,'O QUE MOSTRAR'!$A$4:$A$12,0))</f>
        <v>2000 × 2000</v>
      </c>
      <c r="I437" s="11" t="str">
        <f aca="false">INDEX('O QUE MOSTRAR'!$F$4:$F$12,MATCH($D437,'O QUE MOSTRAR'!$A$4:$A$12,0))</f>
        <v>SIM</v>
      </c>
      <c r="J437" s="13" t="s">
        <v>303</v>
      </c>
      <c r="K437" s="13"/>
    </row>
    <row r="438" customFormat="false" ht="15" hidden="false" customHeight="false" outlineLevel="0" collapsed="false">
      <c r="A438" s="14" t="s">
        <v>236</v>
      </c>
      <c r="B438" s="11" t="str">
        <f aca="false">INDEX(PRODUTOS!$E$4:$E$63,MATCH($A438,PRODUTOS!$B$4:$B$63,0))</f>
        <v>Palito 8 ” Rígido Bacon Natural Dots Encartelado 10 un</v>
      </c>
      <c r="C438" s="11" t="str">
        <f aca="false">INDEX(PRODUTOS!$G$4:$G$63,MATCH($A438,PRODUTOS!$B$4:$B$63,0))</f>
        <v>10 un.</v>
      </c>
      <c r="D438" s="11" t="s">
        <v>305</v>
      </c>
      <c r="E438" s="15" t="str">
        <f aca="false">$A438&amp;"."&amp;$D438&amp;".jpg"</f>
        <v>7908591301168.PT02.jpg</v>
      </c>
      <c r="F438" s="11" t="str">
        <f aca="false">INDEX('O QUE MOSTRAR'!$B$4:$B$12,MATCH($D438,'O QUE MOSTRAR'!$A$4:$A$12,0))</f>
        <v>Posição 3</v>
      </c>
      <c r="G438" s="11" t="str">
        <f aca="false">IF(INDEX(PRODUTOS!$F$4:$F$63,MATCH($A438,PRODUTOS!$B$4:$B$63,0))="Ração",INDEX('O QUE MOSTRAR'!$C$4:$C$12,MATCH($D438,'O QUE MOSTRAR'!$A$4:$A$12,0)),INDEX('O QUE MOSTRAR'!$D$4:$D$12,MATCH($D438,'O QUE MOSTRAR'!$A$4:$A$12,0)))</f>
        <v>Benefícios com ícones (4 a 6, impressos na embalagem)</v>
      </c>
      <c r="H438" s="11" t="str">
        <f aca="false">INDEX('O QUE MOSTRAR'!$E$4:$E$12,MATCH($D438,'O QUE MOSTRAR'!$A$4:$A$12,0))</f>
        <v>2000 × 2000</v>
      </c>
      <c r="I438" s="11" t="str">
        <f aca="false">INDEX('O QUE MOSTRAR'!$F$4:$F$12,MATCH($D438,'O QUE MOSTRAR'!$A$4:$A$12,0))</f>
        <v>SIM</v>
      </c>
      <c r="J438" s="13" t="s">
        <v>303</v>
      </c>
      <c r="K438" s="13"/>
    </row>
    <row r="439" customFormat="false" ht="15" hidden="false" customHeight="false" outlineLevel="0" collapsed="false">
      <c r="A439" s="14" t="s">
        <v>236</v>
      </c>
      <c r="B439" s="11" t="str">
        <f aca="false">INDEX(PRODUTOS!$E$4:$E$63,MATCH($A439,PRODUTOS!$B$4:$B$63,0))</f>
        <v>Palito 8 ” Rígido Bacon Natural Dots Encartelado 10 un</v>
      </c>
      <c r="C439" s="11" t="str">
        <f aca="false">INDEX(PRODUTOS!$G$4:$G$63,MATCH($A439,PRODUTOS!$B$4:$B$63,0))</f>
        <v>10 un.</v>
      </c>
      <c r="D439" s="11" t="s">
        <v>306</v>
      </c>
      <c r="E439" s="15" t="str">
        <f aca="false">$A439&amp;"."&amp;$D439&amp;".jpg"</f>
        <v>7908591301168.PT03.jpg</v>
      </c>
      <c r="F439" s="11" t="str">
        <f aca="false">INDEX('O QUE MOSTRAR'!$B$4:$B$12,MATCH($D439,'O QUE MOSTRAR'!$A$4:$A$12,0))</f>
        <v>Posição 4</v>
      </c>
      <c r="G439" s="11" t="str">
        <f aca="false">IF(INDEX(PRODUTOS!$F$4:$F$63,MATCH($A439,PRODUTOS!$B$4:$B$63,0))="Ração",INDEX('O QUE MOSTRAR'!$C$4:$C$12,MATCH($D439,'O QUE MOSTRAR'!$A$4:$A$12,0)),INDEX('O QUE MOSTRAR'!$D$4:$D$12,MATCH($D439,'O QUE MOSTRAR'!$A$4:$A$12,0)))</f>
        <v>Detalhe e tamanho real (petisco, grânulo ou tapete aberto), com medidas</v>
      </c>
      <c r="H439" s="11" t="str">
        <f aca="false">INDEX('O QUE MOSTRAR'!$E$4:$E$12,MATCH($D439,'O QUE MOSTRAR'!$A$4:$A$12,0))</f>
        <v>2000 × 2000</v>
      </c>
      <c r="I439" s="11" t="str">
        <f aca="false">INDEX('O QUE MOSTRAR'!$F$4:$F$12,MATCH($D439,'O QUE MOSTRAR'!$A$4:$A$12,0))</f>
        <v>SIM</v>
      </c>
      <c r="J439" s="13" t="s">
        <v>303</v>
      </c>
      <c r="K439" s="13"/>
    </row>
    <row r="440" customFormat="false" ht="15" hidden="false" customHeight="false" outlineLevel="0" collapsed="false">
      <c r="A440" s="14" t="s">
        <v>236</v>
      </c>
      <c r="B440" s="11" t="str">
        <f aca="false">INDEX(PRODUTOS!$E$4:$E$63,MATCH($A440,PRODUTOS!$B$4:$B$63,0))</f>
        <v>Palito 8 ” Rígido Bacon Natural Dots Encartelado 10 un</v>
      </c>
      <c r="C440" s="11" t="str">
        <f aca="false">INDEX(PRODUTOS!$G$4:$G$63,MATCH($A440,PRODUTOS!$B$4:$B$63,0))</f>
        <v>10 un.</v>
      </c>
      <c r="D440" s="11" t="s">
        <v>307</v>
      </c>
      <c r="E440" s="15" t="str">
        <f aca="false">$A440&amp;"."&amp;$D440&amp;".jpg"</f>
        <v>7908591301168.PT04.jpg</v>
      </c>
      <c r="F440" s="11" t="str">
        <f aca="false">INDEX('O QUE MOSTRAR'!$B$4:$B$12,MATCH($D440,'O QUE MOSTRAR'!$A$4:$A$12,0))</f>
        <v>Posição 5</v>
      </c>
      <c r="G440" s="11" t="str">
        <f aca="false">IF(INDEX(PRODUTOS!$F$4:$F$63,MATCH($A440,PRODUTOS!$B$4:$B$63,0))="Ração",INDEX('O QUE MOSTRAR'!$C$4:$C$12,MATCH($D440,'O QUE MOSTRAR'!$A$4:$A$12,0)),INDEX('O QUE MOSTRAR'!$D$4:$D$12,MATCH($D440,'O QUE MOSTRAR'!$A$4:$A$12,0)))</f>
        <v>Modo de uso (como oferecer o petisco / como usar o produto)</v>
      </c>
      <c r="H440" s="11" t="str">
        <f aca="false">INDEX('O QUE MOSTRAR'!$E$4:$E$12,MATCH($D440,'O QUE MOSTRAR'!$A$4:$A$12,0))</f>
        <v>2000 × 2000</v>
      </c>
      <c r="I440" s="11" t="str">
        <f aca="false">INDEX('O QUE MOSTRAR'!$F$4:$F$12,MATCH($D440,'O QUE MOSTRAR'!$A$4:$A$12,0))</f>
        <v>SIM</v>
      </c>
      <c r="J440" s="13" t="s">
        <v>303</v>
      </c>
      <c r="K440" s="13"/>
    </row>
    <row r="441" customFormat="false" ht="15" hidden="false" customHeight="false" outlineLevel="0" collapsed="false">
      <c r="A441" s="14" t="s">
        <v>236</v>
      </c>
      <c r="B441" s="11" t="str">
        <f aca="false">INDEX(PRODUTOS!$E$4:$E$63,MATCH($A441,PRODUTOS!$B$4:$B$63,0))</f>
        <v>Palito 8 ” Rígido Bacon Natural Dots Encartelado 10 un</v>
      </c>
      <c r="C441" s="11" t="str">
        <f aca="false">INDEX(PRODUTOS!$G$4:$G$63,MATCH($A441,PRODUTOS!$B$4:$B$63,0))</f>
        <v>10 un.</v>
      </c>
      <c r="D441" s="11" t="s">
        <v>308</v>
      </c>
      <c r="E441" s="15" t="str">
        <f aca="false">$A441&amp;"."&amp;$D441&amp;".jpg"</f>
        <v>7908591301168.PT05.jpg</v>
      </c>
      <c r="F441" s="11" t="str">
        <f aca="false">INDEX('O QUE MOSTRAR'!$B$4:$B$12,MATCH($D441,'O QUE MOSTRAR'!$A$4:$A$12,0))</f>
        <v>Posição 6</v>
      </c>
      <c r="G441" s="11" t="str">
        <f aca="false">IF(INDEX(PRODUTOS!$F$4:$F$63,MATCH($A441,PRODUTOS!$B$4:$B$63,0))="Ração",INDEX('O QUE MOSTRAR'!$C$4:$C$12,MATCH($D441,'O QUE MOSTRAR'!$A$4:$A$12,0)),INDEX('O QUE MOSTRAR'!$D$4:$D$12,MATCH($D441,'O QUE MOSTRAR'!$A$4:$A$12,0)))</f>
        <v>Quantidade por dia ou rendimento do pacote</v>
      </c>
      <c r="H441" s="11" t="str">
        <f aca="false">INDEX('O QUE MOSTRAR'!$E$4:$E$12,MATCH($D441,'O QUE MOSTRAR'!$A$4:$A$12,0))</f>
        <v>2000 × 2000</v>
      </c>
      <c r="I441" s="11" t="str">
        <f aca="false">INDEX('O QUE MOSTRAR'!$F$4:$F$12,MATCH($D441,'O QUE MOSTRAR'!$A$4:$A$12,0))</f>
        <v>Recomendada</v>
      </c>
      <c r="J441" s="13" t="s">
        <v>303</v>
      </c>
      <c r="K441" s="13"/>
    </row>
    <row r="442" customFormat="false" ht="15" hidden="false" customHeight="false" outlineLevel="0" collapsed="false">
      <c r="A442" s="14" t="s">
        <v>236</v>
      </c>
      <c r="B442" s="11" t="str">
        <f aca="false">INDEX(PRODUTOS!$E$4:$E$63,MATCH($A442,PRODUTOS!$B$4:$B$63,0))</f>
        <v>Palito 8 ” Rígido Bacon Natural Dots Encartelado 10 un</v>
      </c>
      <c r="C442" s="11" t="str">
        <f aca="false">INDEX(PRODUTOS!$G$4:$G$63,MATCH($A442,PRODUTOS!$B$4:$B$63,0))</f>
        <v>10 un.</v>
      </c>
      <c r="D442" s="11" t="s">
        <v>309</v>
      </c>
      <c r="E442" s="15" t="str">
        <f aca="false">$A442&amp;"."&amp;$D442&amp;".jpg"</f>
        <v>7908591301168.PT06.jpg</v>
      </c>
      <c r="F442" s="11" t="str">
        <f aca="false">INDEX('O QUE MOSTRAR'!$B$4:$B$12,MATCH($D442,'O QUE MOSTRAR'!$A$4:$A$12,0))</f>
        <v>Posição 7</v>
      </c>
      <c r="G442" s="11" t="str">
        <f aca="false">IF(INDEX(PRODUTOS!$F$4:$F$63,MATCH($A442,PRODUTOS!$B$4:$B$63,0))="Ração",INDEX('O QUE MOSTRAR'!$C$4:$C$12,MATCH($D442,'O QUE MOSTRAR'!$A$4:$A$12,0)),INDEX('O QUE MOSTRAR'!$D$4:$D$12,MATCH($D442,'O QUE MOSTRAR'!$A$4:$A$12,0)))</f>
        <v>Composição/níveis de garantia (petiscos) ou especificações (higiene)</v>
      </c>
      <c r="H442" s="11" t="str">
        <f aca="false">INDEX('O QUE MOSTRAR'!$E$4:$E$12,MATCH($D442,'O QUE MOSTRAR'!$A$4:$A$12,0))</f>
        <v>2000 × 2000</v>
      </c>
      <c r="I442" s="11" t="str">
        <f aca="false">INDEX('O QUE MOSTRAR'!$F$4:$F$12,MATCH($D442,'O QUE MOSTRAR'!$A$4:$A$12,0))</f>
        <v>SIM</v>
      </c>
      <c r="J442" s="13" t="s">
        <v>303</v>
      </c>
      <c r="K442" s="13"/>
    </row>
    <row r="443" customFormat="false" ht="15" hidden="false" customHeight="false" outlineLevel="0" collapsed="false">
      <c r="A443" s="14" t="s">
        <v>236</v>
      </c>
      <c r="B443" s="11" t="str">
        <f aca="false">INDEX(PRODUTOS!$E$4:$E$63,MATCH($A443,PRODUTOS!$B$4:$B$63,0))</f>
        <v>Palito 8 ” Rígido Bacon Natural Dots Encartelado 10 un</v>
      </c>
      <c r="C443" s="11" t="str">
        <f aca="false">INDEX(PRODUTOS!$G$4:$G$63,MATCH($A443,PRODUTOS!$B$4:$B$63,0))</f>
        <v>10 un.</v>
      </c>
      <c r="D443" s="11" t="s">
        <v>310</v>
      </c>
      <c r="E443" s="15" t="str">
        <f aca="false">$A443&amp;"."&amp;$D443&amp;".jpg"</f>
        <v>7908591301168.PT07.jpg</v>
      </c>
      <c r="F443" s="11" t="str">
        <f aca="false">INDEX('O QUE MOSTRAR'!$B$4:$B$12,MATCH($D443,'O QUE MOSTRAR'!$A$4:$A$12,0))</f>
        <v>Posição 8</v>
      </c>
      <c r="G443" s="11" t="str">
        <f aca="false">IF(INDEX(PRODUTOS!$F$4:$F$63,MATCH($A443,PRODUTOS!$B$4:$B$63,0))="Ração",INDEX('O QUE MOSTRAR'!$C$4:$C$12,MATCH($D443,'O QUE MOSTRAR'!$A$4:$A$12,0)),INDEX('O QUE MOSTRAR'!$D$4:$D$12,MATCH($D443,'O QUE MOSTRAR'!$A$4:$A$12,0)))</f>
        <v>Emocional / momento de uso</v>
      </c>
      <c r="H443" s="11" t="str">
        <f aca="false">INDEX('O QUE MOSTRAR'!$E$4:$E$12,MATCH($D443,'O QUE MOSTRAR'!$A$4:$A$12,0))</f>
        <v>2000 × 2000</v>
      </c>
      <c r="I443" s="11" t="str">
        <f aca="false">INDEX('O QUE MOSTRAR'!$F$4:$F$12,MATCH($D443,'O QUE MOSTRAR'!$A$4:$A$12,0))</f>
        <v>Recomendada</v>
      </c>
      <c r="J443" s="13" t="s">
        <v>303</v>
      </c>
      <c r="K443" s="13"/>
    </row>
    <row r="444" customFormat="false" ht="15" hidden="false" customHeight="false" outlineLevel="0" collapsed="false">
      <c r="A444" s="14" t="s">
        <v>236</v>
      </c>
      <c r="B444" s="11" t="str">
        <f aca="false">INDEX(PRODUTOS!$E$4:$E$63,MATCH($A444,PRODUTOS!$B$4:$B$63,0))</f>
        <v>Palito 8 ” Rígido Bacon Natural Dots Encartelado 10 un</v>
      </c>
      <c r="C444" s="11" t="str">
        <f aca="false">INDEX(PRODUTOS!$G$4:$G$63,MATCH($A444,PRODUTOS!$B$4:$B$63,0))</f>
        <v>10 un.</v>
      </c>
      <c r="D444" s="11" t="s">
        <v>311</v>
      </c>
      <c r="E444" s="15" t="str">
        <f aca="false">$A444&amp;"."&amp;$D444&amp;".jpg"</f>
        <v>7908591301168.PT08.jpg</v>
      </c>
      <c r="F444" s="11" t="str">
        <f aca="false">INDEX('O QUE MOSTRAR'!$B$4:$B$12,MATCH($D444,'O QUE MOSTRAR'!$A$4:$A$12,0))</f>
        <v>Posição 9</v>
      </c>
      <c r="G444" s="11" t="str">
        <f aca="false">IF(INDEX(PRODUTOS!$F$4:$F$63,MATCH($A444,PRODUTOS!$B$4:$B$63,0))="Ração",INDEX('O QUE MOSTRAR'!$C$4:$C$12,MATCH($D444,'O QUE MOSTRAR'!$A$4:$A$12,0)),INDEX('O QUE MOSTRAR'!$D$4:$D$12,MATCH($D444,'O QUE MOSTRAR'!$A$4:$A$12,0)))</f>
        <v>Linha da marca ("conheça também")</v>
      </c>
      <c r="H444" s="11" t="str">
        <f aca="false">INDEX('O QUE MOSTRAR'!$E$4:$E$12,MATCH($D444,'O QUE MOSTRAR'!$A$4:$A$12,0))</f>
        <v>2000 × 2000</v>
      </c>
      <c r="I444" s="11" t="str">
        <f aca="false">INDEX('O QUE MOSTRAR'!$F$4:$F$12,MATCH($D444,'O QUE MOSTRAR'!$A$4:$A$12,0))</f>
        <v>Recomendada</v>
      </c>
      <c r="J444" s="13" t="s">
        <v>303</v>
      </c>
      <c r="K444" s="13"/>
    </row>
    <row r="445" customFormat="false" ht="15" hidden="false" customHeight="false" outlineLevel="0" collapsed="false">
      <c r="A445" s="14" t="s">
        <v>240</v>
      </c>
      <c r="B445" s="11" t="str">
        <f aca="false">INDEX(PRODUTOS!$E$4:$E$63,MATCH($A445,PRODUTOS!$B$4:$B$63,0))</f>
        <v>Palito Flex Natural Dots Hortelã 70 g</v>
      </c>
      <c r="C445" s="11" t="str">
        <f aca="false">INDEX(PRODUTOS!$G$4:$G$63,MATCH($A445,PRODUTOS!$B$4:$B$63,0))</f>
        <v>70 g</v>
      </c>
      <c r="D445" s="11" t="s">
        <v>302</v>
      </c>
      <c r="E445" s="15" t="str">
        <f aca="false">$A445&amp;"."&amp;$D445&amp;".jpg"</f>
        <v>7908591301113.MAIN.jpg</v>
      </c>
      <c r="F445" s="11" t="str">
        <f aca="false">INDEX('O QUE MOSTRAR'!$B$4:$B$12,MATCH($D445,'O QUE MOSTRAR'!$A$4:$A$12,0))</f>
        <v>Capa (posição 1)</v>
      </c>
      <c r="G445" s="11" t="str">
        <f aca="false">IF(INDEX(PRODUTOS!$F$4:$F$63,MATCH($A445,PRODUTOS!$B$4:$B$63,0))="Ração",INDEX('O QUE MOSTRAR'!$C$4:$C$12,MATCH($D445,'O QUE MOSTRAR'!$A$4:$A$12,0)),INDEX('O QUE MOSTRAR'!$D$4:$D$12,MATCH($D445,'O QUE MOSTRAR'!$A$4:$A$12,0)))</f>
        <v>Embalagem de frente, fundo branco puro, 85% da área, nada adicionado</v>
      </c>
      <c r="H445" s="11" t="str">
        <f aca="false">INDEX('O QUE MOSTRAR'!$E$4:$E$12,MATCH($D445,'O QUE MOSTRAR'!$A$4:$A$12,0))</f>
        <v>2000 × 2000</v>
      </c>
      <c r="I445" s="11" t="str">
        <f aca="false">INDEX('O QUE MOSTRAR'!$F$4:$F$12,MATCH($D445,'O QUE MOSTRAR'!$A$4:$A$12,0))</f>
        <v>SIM</v>
      </c>
      <c r="J445" s="13" t="s">
        <v>303</v>
      </c>
      <c r="K445" s="13"/>
    </row>
    <row r="446" customFormat="false" ht="15" hidden="false" customHeight="false" outlineLevel="0" collapsed="false">
      <c r="A446" s="14" t="s">
        <v>240</v>
      </c>
      <c r="B446" s="11" t="str">
        <f aca="false">INDEX(PRODUTOS!$E$4:$E$63,MATCH($A446,PRODUTOS!$B$4:$B$63,0))</f>
        <v>Palito Flex Natural Dots Hortelã 70 g</v>
      </c>
      <c r="C446" s="11" t="str">
        <f aca="false">INDEX(PRODUTOS!$G$4:$G$63,MATCH($A446,PRODUTOS!$B$4:$B$63,0))</f>
        <v>70 g</v>
      </c>
      <c r="D446" s="11" t="s">
        <v>304</v>
      </c>
      <c r="E446" s="15" t="str">
        <f aca="false">$A446&amp;"."&amp;$D446&amp;".jpg"</f>
        <v>7908591301113.PT01.jpg</v>
      </c>
      <c r="F446" s="11" t="str">
        <f aca="false">INDEX('O QUE MOSTRAR'!$B$4:$B$12,MATCH($D446,'O QUE MOSTRAR'!$A$4:$A$12,0))</f>
        <v>Posição 2</v>
      </c>
      <c r="G446" s="11" t="str">
        <f aca="false">IF(INDEX(PRODUTOS!$F$4:$F$63,MATCH($A446,PRODUTOS!$B$4:$B$63,0))="Ração",INDEX('O QUE MOSTRAR'!$C$4:$C$12,MATCH($D446,'O QUE MOSTRAR'!$A$4:$A$12,0)),INDEX('O QUE MOSTRAR'!$D$4:$D$12,MATCH($D446,'O QUE MOSTRAR'!$A$4:$A$12,0)))</f>
        <v>Grande diferencial (ex.: natural, biodegradável, perfumado)</v>
      </c>
      <c r="H446" s="11" t="str">
        <f aca="false">INDEX('O QUE MOSTRAR'!$E$4:$E$12,MATCH($D446,'O QUE MOSTRAR'!$A$4:$A$12,0))</f>
        <v>2000 × 2000</v>
      </c>
      <c r="I446" s="11" t="str">
        <f aca="false">INDEX('O QUE MOSTRAR'!$F$4:$F$12,MATCH($D446,'O QUE MOSTRAR'!$A$4:$A$12,0))</f>
        <v>SIM</v>
      </c>
      <c r="J446" s="13" t="s">
        <v>303</v>
      </c>
      <c r="K446" s="13"/>
    </row>
    <row r="447" customFormat="false" ht="15" hidden="false" customHeight="false" outlineLevel="0" collapsed="false">
      <c r="A447" s="14" t="s">
        <v>240</v>
      </c>
      <c r="B447" s="11" t="str">
        <f aca="false">INDEX(PRODUTOS!$E$4:$E$63,MATCH($A447,PRODUTOS!$B$4:$B$63,0))</f>
        <v>Palito Flex Natural Dots Hortelã 70 g</v>
      </c>
      <c r="C447" s="11" t="str">
        <f aca="false">INDEX(PRODUTOS!$G$4:$G$63,MATCH($A447,PRODUTOS!$B$4:$B$63,0))</f>
        <v>70 g</v>
      </c>
      <c r="D447" s="11" t="s">
        <v>305</v>
      </c>
      <c r="E447" s="15" t="str">
        <f aca="false">$A447&amp;"."&amp;$D447&amp;".jpg"</f>
        <v>7908591301113.PT02.jpg</v>
      </c>
      <c r="F447" s="11" t="str">
        <f aca="false">INDEX('O QUE MOSTRAR'!$B$4:$B$12,MATCH($D447,'O QUE MOSTRAR'!$A$4:$A$12,0))</f>
        <v>Posição 3</v>
      </c>
      <c r="G447" s="11" t="str">
        <f aca="false">IF(INDEX(PRODUTOS!$F$4:$F$63,MATCH($A447,PRODUTOS!$B$4:$B$63,0))="Ração",INDEX('O QUE MOSTRAR'!$C$4:$C$12,MATCH($D447,'O QUE MOSTRAR'!$A$4:$A$12,0)),INDEX('O QUE MOSTRAR'!$D$4:$D$12,MATCH($D447,'O QUE MOSTRAR'!$A$4:$A$12,0)))</f>
        <v>Benefícios com ícones (4 a 6, impressos na embalagem)</v>
      </c>
      <c r="H447" s="11" t="str">
        <f aca="false">INDEX('O QUE MOSTRAR'!$E$4:$E$12,MATCH($D447,'O QUE MOSTRAR'!$A$4:$A$12,0))</f>
        <v>2000 × 2000</v>
      </c>
      <c r="I447" s="11" t="str">
        <f aca="false">INDEX('O QUE MOSTRAR'!$F$4:$F$12,MATCH($D447,'O QUE MOSTRAR'!$A$4:$A$12,0))</f>
        <v>SIM</v>
      </c>
      <c r="J447" s="13" t="s">
        <v>303</v>
      </c>
      <c r="K447" s="13"/>
    </row>
    <row r="448" customFormat="false" ht="15" hidden="false" customHeight="false" outlineLevel="0" collapsed="false">
      <c r="A448" s="14" t="s">
        <v>240</v>
      </c>
      <c r="B448" s="11" t="str">
        <f aca="false">INDEX(PRODUTOS!$E$4:$E$63,MATCH($A448,PRODUTOS!$B$4:$B$63,0))</f>
        <v>Palito Flex Natural Dots Hortelã 70 g</v>
      </c>
      <c r="C448" s="11" t="str">
        <f aca="false">INDEX(PRODUTOS!$G$4:$G$63,MATCH($A448,PRODUTOS!$B$4:$B$63,0))</f>
        <v>70 g</v>
      </c>
      <c r="D448" s="11" t="s">
        <v>306</v>
      </c>
      <c r="E448" s="15" t="str">
        <f aca="false">$A448&amp;"."&amp;$D448&amp;".jpg"</f>
        <v>7908591301113.PT03.jpg</v>
      </c>
      <c r="F448" s="11" t="str">
        <f aca="false">INDEX('O QUE MOSTRAR'!$B$4:$B$12,MATCH($D448,'O QUE MOSTRAR'!$A$4:$A$12,0))</f>
        <v>Posição 4</v>
      </c>
      <c r="G448" s="11" t="str">
        <f aca="false">IF(INDEX(PRODUTOS!$F$4:$F$63,MATCH($A448,PRODUTOS!$B$4:$B$63,0))="Ração",INDEX('O QUE MOSTRAR'!$C$4:$C$12,MATCH($D448,'O QUE MOSTRAR'!$A$4:$A$12,0)),INDEX('O QUE MOSTRAR'!$D$4:$D$12,MATCH($D448,'O QUE MOSTRAR'!$A$4:$A$12,0)))</f>
        <v>Detalhe e tamanho real (petisco, grânulo ou tapete aberto), com medidas</v>
      </c>
      <c r="H448" s="11" t="str">
        <f aca="false">INDEX('O QUE MOSTRAR'!$E$4:$E$12,MATCH($D448,'O QUE MOSTRAR'!$A$4:$A$12,0))</f>
        <v>2000 × 2000</v>
      </c>
      <c r="I448" s="11" t="str">
        <f aca="false">INDEX('O QUE MOSTRAR'!$F$4:$F$12,MATCH($D448,'O QUE MOSTRAR'!$A$4:$A$12,0))</f>
        <v>SIM</v>
      </c>
      <c r="J448" s="13" t="s">
        <v>303</v>
      </c>
      <c r="K448" s="13"/>
    </row>
    <row r="449" customFormat="false" ht="15" hidden="false" customHeight="false" outlineLevel="0" collapsed="false">
      <c r="A449" s="14" t="s">
        <v>240</v>
      </c>
      <c r="B449" s="11" t="str">
        <f aca="false">INDEX(PRODUTOS!$E$4:$E$63,MATCH($A449,PRODUTOS!$B$4:$B$63,0))</f>
        <v>Palito Flex Natural Dots Hortelã 70 g</v>
      </c>
      <c r="C449" s="11" t="str">
        <f aca="false">INDEX(PRODUTOS!$G$4:$G$63,MATCH($A449,PRODUTOS!$B$4:$B$63,0))</f>
        <v>70 g</v>
      </c>
      <c r="D449" s="11" t="s">
        <v>307</v>
      </c>
      <c r="E449" s="15" t="str">
        <f aca="false">$A449&amp;"."&amp;$D449&amp;".jpg"</f>
        <v>7908591301113.PT04.jpg</v>
      </c>
      <c r="F449" s="11" t="str">
        <f aca="false">INDEX('O QUE MOSTRAR'!$B$4:$B$12,MATCH($D449,'O QUE MOSTRAR'!$A$4:$A$12,0))</f>
        <v>Posição 5</v>
      </c>
      <c r="G449" s="11" t="str">
        <f aca="false">IF(INDEX(PRODUTOS!$F$4:$F$63,MATCH($A449,PRODUTOS!$B$4:$B$63,0))="Ração",INDEX('O QUE MOSTRAR'!$C$4:$C$12,MATCH($D449,'O QUE MOSTRAR'!$A$4:$A$12,0)),INDEX('O QUE MOSTRAR'!$D$4:$D$12,MATCH($D449,'O QUE MOSTRAR'!$A$4:$A$12,0)))</f>
        <v>Modo de uso (como oferecer o petisco / como usar o produto)</v>
      </c>
      <c r="H449" s="11" t="str">
        <f aca="false">INDEX('O QUE MOSTRAR'!$E$4:$E$12,MATCH($D449,'O QUE MOSTRAR'!$A$4:$A$12,0))</f>
        <v>2000 × 2000</v>
      </c>
      <c r="I449" s="11" t="str">
        <f aca="false">INDEX('O QUE MOSTRAR'!$F$4:$F$12,MATCH($D449,'O QUE MOSTRAR'!$A$4:$A$12,0))</f>
        <v>SIM</v>
      </c>
      <c r="J449" s="13" t="s">
        <v>303</v>
      </c>
      <c r="K449" s="13"/>
    </row>
    <row r="450" customFormat="false" ht="15" hidden="false" customHeight="false" outlineLevel="0" collapsed="false">
      <c r="A450" s="14" t="s">
        <v>240</v>
      </c>
      <c r="B450" s="11" t="str">
        <f aca="false">INDEX(PRODUTOS!$E$4:$E$63,MATCH($A450,PRODUTOS!$B$4:$B$63,0))</f>
        <v>Palito Flex Natural Dots Hortelã 70 g</v>
      </c>
      <c r="C450" s="11" t="str">
        <f aca="false">INDEX(PRODUTOS!$G$4:$G$63,MATCH($A450,PRODUTOS!$B$4:$B$63,0))</f>
        <v>70 g</v>
      </c>
      <c r="D450" s="11" t="s">
        <v>308</v>
      </c>
      <c r="E450" s="15" t="str">
        <f aca="false">$A450&amp;"."&amp;$D450&amp;".jpg"</f>
        <v>7908591301113.PT05.jpg</v>
      </c>
      <c r="F450" s="11" t="str">
        <f aca="false">INDEX('O QUE MOSTRAR'!$B$4:$B$12,MATCH($D450,'O QUE MOSTRAR'!$A$4:$A$12,0))</f>
        <v>Posição 6</v>
      </c>
      <c r="G450" s="11" t="str">
        <f aca="false">IF(INDEX(PRODUTOS!$F$4:$F$63,MATCH($A450,PRODUTOS!$B$4:$B$63,0))="Ração",INDEX('O QUE MOSTRAR'!$C$4:$C$12,MATCH($D450,'O QUE MOSTRAR'!$A$4:$A$12,0)),INDEX('O QUE MOSTRAR'!$D$4:$D$12,MATCH($D450,'O QUE MOSTRAR'!$A$4:$A$12,0)))</f>
        <v>Quantidade por dia ou rendimento do pacote</v>
      </c>
      <c r="H450" s="11" t="str">
        <f aca="false">INDEX('O QUE MOSTRAR'!$E$4:$E$12,MATCH($D450,'O QUE MOSTRAR'!$A$4:$A$12,0))</f>
        <v>2000 × 2000</v>
      </c>
      <c r="I450" s="11" t="str">
        <f aca="false">INDEX('O QUE MOSTRAR'!$F$4:$F$12,MATCH($D450,'O QUE MOSTRAR'!$A$4:$A$12,0))</f>
        <v>Recomendada</v>
      </c>
      <c r="J450" s="13" t="s">
        <v>303</v>
      </c>
      <c r="K450" s="13"/>
    </row>
    <row r="451" customFormat="false" ht="15" hidden="false" customHeight="false" outlineLevel="0" collapsed="false">
      <c r="A451" s="14" t="s">
        <v>240</v>
      </c>
      <c r="B451" s="11" t="str">
        <f aca="false">INDEX(PRODUTOS!$E$4:$E$63,MATCH($A451,PRODUTOS!$B$4:$B$63,0))</f>
        <v>Palito Flex Natural Dots Hortelã 70 g</v>
      </c>
      <c r="C451" s="11" t="str">
        <f aca="false">INDEX(PRODUTOS!$G$4:$G$63,MATCH($A451,PRODUTOS!$B$4:$B$63,0))</f>
        <v>70 g</v>
      </c>
      <c r="D451" s="11" t="s">
        <v>309</v>
      </c>
      <c r="E451" s="15" t="str">
        <f aca="false">$A451&amp;"."&amp;$D451&amp;".jpg"</f>
        <v>7908591301113.PT06.jpg</v>
      </c>
      <c r="F451" s="11" t="str">
        <f aca="false">INDEX('O QUE MOSTRAR'!$B$4:$B$12,MATCH($D451,'O QUE MOSTRAR'!$A$4:$A$12,0))</f>
        <v>Posição 7</v>
      </c>
      <c r="G451" s="11" t="str">
        <f aca="false">IF(INDEX(PRODUTOS!$F$4:$F$63,MATCH($A451,PRODUTOS!$B$4:$B$63,0))="Ração",INDEX('O QUE MOSTRAR'!$C$4:$C$12,MATCH($D451,'O QUE MOSTRAR'!$A$4:$A$12,0)),INDEX('O QUE MOSTRAR'!$D$4:$D$12,MATCH($D451,'O QUE MOSTRAR'!$A$4:$A$12,0)))</f>
        <v>Composição/níveis de garantia (petiscos) ou especificações (higiene)</v>
      </c>
      <c r="H451" s="11" t="str">
        <f aca="false">INDEX('O QUE MOSTRAR'!$E$4:$E$12,MATCH($D451,'O QUE MOSTRAR'!$A$4:$A$12,0))</f>
        <v>2000 × 2000</v>
      </c>
      <c r="I451" s="11" t="str">
        <f aca="false">INDEX('O QUE MOSTRAR'!$F$4:$F$12,MATCH($D451,'O QUE MOSTRAR'!$A$4:$A$12,0))</f>
        <v>SIM</v>
      </c>
      <c r="J451" s="13" t="s">
        <v>303</v>
      </c>
      <c r="K451" s="13"/>
    </row>
    <row r="452" customFormat="false" ht="15" hidden="false" customHeight="false" outlineLevel="0" collapsed="false">
      <c r="A452" s="14" t="s">
        <v>240</v>
      </c>
      <c r="B452" s="11" t="str">
        <f aca="false">INDEX(PRODUTOS!$E$4:$E$63,MATCH($A452,PRODUTOS!$B$4:$B$63,0))</f>
        <v>Palito Flex Natural Dots Hortelã 70 g</v>
      </c>
      <c r="C452" s="11" t="str">
        <f aca="false">INDEX(PRODUTOS!$G$4:$G$63,MATCH($A452,PRODUTOS!$B$4:$B$63,0))</f>
        <v>70 g</v>
      </c>
      <c r="D452" s="11" t="s">
        <v>310</v>
      </c>
      <c r="E452" s="15" t="str">
        <f aca="false">$A452&amp;"."&amp;$D452&amp;".jpg"</f>
        <v>7908591301113.PT07.jpg</v>
      </c>
      <c r="F452" s="11" t="str">
        <f aca="false">INDEX('O QUE MOSTRAR'!$B$4:$B$12,MATCH($D452,'O QUE MOSTRAR'!$A$4:$A$12,0))</f>
        <v>Posição 8</v>
      </c>
      <c r="G452" s="11" t="str">
        <f aca="false">IF(INDEX(PRODUTOS!$F$4:$F$63,MATCH($A452,PRODUTOS!$B$4:$B$63,0))="Ração",INDEX('O QUE MOSTRAR'!$C$4:$C$12,MATCH($D452,'O QUE MOSTRAR'!$A$4:$A$12,0)),INDEX('O QUE MOSTRAR'!$D$4:$D$12,MATCH($D452,'O QUE MOSTRAR'!$A$4:$A$12,0)))</f>
        <v>Emocional / momento de uso</v>
      </c>
      <c r="H452" s="11" t="str">
        <f aca="false">INDEX('O QUE MOSTRAR'!$E$4:$E$12,MATCH($D452,'O QUE MOSTRAR'!$A$4:$A$12,0))</f>
        <v>2000 × 2000</v>
      </c>
      <c r="I452" s="11" t="str">
        <f aca="false">INDEX('O QUE MOSTRAR'!$F$4:$F$12,MATCH($D452,'O QUE MOSTRAR'!$A$4:$A$12,0))</f>
        <v>Recomendada</v>
      </c>
      <c r="J452" s="13" t="s">
        <v>303</v>
      </c>
      <c r="K452" s="13"/>
    </row>
    <row r="453" customFormat="false" ht="15" hidden="false" customHeight="false" outlineLevel="0" collapsed="false">
      <c r="A453" s="14" t="s">
        <v>240</v>
      </c>
      <c r="B453" s="11" t="str">
        <f aca="false">INDEX(PRODUTOS!$E$4:$E$63,MATCH($A453,PRODUTOS!$B$4:$B$63,0))</f>
        <v>Palito Flex Natural Dots Hortelã 70 g</v>
      </c>
      <c r="C453" s="11" t="str">
        <f aca="false">INDEX(PRODUTOS!$G$4:$G$63,MATCH($A453,PRODUTOS!$B$4:$B$63,0))</f>
        <v>70 g</v>
      </c>
      <c r="D453" s="11" t="s">
        <v>311</v>
      </c>
      <c r="E453" s="15" t="str">
        <f aca="false">$A453&amp;"."&amp;$D453&amp;".jpg"</f>
        <v>7908591301113.PT08.jpg</v>
      </c>
      <c r="F453" s="11" t="str">
        <f aca="false">INDEX('O QUE MOSTRAR'!$B$4:$B$12,MATCH($D453,'O QUE MOSTRAR'!$A$4:$A$12,0))</f>
        <v>Posição 9</v>
      </c>
      <c r="G453" s="11" t="str">
        <f aca="false">IF(INDEX(PRODUTOS!$F$4:$F$63,MATCH($A453,PRODUTOS!$B$4:$B$63,0))="Ração",INDEX('O QUE MOSTRAR'!$C$4:$C$12,MATCH($D453,'O QUE MOSTRAR'!$A$4:$A$12,0)),INDEX('O QUE MOSTRAR'!$D$4:$D$12,MATCH($D453,'O QUE MOSTRAR'!$A$4:$A$12,0)))</f>
        <v>Linha da marca ("conheça também")</v>
      </c>
      <c r="H453" s="11" t="str">
        <f aca="false">INDEX('O QUE MOSTRAR'!$E$4:$E$12,MATCH($D453,'O QUE MOSTRAR'!$A$4:$A$12,0))</f>
        <v>2000 × 2000</v>
      </c>
      <c r="I453" s="11" t="str">
        <f aca="false">INDEX('O QUE MOSTRAR'!$F$4:$F$12,MATCH($D453,'O QUE MOSTRAR'!$A$4:$A$12,0))</f>
        <v>Recomendada</v>
      </c>
      <c r="J453" s="13" t="s">
        <v>303</v>
      </c>
      <c r="K453" s="13"/>
    </row>
    <row r="454" customFormat="false" ht="15" hidden="false" customHeight="false" outlineLevel="0" collapsed="false">
      <c r="A454" s="14" t="s">
        <v>245</v>
      </c>
      <c r="B454" s="11" t="str">
        <f aca="false">INDEX(PRODUTOS!$E$4:$E$63,MATCH($A454,PRODUTOS!$B$4:$B$63,0))</f>
        <v>Palito Flex Natural Dots Leite 70 g</v>
      </c>
      <c r="C454" s="11" t="str">
        <f aca="false">INDEX(PRODUTOS!$G$4:$G$63,MATCH($A454,PRODUTOS!$B$4:$B$63,0))</f>
        <v>70 g</v>
      </c>
      <c r="D454" s="11" t="s">
        <v>302</v>
      </c>
      <c r="E454" s="15" t="str">
        <f aca="false">$A454&amp;"."&amp;$D454&amp;".jpg"</f>
        <v>7908591301120.MAIN.jpg</v>
      </c>
      <c r="F454" s="11" t="str">
        <f aca="false">INDEX('O QUE MOSTRAR'!$B$4:$B$12,MATCH($D454,'O QUE MOSTRAR'!$A$4:$A$12,0))</f>
        <v>Capa (posição 1)</v>
      </c>
      <c r="G454" s="11" t="str">
        <f aca="false">IF(INDEX(PRODUTOS!$F$4:$F$63,MATCH($A454,PRODUTOS!$B$4:$B$63,0))="Ração",INDEX('O QUE MOSTRAR'!$C$4:$C$12,MATCH($D454,'O QUE MOSTRAR'!$A$4:$A$12,0)),INDEX('O QUE MOSTRAR'!$D$4:$D$12,MATCH($D454,'O QUE MOSTRAR'!$A$4:$A$12,0)))</f>
        <v>Embalagem de frente, fundo branco puro, 85% da área, nada adicionado</v>
      </c>
      <c r="H454" s="11" t="str">
        <f aca="false">INDEX('O QUE MOSTRAR'!$E$4:$E$12,MATCH($D454,'O QUE MOSTRAR'!$A$4:$A$12,0))</f>
        <v>2000 × 2000</v>
      </c>
      <c r="I454" s="11" t="str">
        <f aca="false">INDEX('O QUE MOSTRAR'!$F$4:$F$12,MATCH($D454,'O QUE MOSTRAR'!$A$4:$A$12,0))</f>
        <v>SIM</v>
      </c>
      <c r="J454" s="13" t="s">
        <v>303</v>
      </c>
      <c r="K454" s="13"/>
    </row>
    <row r="455" customFormat="false" ht="15" hidden="false" customHeight="false" outlineLevel="0" collapsed="false">
      <c r="A455" s="14" t="s">
        <v>245</v>
      </c>
      <c r="B455" s="11" t="str">
        <f aca="false">INDEX(PRODUTOS!$E$4:$E$63,MATCH($A455,PRODUTOS!$B$4:$B$63,0))</f>
        <v>Palito Flex Natural Dots Leite 70 g</v>
      </c>
      <c r="C455" s="11" t="str">
        <f aca="false">INDEX(PRODUTOS!$G$4:$G$63,MATCH($A455,PRODUTOS!$B$4:$B$63,0))</f>
        <v>70 g</v>
      </c>
      <c r="D455" s="11" t="s">
        <v>304</v>
      </c>
      <c r="E455" s="15" t="str">
        <f aca="false">$A455&amp;"."&amp;$D455&amp;".jpg"</f>
        <v>7908591301120.PT01.jpg</v>
      </c>
      <c r="F455" s="11" t="str">
        <f aca="false">INDEX('O QUE MOSTRAR'!$B$4:$B$12,MATCH($D455,'O QUE MOSTRAR'!$A$4:$A$12,0))</f>
        <v>Posição 2</v>
      </c>
      <c r="G455" s="11" t="str">
        <f aca="false">IF(INDEX(PRODUTOS!$F$4:$F$63,MATCH($A455,PRODUTOS!$B$4:$B$63,0))="Ração",INDEX('O QUE MOSTRAR'!$C$4:$C$12,MATCH($D455,'O QUE MOSTRAR'!$A$4:$A$12,0)),INDEX('O QUE MOSTRAR'!$D$4:$D$12,MATCH($D455,'O QUE MOSTRAR'!$A$4:$A$12,0)))</f>
        <v>Grande diferencial (ex.: natural, biodegradável, perfumado)</v>
      </c>
      <c r="H455" s="11" t="str">
        <f aca="false">INDEX('O QUE MOSTRAR'!$E$4:$E$12,MATCH($D455,'O QUE MOSTRAR'!$A$4:$A$12,0))</f>
        <v>2000 × 2000</v>
      </c>
      <c r="I455" s="11" t="str">
        <f aca="false">INDEX('O QUE MOSTRAR'!$F$4:$F$12,MATCH($D455,'O QUE MOSTRAR'!$A$4:$A$12,0))</f>
        <v>SIM</v>
      </c>
      <c r="J455" s="13" t="s">
        <v>303</v>
      </c>
      <c r="K455" s="13"/>
    </row>
    <row r="456" customFormat="false" ht="15" hidden="false" customHeight="false" outlineLevel="0" collapsed="false">
      <c r="A456" s="14" t="s">
        <v>245</v>
      </c>
      <c r="B456" s="11" t="str">
        <f aca="false">INDEX(PRODUTOS!$E$4:$E$63,MATCH($A456,PRODUTOS!$B$4:$B$63,0))</f>
        <v>Palito Flex Natural Dots Leite 70 g</v>
      </c>
      <c r="C456" s="11" t="str">
        <f aca="false">INDEX(PRODUTOS!$G$4:$G$63,MATCH($A456,PRODUTOS!$B$4:$B$63,0))</f>
        <v>70 g</v>
      </c>
      <c r="D456" s="11" t="s">
        <v>305</v>
      </c>
      <c r="E456" s="15" t="str">
        <f aca="false">$A456&amp;"."&amp;$D456&amp;".jpg"</f>
        <v>7908591301120.PT02.jpg</v>
      </c>
      <c r="F456" s="11" t="str">
        <f aca="false">INDEX('O QUE MOSTRAR'!$B$4:$B$12,MATCH($D456,'O QUE MOSTRAR'!$A$4:$A$12,0))</f>
        <v>Posição 3</v>
      </c>
      <c r="G456" s="11" t="str">
        <f aca="false">IF(INDEX(PRODUTOS!$F$4:$F$63,MATCH($A456,PRODUTOS!$B$4:$B$63,0))="Ração",INDEX('O QUE MOSTRAR'!$C$4:$C$12,MATCH($D456,'O QUE MOSTRAR'!$A$4:$A$12,0)),INDEX('O QUE MOSTRAR'!$D$4:$D$12,MATCH($D456,'O QUE MOSTRAR'!$A$4:$A$12,0)))</f>
        <v>Benefícios com ícones (4 a 6, impressos na embalagem)</v>
      </c>
      <c r="H456" s="11" t="str">
        <f aca="false">INDEX('O QUE MOSTRAR'!$E$4:$E$12,MATCH($D456,'O QUE MOSTRAR'!$A$4:$A$12,0))</f>
        <v>2000 × 2000</v>
      </c>
      <c r="I456" s="11" t="str">
        <f aca="false">INDEX('O QUE MOSTRAR'!$F$4:$F$12,MATCH($D456,'O QUE MOSTRAR'!$A$4:$A$12,0))</f>
        <v>SIM</v>
      </c>
      <c r="J456" s="13" t="s">
        <v>303</v>
      </c>
      <c r="K456" s="13"/>
    </row>
    <row r="457" customFormat="false" ht="15" hidden="false" customHeight="false" outlineLevel="0" collapsed="false">
      <c r="A457" s="14" t="s">
        <v>245</v>
      </c>
      <c r="B457" s="11" t="str">
        <f aca="false">INDEX(PRODUTOS!$E$4:$E$63,MATCH($A457,PRODUTOS!$B$4:$B$63,0))</f>
        <v>Palito Flex Natural Dots Leite 70 g</v>
      </c>
      <c r="C457" s="11" t="str">
        <f aca="false">INDEX(PRODUTOS!$G$4:$G$63,MATCH($A457,PRODUTOS!$B$4:$B$63,0))</f>
        <v>70 g</v>
      </c>
      <c r="D457" s="11" t="s">
        <v>306</v>
      </c>
      <c r="E457" s="15" t="str">
        <f aca="false">$A457&amp;"."&amp;$D457&amp;".jpg"</f>
        <v>7908591301120.PT03.jpg</v>
      </c>
      <c r="F457" s="11" t="str">
        <f aca="false">INDEX('O QUE MOSTRAR'!$B$4:$B$12,MATCH($D457,'O QUE MOSTRAR'!$A$4:$A$12,0))</f>
        <v>Posição 4</v>
      </c>
      <c r="G457" s="11" t="str">
        <f aca="false">IF(INDEX(PRODUTOS!$F$4:$F$63,MATCH($A457,PRODUTOS!$B$4:$B$63,0))="Ração",INDEX('O QUE MOSTRAR'!$C$4:$C$12,MATCH($D457,'O QUE MOSTRAR'!$A$4:$A$12,0)),INDEX('O QUE MOSTRAR'!$D$4:$D$12,MATCH($D457,'O QUE MOSTRAR'!$A$4:$A$12,0)))</f>
        <v>Detalhe e tamanho real (petisco, grânulo ou tapete aberto), com medidas</v>
      </c>
      <c r="H457" s="11" t="str">
        <f aca="false">INDEX('O QUE MOSTRAR'!$E$4:$E$12,MATCH($D457,'O QUE MOSTRAR'!$A$4:$A$12,0))</f>
        <v>2000 × 2000</v>
      </c>
      <c r="I457" s="11" t="str">
        <f aca="false">INDEX('O QUE MOSTRAR'!$F$4:$F$12,MATCH($D457,'O QUE MOSTRAR'!$A$4:$A$12,0))</f>
        <v>SIM</v>
      </c>
      <c r="J457" s="13" t="s">
        <v>303</v>
      </c>
      <c r="K457" s="13"/>
    </row>
    <row r="458" customFormat="false" ht="15" hidden="false" customHeight="false" outlineLevel="0" collapsed="false">
      <c r="A458" s="14" t="s">
        <v>245</v>
      </c>
      <c r="B458" s="11" t="str">
        <f aca="false">INDEX(PRODUTOS!$E$4:$E$63,MATCH($A458,PRODUTOS!$B$4:$B$63,0))</f>
        <v>Palito Flex Natural Dots Leite 70 g</v>
      </c>
      <c r="C458" s="11" t="str">
        <f aca="false">INDEX(PRODUTOS!$G$4:$G$63,MATCH($A458,PRODUTOS!$B$4:$B$63,0))</f>
        <v>70 g</v>
      </c>
      <c r="D458" s="11" t="s">
        <v>307</v>
      </c>
      <c r="E458" s="15" t="str">
        <f aca="false">$A458&amp;"."&amp;$D458&amp;".jpg"</f>
        <v>7908591301120.PT04.jpg</v>
      </c>
      <c r="F458" s="11" t="str">
        <f aca="false">INDEX('O QUE MOSTRAR'!$B$4:$B$12,MATCH($D458,'O QUE MOSTRAR'!$A$4:$A$12,0))</f>
        <v>Posição 5</v>
      </c>
      <c r="G458" s="11" t="str">
        <f aca="false">IF(INDEX(PRODUTOS!$F$4:$F$63,MATCH($A458,PRODUTOS!$B$4:$B$63,0))="Ração",INDEX('O QUE MOSTRAR'!$C$4:$C$12,MATCH($D458,'O QUE MOSTRAR'!$A$4:$A$12,0)),INDEX('O QUE MOSTRAR'!$D$4:$D$12,MATCH($D458,'O QUE MOSTRAR'!$A$4:$A$12,0)))</f>
        <v>Modo de uso (como oferecer o petisco / como usar o produto)</v>
      </c>
      <c r="H458" s="11" t="str">
        <f aca="false">INDEX('O QUE MOSTRAR'!$E$4:$E$12,MATCH($D458,'O QUE MOSTRAR'!$A$4:$A$12,0))</f>
        <v>2000 × 2000</v>
      </c>
      <c r="I458" s="11" t="str">
        <f aca="false">INDEX('O QUE MOSTRAR'!$F$4:$F$12,MATCH($D458,'O QUE MOSTRAR'!$A$4:$A$12,0))</f>
        <v>SIM</v>
      </c>
      <c r="J458" s="13" t="s">
        <v>303</v>
      </c>
      <c r="K458" s="13"/>
    </row>
    <row r="459" customFormat="false" ht="15" hidden="false" customHeight="false" outlineLevel="0" collapsed="false">
      <c r="A459" s="14" t="s">
        <v>245</v>
      </c>
      <c r="B459" s="11" t="str">
        <f aca="false">INDEX(PRODUTOS!$E$4:$E$63,MATCH($A459,PRODUTOS!$B$4:$B$63,0))</f>
        <v>Palito Flex Natural Dots Leite 70 g</v>
      </c>
      <c r="C459" s="11" t="str">
        <f aca="false">INDEX(PRODUTOS!$G$4:$G$63,MATCH($A459,PRODUTOS!$B$4:$B$63,0))</f>
        <v>70 g</v>
      </c>
      <c r="D459" s="11" t="s">
        <v>308</v>
      </c>
      <c r="E459" s="15" t="str">
        <f aca="false">$A459&amp;"."&amp;$D459&amp;".jpg"</f>
        <v>7908591301120.PT05.jpg</v>
      </c>
      <c r="F459" s="11" t="str">
        <f aca="false">INDEX('O QUE MOSTRAR'!$B$4:$B$12,MATCH($D459,'O QUE MOSTRAR'!$A$4:$A$12,0))</f>
        <v>Posição 6</v>
      </c>
      <c r="G459" s="11" t="str">
        <f aca="false">IF(INDEX(PRODUTOS!$F$4:$F$63,MATCH($A459,PRODUTOS!$B$4:$B$63,0))="Ração",INDEX('O QUE MOSTRAR'!$C$4:$C$12,MATCH($D459,'O QUE MOSTRAR'!$A$4:$A$12,0)),INDEX('O QUE MOSTRAR'!$D$4:$D$12,MATCH($D459,'O QUE MOSTRAR'!$A$4:$A$12,0)))</f>
        <v>Quantidade por dia ou rendimento do pacote</v>
      </c>
      <c r="H459" s="11" t="str">
        <f aca="false">INDEX('O QUE MOSTRAR'!$E$4:$E$12,MATCH($D459,'O QUE MOSTRAR'!$A$4:$A$12,0))</f>
        <v>2000 × 2000</v>
      </c>
      <c r="I459" s="11" t="str">
        <f aca="false">INDEX('O QUE MOSTRAR'!$F$4:$F$12,MATCH($D459,'O QUE MOSTRAR'!$A$4:$A$12,0))</f>
        <v>Recomendada</v>
      </c>
      <c r="J459" s="13" t="s">
        <v>303</v>
      </c>
      <c r="K459" s="13"/>
    </row>
    <row r="460" customFormat="false" ht="15" hidden="false" customHeight="false" outlineLevel="0" collapsed="false">
      <c r="A460" s="14" t="s">
        <v>245</v>
      </c>
      <c r="B460" s="11" t="str">
        <f aca="false">INDEX(PRODUTOS!$E$4:$E$63,MATCH($A460,PRODUTOS!$B$4:$B$63,0))</f>
        <v>Palito Flex Natural Dots Leite 70 g</v>
      </c>
      <c r="C460" s="11" t="str">
        <f aca="false">INDEX(PRODUTOS!$G$4:$G$63,MATCH($A460,PRODUTOS!$B$4:$B$63,0))</f>
        <v>70 g</v>
      </c>
      <c r="D460" s="11" t="s">
        <v>309</v>
      </c>
      <c r="E460" s="15" t="str">
        <f aca="false">$A460&amp;"."&amp;$D460&amp;".jpg"</f>
        <v>7908591301120.PT06.jpg</v>
      </c>
      <c r="F460" s="11" t="str">
        <f aca="false">INDEX('O QUE MOSTRAR'!$B$4:$B$12,MATCH($D460,'O QUE MOSTRAR'!$A$4:$A$12,0))</f>
        <v>Posição 7</v>
      </c>
      <c r="G460" s="11" t="str">
        <f aca="false">IF(INDEX(PRODUTOS!$F$4:$F$63,MATCH($A460,PRODUTOS!$B$4:$B$63,0))="Ração",INDEX('O QUE MOSTRAR'!$C$4:$C$12,MATCH($D460,'O QUE MOSTRAR'!$A$4:$A$12,0)),INDEX('O QUE MOSTRAR'!$D$4:$D$12,MATCH($D460,'O QUE MOSTRAR'!$A$4:$A$12,0)))</f>
        <v>Composição/níveis de garantia (petiscos) ou especificações (higiene)</v>
      </c>
      <c r="H460" s="11" t="str">
        <f aca="false">INDEX('O QUE MOSTRAR'!$E$4:$E$12,MATCH($D460,'O QUE MOSTRAR'!$A$4:$A$12,0))</f>
        <v>2000 × 2000</v>
      </c>
      <c r="I460" s="11" t="str">
        <f aca="false">INDEX('O QUE MOSTRAR'!$F$4:$F$12,MATCH($D460,'O QUE MOSTRAR'!$A$4:$A$12,0))</f>
        <v>SIM</v>
      </c>
      <c r="J460" s="13" t="s">
        <v>303</v>
      </c>
      <c r="K460" s="13"/>
    </row>
    <row r="461" customFormat="false" ht="15" hidden="false" customHeight="false" outlineLevel="0" collapsed="false">
      <c r="A461" s="14" t="s">
        <v>245</v>
      </c>
      <c r="B461" s="11" t="str">
        <f aca="false">INDEX(PRODUTOS!$E$4:$E$63,MATCH($A461,PRODUTOS!$B$4:$B$63,0))</f>
        <v>Palito Flex Natural Dots Leite 70 g</v>
      </c>
      <c r="C461" s="11" t="str">
        <f aca="false">INDEX(PRODUTOS!$G$4:$G$63,MATCH($A461,PRODUTOS!$B$4:$B$63,0))</f>
        <v>70 g</v>
      </c>
      <c r="D461" s="11" t="s">
        <v>310</v>
      </c>
      <c r="E461" s="15" t="str">
        <f aca="false">$A461&amp;"."&amp;$D461&amp;".jpg"</f>
        <v>7908591301120.PT07.jpg</v>
      </c>
      <c r="F461" s="11" t="str">
        <f aca="false">INDEX('O QUE MOSTRAR'!$B$4:$B$12,MATCH($D461,'O QUE MOSTRAR'!$A$4:$A$12,0))</f>
        <v>Posição 8</v>
      </c>
      <c r="G461" s="11" t="str">
        <f aca="false">IF(INDEX(PRODUTOS!$F$4:$F$63,MATCH($A461,PRODUTOS!$B$4:$B$63,0))="Ração",INDEX('O QUE MOSTRAR'!$C$4:$C$12,MATCH($D461,'O QUE MOSTRAR'!$A$4:$A$12,0)),INDEX('O QUE MOSTRAR'!$D$4:$D$12,MATCH($D461,'O QUE MOSTRAR'!$A$4:$A$12,0)))</f>
        <v>Emocional / momento de uso</v>
      </c>
      <c r="H461" s="11" t="str">
        <f aca="false">INDEX('O QUE MOSTRAR'!$E$4:$E$12,MATCH($D461,'O QUE MOSTRAR'!$A$4:$A$12,0))</f>
        <v>2000 × 2000</v>
      </c>
      <c r="I461" s="11" t="str">
        <f aca="false">INDEX('O QUE MOSTRAR'!$F$4:$F$12,MATCH($D461,'O QUE MOSTRAR'!$A$4:$A$12,0))</f>
        <v>Recomendada</v>
      </c>
      <c r="J461" s="13" t="s">
        <v>303</v>
      </c>
      <c r="K461" s="13"/>
    </row>
    <row r="462" customFormat="false" ht="15" hidden="false" customHeight="false" outlineLevel="0" collapsed="false">
      <c r="A462" s="14" t="s">
        <v>245</v>
      </c>
      <c r="B462" s="11" t="str">
        <f aca="false">INDEX(PRODUTOS!$E$4:$E$63,MATCH($A462,PRODUTOS!$B$4:$B$63,0))</f>
        <v>Palito Flex Natural Dots Leite 70 g</v>
      </c>
      <c r="C462" s="11" t="str">
        <f aca="false">INDEX(PRODUTOS!$G$4:$G$63,MATCH($A462,PRODUTOS!$B$4:$B$63,0))</f>
        <v>70 g</v>
      </c>
      <c r="D462" s="11" t="s">
        <v>311</v>
      </c>
      <c r="E462" s="15" t="str">
        <f aca="false">$A462&amp;"."&amp;$D462&amp;".jpg"</f>
        <v>7908591301120.PT08.jpg</v>
      </c>
      <c r="F462" s="11" t="str">
        <f aca="false">INDEX('O QUE MOSTRAR'!$B$4:$B$12,MATCH($D462,'O QUE MOSTRAR'!$A$4:$A$12,0))</f>
        <v>Posição 9</v>
      </c>
      <c r="G462" s="11" t="str">
        <f aca="false">IF(INDEX(PRODUTOS!$F$4:$F$63,MATCH($A462,PRODUTOS!$B$4:$B$63,0))="Ração",INDEX('O QUE MOSTRAR'!$C$4:$C$12,MATCH($D462,'O QUE MOSTRAR'!$A$4:$A$12,0)),INDEX('O QUE MOSTRAR'!$D$4:$D$12,MATCH($D462,'O QUE MOSTRAR'!$A$4:$A$12,0)))</f>
        <v>Linha da marca ("conheça também")</v>
      </c>
      <c r="H462" s="11" t="str">
        <f aca="false">INDEX('O QUE MOSTRAR'!$E$4:$E$12,MATCH($D462,'O QUE MOSTRAR'!$A$4:$A$12,0))</f>
        <v>2000 × 2000</v>
      </c>
      <c r="I462" s="11" t="str">
        <f aca="false">INDEX('O QUE MOSTRAR'!$F$4:$F$12,MATCH($D462,'O QUE MOSTRAR'!$A$4:$A$12,0))</f>
        <v>Recomendada</v>
      </c>
      <c r="J462" s="13" t="s">
        <v>303</v>
      </c>
      <c r="K462" s="13"/>
    </row>
    <row r="463" customFormat="false" ht="15" hidden="false" customHeight="false" outlineLevel="0" collapsed="false">
      <c r="A463" s="14" t="s">
        <v>249</v>
      </c>
      <c r="B463" s="11" t="str">
        <f aca="false">INDEX(PRODUTOS!$E$4:$E$63,MATCH($A463,PRODUTOS!$B$4:$B$63,0))</f>
        <v>Palito Flex Natural Dots Maracujá 70 g</v>
      </c>
      <c r="C463" s="11" t="str">
        <f aca="false">INDEX(PRODUTOS!$G$4:$G$63,MATCH($A463,PRODUTOS!$B$4:$B$63,0))</f>
        <v>70 g</v>
      </c>
      <c r="D463" s="11" t="s">
        <v>302</v>
      </c>
      <c r="E463" s="15" t="str">
        <f aca="false">$A463&amp;"."&amp;$D463&amp;".jpg"</f>
        <v>7908591301137.MAIN.jpg</v>
      </c>
      <c r="F463" s="11" t="str">
        <f aca="false">INDEX('O QUE MOSTRAR'!$B$4:$B$12,MATCH($D463,'O QUE MOSTRAR'!$A$4:$A$12,0))</f>
        <v>Capa (posição 1)</v>
      </c>
      <c r="G463" s="11" t="str">
        <f aca="false">IF(INDEX(PRODUTOS!$F$4:$F$63,MATCH($A463,PRODUTOS!$B$4:$B$63,0))="Ração",INDEX('O QUE MOSTRAR'!$C$4:$C$12,MATCH($D463,'O QUE MOSTRAR'!$A$4:$A$12,0)),INDEX('O QUE MOSTRAR'!$D$4:$D$12,MATCH($D463,'O QUE MOSTRAR'!$A$4:$A$12,0)))</f>
        <v>Embalagem de frente, fundo branco puro, 85% da área, nada adicionado</v>
      </c>
      <c r="H463" s="11" t="str">
        <f aca="false">INDEX('O QUE MOSTRAR'!$E$4:$E$12,MATCH($D463,'O QUE MOSTRAR'!$A$4:$A$12,0))</f>
        <v>2000 × 2000</v>
      </c>
      <c r="I463" s="11" t="str">
        <f aca="false">INDEX('O QUE MOSTRAR'!$F$4:$F$12,MATCH($D463,'O QUE MOSTRAR'!$A$4:$A$12,0))</f>
        <v>SIM</v>
      </c>
      <c r="J463" s="13" t="s">
        <v>303</v>
      </c>
      <c r="K463" s="13"/>
    </row>
    <row r="464" customFormat="false" ht="15" hidden="false" customHeight="false" outlineLevel="0" collapsed="false">
      <c r="A464" s="14" t="s">
        <v>249</v>
      </c>
      <c r="B464" s="11" t="str">
        <f aca="false">INDEX(PRODUTOS!$E$4:$E$63,MATCH($A464,PRODUTOS!$B$4:$B$63,0))</f>
        <v>Palito Flex Natural Dots Maracujá 70 g</v>
      </c>
      <c r="C464" s="11" t="str">
        <f aca="false">INDEX(PRODUTOS!$G$4:$G$63,MATCH($A464,PRODUTOS!$B$4:$B$63,0))</f>
        <v>70 g</v>
      </c>
      <c r="D464" s="11" t="s">
        <v>304</v>
      </c>
      <c r="E464" s="15" t="str">
        <f aca="false">$A464&amp;"."&amp;$D464&amp;".jpg"</f>
        <v>7908591301137.PT01.jpg</v>
      </c>
      <c r="F464" s="11" t="str">
        <f aca="false">INDEX('O QUE MOSTRAR'!$B$4:$B$12,MATCH($D464,'O QUE MOSTRAR'!$A$4:$A$12,0))</f>
        <v>Posição 2</v>
      </c>
      <c r="G464" s="11" t="str">
        <f aca="false">IF(INDEX(PRODUTOS!$F$4:$F$63,MATCH($A464,PRODUTOS!$B$4:$B$63,0))="Ração",INDEX('O QUE MOSTRAR'!$C$4:$C$12,MATCH($D464,'O QUE MOSTRAR'!$A$4:$A$12,0)),INDEX('O QUE MOSTRAR'!$D$4:$D$12,MATCH($D464,'O QUE MOSTRAR'!$A$4:$A$12,0)))</f>
        <v>Grande diferencial (ex.: natural, biodegradável, perfumado)</v>
      </c>
      <c r="H464" s="11" t="str">
        <f aca="false">INDEX('O QUE MOSTRAR'!$E$4:$E$12,MATCH($D464,'O QUE MOSTRAR'!$A$4:$A$12,0))</f>
        <v>2000 × 2000</v>
      </c>
      <c r="I464" s="11" t="str">
        <f aca="false">INDEX('O QUE MOSTRAR'!$F$4:$F$12,MATCH($D464,'O QUE MOSTRAR'!$A$4:$A$12,0))</f>
        <v>SIM</v>
      </c>
      <c r="J464" s="13" t="s">
        <v>303</v>
      </c>
      <c r="K464" s="13"/>
    </row>
    <row r="465" customFormat="false" ht="15" hidden="false" customHeight="false" outlineLevel="0" collapsed="false">
      <c r="A465" s="14" t="s">
        <v>249</v>
      </c>
      <c r="B465" s="11" t="str">
        <f aca="false">INDEX(PRODUTOS!$E$4:$E$63,MATCH($A465,PRODUTOS!$B$4:$B$63,0))</f>
        <v>Palito Flex Natural Dots Maracujá 70 g</v>
      </c>
      <c r="C465" s="11" t="str">
        <f aca="false">INDEX(PRODUTOS!$G$4:$G$63,MATCH($A465,PRODUTOS!$B$4:$B$63,0))</f>
        <v>70 g</v>
      </c>
      <c r="D465" s="11" t="s">
        <v>305</v>
      </c>
      <c r="E465" s="15" t="str">
        <f aca="false">$A465&amp;"."&amp;$D465&amp;".jpg"</f>
        <v>7908591301137.PT02.jpg</v>
      </c>
      <c r="F465" s="11" t="str">
        <f aca="false">INDEX('O QUE MOSTRAR'!$B$4:$B$12,MATCH($D465,'O QUE MOSTRAR'!$A$4:$A$12,0))</f>
        <v>Posição 3</v>
      </c>
      <c r="G465" s="11" t="str">
        <f aca="false">IF(INDEX(PRODUTOS!$F$4:$F$63,MATCH($A465,PRODUTOS!$B$4:$B$63,0))="Ração",INDEX('O QUE MOSTRAR'!$C$4:$C$12,MATCH($D465,'O QUE MOSTRAR'!$A$4:$A$12,0)),INDEX('O QUE MOSTRAR'!$D$4:$D$12,MATCH($D465,'O QUE MOSTRAR'!$A$4:$A$12,0)))</f>
        <v>Benefícios com ícones (4 a 6, impressos na embalagem)</v>
      </c>
      <c r="H465" s="11" t="str">
        <f aca="false">INDEX('O QUE MOSTRAR'!$E$4:$E$12,MATCH($D465,'O QUE MOSTRAR'!$A$4:$A$12,0))</f>
        <v>2000 × 2000</v>
      </c>
      <c r="I465" s="11" t="str">
        <f aca="false">INDEX('O QUE MOSTRAR'!$F$4:$F$12,MATCH($D465,'O QUE MOSTRAR'!$A$4:$A$12,0))</f>
        <v>SIM</v>
      </c>
      <c r="J465" s="13" t="s">
        <v>303</v>
      </c>
      <c r="K465" s="13"/>
    </row>
    <row r="466" customFormat="false" ht="15" hidden="false" customHeight="false" outlineLevel="0" collapsed="false">
      <c r="A466" s="14" t="s">
        <v>249</v>
      </c>
      <c r="B466" s="11" t="str">
        <f aca="false">INDEX(PRODUTOS!$E$4:$E$63,MATCH($A466,PRODUTOS!$B$4:$B$63,0))</f>
        <v>Palito Flex Natural Dots Maracujá 70 g</v>
      </c>
      <c r="C466" s="11" t="str">
        <f aca="false">INDEX(PRODUTOS!$G$4:$G$63,MATCH($A466,PRODUTOS!$B$4:$B$63,0))</f>
        <v>70 g</v>
      </c>
      <c r="D466" s="11" t="s">
        <v>306</v>
      </c>
      <c r="E466" s="15" t="str">
        <f aca="false">$A466&amp;"."&amp;$D466&amp;".jpg"</f>
        <v>7908591301137.PT03.jpg</v>
      </c>
      <c r="F466" s="11" t="str">
        <f aca="false">INDEX('O QUE MOSTRAR'!$B$4:$B$12,MATCH($D466,'O QUE MOSTRAR'!$A$4:$A$12,0))</f>
        <v>Posição 4</v>
      </c>
      <c r="G466" s="11" t="str">
        <f aca="false">IF(INDEX(PRODUTOS!$F$4:$F$63,MATCH($A466,PRODUTOS!$B$4:$B$63,0))="Ração",INDEX('O QUE MOSTRAR'!$C$4:$C$12,MATCH($D466,'O QUE MOSTRAR'!$A$4:$A$12,0)),INDEX('O QUE MOSTRAR'!$D$4:$D$12,MATCH($D466,'O QUE MOSTRAR'!$A$4:$A$12,0)))</f>
        <v>Detalhe e tamanho real (petisco, grânulo ou tapete aberto), com medidas</v>
      </c>
      <c r="H466" s="11" t="str">
        <f aca="false">INDEX('O QUE MOSTRAR'!$E$4:$E$12,MATCH($D466,'O QUE MOSTRAR'!$A$4:$A$12,0))</f>
        <v>2000 × 2000</v>
      </c>
      <c r="I466" s="11" t="str">
        <f aca="false">INDEX('O QUE MOSTRAR'!$F$4:$F$12,MATCH($D466,'O QUE MOSTRAR'!$A$4:$A$12,0))</f>
        <v>SIM</v>
      </c>
      <c r="J466" s="13" t="s">
        <v>303</v>
      </c>
      <c r="K466" s="13"/>
    </row>
    <row r="467" customFormat="false" ht="15" hidden="false" customHeight="false" outlineLevel="0" collapsed="false">
      <c r="A467" s="14" t="s">
        <v>249</v>
      </c>
      <c r="B467" s="11" t="str">
        <f aca="false">INDEX(PRODUTOS!$E$4:$E$63,MATCH($A467,PRODUTOS!$B$4:$B$63,0))</f>
        <v>Palito Flex Natural Dots Maracujá 70 g</v>
      </c>
      <c r="C467" s="11" t="str">
        <f aca="false">INDEX(PRODUTOS!$G$4:$G$63,MATCH($A467,PRODUTOS!$B$4:$B$63,0))</f>
        <v>70 g</v>
      </c>
      <c r="D467" s="11" t="s">
        <v>307</v>
      </c>
      <c r="E467" s="15" t="str">
        <f aca="false">$A467&amp;"."&amp;$D467&amp;".jpg"</f>
        <v>7908591301137.PT04.jpg</v>
      </c>
      <c r="F467" s="11" t="str">
        <f aca="false">INDEX('O QUE MOSTRAR'!$B$4:$B$12,MATCH($D467,'O QUE MOSTRAR'!$A$4:$A$12,0))</f>
        <v>Posição 5</v>
      </c>
      <c r="G467" s="11" t="str">
        <f aca="false">IF(INDEX(PRODUTOS!$F$4:$F$63,MATCH($A467,PRODUTOS!$B$4:$B$63,0))="Ração",INDEX('O QUE MOSTRAR'!$C$4:$C$12,MATCH($D467,'O QUE MOSTRAR'!$A$4:$A$12,0)),INDEX('O QUE MOSTRAR'!$D$4:$D$12,MATCH($D467,'O QUE MOSTRAR'!$A$4:$A$12,0)))</f>
        <v>Modo de uso (como oferecer o petisco / como usar o produto)</v>
      </c>
      <c r="H467" s="11" t="str">
        <f aca="false">INDEX('O QUE MOSTRAR'!$E$4:$E$12,MATCH($D467,'O QUE MOSTRAR'!$A$4:$A$12,0))</f>
        <v>2000 × 2000</v>
      </c>
      <c r="I467" s="11" t="str">
        <f aca="false">INDEX('O QUE MOSTRAR'!$F$4:$F$12,MATCH($D467,'O QUE MOSTRAR'!$A$4:$A$12,0))</f>
        <v>SIM</v>
      </c>
      <c r="J467" s="13" t="s">
        <v>303</v>
      </c>
      <c r="K467" s="13"/>
    </row>
    <row r="468" customFormat="false" ht="15" hidden="false" customHeight="false" outlineLevel="0" collapsed="false">
      <c r="A468" s="14" t="s">
        <v>249</v>
      </c>
      <c r="B468" s="11" t="str">
        <f aca="false">INDEX(PRODUTOS!$E$4:$E$63,MATCH($A468,PRODUTOS!$B$4:$B$63,0))</f>
        <v>Palito Flex Natural Dots Maracujá 70 g</v>
      </c>
      <c r="C468" s="11" t="str">
        <f aca="false">INDEX(PRODUTOS!$G$4:$G$63,MATCH($A468,PRODUTOS!$B$4:$B$63,0))</f>
        <v>70 g</v>
      </c>
      <c r="D468" s="11" t="s">
        <v>308</v>
      </c>
      <c r="E468" s="15" t="str">
        <f aca="false">$A468&amp;"."&amp;$D468&amp;".jpg"</f>
        <v>7908591301137.PT05.jpg</v>
      </c>
      <c r="F468" s="11" t="str">
        <f aca="false">INDEX('O QUE MOSTRAR'!$B$4:$B$12,MATCH($D468,'O QUE MOSTRAR'!$A$4:$A$12,0))</f>
        <v>Posição 6</v>
      </c>
      <c r="G468" s="11" t="str">
        <f aca="false">IF(INDEX(PRODUTOS!$F$4:$F$63,MATCH($A468,PRODUTOS!$B$4:$B$63,0))="Ração",INDEX('O QUE MOSTRAR'!$C$4:$C$12,MATCH($D468,'O QUE MOSTRAR'!$A$4:$A$12,0)),INDEX('O QUE MOSTRAR'!$D$4:$D$12,MATCH($D468,'O QUE MOSTRAR'!$A$4:$A$12,0)))</f>
        <v>Quantidade por dia ou rendimento do pacote</v>
      </c>
      <c r="H468" s="11" t="str">
        <f aca="false">INDEX('O QUE MOSTRAR'!$E$4:$E$12,MATCH($D468,'O QUE MOSTRAR'!$A$4:$A$12,0))</f>
        <v>2000 × 2000</v>
      </c>
      <c r="I468" s="11" t="str">
        <f aca="false">INDEX('O QUE MOSTRAR'!$F$4:$F$12,MATCH($D468,'O QUE MOSTRAR'!$A$4:$A$12,0))</f>
        <v>Recomendada</v>
      </c>
      <c r="J468" s="13" t="s">
        <v>303</v>
      </c>
      <c r="K468" s="13"/>
    </row>
    <row r="469" customFormat="false" ht="15" hidden="false" customHeight="false" outlineLevel="0" collapsed="false">
      <c r="A469" s="14" t="s">
        <v>249</v>
      </c>
      <c r="B469" s="11" t="str">
        <f aca="false">INDEX(PRODUTOS!$E$4:$E$63,MATCH($A469,PRODUTOS!$B$4:$B$63,0))</f>
        <v>Palito Flex Natural Dots Maracujá 70 g</v>
      </c>
      <c r="C469" s="11" t="str">
        <f aca="false">INDEX(PRODUTOS!$G$4:$G$63,MATCH($A469,PRODUTOS!$B$4:$B$63,0))</f>
        <v>70 g</v>
      </c>
      <c r="D469" s="11" t="s">
        <v>309</v>
      </c>
      <c r="E469" s="15" t="str">
        <f aca="false">$A469&amp;"."&amp;$D469&amp;".jpg"</f>
        <v>7908591301137.PT06.jpg</v>
      </c>
      <c r="F469" s="11" t="str">
        <f aca="false">INDEX('O QUE MOSTRAR'!$B$4:$B$12,MATCH($D469,'O QUE MOSTRAR'!$A$4:$A$12,0))</f>
        <v>Posição 7</v>
      </c>
      <c r="G469" s="11" t="str">
        <f aca="false">IF(INDEX(PRODUTOS!$F$4:$F$63,MATCH($A469,PRODUTOS!$B$4:$B$63,0))="Ração",INDEX('O QUE MOSTRAR'!$C$4:$C$12,MATCH($D469,'O QUE MOSTRAR'!$A$4:$A$12,0)),INDEX('O QUE MOSTRAR'!$D$4:$D$12,MATCH($D469,'O QUE MOSTRAR'!$A$4:$A$12,0)))</f>
        <v>Composição/níveis de garantia (petiscos) ou especificações (higiene)</v>
      </c>
      <c r="H469" s="11" t="str">
        <f aca="false">INDEX('O QUE MOSTRAR'!$E$4:$E$12,MATCH($D469,'O QUE MOSTRAR'!$A$4:$A$12,0))</f>
        <v>2000 × 2000</v>
      </c>
      <c r="I469" s="11" t="str">
        <f aca="false">INDEX('O QUE MOSTRAR'!$F$4:$F$12,MATCH($D469,'O QUE MOSTRAR'!$A$4:$A$12,0))</f>
        <v>SIM</v>
      </c>
      <c r="J469" s="13" t="s">
        <v>303</v>
      </c>
      <c r="K469" s="13"/>
    </row>
    <row r="470" customFormat="false" ht="15" hidden="false" customHeight="false" outlineLevel="0" collapsed="false">
      <c r="A470" s="14" t="s">
        <v>249</v>
      </c>
      <c r="B470" s="11" t="str">
        <f aca="false">INDEX(PRODUTOS!$E$4:$E$63,MATCH($A470,PRODUTOS!$B$4:$B$63,0))</f>
        <v>Palito Flex Natural Dots Maracujá 70 g</v>
      </c>
      <c r="C470" s="11" t="str">
        <f aca="false">INDEX(PRODUTOS!$G$4:$G$63,MATCH($A470,PRODUTOS!$B$4:$B$63,0))</f>
        <v>70 g</v>
      </c>
      <c r="D470" s="11" t="s">
        <v>310</v>
      </c>
      <c r="E470" s="15" t="str">
        <f aca="false">$A470&amp;"."&amp;$D470&amp;".jpg"</f>
        <v>7908591301137.PT07.jpg</v>
      </c>
      <c r="F470" s="11" t="str">
        <f aca="false">INDEX('O QUE MOSTRAR'!$B$4:$B$12,MATCH($D470,'O QUE MOSTRAR'!$A$4:$A$12,0))</f>
        <v>Posição 8</v>
      </c>
      <c r="G470" s="11" t="str">
        <f aca="false">IF(INDEX(PRODUTOS!$F$4:$F$63,MATCH($A470,PRODUTOS!$B$4:$B$63,0))="Ração",INDEX('O QUE MOSTRAR'!$C$4:$C$12,MATCH($D470,'O QUE MOSTRAR'!$A$4:$A$12,0)),INDEX('O QUE MOSTRAR'!$D$4:$D$12,MATCH($D470,'O QUE MOSTRAR'!$A$4:$A$12,0)))</f>
        <v>Emocional / momento de uso</v>
      </c>
      <c r="H470" s="11" t="str">
        <f aca="false">INDEX('O QUE MOSTRAR'!$E$4:$E$12,MATCH($D470,'O QUE MOSTRAR'!$A$4:$A$12,0))</f>
        <v>2000 × 2000</v>
      </c>
      <c r="I470" s="11" t="str">
        <f aca="false">INDEX('O QUE MOSTRAR'!$F$4:$F$12,MATCH($D470,'O QUE MOSTRAR'!$A$4:$A$12,0))</f>
        <v>Recomendada</v>
      </c>
      <c r="J470" s="13" t="s">
        <v>303</v>
      </c>
      <c r="K470" s="13"/>
    </row>
    <row r="471" customFormat="false" ht="15" hidden="false" customHeight="false" outlineLevel="0" collapsed="false">
      <c r="A471" s="14" t="s">
        <v>249</v>
      </c>
      <c r="B471" s="11" t="str">
        <f aca="false">INDEX(PRODUTOS!$E$4:$E$63,MATCH($A471,PRODUTOS!$B$4:$B$63,0))</f>
        <v>Palito Flex Natural Dots Maracujá 70 g</v>
      </c>
      <c r="C471" s="11" t="str">
        <f aca="false">INDEX(PRODUTOS!$G$4:$G$63,MATCH($A471,PRODUTOS!$B$4:$B$63,0))</f>
        <v>70 g</v>
      </c>
      <c r="D471" s="11" t="s">
        <v>311</v>
      </c>
      <c r="E471" s="15" t="str">
        <f aca="false">$A471&amp;"."&amp;$D471&amp;".jpg"</f>
        <v>7908591301137.PT08.jpg</v>
      </c>
      <c r="F471" s="11" t="str">
        <f aca="false">INDEX('O QUE MOSTRAR'!$B$4:$B$12,MATCH($D471,'O QUE MOSTRAR'!$A$4:$A$12,0))</f>
        <v>Posição 9</v>
      </c>
      <c r="G471" s="11" t="str">
        <f aca="false">IF(INDEX(PRODUTOS!$F$4:$F$63,MATCH($A471,PRODUTOS!$B$4:$B$63,0))="Ração",INDEX('O QUE MOSTRAR'!$C$4:$C$12,MATCH($D471,'O QUE MOSTRAR'!$A$4:$A$12,0)),INDEX('O QUE MOSTRAR'!$D$4:$D$12,MATCH($D471,'O QUE MOSTRAR'!$A$4:$A$12,0)))</f>
        <v>Linha da marca ("conheça também")</v>
      </c>
      <c r="H471" s="11" t="str">
        <f aca="false">INDEX('O QUE MOSTRAR'!$E$4:$E$12,MATCH($D471,'O QUE MOSTRAR'!$A$4:$A$12,0))</f>
        <v>2000 × 2000</v>
      </c>
      <c r="I471" s="11" t="str">
        <f aca="false">INDEX('O QUE MOSTRAR'!$F$4:$F$12,MATCH($D471,'O QUE MOSTRAR'!$A$4:$A$12,0))</f>
        <v>Recomendada</v>
      </c>
      <c r="J471" s="13" t="s">
        <v>303</v>
      </c>
      <c r="K471" s="13"/>
    </row>
    <row r="472" customFormat="false" ht="15" hidden="false" customHeight="false" outlineLevel="0" collapsed="false">
      <c r="A472" s="14" t="s">
        <v>253</v>
      </c>
      <c r="B472" s="11" t="str">
        <f aca="false">INDEX(PRODUTOS!$E$4:$E$63,MATCH($A472,PRODUTOS!$B$4:$B$63,0))</f>
        <v>Granulado Higiênico de Madeira Natural Dots para Pets - Pacote 20 kg</v>
      </c>
      <c r="C472" s="11" t="str">
        <f aca="false">INDEX(PRODUTOS!$G$4:$G$63,MATCH($A472,PRODUTOS!$B$4:$B$63,0))</f>
        <v>20 kg</v>
      </c>
      <c r="D472" s="11" t="s">
        <v>302</v>
      </c>
      <c r="E472" s="15" t="str">
        <f aca="false">$A472&amp;"."&amp;$D472&amp;".jpg"</f>
        <v>7908591300239.MAIN.jpg</v>
      </c>
      <c r="F472" s="11" t="str">
        <f aca="false">INDEX('O QUE MOSTRAR'!$B$4:$B$12,MATCH($D472,'O QUE MOSTRAR'!$A$4:$A$12,0))</f>
        <v>Capa (posição 1)</v>
      </c>
      <c r="G472" s="11" t="str">
        <f aca="false">IF(INDEX(PRODUTOS!$F$4:$F$63,MATCH($A472,PRODUTOS!$B$4:$B$63,0))="Ração",INDEX('O QUE MOSTRAR'!$C$4:$C$12,MATCH($D472,'O QUE MOSTRAR'!$A$4:$A$12,0)),INDEX('O QUE MOSTRAR'!$D$4:$D$12,MATCH($D472,'O QUE MOSTRAR'!$A$4:$A$12,0)))</f>
        <v>Embalagem de frente, fundo branco puro, 85% da área, nada adicionado</v>
      </c>
      <c r="H472" s="11" t="str">
        <f aca="false">INDEX('O QUE MOSTRAR'!$E$4:$E$12,MATCH($D472,'O QUE MOSTRAR'!$A$4:$A$12,0))</f>
        <v>2000 × 2000</v>
      </c>
      <c r="I472" s="11" t="str">
        <f aca="false">INDEX('O QUE MOSTRAR'!$F$4:$F$12,MATCH($D472,'O QUE MOSTRAR'!$A$4:$A$12,0))</f>
        <v>SIM</v>
      </c>
      <c r="J472" s="13" t="s">
        <v>303</v>
      </c>
      <c r="K472" s="13"/>
    </row>
    <row r="473" customFormat="false" ht="15" hidden="false" customHeight="false" outlineLevel="0" collapsed="false">
      <c r="A473" s="14" t="s">
        <v>253</v>
      </c>
      <c r="B473" s="11" t="str">
        <f aca="false">INDEX(PRODUTOS!$E$4:$E$63,MATCH($A473,PRODUTOS!$B$4:$B$63,0))</f>
        <v>Granulado Higiênico de Madeira Natural Dots para Pets - Pacote 20 kg</v>
      </c>
      <c r="C473" s="11" t="str">
        <f aca="false">INDEX(PRODUTOS!$G$4:$G$63,MATCH($A473,PRODUTOS!$B$4:$B$63,0))</f>
        <v>20 kg</v>
      </c>
      <c r="D473" s="11" t="s">
        <v>304</v>
      </c>
      <c r="E473" s="15" t="str">
        <f aca="false">$A473&amp;"."&amp;$D473&amp;".jpg"</f>
        <v>7908591300239.PT01.jpg</v>
      </c>
      <c r="F473" s="11" t="str">
        <f aca="false">INDEX('O QUE MOSTRAR'!$B$4:$B$12,MATCH($D473,'O QUE MOSTRAR'!$A$4:$A$12,0))</f>
        <v>Posição 2</v>
      </c>
      <c r="G473" s="11" t="str">
        <f aca="false">IF(INDEX(PRODUTOS!$F$4:$F$63,MATCH($A473,PRODUTOS!$B$4:$B$63,0))="Ração",INDEX('O QUE MOSTRAR'!$C$4:$C$12,MATCH($D473,'O QUE MOSTRAR'!$A$4:$A$12,0)),INDEX('O QUE MOSTRAR'!$D$4:$D$12,MATCH($D473,'O QUE MOSTRAR'!$A$4:$A$12,0)))</f>
        <v>Grande diferencial (ex.: natural, biodegradável, perfumado)</v>
      </c>
      <c r="H473" s="11" t="str">
        <f aca="false">INDEX('O QUE MOSTRAR'!$E$4:$E$12,MATCH($D473,'O QUE MOSTRAR'!$A$4:$A$12,0))</f>
        <v>2000 × 2000</v>
      </c>
      <c r="I473" s="11" t="str">
        <f aca="false">INDEX('O QUE MOSTRAR'!$F$4:$F$12,MATCH($D473,'O QUE MOSTRAR'!$A$4:$A$12,0))</f>
        <v>SIM</v>
      </c>
      <c r="J473" s="13" t="s">
        <v>303</v>
      </c>
      <c r="K473" s="13"/>
    </row>
    <row r="474" customFormat="false" ht="15" hidden="false" customHeight="false" outlineLevel="0" collapsed="false">
      <c r="A474" s="14" t="s">
        <v>253</v>
      </c>
      <c r="B474" s="11" t="str">
        <f aca="false">INDEX(PRODUTOS!$E$4:$E$63,MATCH($A474,PRODUTOS!$B$4:$B$63,0))</f>
        <v>Granulado Higiênico de Madeira Natural Dots para Pets - Pacote 20 kg</v>
      </c>
      <c r="C474" s="11" t="str">
        <f aca="false">INDEX(PRODUTOS!$G$4:$G$63,MATCH($A474,PRODUTOS!$B$4:$B$63,0))</f>
        <v>20 kg</v>
      </c>
      <c r="D474" s="11" t="s">
        <v>305</v>
      </c>
      <c r="E474" s="15" t="str">
        <f aca="false">$A474&amp;"."&amp;$D474&amp;".jpg"</f>
        <v>7908591300239.PT02.jpg</v>
      </c>
      <c r="F474" s="11" t="str">
        <f aca="false">INDEX('O QUE MOSTRAR'!$B$4:$B$12,MATCH($D474,'O QUE MOSTRAR'!$A$4:$A$12,0))</f>
        <v>Posição 3</v>
      </c>
      <c r="G474" s="11" t="str">
        <f aca="false">IF(INDEX(PRODUTOS!$F$4:$F$63,MATCH($A474,PRODUTOS!$B$4:$B$63,0))="Ração",INDEX('O QUE MOSTRAR'!$C$4:$C$12,MATCH($D474,'O QUE MOSTRAR'!$A$4:$A$12,0)),INDEX('O QUE MOSTRAR'!$D$4:$D$12,MATCH($D474,'O QUE MOSTRAR'!$A$4:$A$12,0)))</f>
        <v>Benefícios com ícones (4 a 6, impressos na embalagem)</v>
      </c>
      <c r="H474" s="11" t="str">
        <f aca="false">INDEX('O QUE MOSTRAR'!$E$4:$E$12,MATCH($D474,'O QUE MOSTRAR'!$A$4:$A$12,0))</f>
        <v>2000 × 2000</v>
      </c>
      <c r="I474" s="11" t="str">
        <f aca="false">INDEX('O QUE MOSTRAR'!$F$4:$F$12,MATCH($D474,'O QUE MOSTRAR'!$A$4:$A$12,0))</f>
        <v>SIM</v>
      </c>
      <c r="J474" s="13" t="s">
        <v>303</v>
      </c>
      <c r="K474" s="13"/>
    </row>
    <row r="475" customFormat="false" ht="15" hidden="false" customHeight="false" outlineLevel="0" collapsed="false">
      <c r="A475" s="14" t="s">
        <v>253</v>
      </c>
      <c r="B475" s="11" t="str">
        <f aca="false">INDEX(PRODUTOS!$E$4:$E$63,MATCH($A475,PRODUTOS!$B$4:$B$63,0))</f>
        <v>Granulado Higiênico de Madeira Natural Dots para Pets - Pacote 20 kg</v>
      </c>
      <c r="C475" s="11" t="str">
        <f aca="false">INDEX(PRODUTOS!$G$4:$G$63,MATCH($A475,PRODUTOS!$B$4:$B$63,0))</f>
        <v>20 kg</v>
      </c>
      <c r="D475" s="11" t="s">
        <v>306</v>
      </c>
      <c r="E475" s="15" t="str">
        <f aca="false">$A475&amp;"."&amp;$D475&amp;".jpg"</f>
        <v>7908591300239.PT03.jpg</v>
      </c>
      <c r="F475" s="11" t="str">
        <f aca="false">INDEX('O QUE MOSTRAR'!$B$4:$B$12,MATCH($D475,'O QUE MOSTRAR'!$A$4:$A$12,0))</f>
        <v>Posição 4</v>
      </c>
      <c r="G475" s="11" t="str">
        <f aca="false">IF(INDEX(PRODUTOS!$F$4:$F$63,MATCH($A475,PRODUTOS!$B$4:$B$63,0))="Ração",INDEX('O QUE MOSTRAR'!$C$4:$C$12,MATCH($D475,'O QUE MOSTRAR'!$A$4:$A$12,0)),INDEX('O QUE MOSTRAR'!$D$4:$D$12,MATCH($D475,'O QUE MOSTRAR'!$A$4:$A$12,0)))</f>
        <v>Detalhe e tamanho real (petisco, grânulo ou tapete aberto), com medidas</v>
      </c>
      <c r="H475" s="11" t="str">
        <f aca="false">INDEX('O QUE MOSTRAR'!$E$4:$E$12,MATCH($D475,'O QUE MOSTRAR'!$A$4:$A$12,0))</f>
        <v>2000 × 2000</v>
      </c>
      <c r="I475" s="11" t="str">
        <f aca="false">INDEX('O QUE MOSTRAR'!$F$4:$F$12,MATCH($D475,'O QUE MOSTRAR'!$A$4:$A$12,0))</f>
        <v>SIM</v>
      </c>
      <c r="J475" s="13" t="s">
        <v>303</v>
      </c>
      <c r="K475" s="13"/>
    </row>
    <row r="476" customFormat="false" ht="15" hidden="false" customHeight="false" outlineLevel="0" collapsed="false">
      <c r="A476" s="14" t="s">
        <v>253</v>
      </c>
      <c r="B476" s="11" t="str">
        <f aca="false">INDEX(PRODUTOS!$E$4:$E$63,MATCH($A476,PRODUTOS!$B$4:$B$63,0))</f>
        <v>Granulado Higiênico de Madeira Natural Dots para Pets - Pacote 20 kg</v>
      </c>
      <c r="C476" s="11" t="str">
        <f aca="false">INDEX(PRODUTOS!$G$4:$G$63,MATCH($A476,PRODUTOS!$B$4:$B$63,0))</f>
        <v>20 kg</v>
      </c>
      <c r="D476" s="11" t="s">
        <v>307</v>
      </c>
      <c r="E476" s="15" t="str">
        <f aca="false">$A476&amp;"."&amp;$D476&amp;".jpg"</f>
        <v>7908591300239.PT04.jpg</v>
      </c>
      <c r="F476" s="11" t="str">
        <f aca="false">INDEX('O QUE MOSTRAR'!$B$4:$B$12,MATCH($D476,'O QUE MOSTRAR'!$A$4:$A$12,0))</f>
        <v>Posição 5</v>
      </c>
      <c r="G476" s="11" t="str">
        <f aca="false">IF(INDEX(PRODUTOS!$F$4:$F$63,MATCH($A476,PRODUTOS!$B$4:$B$63,0))="Ração",INDEX('O QUE MOSTRAR'!$C$4:$C$12,MATCH($D476,'O QUE MOSTRAR'!$A$4:$A$12,0)),INDEX('O QUE MOSTRAR'!$D$4:$D$12,MATCH($D476,'O QUE MOSTRAR'!$A$4:$A$12,0)))</f>
        <v>Modo de uso (como oferecer o petisco / como usar o produto)</v>
      </c>
      <c r="H476" s="11" t="str">
        <f aca="false">INDEX('O QUE MOSTRAR'!$E$4:$E$12,MATCH($D476,'O QUE MOSTRAR'!$A$4:$A$12,0))</f>
        <v>2000 × 2000</v>
      </c>
      <c r="I476" s="11" t="str">
        <f aca="false">INDEX('O QUE MOSTRAR'!$F$4:$F$12,MATCH($D476,'O QUE MOSTRAR'!$A$4:$A$12,0))</f>
        <v>SIM</v>
      </c>
      <c r="J476" s="13" t="s">
        <v>303</v>
      </c>
      <c r="K476" s="13"/>
    </row>
    <row r="477" customFormat="false" ht="15" hidden="false" customHeight="false" outlineLevel="0" collapsed="false">
      <c r="A477" s="14" t="s">
        <v>253</v>
      </c>
      <c r="B477" s="11" t="str">
        <f aca="false">INDEX(PRODUTOS!$E$4:$E$63,MATCH($A477,PRODUTOS!$B$4:$B$63,0))</f>
        <v>Granulado Higiênico de Madeira Natural Dots para Pets - Pacote 20 kg</v>
      </c>
      <c r="C477" s="11" t="str">
        <f aca="false">INDEX(PRODUTOS!$G$4:$G$63,MATCH($A477,PRODUTOS!$B$4:$B$63,0))</f>
        <v>20 kg</v>
      </c>
      <c r="D477" s="11" t="s">
        <v>308</v>
      </c>
      <c r="E477" s="15" t="str">
        <f aca="false">$A477&amp;"."&amp;$D477&amp;".jpg"</f>
        <v>7908591300239.PT05.jpg</v>
      </c>
      <c r="F477" s="11" t="str">
        <f aca="false">INDEX('O QUE MOSTRAR'!$B$4:$B$12,MATCH($D477,'O QUE MOSTRAR'!$A$4:$A$12,0))</f>
        <v>Posição 6</v>
      </c>
      <c r="G477" s="11" t="str">
        <f aca="false">IF(INDEX(PRODUTOS!$F$4:$F$63,MATCH($A477,PRODUTOS!$B$4:$B$63,0))="Ração",INDEX('O QUE MOSTRAR'!$C$4:$C$12,MATCH($D477,'O QUE MOSTRAR'!$A$4:$A$12,0)),INDEX('O QUE MOSTRAR'!$D$4:$D$12,MATCH($D477,'O QUE MOSTRAR'!$A$4:$A$12,0)))</f>
        <v>Quantidade por dia ou rendimento do pacote</v>
      </c>
      <c r="H477" s="11" t="str">
        <f aca="false">INDEX('O QUE MOSTRAR'!$E$4:$E$12,MATCH($D477,'O QUE MOSTRAR'!$A$4:$A$12,0))</f>
        <v>2000 × 2000</v>
      </c>
      <c r="I477" s="11" t="str">
        <f aca="false">INDEX('O QUE MOSTRAR'!$F$4:$F$12,MATCH($D477,'O QUE MOSTRAR'!$A$4:$A$12,0))</f>
        <v>Recomendada</v>
      </c>
      <c r="J477" s="13" t="s">
        <v>303</v>
      </c>
      <c r="K477" s="13"/>
    </row>
    <row r="478" customFormat="false" ht="15" hidden="false" customHeight="false" outlineLevel="0" collapsed="false">
      <c r="A478" s="14" t="s">
        <v>253</v>
      </c>
      <c r="B478" s="11" t="str">
        <f aca="false">INDEX(PRODUTOS!$E$4:$E$63,MATCH($A478,PRODUTOS!$B$4:$B$63,0))</f>
        <v>Granulado Higiênico de Madeira Natural Dots para Pets - Pacote 20 kg</v>
      </c>
      <c r="C478" s="11" t="str">
        <f aca="false">INDEX(PRODUTOS!$G$4:$G$63,MATCH($A478,PRODUTOS!$B$4:$B$63,0))</f>
        <v>20 kg</v>
      </c>
      <c r="D478" s="11" t="s">
        <v>309</v>
      </c>
      <c r="E478" s="15" t="str">
        <f aca="false">$A478&amp;"."&amp;$D478&amp;".jpg"</f>
        <v>7908591300239.PT06.jpg</v>
      </c>
      <c r="F478" s="11" t="str">
        <f aca="false">INDEX('O QUE MOSTRAR'!$B$4:$B$12,MATCH($D478,'O QUE MOSTRAR'!$A$4:$A$12,0))</f>
        <v>Posição 7</v>
      </c>
      <c r="G478" s="11" t="str">
        <f aca="false">IF(INDEX(PRODUTOS!$F$4:$F$63,MATCH($A478,PRODUTOS!$B$4:$B$63,0))="Ração",INDEX('O QUE MOSTRAR'!$C$4:$C$12,MATCH($D478,'O QUE MOSTRAR'!$A$4:$A$12,0)),INDEX('O QUE MOSTRAR'!$D$4:$D$12,MATCH($D478,'O QUE MOSTRAR'!$A$4:$A$12,0)))</f>
        <v>Composição/níveis de garantia (petiscos) ou especificações (higiene)</v>
      </c>
      <c r="H478" s="11" t="str">
        <f aca="false">INDEX('O QUE MOSTRAR'!$E$4:$E$12,MATCH($D478,'O QUE MOSTRAR'!$A$4:$A$12,0))</f>
        <v>2000 × 2000</v>
      </c>
      <c r="I478" s="11" t="str">
        <f aca="false">INDEX('O QUE MOSTRAR'!$F$4:$F$12,MATCH($D478,'O QUE MOSTRAR'!$A$4:$A$12,0))</f>
        <v>SIM</v>
      </c>
      <c r="J478" s="13" t="s">
        <v>303</v>
      </c>
      <c r="K478" s="13"/>
    </row>
    <row r="479" customFormat="false" ht="15" hidden="false" customHeight="false" outlineLevel="0" collapsed="false">
      <c r="A479" s="14" t="s">
        <v>253</v>
      </c>
      <c r="B479" s="11" t="str">
        <f aca="false">INDEX(PRODUTOS!$E$4:$E$63,MATCH($A479,PRODUTOS!$B$4:$B$63,0))</f>
        <v>Granulado Higiênico de Madeira Natural Dots para Pets - Pacote 20 kg</v>
      </c>
      <c r="C479" s="11" t="str">
        <f aca="false">INDEX(PRODUTOS!$G$4:$G$63,MATCH($A479,PRODUTOS!$B$4:$B$63,0))</f>
        <v>20 kg</v>
      </c>
      <c r="D479" s="11" t="s">
        <v>310</v>
      </c>
      <c r="E479" s="15" t="str">
        <f aca="false">$A479&amp;"."&amp;$D479&amp;".jpg"</f>
        <v>7908591300239.PT07.jpg</v>
      </c>
      <c r="F479" s="11" t="str">
        <f aca="false">INDEX('O QUE MOSTRAR'!$B$4:$B$12,MATCH($D479,'O QUE MOSTRAR'!$A$4:$A$12,0))</f>
        <v>Posição 8</v>
      </c>
      <c r="G479" s="11" t="str">
        <f aca="false">IF(INDEX(PRODUTOS!$F$4:$F$63,MATCH($A479,PRODUTOS!$B$4:$B$63,0))="Ração",INDEX('O QUE MOSTRAR'!$C$4:$C$12,MATCH($D479,'O QUE MOSTRAR'!$A$4:$A$12,0)),INDEX('O QUE MOSTRAR'!$D$4:$D$12,MATCH($D479,'O QUE MOSTRAR'!$A$4:$A$12,0)))</f>
        <v>Emocional / momento de uso</v>
      </c>
      <c r="H479" s="11" t="str">
        <f aca="false">INDEX('O QUE MOSTRAR'!$E$4:$E$12,MATCH($D479,'O QUE MOSTRAR'!$A$4:$A$12,0))</f>
        <v>2000 × 2000</v>
      </c>
      <c r="I479" s="11" t="str">
        <f aca="false">INDEX('O QUE MOSTRAR'!$F$4:$F$12,MATCH($D479,'O QUE MOSTRAR'!$A$4:$A$12,0))</f>
        <v>Recomendada</v>
      </c>
      <c r="J479" s="13" t="s">
        <v>303</v>
      </c>
      <c r="K479" s="13"/>
    </row>
    <row r="480" customFormat="false" ht="15" hidden="false" customHeight="false" outlineLevel="0" collapsed="false">
      <c r="A480" s="14" t="s">
        <v>253</v>
      </c>
      <c r="B480" s="11" t="str">
        <f aca="false">INDEX(PRODUTOS!$E$4:$E$63,MATCH($A480,PRODUTOS!$B$4:$B$63,0))</f>
        <v>Granulado Higiênico de Madeira Natural Dots para Pets - Pacote 20 kg</v>
      </c>
      <c r="C480" s="11" t="str">
        <f aca="false">INDEX(PRODUTOS!$G$4:$G$63,MATCH($A480,PRODUTOS!$B$4:$B$63,0))</f>
        <v>20 kg</v>
      </c>
      <c r="D480" s="11" t="s">
        <v>311</v>
      </c>
      <c r="E480" s="15" t="str">
        <f aca="false">$A480&amp;"."&amp;$D480&amp;".jpg"</f>
        <v>7908591300239.PT08.jpg</v>
      </c>
      <c r="F480" s="11" t="str">
        <f aca="false">INDEX('O QUE MOSTRAR'!$B$4:$B$12,MATCH($D480,'O QUE MOSTRAR'!$A$4:$A$12,0))</f>
        <v>Posição 9</v>
      </c>
      <c r="G480" s="11" t="str">
        <f aca="false">IF(INDEX(PRODUTOS!$F$4:$F$63,MATCH($A480,PRODUTOS!$B$4:$B$63,0))="Ração",INDEX('O QUE MOSTRAR'!$C$4:$C$12,MATCH($D480,'O QUE MOSTRAR'!$A$4:$A$12,0)),INDEX('O QUE MOSTRAR'!$D$4:$D$12,MATCH($D480,'O QUE MOSTRAR'!$A$4:$A$12,0)))</f>
        <v>Linha da marca ("conheça também")</v>
      </c>
      <c r="H480" s="11" t="str">
        <f aca="false">INDEX('O QUE MOSTRAR'!$E$4:$E$12,MATCH($D480,'O QUE MOSTRAR'!$A$4:$A$12,0))</f>
        <v>2000 × 2000</v>
      </c>
      <c r="I480" s="11" t="str">
        <f aca="false">INDEX('O QUE MOSTRAR'!$F$4:$F$12,MATCH($D480,'O QUE MOSTRAR'!$A$4:$A$12,0))</f>
        <v>Recomendada</v>
      </c>
      <c r="J480" s="13" t="s">
        <v>303</v>
      </c>
      <c r="K480" s="13"/>
    </row>
    <row r="481" customFormat="false" ht="15" hidden="false" customHeight="false" outlineLevel="0" collapsed="false">
      <c r="A481" s="14" t="s">
        <v>258</v>
      </c>
      <c r="B481" s="11" t="str">
        <f aca="false">INDEX(PRODUTOS!$E$4:$E$63,MATCH($A481,PRODUTOS!$B$4:$B$63,0))</f>
        <v>Granulado Higiênico de Madeira Natural Dots para Pets - Pacote 10 kg</v>
      </c>
      <c r="C481" s="11" t="str">
        <f aca="false">INDEX(PRODUTOS!$G$4:$G$63,MATCH($A481,PRODUTOS!$B$4:$B$63,0))</f>
        <v>10 kg</v>
      </c>
      <c r="D481" s="11" t="s">
        <v>302</v>
      </c>
      <c r="E481" s="15" t="str">
        <f aca="false">$A481&amp;"."&amp;$D481&amp;".jpg"</f>
        <v>7908591300482.MAIN.jpg</v>
      </c>
      <c r="F481" s="11" t="str">
        <f aca="false">INDEX('O QUE MOSTRAR'!$B$4:$B$12,MATCH($D481,'O QUE MOSTRAR'!$A$4:$A$12,0))</f>
        <v>Capa (posição 1)</v>
      </c>
      <c r="G481" s="11" t="str">
        <f aca="false">IF(INDEX(PRODUTOS!$F$4:$F$63,MATCH($A481,PRODUTOS!$B$4:$B$63,0))="Ração",INDEX('O QUE MOSTRAR'!$C$4:$C$12,MATCH($D481,'O QUE MOSTRAR'!$A$4:$A$12,0)),INDEX('O QUE MOSTRAR'!$D$4:$D$12,MATCH($D481,'O QUE MOSTRAR'!$A$4:$A$12,0)))</f>
        <v>Embalagem de frente, fundo branco puro, 85% da área, nada adicionado</v>
      </c>
      <c r="H481" s="11" t="str">
        <f aca="false">INDEX('O QUE MOSTRAR'!$E$4:$E$12,MATCH($D481,'O QUE MOSTRAR'!$A$4:$A$12,0))</f>
        <v>2000 × 2000</v>
      </c>
      <c r="I481" s="11" t="str">
        <f aca="false">INDEX('O QUE MOSTRAR'!$F$4:$F$12,MATCH($D481,'O QUE MOSTRAR'!$A$4:$A$12,0))</f>
        <v>SIM</v>
      </c>
      <c r="J481" s="13" t="s">
        <v>303</v>
      </c>
      <c r="K481" s="13"/>
    </row>
    <row r="482" customFormat="false" ht="15" hidden="false" customHeight="false" outlineLevel="0" collapsed="false">
      <c r="A482" s="14" t="s">
        <v>258</v>
      </c>
      <c r="B482" s="11" t="str">
        <f aca="false">INDEX(PRODUTOS!$E$4:$E$63,MATCH($A482,PRODUTOS!$B$4:$B$63,0))</f>
        <v>Granulado Higiênico de Madeira Natural Dots para Pets - Pacote 10 kg</v>
      </c>
      <c r="C482" s="11" t="str">
        <f aca="false">INDEX(PRODUTOS!$G$4:$G$63,MATCH($A482,PRODUTOS!$B$4:$B$63,0))</f>
        <v>10 kg</v>
      </c>
      <c r="D482" s="11" t="s">
        <v>304</v>
      </c>
      <c r="E482" s="15" t="str">
        <f aca="false">$A482&amp;"."&amp;$D482&amp;".jpg"</f>
        <v>7908591300482.PT01.jpg</v>
      </c>
      <c r="F482" s="11" t="str">
        <f aca="false">INDEX('O QUE MOSTRAR'!$B$4:$B$12,MATCH($D482,'O QUE MOSTRAR'!$A$4:$A$12,0))</f>
        <v>Posição 2</v>
      </c>
      <c r="G482" s="11" t="str">
        <f aca="false">IF(INDEX(PRODUTOS!$F$4:$F$63,MATCH($A482,PRODUTOS!$B$4:$B$63,0))="Ração",INDEX('O QUE MOSTRAR'!$C$4:$C$12,MATCH($D482,'O QUE MOSTRAR'!$A$4:$A$12,0)),INDEX('O QUE MOSTRAR'!$D$4:$D$12,MATCH($D482,'O QUE MOSTRAR'!$A$4:$A$12,0)))</f>
        <v>Grande diferencial (ex.: natural, biodegradável, perfumado)</v>
      </c>
      <c r="H482" s="11" t="str">
        <f aca="false">INDEX('O QUE MOSTRAR'!$E$4:$E$12,MATCH($D482,'O QUE MOSTRAR'!$A$4:$A$12,0))</f>
        <v>2000 × 2000</v>
      </c>
      <c r="I482" s="11" t="str">
        <f aca="false">INDEX('O QUE MOSTRAR'!$F$4:$F$12,MATCH($D482,'O QUE MOSTRAR'!$A$4:$A$12,0))</f>
        <v>SIM</v>
      </c>
      <c r="J482" s="13" t="s">
        <v>303</v>
      </c>
      <c r="K482" s="13"/>
    </row>
    <row r="483" customFormat="false" ht="15" hidden="false" customHeight="false" outlineLevel="0" collapsed="false">
      <c r="A483" s="14" t="s">
        <v>258</v>
      </c>
      <c r="B483" s="11" t="str">
        <f aca="false">INDEX(PRODUTOS!$E$4:$E$63,MATCH($A483,PRODUTOS!$B$4:$B$63,0))</f>
        <v>Granulado Higiênico de Madeira Natural Dots para Pets - Pacote 10 kg</v>
      </c>
      <c r="C483" s="11" t="str">
        <f aca="false">INDEX(PRODUTOS!$G$4:$G$63,MATCH($A483,PRODUTOS!$B$4:$B$63,0))</f>
        <v>10 kg</v>
      </c>
      <c r="D483" s="11" t="s">
        <v>305</v>
      </c>
      <c r="E483" s="15" t="str">
        <f aca="false">$A483&amp;"."&amp;$D483&amp;".jpg"</f>
        <v>7908591300482.PT02.jpg</v>
      </c>
      <c r="F483" s="11" t="str">
        <f aca="false">INDEX('O QUE MOSTRAR'!$B$4:$B$12,MATCH($D483,'O QUE MOSTRAR'!$A$4:$A$12,0))</f>
        <v>Posição 3</v>
      </c>
      <c r="G483" s="11" t="str">
        <f aca="false">IF(INDEX(PRODUTOS!$F$4:$F$63,MATCH($A483,PRODUTOS!$B$4:$B$63,0))="Ração",INDEX('O QUE MOSTRAR'!$C$4:$C$12,MATCH($D483,'O QUE MOSTRAR'!$A$4:$A$12,0)),INDEX('O QUE MOSTRAR'!$D$4:$D$12,MATCH($D483,'O QUE MOSTRAR'!$A$4:$A$12,0)))</f>
        <v>Benefícios com ícones (4 a 6, impressos na embalagem)</v>
      </c>
      <c r="H483" s="11" t="str">
        <f aca="false">INDEX('O QUE MOSTRAR'!$E$4:$E$12,MATCH($D483,'O QUE MOSTRAR'!$A$4:$A$12,0))</f>
        <v>2000 × 2000</v>
      </c>
      <c r="I483" s="11" t="str">
        <f aca="false">INDEX('O QUE MOSTRAR'!$F$4:$F$12,MATCH($D483,'O QUE MOSTRAR'!$A$4:$A$12,0))</f>
        <v>SIM</v>
      </c>
      <c r="J483" s="13" t="s">
        <v>303</v>
      </c>
      <c r="K483" s="13"/>
    </row>
    <row r="484" customFormat="false" ht="15" hidden="false" customHeight="false" outlineLevel="0" collapsed="false">
      <c r="A484" s="14" t="s">
        <v>258</v>
      </c>
      <c r="B484" s="11" t="str">
        <f aca="false">INDEX(PRODUTOS!$E$4:$E$63,MATCH($A484,PRODUTOS!$B$4:$B$63,0))</f>
        <v>Granulado Higiênico de Madeira Natural Dots para Pets - Pacote 10 kg</v>
      </c>
      <c r="C484" s="11" t="str">
        <f aca="false">INDEX(PRODUTOS!$G$4:$G$63,MATCH($A484,PRODUTOS!$B$4:$B$63,0))</f>
        <v>10 kg</v>
      </c>
      <c r="D484" s="11" t="s">
        <v>306</v>
      </c>
      <c r="E484" s="15" t="str">
        <f aca="false">$A484&amp;"."&amp;$D484&amp;".jpg"</f>
        <v>7908591300482.PT03.jpg</v>
      </c>
      <c r="F484" s="11" t="str">
        <f aca="false">INDEX('O QUE MOSTRAR'!$B$4:$B$12,MATCH($D484,'O QUE MOSTRAR'!$A$4:$A$12,0))</f>
        <v>Posição 4</v>
      </c>
      <c r="G484" s="11" t="str">
        <f aca="false">IF(INDEX(PRODUTOS!$F$4:$F$63,MATCH($A484,PRODUTOS!$B$4:$B$63,0))="Ração",INDEX('O QUE MOSTRAR'!$C$4:$C$12,MATCH($D484,'O QUE MOSTRAR'!$A$4:$A$12,0)),INDEX('O QUE MOSTRAR'!$D$4:$D$12,MATCH($D484,'O QUE MOSTRAR'!$A$4:$A$12,0)))</f>
        <v>Detalhe e tamanho real (petisco, grânulo ou tapete aberto), com medidas</v>
      </c>
      <c r="H484" s="11" t="str">
        <f aca="false">INDEX('O QUE MOSTRAR'!$E$4:$E$12,MATCH($D484,'O QUE MOSTRAR'!$A$4:$A$12,0))</f>
        <v>2000 × 2000</v>
      </c>
      <c r="I484" s="11" t="str">
        <f aca="false">INDEX('O QUE MOSTRAR'!$F$4:$F$12,MATCH($D484,'O QUE MOSTRAR'!$A$4:$A$12,0))</f>
        <v>SIM</v>
      </c>
      <c r="J484" s="13" t="s">
        <v>303</v>
      </c>
      <c r="K484" s="13"/>
    </row>
    <row r="485" customFormat="false" ht="15" hidden="false" customHeight="false" outlineLevel="0" collapsed="false">
      <c r="A485" s="14" t="s">
        <v>258</v>
      </c>
      <c r="B485" s="11" t="str">
        <f aca="false">INDEX(PRODUTOS!$E$4:$E$63,MATCH($A485,PRODUTOS!$B$4:$B$63,0))</f>
        <v>Granulado Higiênico de Madeira Natural Dots para Pets - Pacote 10 kg</v>
      </c>
      <c r="C485" s="11" t="str">
        <f aca="false">INDEX(PRODUTOS!$G$4:$G$63,MATCH($A485,PRODUTOS!$B$4:$B$63,0))</f>
        <v>10 kg</v>
      </c>
      <c r="D485" s="11" t="s">
        <v>307</v>
      </c>
      <c r="E485" s="15" t="str">
        <f aca="false">$A485&amp;"."&amp;$D485&amp;".jpg"</f>
        <v>7908591300482.PT04.jpg</v>
      </c>
      <c r="F485" s="11" t="str">
        <f aca="false">INDEX('O QUE MOSTRAR'!$B$4:$B$12,MATCH($D485,'O QUE MOSTRAR'!$A$4:$A$12,0))</f>
        <v>Posição 5</v>
      </c>
      <c r="G485" s="11" t="str">
        <f aca="false">IF(INDEX(PRODUTOS!$F$4:$F$63,MATCH($A485,PRODUTOS!$B$4:$B$63,0))="Ração",INDEX('O QUE MOSTRAR'!$C$4:$C$12,MATCH($D485,'O QUE MOSTRAR'!$A$4:$A$12,0)),INDEX('O QUE MOSTRAR'!$D$4:$D$12,MATCH($D485,'O QUE MOSTRAR'!$A$4:$A$12,0)))</f>
        <v>Modo de uso (como oferecer o petisco / como usar o produto)</v>
      </c>
      <c r="H485" s="11" t="str">
        <f aca="false">INDEX('O QUE MOSTRAR'!$E$4:$E$12,MATCH($D485,'O QUE MOSTRAR'!$A$4:$A$12,0))</f>
        <v>2000 × 2000</v>
      </c>
      <c r="I485" s="11" t="str">
        <f aca="false">INDEX('O QUE MOSTRAR'!$F$4:$F$12,MATCH($D485,'O QUE MOSTRAR'!$A$4:$A$12,0))</f>
        <v>SIM</v>
      </c>
      <c r="J485" s="13" t="s">
        <v>303</v>
      </c>
      <c r="K485" s="13"/>
    </row>
    <row r="486" customFormat="false" ht="15" hidden="false" customHeight="false" outlineLevel="0" collapsed="false">
      <c r="A486" s="14" t="s">
        <v>258</v>
      </c>
      <c r="B486" s="11" t="str">
        <f aca="false">INDEX(PRODUTOS!$E$4:$E$63,MATCH($A486,PRODUTOS!$B$4:$B$63,0))</f>
        <v>Granulado Higiênico de Madeira Natural Dots para Pets - Pacote 10 kg</v>
      </c>
      <c r="C486" s="11" t="str">
        <f aca="false">INDEX(PRODUTOS!$G$4:$G$63,MATCH($A486,PRODUTOS!$B$4:$B$63,0))</f>
        <v>10 kg</v>
      </c>
      <c r="D486" s="11" t="s">
        <v>308</v>
      </c>
      <c r="E486" s="15" t="str">
        <f aca="false">$A486&amp;"."&amp;$D486&amp;".jpg"</f>
        <v>7908591300482.PT05.jpg</v>
      </c>
      <c r="F486" s="11" t="str">
        <f aca="false">INDEX('O QUE MOSTRAR'!$B$4:$B$12,MATCH($D486,'O QUE MOSTRAR'!$A$4:$A$12,0))</f>
        <v>Posição 6</v>
      </c>
      <c r="G486" s="11" t="str">
        <f aca="false">IF(INDEX(PRODUTOS!$F$4:$F$63,MATCH($A486,PRODUTOS!$B$4:$B$63,0))="Ração",INDEX('O QUE MOSTRAR'!$C$4:$C$12,MATCH($D486,'O QUE MOSTRAR'!$A$4:$A$12,0)),INDEX('O QUE MOSTRAR'!$D$4:$D$12,MATCH($D486,'O QUE MOSTRAR'!$A$4:$A$12,0)))</f>
        <v>Quantidade por dia ou rendimento do pacote</v>
      </c>
      <c r="H486" s="11" t="str">
        <f aca="false">INDEX('O QUE MOSTRAR'!$E$4:$E$12,MATCH($D486,'O QUE MOSTRAR'!$A$4:$A$12,0))</f>
        <v>2000 × 2000</v>
      </c>
      <c r="I486" s="11" t="str">
        <f aca="false">INDEX('O QUE MOSTRAR'!$F$4:$F$12,MATCH($D486,'O QUE MOSTRAR'!$A$4:$A$12,0))</f>
        <v>Recomendada</v>
      </c>
      <c r="J486" s="13" t="s">
        <v>303</v>
      </c>
      <c r="K486" s="13"/>
    </row>
    <row r="487" customFormat="false" ht="15" hidden="false" customHeight="false" outlineLevel="0" collapsed="false">
      <c r="A487" s="14" t="s">
        <v>258</v>
      </c>
      <c r="B487" s="11" t="str">
        <f aca="false">INDEX(PRODUTOS!$E$4:$E$63,MATCH($A487,PRODUTOS!$B$4:$B$63,0))</f>
        <v>Granulado Higiênico de Madeira Natural Dots para Pets - Pacote 10 kg</v>
      </c>
      <c r="C487" s="11" t="str">
        <f aca="false">INDEX(PRODUTOS!$G$4:$G$63,MATCH($A487,PRODUTOS!$B$4:$B$63,0))</f>
        <v>10 kg</v>
      </c>
      <c r="D487" s="11" t="s">
        <v>309</v>
      </c>
      <c r="E487" s="15" t="str">
        <f aca="false">$A487&amp;"."&amp;$D487&amp;".jpg"</f>
        <v>7908591300482.PT06.jpg</v>
      </c>
      <c r="F487" s="11" t="str">
        <f aca="false">INDEX('O QUE MOSTRAR'!$B$4:$B$12,MATCH($D487,'O QUE MOSTRAR'!$A$4:$A$12,0))</f>
        <v>Posição 7</v>
      </c>
      <c r="G487" s="11" t="str">
        <f aca="false">IF(INDEX(PRODUTOS!$F$4:$F$63,MATCH($A487,PRODUTOS!$B$4:$B$63,0))="Ração",INDEX('O QUE MOSTRAR'!$C$4:$C$12,MATCH($D487,'O QUE MOSTRAR'!$A$4:$A$12,0)),INDEX('O QUE MOSTRAR'!$D$4:$D$12,MATCH($D487,'O QUE MOSTRAR'!$A$4:$A$12,0)))</f>
        <v>Composição/níveis de garantia (petiscos) ou especificações (higiene)</v>
      </c>
      <c r="H487" s="11" t="str">
        <f aca="false">INDEX('O QUE MOSTRAR'!$E$4:$E$12,MATCH($D487,'O QUE MOSTRAR'!$A$4:$A$12,0))</f>
        <v>2000 × 2000</v>
      </c>
      <c r="I487" s="11" t="str">
        <f aca="false">INDEX('O QUE MOSTRAR'!$F$4:$F$12,MATCH($D487,'O QUE MOSTRAR'!$A$4:$A$12,0))</f>
        <v>SIM</v>
      </c>
      <c r="J487" s="13" t="s">
        <v>303</v>
      </c>
      <c r="K487" s="13"/>
    </row>
    <row r="488" customFormat="false" ht="15" hidden="false" customHeight="false" outlineLevel="0" collapsed="false">
      <c r="A488" s="14" t="s">
        <v>258</v>
      </c>
      <c r="B488" s="11" t="str">
        <f aca="false">INDEX(PRODUTOS!$E$4:$E$63,MATCH($A488,PRODUTOS!$B$4:$B$63,0))</f>
        <v>Granulado Higiênico de Madeira Natural Dots para Pets - Pacote 10 kg</v>
      </c>
      <c r="C488" s="11" t="str">
        <f aca="false">INDEX(PRODUTOS!$G$4:$G$63,MATCH($A488,PRODUTOS!$B$4:$B$63,0))</f>
        <v>10 kg</v>
      </c>
      <c r="D488" s="11" t="s">
        <v>310</v>
      </c>
      <c r="E488" s="15" t="str">
        <f aca="false">$A488&amp;"."&amp;$D488&amp;".jpg"</f>
        <v>7908591300482.PT07.jpg</v>
      </c>
      <c r="F488" s="11" t="str">
        <f aca="false">INDEX('O QUE MOSTRAR'!$B$4:$B$12,MATCH($D488,'O QUE MOSTRAR'!$A$4:$A$12,0))</f>
        <v>Posição 8</v>
      </c>
      <c r="G488" s="11" t="str">
        <f aca="false">IF(INDEX(PRODUTOS!$F$4:$F$63,MATCH($A488,PRODUTOS!$B$4:$B$63,0))="Ração",INDEX('O QUE MOSTRAR'!$C$4:$C$12,MATCH($D488,'O QUE MOSTRAR'!$A$4:$A$12,0)),INDEX('O QUE MOSTRAR'!$D$4:$D$12,MATCH($D488,'O QUE MOSTRAR'!$A$4:$A$12,0)))</f>
        <v>Emocional / momento de uso</v>
      </c>
      <c r="H488" s="11" t="str">
        <f aca="false">INDEX('O QUE MOSTRAR'!$E$4:$E$12,MATCH($D488,'O QUE MOSTRAR'!$A$4:$A$12,0))</f>
        <v>2000 × 2000</v>
      </c>
      <c r="I488" s="11" t="str">
        <f aca="false">INDEX('O QUE MOSTRAR'!$F$4:$F$12,MATCH($D488,'O QUE MOSTRAR'!$A$4:$A$12,0))</f>
        <v>Recomendada</v>
      </c>
      <c r="J488" s="13" t="s">
        <v>303</v>
      </c>
      <c r="K488" s="13"/>
    </row>
    <row r="489" customFormat="false" ht="15" hidden="false" customHeight="false" outlineLevel="0" collapsed="false">
      <c r="A489" s="14" t="s">
        <v>258</v>
      </c>
      <c r="B489" s="11" t="str">
        <f aca="false">INDEX(PRODUTOS!$E$4:$E$63,MATCH($A489,PRODUTOS!$B$4:$B$63,0))</f>
        <v>Granulado Higiênico de Madeira Natural Dots para Pets - Pacote 10 kg</v>
      </c>
      <c r="C489" s="11" t="str">
        <f aca="false">INDEX(PRODUTOS!$G$4:$G$63,MATCH($A489,PRODUTOS!$B$4:$B$63,0))</f>
        <v>10 kg</v>
      </c>
      <c r="D489" s="11" t="s">
        <v>311</v>
      </c>
      <c r="E489" s="15" t="str">
        <f aca="false">$A489&amp;"."&amp;$D489&amp;".jpg"</f>
        <v>7908591300482.PT08.jpg</v>
      </c>
      <c r="F489" s="11" t="str">
        <f aca="false">INDEX('O QUE MOSTRAR'!$B$4:$B$12,MATCH($D489,'O QUE MOSTRAR'!$A$4:$A$12,0))</f>
        <v>Posição 9</v>
      </c>
      <c r="G489" s="11" t="str">
        <f aca="false">IF(INDEX(PRODUTOS!$F$4:$F$63,MATCH($A489,PRODUTOS!$B$4:$B$63,0))="Ração",INDEX('O QUE MOSTRAR'!$C$4:$C$12,MATCH($D489,'O QUE MOSTRAR'!$A$4:$A$12,0)),INDEX('O QUE MOSTRAR'!$D$4:$D$12,MATCH($D489,'O QUE MOSTRAR'!$A$4:$A$12,0)))</f>
        <v>Linha da marca ("conheça também")</v>
      </c>
      <c r="H489" s="11" t="str">
        <f aca="false">INDEX('O QUE MOSTRAR'!$E$4:$E$12,MATCH($D489,'O QUE MOSTRAR'!$A$4:$A$12,0))</f>
        <v>2000 × 2000</v>
      </c>
      <c r="I489" s="11" t="str">
        <f aca="false">INDEX('O QUE MOSTRAR'!$F$4:$F$12,MATCH($D489,'O QUE MOSTRAR'!$A$4:$A$12,0))</f>
        <v>Recomendada</v>
      </c>
      <c r="J489" s="13" t="s">
        <v>303</v>
      </c>
      <c r="K489" s="13"/>
    </row>
    <row r="490" customFormat="false" ht="15" hidden="false" customHeight="false" outlineLevel="0" collapsed="false">
      <c r="A490" s="14" t="s">
        <v>263</v>
      </c>
      <c r="B490" s="11" t="str">
        <f aca="false">INDEX(PRODUTOS!$E$4:$E$63,MATCH($A490,PRODUTOS!$B$4:$B$63,0))</f>
        <v>Granulado Higiênico de Madeira Natural Dots para Pets - Pacote 2 kg</v>
      </c>
      <c r="C490" s="11" t="str">
        <f aca="false">INDEX(PRODUTOS!$G$4:$G$63,MATCH($A490,PRODUTOS!$B$4:$B$63,0))</f>
        <v>2 kg</v>
      </c>
      <c r="D490" s="11" t="s">
        <v>302</v>
      </c>
      <c r="E490" s="15" t="str">
        <f aca="false">$A490&amp;"."&amp;$D490&amp;".jpg"</f>
        <v>7908591300024.MAIN.jpg</v>
      </c>
      <c r="F490" s="11" t="str">
        <f aca="false">INDEX('O QUE MOSTRAR'!$B$4:$B$12,MATCH($D490,'O QUE MOSTRAR'!$A$4:$A$12,0))</f>
        <v>Capa (posição 1)</v>
      </c>
      <c r="G490" s="11" t="str">
        <f aca="false">IF(INDEX(PRODUTOS!$F$4:$F$63,MATCH($A490,PRODUTOS!$B$4:$B$63,0))="Ração",INDEX('O QUE MOSTRAR'!$C$4:$C$12,MATCH($D490,'O QUE MOSTRAR'!$A$4:$A$12,0)),INDEX('O QUE MOSTRAR'!$D$4:$D$12,MATCH($D490,'O QUE MOSTRAR'!$A$4:$A$12,0)))</f>
        <v>Embalagem de frente, fundo branco puro, 85% da área, nada adicionado</v>
      </c>
      <c r="H490" s="11" t="str">
        <f aca="false">INDEX('O QUE MOSTRAR'!$E$4:$E$12,MATCH($D490,'O QUE MOSTRAR'!$A$4:$A$12,0))</f>
        <v>2000 × 2000</v>
      </c>
      <c r="I490" s="11" t="str">
        <f aca="false">INDEX('O QUE MOSTRAR'!$F$4:$F$12,MATCH($D490,'O QUE MOSTRAR'!$A$4:$A$12,0))</f>
        <v>SIM</v>
      </c>
      <c r="J490" s="13" t="s">
        <v>303</v>
      </c>
      <c r="K490" s="13"/>
    </row>
    <row r="491" customFormat="false" ht="15" hidden="false" customHeight="false" outlineLevel="0" collapsed="false">
      <c r="A491" s="14" t="s">
        <v>263</v>
      </c>
      <c r="B491" s="11" t="str">
        <f aca="false">INDEX(PRODUTOS!$E$4:$E$63,MATCH($A491,PRODUTOS!$B$4:$B$63,0))</f>
        <v>Granulado Higiênico de Madeira Natural Dots para Pets - Pacote 2 kg</v>
      </c>
      <c r="C491" s="11" t="str">
        <f aca="false">INDEX(PRODUTOS!$G$4:$G$63,MATCH($A491,PRODUTOS!$B$4:$B$63,0))</f>
        <v>2 kg</v>
      </c>
      <c r="D491" s="11" t="s">
        <v>304</v>
      </c>
      <c r="E491" s="15" t="str">
        <f aca="false">$A491&amp;"."&amp;$D491&amp;".jpg"</f>
        <v>7908591300024.PT01.jpg</v>
      </c>
      <c r="F491" s="11" t="str">
        <f aca="false">INDEX('O QUE MOSTRAR'!$B$4:$B$12,MATCH($D491,'O QUE MOSTRAR'!$A$4:$A$12,0))</f>
        <v>Posição 2</v>
      </c>
      <c r="G491" s="11" t="str">
        <f aca="false">IF(INDEX(PRODUTOS!$F$4:$F$63,MATCH($A491,PRODUTOS!$B$4:$B$63,0))="Ração",INDEX('O QUE MOSTRAR'!$C$4:$C$12,MATCH($D491,'O QUE MOSTRAR'!$A$4:$A$12,0)),INDEX('O QUE MOSTRAR'!$D$4:$D$12,MATCH($D491,'O QUE MOSTRAR'!$A$4:$A$12,0)))</f>
        <v>Grande diferencial (ex.: natural, biodegradável, perfumado)</v>
      </c>
      <c r="H491" s="11" t="str">
        <f aca="false">INDEX('O QUE MOSTRAR'!$E$4:$E$12,MATCH($D491,'O QUE MOSTRAR'!$A$4:$A$12,0))</f>
        <v>2000 × 2000</v>
      </c>
      <c r="I491" s="11" t="str">
        <f aca="false">INDEX('O QUE MOSTRAR'!$F$4:$F$12,MATCH($D491,'O QUE MOSTRAR'!$A$4:$A$12,0))</f>
        <v>SIM</v>
      </c>
      <c r="J491" s="13" t="s">
        <v>303</v>
      </c>
      <c r="K491" s="13"/>
    </row>
    <row r="492" customFormat="false" ht="15" hidden="false" customHeight="false" outlineLevel="0" collapsed="false">
      <c r="A492" s="14" t="s">
        <v>263</v>
      </c>
      <c r="B492" s="11" t="str">
        <f aca="false">INDEX(PRODUTOS!$E$4:$E$63,MATCH($A492,PRODUTOS!$B$4:$B$63,0))</f>
        <v>Granulado Higiênico de Madeira Natural Dots para Pets - Pacote 2 kg</v>
      </c>
      <c r="C492" s="11" t="str">
        <f aca="false">INDEX(PRODUTOS!$G$4:$G$63,MATCH($A492,PRODUTOS!$B$4:$B$63,0))</f>
        <v>2 kg</v>
      </c>
      <c r="D492" s="11" t="s">
        <v>305</v>
      </c>
      <c r="E492" s="15" t="str">
        <f aca="false">$A492&amp;"."&amp;$D492&amp;".jpg"</f>
        <v>7908591300024.PT02.jpg</v>
      </c>
      <c r="F492" s="11" t="str">
        <f aca="false">INDEX('O QUE MOSTRAR'!$B$4:$B$12,MATCH($D492,'O QUE MOSTRAR'!$A$4:$A$12,0))</f>
        <v>Posição 3</v>
      </c>
      <c r="G492" s="11" t="str">
        <f aca="false">IF(INDEX(PRODUTOS!$F$4:$F$63,MATCH($A492,PRODUTOS!$B$4:$B$63,0))="Ração",INDEX('O QUE MOSTRAR'!$C$4:$C$12,MATCH($D492,'O QUE MOSTRAR'!$A$4:$A$12,0)),INDEX('O QUE MOSTRAR'!$D$4:$D$12,MATCH($D492,'O QUE MOSTRAR'!$A$4:$A$12,0)))</f>
        <v>Benefícios com ícones (4 a 6, impressos na embalagem)</v>
      </c>
      <c r="H492" s="11" t="str">
        <f aca="false">INDEX('O QUE MOSTRAR'!$E$4:$E$12,MATCH($D492,'O QUE MOSTRAR'!$A$4:$A$12,0))</f>
        <v>2000 × 2000</v>
      </c>
      <c r="I492" s="11" t="str">
        <f aca="false">INDEX('O QUE MOSTRAR'!$F$4:$F$12,MATCH($D492,'O QUE MOSTRAR'!$A$4:$A$12,0))</f>
        <v>SIM</v>
      </c>
      <c r="J492" s="13" t="s">
        <v>303</v>
      </c>
      <c r="K492" s="13"/>
    </row>
    <row r="493" customFormat="false" ht="15" hidden="false" customHeight="false" outlineLevel="0" collapsed="false">
      <c r="A493" s="14" t="s">
        <v>263</v>
      </c>
      <c r="B493" s="11" t="str">
        <f aca="false">INDEX(PRODUTOS!$E$4:$E$63,MATCH($A493,PRODUTOS!$B$4:$B$63,0))</f>
        <v>Granulado Higiênico de Madeira Natural Dots para Pets - Pacote 2 kg</v>
      </c>
      <c r="C493" s="11" t="str">
        <f aca="false">INDEX(PRODUTOS!$G$4:$G$63,MATCH($A493,PRODUTOS!$B$4:$B$63,0))</f>
        <v>2 kg</v>
      </c>
      <c r="D493" s="11" t="s">
        <v>306</v>
      </c>
      <c r="E493" s="15" t="str">
        <f aca="false">$A493&amp;"."&amp;$D493&amp;".jpg"</f>
        <v>7908591300024.PT03.jpg</v>
      </c>
      <c r="F493" s="11" t="str">
        <f aca="false">INDEX('O QUE MOSTRAR'!$B$4:$B$12,MATCH($D493,'O QUE MOSTRAR'!$A$4:$A$12,0))</f>
        <v>Posição 4</v>
      </c>
      <c r="G493" s="11" t="str">
        <f aca="false">IF(INDEX(PRODUTOS!$F$4:$F$63,MATCH($A493,PRODUTOS!$B$4:$B$63,0))="Ração",INDEX('O QUE MOSTRAR'!$C$4:$C$12,MATCH($D493,'O QUE MOSTRAR'!$A$4:$A$12,0)),INDEX('O QUE MOSTRAR'!$D$4:$D$12,MATCH($D493,'O QUE MOSTRAR'!$A$4:$A$12,0)))</f>
        <v>Detalhe e tamanho real (petisco, grânulo ou tapete aberto), com medidas</v>
      </c>
      <c r="H493" s="11" t="str">
        <f aca="false">INDEX('O QUE MOSTRAR'!$E$4:$E$12,MATCH($D493,'O QUE MOSTRAR'!$A$4:$A$12,0))</f>
        <v>2000 × 2000</v>
      </c>
      <c r="I493" s="11" t="str">
        <f aca="false">INDEX('O QUE MOSTRAR'!$F$4:$F$12,MATCH($D493,'O QUE MOSTRAR'!$A$4:$A$12,0))</f>
        <v>SIM</v>
      </c>
      <c r="J493" s="13" t="s">
        <v>303</v>
      </c>
      <c r="K493" s="13"/>
    </row>
    <row r="494" customFormat="false" ht="15" hidden="false" customHeight="false" outlineLevel="0" collapsed="false">
      <c r="A494" s="14" t="s">
        <v>263</v>
      </c>
      <c r="B494" s="11" t="str">
        <f aca="false">INDEX(PRODUTOS!$E$4:$E$63,MATCH($A494,PRODUTOS!$B$4:$B$63,0))</f>
        <v>Granulado Higiênico de Madeira Natural Dots para Pets - Pacote 2 kg</v>
      </c>
      <c r="C494" s="11" t="str">
        <f aca="false">INDEX(PRODUTOS!$G$4:$G$63,MATCH($A494,PRODUTOS!$B$4:$B$63,0))</f>
        <v>2 kg</v>
      </c>
      <c r="D494" s="11" t="s">
        <v>307</v>
      </c>
      <c r="E494" s="15" t="str">
        <f aca="false">$A494&amp;"."&amp;$D494&amp;".jpg"</f>
        <v>7908591300024.PT04.jpg</v>
      </c>
      <c r="F494" s="11" t="str">
        <f aca="false">INDEX('O QUE MOSTRAR'!$B$4:$B$12,MATCH($D494,'O QUE MOSTRAR'!$A$4:$A$12,0))</f>
        <v>Posição 5</v>
      </c>
      <c r="G494" s="11" t="str">
        <f aca="false">IF(INDEX(PRODUTOS!$F$4:$F$63,MATCH($A494,PRODUTOS!$B$4:$B$63,0))="Ração",INDEX('O QUE MOSTRAR'!$C$4:$C$12,MATCH($D494,'O QUE MOSTRAR'!$A$4:$A$12,0)),INDEX('O QUE MOSTRAR'!$D$4:$D$12,MATCH($D494,'O QUE MOSTRAR'!$A$4:$A$12,0)))</f>
        <v>Modo de uso (como oferecer o petisco / como usar o produto)</v>
      </c>
      <c r="H494" s="11" t="str">
        <f aca="false">INDEX('O QUE MOSTRAR'!$E$4:$E$12,MATCH($D494,'O QUE MOSTRAR'!$A$4:$A$12,0))</f>
        <v>2000 × 2000</v>
      </c>
      <c r="I494" s="11" t="str">
        <f aca="false">INDEX('O QUE MOSTRAR'!$F$4:$F$12,MATCH($D494,'O QUE MOSTRAR'!$A$4:$A$12,0))</f>
        <v>SIM</v>
      </c>
      <c r="J494" s="13" t="s">
        <v>303</v>
      </c>
      <c r="K494" s="13"/>
    </row>
    <row r="495" customFormat="false" ht="15" hidden="false" customHeight="false" outlineLevel="0" collapsed="false">
      <c r="A495" s="14" t="s">
        <v>263</v>
      </c>
      <c r="B495" s="11" t="str">
        <f aca="false">INDEX(PRODUTOS!$E$4:$E$63,MATCH($A495,PRODUTOS!$B$4:$B$63,0))</f>
        <v>Granulado Higiênico de Madeira Natural Dots para Pets - Pacote 2 kg</v>
      </c>
      <c r="C495" s="11" t="str">
        <f aca="false">INDEX(PRODUTOS!$G$4:$G$63,MATCH($A495,PRODUTOS!$B$4:$B$63,0))</f>
        <v>2 kg</v>
      </c>
      <c r="D495" s="11" t="s">
        <v>308</v>
      </c>
      <c r="E495" s="15" t="str">
        <f aca="false">$A495&amp;"."&amp;$D495&amp;".jpg"</f>
        <v>7908591300024.PT05.jpg</v>
      </c>
      <c r="F495" s="11" t="str">
        <f aca="false">INDEX('O QUE MOSTRAR'!$B$4:$B$12,MATCH($D495,'O QUE MOSTRAR'!$A$4:$A$12,0))</f>
        <v>Posição 6</v>
      </c>
      <c r="G495" s="11" t="str">
        <f aca="false">IF(INDEX(PRODUTOS!$F$4:$F$63,MATCH($A495,PRODUTOS!$B$4:$B$63,0))="Ração",INDEX('O QUE MOSTRAR'!$C$4:$C$12,MATCH($D495,'O QUE MOSTRAR'!$A$4:$A$12,0)),INDEX('O QUE MOSTRAR'!$D$4:$D$12,MATCH($D495,'O QUE MOSTRAR'!$A$4:$A$12,0)))</f>
        <v>Quantidade por dia ou rendimento do pacote</v>
      </c>
      <c r="H495" s="11" t="str">
        <f aca="false">INDEX('O QUE MOSTRAR'!$E$4:$E$12,MATCH($D495,'O QUE MOSTRAR'!$A$4:$A$12,0))</f>
        <v>2000 × 2000</v>
      </c>
      <c r="I495" s="11" t="str">
        <f aca="false">INDEX('O QUE MOSTRAR'!$F$4:$F$12,MATCH($D495,'O QUE MOSTRAR'!$A$4:$A$12,0))</f>
        <v>Recomendada</v>
      </c>
      <c r="J495" s="13" t="s">
        <v>303</v>
      </c>
      <c r="K495" s="13"/>
    </row>
    <row r="496" customFormat="false" ht="15" hidden="false" customHeight="false" outlineLevel="0" collapsed="false">
      <c r="A496" s="14" t="s">
        <v>263</v>
      </c>
      <c r="B496" s="11" t="str">
        <f aca="false">INDEX(PRODUTOS!$E$4:$E$63,MATCH($A496,PRODUTOS!$B$4:$B$63,0))</f>
        <v>Granulado Higiênico de Madeira Natural Dots para Pets - Pacote 2 kg</v>
      </c>
      <c r="C496" s="11" t="str">
        <f aca="false">INDEX(PRODUTOS!$G$4:$G$63,MATCH($A496,PRODUTOS!$B$4:$B$63,0))</f>
        <v>2 kg</v>
      </c>
      <c r="D496" s="11" t="s">
        <v>309</v>
      </c>
      <c r="E496" s="15" t="str">
        <f aca="false">$A496&amp;"."&amp;$D496&amp;".jpg"</f>
        <v>7908591300024.PT06.jpg</v>
      </c>
      <c r="F496" s="11" t="str">
        <f aca="false">INDEX('O QUE MOSTRAR'!$B$4:$B$12,MATCH($D496,'O QUE MOSTRAR'!$A$4:$A$12,0))</f>
        <v>Posição 7</v>
      </c>
      <c r="G496" s="11" t="str">
        <f aca="false">IF(INDEX(PRODUTOS!$F$4:$F$63,MATCH($A496,PRODUTOS!$B$4:$B$63,0))="Ração",INDEX('O QUE MOSTRAR'!$C$4:$C$12,MATCH($D496,'O QUE MOSTRAR'!$A$4:$A$12,0)),INDEX('O QUE MOSTRAR'!$D$4:$D$12,MATCH($D496,'O QUE MOSTRAR'!$A$4:$A$12,0)))</f>
        <v>Composição/níveis de garantia (petiscos) ou especificações (higiene)</v>
      </c>
      <c r="H496" s="11" t="str">
        <f aca="false">INDEX('O QUE MOSTRAR'!$E$4:$E$12,MATCH($D496,'O QUE MOSTRAR'!$A$4:$A$12,0))</f>
        <v>2000 × 2000</v>
      </c>
      <c r="I496" s="11" t="str">
        <f aca="false">INDEX('O QUE MOSTRAR'!$F$4:$F$12,MATCH($D496,'O QUE MOSTRAR'!$A$4:$A$12,0))</f>
        <v>SIM</v>
      </c>
      <c r="J496" s="13" t="s">
        <v>303</v>
      </c>
      <c r="K496" s="13"/>
    </row>
    <row r="497" customFormat="false" ht="15" hidden="false" customHeight="false" outlineLevel="0" collapsed="false">
      <c r="A497" s="14" t="s">
        <v>263</v>
      </c>
      <c r="B497" s="11" t="str">
        <f aca="false">INDEX(PRODUTOS!$E$4:$E$63,MATCH($A497,PRODUTOS!$B$4:$B$63,0))</f>
        <v>Granulado Higiênico de Madeira Natural Dots para Pets - Pacote 2 kg</v>
      </c>
      <c r="C497" s="11" t="str">
        <f aca="false">INDEX(PRODUTOS!$G$4:$G$63,MATCH($A497,PRODUTOS!$B$4:$B$63,0))</f>
        <v>2 kg</v>
      </c>
      <c r="D497" s="11" t="s">
        <v>310</v>
      </c>
      <c r="E497" s="15" t="str">
        <f aca="false">$A497&amp;"."&amp;$D497&amp;".jpg"</f>
        <v>7908591300024.PT07.jpg</v>
      </c>
      <c r="F497" s="11" t="str">
        <f aca="false">INDEX('O QUE MOSTRAR'!$B$4:$B$12,MATCH($D497,'O QUE MOSTRAR'!$A$4:$A$12,0))</f>
        <v>Posição 8</v>
      </c>
      <c r="G497" s="11" t="str">
        <f aca="false">IF(INDEX(PRODUTOS!$F$4:$F$63,MATCH($A497,PRODUTOS!$B$4:$B$63,0))="Ração",INDEX('O QUE MOSTRAR'!$C$4:$C$12,MATCH($D497,'O QUE MOSTRAR'!$A$4:$A$12,0)),INDEX('O QUE MOSTRAR'!$D$4:$D$12,MATCH($D497,'O QUE MOSTRAR'!$A$4:$A$12,0)))</f>
        <v>Emocional / momento de uso</v>
      </c>
      <c r="H497" s="11" t="str">
        <f aca="false">INDEX('O QUE MOSTRAR'!$E$4:$E$12,MATCH($D497,'O QUE MOSTRAR'!$A$4:$A$12,0))</f>
        <v>2000 × 2000</v>
      </c>
      <c r="I497" s="11" t="str">
        <f aca="false">INDEX('O QUE MOSTRAR'!$F$4:$F$12,MATCH($D497,'O QUE MOSTRAR'!$A$4:$A$12,0))</f>
        <v>Recomendada</v>
      </c>
      <c r="J497" s="13" t="s">
        <v>303</v>
      </c>
      <c r="K497" s="13"/>
    </row>
    <row r="498" customFormat="false" ht="15" hidden="false" customHeight="false" outlineLevel="0" collapsed="false">
      <c r="A498" s="14" t="s">
        <v>263</v>
      </c>
      <c r="B498" s="11" t="str">
        <f aca="false">INDEX(PRODUTOS!$E$4:$E$63,MATCH($A498,PRODUTOS!$B$4:$B$63,0))</f>
        <v>Granulado Higiênico de Madeira Natural Dots para Pets - Pacote 2 kg</v>
      </c>
      <c r="C498" s="11" t="str">
        <f aca="false">INDEX(PRODUTOS!$G$4:$G$63,MATCH($A498,PRODUTOS!$B$4:$B$63,0))</f>
        <v>2 kg</v>
      </c>
      <c r="D498" s="11" t="s">
        <v>311</v>
      </c>
      <c r="E498" s="15" t="str">
        <f aca="false">$A498&amp;"."&amp;$D498&amp;".jpg"</f>
        <v>7908591300024.PT08.jpg</v>
      </c>
      <c r="F498" s="11" t="str">
        <f aca="false">INDEX('O QUE MOSTRAR'!$B$4:$B$12,MATCH($D498,'O QUE MOSTRAR'!$A$4:$A$12,0))</f>
        <v>Posição 9</v>
      </c>
      <c r="G498" s="11" t="str">
        <f aca="false">IF(INDEX(PRODUTOS!$F$4:$F$63,MATCH($A498,PRODUTOS!$B$4:$B$63,0))="Ração",INDEX('O QUE MOSTRAR'!$C$4:$C$12,MATCH($D498,'O QUE MOSTRAR'!$A$4:$A$12,0)),INDEX('O QUE MOSTRAR'!$D$4:$D$12,MATCH($D498,'O QUE MOSTRAR'!$A$4:$A$12,0)))</f>
        <v>Linha da marca ("conheça também")</v>
      </c>
      <c r="H498" s="11" t="str">
        <f aca="false">INDEX('O QUE MOSTRAR'!$E$4:$E$12,MATCH($D498,'O QUE MOSTRAR'!$A$4:$A$12,0))</f>
        <v>2000 × 2000</v>
      </c>
      <c r="I498" s="11" t="str">
        <f aca="false">INDEX('O QUE MOSTRAR'!$F$4:$F$12,MATCH($D498,'O QUE MOSTRAR'!$A$4:$A$12,0))</f>
        <v>Recomendada</v>
      </c>
      <c r="J498" s="13" t="s">
        <v>303</v>
      </c>
      <c r="K498" s="13"/>
    </row>
    <row r="499" customFormat="false" ht="15" hidden="false" customHeight="false" outlineLevel="0" collapsed="false">
      <c r="A499" s="14" t="s">
        <v>268</v>
      </c>
      <c r="B499" s="11" t="str">
        <f aca="false">INDEX(PRODUTOS!$E$4:$E$63,MATCH($A499,PRODUTOS!$B$4:$B$63,0))</f>
        <v>Granulado Sanitário Natural Dots de Bentonita Perfumada - Pacote 4 kg</v>
      </c>
      <c r="C499" s="11" t="str">
        <f aca="false">INDEX(PRODUTOS!$G$4:$G$63,MATCH($A499,PRODUTOS!$B$4:$B$63,0))</f>
        <v>4 kg</v>
      </c>
      <c r="D499" s="11" t="s">
        <v>302</v>
      </c>
      <c r="E499" s="15" t="str">
        <f aca="false">$A499&amp;"."&amp;$D499&amp;".jpg"</f>
        <v>7898968541924.MAIN.jpg</v>
      </c>
      <c r="F499" s="11" t="str">
        <f aca="false">INDEX('O QUE MOSTRAR'!$B$4:$B$12,MATCH($D499,'O QUE MOSTRAR'!$A$4:$A$12,0))</f>
        <v>Capa (posição 1)</v>
      </c>
      <c r="G499" s="11" t="str">
        <f aca="false">IF(INDEX(PRODUTOS!$F$4:$F$63,MATCH($A499,PRODUTOS!$B$4:$B$63,0))="Ração",INDEX('O QUE MOSTRAR'!$C$4:$C$12,MATCH($D499,'O QUE MOSTRAR'!$A$4:$A$12,0)),INDEX('O QUE MOSTRAR'!$D$4:$D$12,MATCH($D499,'O QUE MOSTRAR'!$A$4:$A$12,0)))</f>
        <v>Embalagem de frente, fundo branco puro, 85% da área, nada adicionado</v>
      </c>
      <c r="H499" s="11" t="str">
        <f aca="false">INDEX('O QUE MOSTRAR'!$E$4:$E$12,MATCH($D499,'O QUE MOSTRAR'!$A$4:$A$12,0))</f>
        <v>2000 × 2000</v>
      </c>
      <c r="I499" s="11" t="str">
        <f aca="false">INDEX('O QUE MOSTRAR'!$F$4:$F$12,MATCH($D499,'O QUE MOSTRAR'!$A$4:$A$12,0))</f>
        <v>SIM</v>
      </c>
      <c r="J499" s="13" t="s">
        <v>303</v>
      </c>
      <c r="K499" s="13"/>
    </row>
    <row r="500" customFormat="false" ht="15" hidden="false" customHeight="false" outlineLevel="0" collapsed="false">
      <c r="A500" s="14" t="s">
        <v>268</v>
      </c>
      <c r="B500" s="11" t="str">
        <f aca="false">INDEX(PRODUTOS!$E$4:$E$63,MATCH($A500,PRODUTOS!$B$4:$B$63,0))</f>
        <v>Granulado Sanitário Natural Dots de Bentonita Perfumada - Pacote 4 kg</v>
      </c>
      <c r="C500" s="11" t="str">
        <f aca="false">INDEX(PRODUTOS!$G$4:$G$63,MATCH($A500,PRODUTOS!$B$4:$B$63,0))</f>
        <v>4 kg</v>
      </c>
      <c r="D500" s="11" t="s">
        <v>304</v>
      </c>
      <c r="E500" s="15" t="str">
        <f aca="false">$A500&amp;"."&amp;$D500&amp;".jpg"</f>
        <v>7898968541924.PT01.jpg</v>
      </c>
      <c r="F500" s="11" t="str">
        <f aca="false">INDEX('O QUE MOSTRAR'!$B$4:$B$12,MATCH($D500,'O QUE MOSTRAR'!$A$4:$A$12,0))</f>
        <v>Posição 2</v>
      </c>
      <c r="G500" s="11" t="str">
        <f aca="false">IF(INDEX(PRODUTOS!$F$4:$F$63,MATCH($A500,PRODUTOS!$B$4:$B$63,0))="Ração",INDEX('O QUE MOSTRAR'!$C$4:$C$12,MATCH($D500,'O QUE MOSTRAR'!$A$4:$A$12,0)),INDEX('O QUE MOSTRAR'!$D$4:$D$12,MATCH($D500,'O QUE MOSTRAR'!$A$4:$A$12,0)))</f>
        <v>Grande diferencial (ex.: natural, biodegradável, perfumado)</v>
      </c>
      <c r="H500" s="11" t="str">
        <f aca="false">INDEX('O QUE MOSTRAR'!$E$4:$E$12,MATCH($D500,'O QUE MOSTRAR'!$A$4:$A$12,0))</f>
        <v>2000 × 2000</v>
      </c>
      <c r="I500" s="11" t="str">
        <f aca="false">INDEX('O QUE MOSTRAR'!$F$4:$F$12,MATCH($D500,'O QUE MOSTRAR'!$A$4:$A$12,0))</f>
        <v>SIM</v>
      </c>
      <c r="J500" s="13" t="s">
        <v>303</v>
      </c>
      <c r="K500" s="13"/>
    </row>
    <row r="501" customFormat="false" ht="15" hidden="false" customHeight="false" outlineLevel="0" collapsed="false">
      <c r="A501" s="14" t="s">
        <v>268</v>
      </c>
      <c r="B501" s="11" t="str">
        <f aca="false">INDEX(PRODUTOS!$E$4:$E$63,MATCH($A501,PRODUTOS!$B$4:$B$63,0))</f>
        <v>Granulado Sanitário Natural Dots de Bentonita Perfumada - Pacote 4 kg</v>
      </c>
      <c r="C501" s="11" t="str">
        <f aca="false">INDEX(PRODUTOS!$G$4:$G$63,MATCH($A501,PRODUTOS!$B$4:$B$63,0))</f>
        <v>4 kg</v>
      </c>
      <c r="D501" s="11" t="s">
        <v>305</v>
      </c>
      <c r="E501" s="15" t="str">
        <f aca="false">$A501&amp;"."&amp;$D501&amp;".jpg"</f>
        <v>7898968541924.PT02.jpg</v>
      </c>
      <c r="F501" s="11" t="str">
        <f aca="false">INDEX('O QUE MOSTRAR'!$B$4:$B$12,MATCH($D501,'O QUE MOSTRAR'!$A$4:$A$12,0))</f>
        <v>Posição 3</v>
      </c>
      <c r="G501" s="11" t="str">
        <f aca="false">IF(INDEX(PRODUTOS!$F$4:$F$63,MATCH($A501,PRODUTOS!$B$4:$B$63,0))="Ração",INDEX('O QUE MOSTRAR'!$C$4:$C$12,MATCH($D501,'O QUE MOSTRAR'!$A$4:$A$12,0)),INDEX('O QUE MOSTRAR'!$D$4:$D$12,MATCH($D501,'O QUE MOSTRAR'!$A$4:$A$12,0)))</f>
        <v>Benefícios com ícones (4 a 6, impressos na embalagem)</v>
      </c>
      <c r="H501" s="11" t="str">
        <f aca="false">INDEX('O QUE MOSTRAR'!$E$4:$E$12,MATCH($D501,'O QUE MOSTRAR'!$A$4:$A$12,0))</f>
        <v>2000 × 2000</v>
      </c>
      <c r="I501" s="11" t="str">
        <f aca="false">INDEX('O QUE MOSTRAR'!$F$4:$F$12,MATCH($D501,'O QUE MOSTRAR'!$A$4:$A$12,0))</f>
        <v>SIM</v>
      </c>
      <c r="J501" s="13" t="s">
        <v>303</v>
      </c>
      <c r="K501" s="13"/>
    </row>
    <row r="502" customFormat="false" ht="15" hidden="false" customHeight="false" outlineLevel="0" collapsed="false">
      <c r="A502" s="14" t="s">
        <v>268</v>
      </c>
      <c r="B502" s="11" t="str">
        <f aca="false">INDEX(PRODUTOS!$E$4:$E$63,MATCH($A502,PRODUTOS!$B$4:$B$63,0))</f>
        <v>Granulado Sanitário Natural Dots de Bentonita Perfumada - Pacote 4 kg</v>
      </c>
      <c r="C502" s="11" t="str">
        <f aca="false">INDEX(PRODUTOS!$G$4:$G$63,MATCH($A502,PRODUTOS!$B$4:$B$63,0))</f>
        <v>4 kg</v>
      </c>
      <c r="D502" s="11" t="s">
        <v>306</v>
      </c>
      <c r="E502" s="15" t="str">
        <f aca="false">$A502&amp;"."&amp;$D502&amp;".jpg"</f>
        <v>7898968541924.PT03.jpg</v>
      </c>
      <c r="F502" s="11" t="str">
        <f aca="false">INDEX('O QUE MOSTRAR'!$B$4:$B$12,MATCH($D502,'O QUE MOSTRAR'!$A$4:$A$12,0))</f>
        <v>Posição 4</v>
      </c>
      <c r="G502" s="11" t="str">
        <f aca="false">IF(INDEX(PRODUTOS!$F$4:$F$63,MATCH($A502,PRODUTOS!$B$4:$B$63,0))="Ração",INDEX('O QUE MOSTRAR'!$C$4:$C$12,MATCH($D502,'O QUE MOSTRAR'!$A$4:$A$12,0)),INDEX('O QUE MOSTRAR'!$D$4:$D$12,MATCH($D502,'O QUE MOSTRAR'!$A$4:$A$12,0)))</f>
        <v>Detalhe e tamanho real (petisco, grânulo ou tapete aberto), com medidas</v>
      </c>
      <c r="H502" s="11" t="str">
        <f aca="false">INDEX('O QUE MOSTRAR'!$E$4:$E$12,MATCH($D502,'O QUE MOSTRAR'!$A$4:$A$12,0))</f>
        <v>2000 × 2000</v>
      </c>
      <c r="I502" s="11" t="str">
        <f aca="false">INDEX('O QUE MOSTRAR'!$F$4:$F$12,MATCH($D502,'O QUE MOSTRAR'!$A$4:$A$12,0))</f>
        <v>SIM</v>
      </c>
      <c r="J502" s="13" t="s">
        <v>303</v>
      </c>
      <c r="K502" s="13"/>
    </row>
    <row r="503" customFormat="false" ht="15" hidden="false" customHeight="false" outlineLevel="0" collapsed="false">
      <c r="A503" s="14" t="s">
        <v>268</v>
      </c>
      <c r="B503" s="11" t="str">
        <f aca="false">INDEX(PRODUTOS!$E$4:$E$63,MATCH($A503,PRODUTOS!$B$4:$B$63,0))</f>
        <v>Granulado Sanitário Natural Dots de Bentonita Perfumada - Pacote 4 kg</v>
      </c>
      <c r="C503" s="11" t="str">
        <f aca="false">INDEX(PRODUTOS!$G$4:$G$63,MATCH($A503,PRODUTOS!$B$4:$B$63,0))</f>
        <v>4 kg</v>
      </c>
      <c r="D503" s="11" t="s">
        <v>307</v>
      </c>
      <c r="E503" s="15" t="str">
        <f aca="false">$A503&amp;"."&amp;$D503&amp;".jpg"</f>
        <v>7898968541924.PT04.jpg</v>
      </c>
      <c r="F503" s="11" t="str">
        <f aca="false">INDEX('O QUE MOSTRAR'!$B$4:$B$12,MATCH($D503,'O QUE MOSTRAR'!$A$4:$A$12,0))</f>
        <v>Posição 5</v>
      </c>
      <c r="G503" s="11" t="str">
        <f aca="false">IF(INDEX(PRODUTOS!$F$4:$F$63,MATCH($A503,PRODUTOS!$B$4:$B$63,0))="Ração",INDEX('O QUE MOSTRAR'!$C$4:$C$12,MATCH($D503,'O QUE MOSTRAR'!$A$4:$A$12,0)),INDEX('O QUE MOSTRAR'!$D$4:$D$12,MATCH($D503,'O QUE MOSTRAR'!$A$4:$A$12,0)))</f>
        <v>Modo de uso (como oferecer o petisco / como usar o produto)</v>
      </c>
      <c r="H503" s="11" t="str">
        <f aca="false">INDEX('O QUE MOSTRAR'!$E$4:$E$12,MATCH($D503,'O QUE MOSTRAR'!$A$4:$A$12,0))</f>
        <v>2000 × 2000</v>
      </c>
      <c r="I503" s="11" t="str">
        <f aca="false">INDEX('O QUE MOSTRAR'!$F$4:$F$12,MATCH($D503,'O QUE MOSTRAR'!$A$4:$A$12,0))</f>
        <v>SIM</v>
      </c>
      <c r="J503" s="13" t="s">
        <v>303</v>
      </c>
      <c r="K503" s="13"/>
    </row>
    <row r="504" customFormat="false" ht="15" hidden="false" customHeight="false" outlineLevel="0" collapsed="false">
      <c r="A504" s="14" t="s">
        <v>268</v>
      </c>
      <c r="B504" s="11" t="str">
        <f aca="false">INDEX(PRODUTOS!$E$4:$E$63,MATCH($A504,PRODUTOS!$B$4:$B$63,0))</f>
        <v>Granulado Sanitário Natural Dots de Bentonita Perfumada - Pacote 4 kg</v>
      </c>
      <c r="C504" s="11" t="str">
        <f aca="false">INDEX(PRODUTOS!$G$4:$G$63,MATCH($A504,PRODUTOS!$B$4:$B$63,0))</f>
        <v>4 kg</v>
      </c>
      <c r="D504" s="11" t="s">
        <v>308</v>
      </c>
      <c r="E504" s="15" t="str">
        <f aca="false">$A504&amp;"."&amp;$D504&amp;".jpg"</f>
        <v>7898968541924.PT05.jpg</v>
      </c>
      <c r="F504" s="11" t="str">
        <f aca="false">INDEX('O QUE MOSTRAR'!$B$4:$B$12,MATCH($D504,'O QUE MOSTRAR'!$A$4:$A$12,0))</f>
        <v>Posição 6</v>
      </c>
      <c r="G504" s="11" t="str">
        <f aca="false">IF(INDEX(PRODUTOS!$F$4:$F$63,MATCH($A504,PRODUTOS!$B$4:$B$63,0))="Ração",INDEX('O QUE MOSTRAR'!$C$4:$C$12,MATCH($D504,'O QUE MOSTRAR'!$A$4:$A$12,0)),INDEX('O QUE MOSTRAR'!$D$4:$D$12,MATCH($D504,'O QUE MOSTRAR'!$A$4:$A$12,0)))</f>
        <v>Quantidade por dia ou rendimento do pacote</v>
      </c>
      <c r="H504" s="11" t="str">
        <f aca="false">INDEX('O QUE MOSTRAR'!$E$4:$E$12,MATCH($D504,'O QUE MOSTRAR'!$A$4:$A$12,0))</f>
        <v>2000 × 2000</v>
      </c>
      <c r="I504" s="11" t="str">
        <f aca="false">INDEX('O QUE MOSTRAR'!$F$4:$F$12,MATCH($D504,'O QUE MOSTRAR'!$A$4:$A$12,0))</f>
        <v>Recomendada</v>
      </c>
      <c r="J504" s="13" t="s">
        <v>303</v>
      </c>
      <c r="K504" s="13"/>
    </row>
    <row r="505" customFormat="false" ht="15" hidden="false" customHeight="false" outlineLevel="0" collapsed="false">
      <c r="A505" s="14" t="s">
        <v>268</v>
      </c>
      <c r="B505" s="11" t="str">
        <f aca="false">INDEX(PRODUTOS!$E$4:$E$63,MATCH($A505,PRODUTOS!$B$4:$B$63,0))</f>
        <v>Granulado Sanitário Natural Dots de Bentonita Perfumada - Pacote 4 kg</v>
      </c>
      <c r="C505" s="11" t="str">
        <f aca="false">INDEX(PRODUTOS!$G$4:$G$63,MATCH($A505,PRODUTOS!$B$4:$B$63,0))</f>
        <v>4 kg</v>
      </c>
      <c r="D505" s="11" t="s">
        <v>309</v>
      </c>
      <c r="E505" s="15" t="str">
        <f aca="false">$A505&amp;"."&amp;$D505&amp;".jpg"</f>
        <v>7898968541924.PT06.jpg</v>
      </c>
      <c r="F505" s="11" t="str">
        <f aca="false">INDEX('O QUE MOSTRAR'!$B$4:$B$12,MATCH($D505,'O QUE MOSTRAR'!$A$4:$A$12,0))</f>
        <v>Posição 7</v>
      </c>
      <c r="G505" s="11" t="str">
        <f aca="false">IF(INDEX(PRODUTOS!$F$4:$F$63,MATCH($A505,PRODUTOS!$B$4:$B$63,0))="Ração",INDEX('O QUE MOSTRAR'!$C$4:$C$12,MATCH($D505,'O QUE MOSTRAR'!$A$4:$A$12,0)),INDEX('O QUE MOSTRAR'!$D$4:$D$12,MATCH($D505,'O QUE MOSTRAR'!$A$4:$A$12,0)))</f>
        <v>Composição/níveis de garantia (petiscos) ou especificações (higiene)</v>
      </c>
      <c r="H505" s="11" t="str">
        <f aca="false">INDEX('O QUE MOSTRAR'!$E$4:$E$12,MATCH($D505,'O QUE MOSTRAR'!$A$4:$A$12,0))</f>
        <v>2000 × 2000</v>
      </c>
      <c r="I505" s="11" t="str">
        <f aca="false">INDEX('O QUE MOSTRAR'!$F$4:$F$12,MATCH($D505,'O QUE MOSTRAR'!$A$4:$A$12,0))</f>
        <v>SIM</v>
      </c>
      <c r="J505" s="13" t="s">
        <v>303</v>
      </c>
      <c r="K505" s="13"/>
    </row>
    <row r="506" customFormat="false" ht="15" hidden="false" customHeight="false" outlineLevel="0" collapsed="false">
      <c r="A506" s="14" t="s">
        <v>268</v>
      </c>
      <c r="B506" s="11" t="str">
        <f aca="false">INDEX(PRODUTOS!$E$4:$E$63,MATCH($A506,PRODUTOS!$B$4:$B$63,0))</f>
        <v>Granulado Sanitário Natural Dots de Bentonita Perfumada - Pacote 4 kg</v>
      </c>
      <c r="C506" s="11" t="str">
        <f aca="false">INDEX(PRODUTOS!$G$4:$G$63,MATCH($A506,PRODUTOS!$B$4:$B$63,0))</f>
        <v>4 kg</v>
      </c>
      <c r="D506" s="11" t="s">
        <v>310</v>
      </c>
      <c r="E506" s="15" t="str">
        <f aca="false">$A506&amp;"."&amp;$D506&amp;".jpg"</f>
        <v>7898968541924.PT07.jpg</v>
      </c>
      <c r="F506" s="11" t="str">
        <f aca="false">INDEX('O QUE MOSTRAR'!$B$4:$B$12,MATCH($D506,'O QUE MOSTRAR'!$A$4:$A$12,0))</f>
        <v>Posição 8</v>
      </c>
      <c r="G506" s="11" t="str">
        <f aca="false">IF(INDEX(PRODUTOS!$F$4:$F$63,MATCH($A506,PRODUTOS!$B$4:$B$63,0))="Ração",INDEX('O QUE MOSTRAR'!$C$4:$C$12,MATCH($D506,'O QUE MOSTRAR'!$A$4:$A$12,0)),INDEX('O QUE MOSTRAR'!$D$4:$D$12,MATCH($D506,'O QUE MOSTRAR'!$A$4:$A$12,0)))</f>
        <v>Emocional / momento de uso</v>
      </c>
      <c r="H506" s="11" t="str">
        <f aca="false">INDEX('O QUE MOSTRAR'!$E$4:$E$12,MATCH($D506,'O QUE MOSTRAR'!$A$4:$A$12,0))</f>
        <v>2000 × 2000</v>
      </c>
      <c r="I506" s="11" t="str">
        <f aca="false">INDEX('O QUE MOSTRAR'!$F$4:$F$12,MATCH($D506,'O QUE MOSTRAR'!$A$4:$A$12,0))</f>
        <v>Recomendada</v>
      </c>
      <c r="J506" s="13" t="s">
        <v>303</v>
      </c>
      <c r="K506" s="13"/>
    </row>
    <row r="507" customFormat="false" ht="15" hidden="false" customHeight="false" outlineLevel="0" collapsed="false">
      <c r="A507" s="14" t="s">
        <v>268</v>
      </c>
      <c r="B507" s="11" t="str">
        <f aca="false">INDEX(PRODUTOS!$E$4:$E$63,MATCH($A507,PRODUTOS!$B$4:$B$63,0))</f>
        <v>Granulado Sanitário Natural Dots de Bentonita Perfumada - Pacote 4 kg</v>
      </c>
      <c r="C507" s="11" t="str">
        <f aca="false">INDEX(PRODUTOS!$G$4:$G$63,MATCH($A507,PRODUTOS!$B$4:$B$63,0))</f>
        <v>4 kg</v>
      </c>
      <c r="D507" s="11" t="s">
        <v>311</v>
      </c>
      <c r="E507" s="15" t="str">
        <f aca="false">$A507&amp;"."&amp;$D507&amp;".jpg"</f>
        <v>7898968541924.PT08.jpg</v>
      </c>
      <c r="F507" s="11" t="str">
        <f aca="false">INDEX('O QUE MOSTRAR'!$B$4:$B$12,MATCH($D507,'O QUE MOSTRAR'!$A$4:$A$12,0))</f>
        <v>Posição 9</v>
      </c>
      <c r="G507" s="11" t="str">
        <f aca="false">IF(INDEX(PRODUTOS!$F$4:$F$63,MATCH($A507,PRODUTOS!$B$4:$B$63,0))="Ração",INDEX('O QUE MOSTRAR'!$C$4:$C$12,MATCH($D507,'O QUE MOSTRAR'!$A$4:$A$12,0)),INDEX('O QUE MOSTRAR'!$D$4:$D$12,MATCH($D507,'O QUE MOSTRAR'!$A$4:$A$12,0)))</f>
        <v>Linha da marca ("conheça também")</v>
      </c>
      <c r="H507" s="11" t="str">
        <f aca="false">INDEX('O QUE MOSTRAR'!$E$4:$E$12,MATCH($D507,'O QUE MOSTRAR'!$A$4:$A$12,0))</f>
        <v>2000 × 2000</v>
      </c>
      <c r="I507" s="11" t="str">
        <f aca="false">INDEX('O QUE MOSTRAR'!$F$4:$F$12,MATCH($D507,'O QUE MOSTRAR'!$A$4:$A$12,0))</f>
        <v>Recomendada</v>
      </c>
      <c r="J507" s="13" t="s">
        <v>303</v>
      </c>
      <c r="K507" s="13"/>
    </row>
    <row r="508" customFormat="false" ht="15" hidden="false" customHeight="false" outlineLevel="0" collapsed="false">
      <c r="A508" s="14" t="s">
        <v>273</v>
      </c>
      <c r="B508" s="11" t="str">
        <f aca="false">INDEX(PRODUTOS!$E$4:$E$63,MATCH($A508,PRODUTOS!$B$4:$B$63,0))</f>
        <v>Granulado Sanitário de Bentonita Natural Dots para Pets - Pacote 4 kg</v>
      </c>
      <c r="C508" s="11" t="str">
        <f aca="false">INDEX(PRODUTOS!$G$4:$G$63,MATCH($A508,PRODUTOS!$B$4:$B$63,0))</f>
        <v>4 kg</v>
      </c>
      <c r="D508" s="11" t="s">
        <v>302</v>
      </c>
      <c r="E508" s="15" t="str">
        <f aca="false">$A508&amp;"."&amp;$D508&amp;".jpg"</f>
        <v>7908591300185.MAIN.jpg</v>
      </c>
      <c r="F508" s="11" t="str">
        <f aca="false">INDEX('O QUE MOSTRAR'!$B$4:$B$12,MATCH($D508,'O QUE MOSTRAR'!$A$4:$A$12,0))</f>
        <v>Capa (posição 1)</v>
      </c>
      <c r="G508" s="11" t="str">
        <f aca="false">IF(INDEX(PRODUTOS!$F$4:$F$63,MATCH($A508,PRODUTOS!$B$4:$B$63,0))="Ração",INDEX('O QUE MOSTRAR'!$C$4:$C$12,MATCH($D508,'O QUE MOSTRAR'!$A$4:$A$12,0)),INDEX('O QUE MOSTRAR'!$D$4:$D$12,MATCH($D508,'O QUE MOSTRAR'!$A$4:$A$12,0)))</f>
        <v>Embalagem de frente, fundo branco puro, 85% da área, nada adicionado</v>
      </c>
      <c r="H508" s="11" t="str">
        <f aca="false">INDEX('O QUE MOSTRAR'!$E$4:$E$12,MATCH($D508,'O QUE MOSTRAR'!$A$4:$A$12,0))</f>
        <v>2000 × 2000</v>
      </c>
      <c r="I508" s="11" t="str">
        <f aca="false">INDEX('O QUE MOSTRAR'!$F$4:$F$12,MATCH($D508,'O QUE MOSTRAR'!$A$4:$A$12,0))</f>
        <v>SIM</v>
      </c>
      <c r="J508" s="13" t="s">
        <v>303</v>
      </c>
      <c r="K508" s="13"/>
    </row>
    <row r="509" customFormat="false" ht="15" hidden="false" customHeight="false" outlineLevel="0" collapsed="false">
      <c r="A509" s="14" t="s">
        <v>273</v>
      </c>
      <c r="B509" s="11" t="str">
        <f aca="false">INDEX(PRODUTOS!$E$4:$E$63,MATCH($A509,PRODUTOS!$B$4:$B$63,0))</f>
        <v>Granulado Sanitário de Bentonita Natural Dots para Pets - Pacote 4 kg</v>
      </c>
      <c r="C509" s="11" t="str">
        <f aca="false">INDEX(PRODUTOS!$G$4:$G$63,MATCH($A509,PRODUTOS!$B$4:$B$63,0))</f>
        <v>4 kg</v>
      </c>
      <c r="D509" s="11" t="s">
        <v>304</v>
      </c>
      <c r="E509" s="15" t="str">
        <f aca="false">$A509&amp;"."&amp;$D509&amp;".jpg"</f>
        <v>7908591300185.PT01.jpg</v>
      </c>
      <c r="F509" s="11" t="str">
        <f aca="false">INDEX('O QUE MOSTRAR'!$B$4:$B$12,MATCH($D509,'O QUE MOSTRAR'!$A$4:$A$12,0))</f>
        <v>Posição 2</v>
      </c>
      <c r="G509" s="11" t="str">
        <f aca="false">IF(INDEX(PRODUTOS!$F$4:$F$63,MATCH($A509,PRODUTOS!$B$4:$B$63,0))="Ração",INDEX('O QUE MOSTRAR'!$C$4:$C$12,MATCH($D509,'O QUE MOSTRAR'!$A$4:$A$12,0)),INDEX('O QUE MOSTRAR'!$D$4:$D$12,MATCH($D509,'O QUE MOSTRAR'!$A$4:$A$12,0)))</f>
        <v>Grande diferencial (ex.: natural, biodegradável, perfumado)</v>
      </c>
      <c r="H509" s="11" t="str">
        <f aca="false">INDEX('O QUE MOSTRAR'!$E$4:$E$12,MATCH($D509,'O QUE MOSTRAR'!$A$4:$A$12,0))</f>
        <v>2000 × 2000</v>
      </c>
      <c r="I509" s="11" t="str">
        <f aca="false">INDEX('O QUE MOSTRAR'!$F$4:$F$12,MATCH($D509,'O QUE MOSTRAR'!$A$4:$A$12,0))</f>
        <v>SIM</v>
      </c>
      <c r="J509" s="13" t="s">
        <v>303</v>
      </c>
      <c r="K509" s="13"/>
    </row>
    <row r="510" customFormat="false" ht="15" hidden="false" customHeight="false" outlineLevel="0" collapsed="false">
      <c r="A510" s="14" t="s">
        <v>273</v>
      </c>
      <c r="B510" s="11" t="str">
        <f aca="false">INDEX(PRODUTOS!$E$4:$E$63,MATCH($A510,PRODUTOS!$B$4:$B$63,0))</f>
        <v>Granulado Sanitário de Bentonita Natural Dots para Pets - Pacote 4 kg</v>
      </c>
      <c r="C510" s="11" t="str">
        <f aca="false">INDEX(PRODUTOS!$G$4:$G$63,MATCH($A510,PRODUTOS!$B$4:$B$63,0))</f>
        <v>4 kg</v>
      </c>
      <c r="D510" s="11" t="s">
        <v>305</v>
      </c>
      <c r="E510" s="15" t="str">
        <f aca="false">$A510&amp;"."&amp;$D510&amp;".jpg"</f>
        <v>7908591300185.PT02.jpg</v>
      </c>
      <c r="F510" s="11" t="str">
        <f aca="false">INDEX('O QUE MOSTRAR'!$B$4:$B$12,MATCH($D510,'O QUE MOSTRAR'!$A$4:$A$12,0))</f>
        <v>Posição 3</v>
      </c>
      <c r="G510" s="11" t="str">
        <f aca="false">IF(INDEX(PRODUTOS!$F$4:$F$63,MATCH($A510,PRODUTOS!$B$4:$B$63,0))="Ração",INDEX('O QUE MOSTRAR'!$C$4:$C$12,MATCH($D510,'O QUE MOSTRAR'!$A$4:$A$12,0)),INDEX('O QUE MOSTRAR'!$D$4:$D$12,MATCH($D510,'O QUE MOSTRAR'!$A$4:$A$12,0)))</f>
        <v>Benefícios com ícones (4 a 6, impressos na embalagem)</v>
      </c>
      <c r="H510" s="11" t="str">
        <f aca="false">INDEX('O QUE MOSTRAR'!$E$4:$E$12,MATCH($D510,'O QUE MOSTRAR'!$A$4:$A$12,0))</f>
        <v>2000 × 2000</v>
      </c>
      <c r="I510" s="11" t="str">
        <f aca="false">INDEX('O QUE MOSTRAR'!$F$4:$F$12,MATCH($D510,'O QUE MOSTRAR'!$A$4:$A$12,0))</f>
        <v>SIM</v>
      </c>
      <c r="J510" s="13" t="s">
        <v>303</v>
      </c>
      <c r="K510" s="13"/>
    </row>
    <row r="511" customFormat="false" ht="15" hidden="false" customHeight="false" outlineLevel="0" collapsed="false">
      <c r="A511" s="14" t="s">
        <v>273</v>
      </c>
      <c r="B511" s="11" t="str">
        <f aca="false">INDEX(PRODUTOS!$E$4:$E$63,MATCH($A511,PRODUTOS!$B$4:$B$63,0))</f>
        <v>Granulado Sanitário de Bentonita Natural Dots para Pets - Pacote 4 kg</v>
      </c>
      <c r="C511" s="11" t="str">
        <f aca="false">INDEX(PRODUTOS!$G$4:$G$63,MATCH($A511,PRODUTOS!$B$4:$B$63,0))</f>
        <v>4 kg</v>
      </c>
      <c r="D511" s="11" t="s">
        <v>306</v>
      </c>
      <c r="E511" s="15" t="str">
        <f aca="false">$A511&amp;"."&amp;$D511&amp;".jpg"</f>
        <v>7908591300185.PT03.jpg</v>
      </c>
      <c r="F511" s="11" t="str">
        <f aca="false">INDEX('O QUE MOSTRAR'!$B$4:$B$12,MATCH($D511,'O QUE MOSTRAR'!$A$4:$A$12,0))</f>
        <v>Posição 4</v>
      </c>
      <c r="G511" s="11" t="str">
        <f aca="false">IF(INDEX(PRODUTOS!$F$4:$F$63,MATCH($A511,PRODUTOS!$B$4:$B$63,0))="Ração",INDEX('O QUE MOSTRAR'!$C$4:$C$12,MATCH($D511,'O QUE MOSTRAR'!$A$4:$A$12,0)),INDEX('O QUE MOSTRAR'!$D$4:$D$12,MATCH($D511,'O QUE MOSTRAR'!$A$4:$A$12,0)))</f>
        <v>Detalhe e tamanho real (petisco, grânulo ou tapete aberto), com medidas</v>
      </c>
      <c r="H511" s="11" t="str">
        <f aca="false">INDEX('O QUE MOSTRAR'!$E$4:$E$12,MATCH($D511,'O QUE MOSTRAR'!$A$4:$A$12,0))</f>
        <v>2000 × 2000</v>
      </c>
      <c r="I511" s="11" t="str">
        <f aca="false">INDEX('O QUE MOSTRAR'!$F$4:$F$12,MATCH($D511,'O QUE MOSTRAR'!$A$4:$A$12,0))</f>
        <v>SIM</v>
      </c>
      <c r="J511" s="13" t="s">
        <v>303</v>
      </c>
      <c r="K511" s="13"/>
    </row>
    <row r="512" customFormat="false" ht="15" hidden="false" customHeight="false" outlineLevel="0" collapsed="false">
      <c r="A512" s="14" t="s">
        <v>273</v>
      </c>
      <c r="B512" s="11" t="str">
        <f aca="false">INDEX(PRODUTOS!$E$4:$E$63,MATCH($A512,PRODUTOS!$B$4:$B$63,0))</f>
        <v>Granulado Sanitário de Bentonita Natural Dots para Pets - Pacote 4 kg</v>
      </c>
      <c r="C512" s="11" t="str">
        <f aca="false">INDEX(PRODUTOS!$G$4:$G$63,MATCH($A512,PRODUTOS!$B$4:$B$63,0))</f>
        <v>4 kg</v>
      </c>
      <c r="D512" s="11" t="s">
        <v>307</v>
      </c>
      <c r="E512" s="15" t="str">
        <f aca="false">$A512&amp;"."&amp;$D512&amp;".jpg"</f>
        <v>7908591300185.PT04.jpg</v>
      </c>
      <c r="F512" s="11" t="str">
        <f aca="false">INDEX('O QUE MOSTRAR'!$B$4:$B$12,MATCH($D512,'O QUE MOSTRAR'!$A$4:$A$12,0))</f>
        <v>Posição 5</v>
      </c>
      <c r="G512" s="11" t="str">
        <f aca="false">IF(INDEX(PRODUTOS!$F$4:$F$63,MATCH($A512,PRODUTOS!$B$4:$B$63,0))="Ração",INDEX('O QUE MOSTRAR'!$C$4:$C$12,MATCH($D512,'O QUE MOSTRAR'!$A$4:$A$12,0)),INDEX('O QUE MOSTRAR'!$D$4:$D$12,MATCH($D512,'O QUE MOSTRAR'!$A$4:$A$12,0)))</f>
        <v>Modo de uso (como oferecer o petisco / como usar o produto)</v>
      </c>
      <c r="H512" s="11" t="str">
        <f aca="false">INDEX('O QUE MOSTRAR'!$E$4:$E$12,MATCH($D512,'O QUE MOSTRAR'!$A$4:$A$12,0))</f>
        <v>2000 × 2000</v>
      </c>
      <c r="I512" s="11" t="str">
        <f aca="false">INDEX('O QUE MOSTRAR'!$F$4:$F$12,MATCH($D512,'O QUE MOSTRAR'!$A$4:$A$12,0))</f>
        <v>SIM</v>
      </c>
      <c r="J512" s="13" t="s">
        <v>303</v>
      </c>
      <c r="K512" s="13"/>
    </row>
    <row r="513" customFormat="false" ht="15" hidden="false" customHeight="false" outlineLevel="0" collapsed="false">
      <c r="A513" s="14" t="s">
        <v>273</v>
      </c>
      <c r="B513" s="11" t="str">
        <f aca="false">INDEX(PRODUTOS!$E$4:$E$63,MATCH($A513,PRODUTOS!$B$4:$B$63,0))</f>
        <v>Granulado Sanitário de Bentonita Natural Dots para Pets - Pacote 4 kg</v>
      </c>
      <c r="C513" s="11" t="str">
        <f aca="false">INDEX(PRODUTOS!$G$4:$G$63,MATCH($A513,PRODUTOS!$B$4:$B$63,0))</f>
        <v>4 kg</v>
      </c>
      <c r="D513" s="11" t="s">
        <v>308</v>
      </c>
      <c r="E513" s="15" t="str">
        <f aca="false">$A513&amp;"."&amp;$D513&amp;".jpg"</f>
        <v>7908591300185.PT05.jpg</v>
      </c>
      <c r="F513" s="11" t="str">
        <f aca="false">INDEX('O QUE MOSTRAR'!$B$4:$B$12,MATCH($D513,'O QUE MOSTRAR'!$A$4:$A$12,0))</f>
        <v>Posição 6</v>
      </c>
      <c r="G513" s="11" t="str">
        <f aca="false">IF(INDEX(PRODUTOS!$F$4:$F$63,MATCH($A513,PRODUTOS!$B$4:$B$63,0))="Ração",INDEX('O QUE MOSTRAR'!$C$4:$C$12,MATCH($D513,'O QUE MOSTRAR'!$A$4:$A$12,0)),INDEX('O QUE MOSTRAR'!$D$4:$D$12,MATCH($D513,'O QUE MOSTRAR'!$A$4:$A$12,0)))</f>
        <v>Quantidade por dia ou rendimento do pacote</v>
      </c>
      <c r="H513" s="11" t="str">
        <f aca="false">INDEX('O QUE MOSTRAR'!$E$4:$E$12,MATCH($D513,'O QUE MOSTRAR'!$A$4:$A$12,0))</f>
        <v>2000 × 2000</v>
      </c>
      <c r="I513" s="11" t="str">
        <f aca="false">INDEX('O QUE MOSTRAR'!$F$4:$F$12,MATCH($D513,'O QUE MOSTRAR'!$A$4:$A$12,0))</f>
        <v>Recomendada</v>
      </c>
      <c r="J513" s="13" t="s">
        <v>303</v>
      </c>
      <c r="K513" s="13"/>
    </row>
    <row r="514" customFormat="false" ht="15" hidden="false" customHeight="false" outlineLevel="0" collapsed="false">
      <c r="A514" s="14" t="s">
        <v>273</v>
      </c>
      <c r="B514" s="11" t="str">
        <f aca="false">INDEX(PRODUTOS!$E$4:$E$63,MATCH($A514,PRODUTOS!$B$4:$B$63,0))</f>
        <v>Granulado Sanitário de Bentonita Natural Dots para Pets - Pacote 4 kg</v>
      </c>
      <c r="C514" s="11" t="str">
        <f aca="false">INDEX(PRODUTOS!$G$4:$G$63,MATCH($A514,PRODUTOS!$B$4:$B$63,0))</f>
        <v>4 kg</v>
      </c>
      <c r="D514" s="11" t="s">
        <v>309</v>
      </c>
      <c r="E514" s="15" t="str">
        <f aca="false">$A514&amp;"."&amp;$D514&amp;".jpg"</f>
        <v>7908591300185.PT06.jpg</v>
      </c>
      <c r="F514" s="11" t="str">
        <f aca="false">INDEX('O QUE MOSTRAR'!$B$4:$B$12,MATCH($D514,'O QUE MOSTRAR'!$A$4:$A$12,0))</f>
        <v>Posição 7</v>
      </c>
      <c r="G514" s="11" t="str">
        <f aca="false">IF(INDEX(PRODUTOS!$F$4:$F$63,MATCH($A514,PRODUTOS!$B$4:$B$63,0))="Ração",INDEX('O QUE MOSTRAR'!$C$4:$C$12,MATCH($D514,'O QUE MOSTRAR'!$A$4:$A$12,0)),INDEX('O QUE MOSTRAR'!$D$4:$D$12,MATCH($D514,'O QUE MOSTRAR'!$A$4:$A$12,0)))</f>
        <v>Composição/níveis de garantia (petiscos) ou especificações (higiene)</v>
      </c>
      <c r="H514" s="11" t="str">
        <f aca="false">INDEX('O QUE MOSTRAR'!$E$4:$E$12,MATCH($D514,'O QUE MOSTRAR'!$A$4:$A$12,0))</f>
        <v>2000 × 2000</v>
      </c>
      <c r="I514" s="11" t="str">
        <f aca="false">INDEX('O QUE MOSTRAR'!$F$4:$F$12,MATCH($D514,'O QUE MOSTRAR'!$A$4:$A$12,0))</f>
        <v>SIM</v>
      </c>
      <c r="J514" s="13" t="s">
        <v>303</v>
      </c>
      <c r="K514" s="13"/>
    </row>
    <row r="515" customFormat="false" ht="15" hidden="false" customHeight="false" outlineLevel="0" collapsed="false">
      <c r="A515" s="14" t="s">
        <v>273</v>
      </c>
      <c r="B515" s="11" t="str">
        <f aca="false">INDEX(PRODUTOS!$E$4:$E$63,MATCH($A515,PRODUTOS!$B$4:$B$63,0))</f>
        <v>Granulado Sanitário de Bentonita Natural Dots para Pets - Pacote 4 kg</v>
      </c>
      <c r="C515" s="11" t="str">
        <f aca="false">INDEX(PRODUTOS!$G$4:$G$63,MATCH($A515,PRODUTOS!$B$4:$B$63,0))</f>
        <v>4 kg</v>
      </c>
      <c r="D515" s="11" t="s">
        <v>310</v>
      </c>
      <c r="E515" s="15" t="str">
        <f aca="false">$A515&amp;"."&amp;$D515&amp;".jpg"</f>
        <v>7908591300185.PT07.jpg</v>
      </c>
      <c r="F515" s="11" t="str">
        <f aca="false">INDEX('O QUE MOSTRAR'!$B$4:$B$12,MATCH($D515,'O QUE MOSTRAR'!$A$4:$A$12,0))</f>
        <v>Posição 8</v>
      </c>
      <c r="G515" s="11" t="str">
        <f aca="false">IF(INDEX(PRODUTOS!$F$4:$F$63,MATCH($A515,PRODUTOS!$B$4:$B$63,0))="Ração",INDEX('O QUE MOSTRAR'!$C$4:$C$12,MATCH($D515,'O QUE MOSTRAR'!$A$4:$A$12,0)),INDEX('O QUE MOSTRAR'!$D$4:$D$12,MATCH($D515,'O QUE MOSTRAR'!$A$4:$A$12,0)))</f>
        <v>Emocional / momento de uso</v>
      </c>
      <c r="H515" s="11" t="str">
        <f aca="false">INDEX('O QUE MOSTRAR'!$E$4:$E$12,MATCH($D515,'O QUE MOSTRAR'!$A$4:$A$12,0))</f>
        <v>2000 × 2000</v>
      </c>
      <c r="I515" s="11" t="str">
        <f aca="false">INDEX('O QUE MOSTRAR'!$F$4:$F$12,MATCH($D515,'O QUE MOSTRAR'!$A$4:$A$12,0))</f>
        <v>Recomendada</v>
      </c>
      <c r="J515" s="13" t="s">
        <v>303</v>
      </c>
      <c r="K515" s="13"/>
    </row>
    <row r="516" customFormat="false" ht="15" hidden="false" customHeight="false" outlineLevel="0" collapsed="false">
      <c r="A516" s="14" t="s">
        <v>273</v>
      </c>
      <c r="B516" s="11" t="str">
        <f aca="false">INDEX(PRODUTOS!$E$4:$E$63,MATCH($A516,PRODUTOS!$B$4:$B$63,0))</f>
        <v>Granulado Sanitário de Bentonita Natural Dots para Pets - Pacote 4 kg</v>
      </c>
      <c r="C516" s="11" t="str">
        <f aca="false">INDEX(PRODUTOS!$G$4:$G$63,MATCH($A516,PRODUTOS!$B$4:$B$63,0))</f>
        <v>4 kg</v>
      </c>
      <c r="D516" s="11" t="s">
        <v>311</v>
      </c>
      <c r="E516" s="15" t="str">
        <f aca="false">$A516&amp;"."&amp;$D516&amp;".jpg"</f>
        <v>7908591300185.PT08.jpg</v>
      </c>
      <c r="F516" s="11" t="str">
        <f aca="false">INDEX('O QUE MOSTRAR'!$B$4:$B$12,MATCH($D516,'O QUE MOSTRAR'!$A$4:$A$12,0))</f>
        <v>Posição 9</v>
      </c>
      <c r="G516" s="11" t="str">
        <f aca="false">IF(INDEX(PRODUTOS!$F$4:$F$63,MATCH($A516,PRODUTOS!$B$4:$B$63,0))="Ração",INDEX('O QUE MOSTRAR'!$C$4:$C$12,MATCH($D516,'O QUE MOSTRAR'!$A$4:$A$12,0)),INDEX('O QUE MOSTRAR'!$D$4:$D$12,MATCH($D516,'O QUE MOSTRAR'!$A$4:$A$12,0)))</f>
        <v>Linha da marca ("conheça também")</v>
      </c>
      <c r="H516" s="11" t="str">
        <f aca="false">INDEX('O QUE MOSTRAR'!$E$4:$E$12,MATCH($D516,'O QUE MOSTRAR'!$A$4:$A$12,0))</f>
        <v>2000 × 2000</v>
      </c>
      <c r="I516" s="11" t="str">
        <f aca="false">INDEX('O QUE MOSTRAR'!$F$4:$F$12,MATCH($D516,'O QUE MOSTRAR'!$A$4:$A$12,0))</f>
        <v>Recomendada</v>
      </c>
      <c r="J516" s="13" t="s">
        <v>303</v>
      </c>
      <c r="K516" s="13"/>
    </row>
    <row r="517" customFormat="false" ht="15" hidden="false" customHeight="false" outlineLevel="0" collapsed="false">
      <c r="A517" s="14" t="s">
        <v>277</v>
      </c>
      <c r="B517" s="11" t="str">
        <f aca="false">INDEX(PRODUTOS!$E$4:$E$63,MATCH($A517,PRODUTOS!$B$4:$B$63,0))</f>
        <v>Kit Porta Cata Caca Natural Dots com 4 Refis Biodegradáveis</v>
      </c>
      <c r="C517" s="11" t="str">
        <f aca="false">INDEX(PRODUTOS!$G$4:$G$63,MATCH($A517,PRODUTOS!$B$4:$B$63,0))</f>
        <v>4 un.</v>
      </c>
      <c r="D517" s="11" t="s">
        <v>302</v>
      </c>
      <c r="E517" s="15" t="str">
        <f aca="false">$A517&amp;"."&amp;$D517&amp;".jpg"</f>
        <v>7908591300840.MAIN.jpg</v>
      </c>
      <c r="F517" s="11" t="str">
        <f aca="false">INDEX('O QUE MOSTRAR'!$B$4:$B$12,MATCH($D517,'O QUE MOSTRAR'!$A$4:$A$12,0))</f>
        <v>Capa (posição 1)</v>
      </c>
      <c r="G517" s="11" t="str">
        <f aca="false">IF(INDEX(PRODUTOS!$F$4:$F$63,MATCH($A517,PRODUTOS!$B$4:$B$63,0))="Ração",INDEX('O QUE MOSTRAR'!$C$4:$C$12,MATCH($D517,'O QUE MOSTRAR'!$A$4:$A$12,0)),INDEX('O QUE MOSTRAR'!$D$4:$D$12,MATCH($D517,'O QUE MOSTRAR'!$A$4:$A$12,0)))</f>
        <v>Embalagem de frente, fundo branco puro, 85% da área, nada adicionado</v>
      </c>
      <c r="H517" s="11" t="str">
        <f aca="false">INDEX('O QUE MOSTRAR'!$E$4:$E$12,MATCH($D517,'O QUE MOSTRAR'!$A$4:$A$12,0))</f>
        <v>2000 × 2000</v>
      </c>
      <c r="I517" s="11" t="str">
        <f aca="false">INDEX('O QUE MOSTRAR'!$F$4:$F$12,MATCH($D517,'O QUE MOSTRAR'!$A$4:$A$12,0))</f>
        <v>SIM</v>
      </c>
      <c r="J517" s="13" t="s">
        <v>303</v>
      </c>
      <c r="K517" s="13"/>
    </row>
    <row r="518" customFormat="false" ht="15" hidden="false" customHeight="false" outlineLevel="0" collapsed="false">
      <c r="A518" s="14" t="s">
        <v>277</v>
      </c>
      <c r="B518" s="11" t="str">
        <f aca="false">INDEX(PRODUTOS!$E$4:$E$63,MATCH($A518,PRODUTOS!$B$4:$B$63,0))</f>
        <v>Kit Porta Cata Caca Natural Dots com 4 Refis Biodegradáveis</v>
      </c>
      <c r="C518" s="11" t="str">
        <f aca="false">INDEX(PRODUTOS!$G$4:$G$63,MATCH($A518,PRODUTOS!$B$4:$B$63,0))</f>
        <v>4 un.</v>
      </c>
      <c r="D518" s="11" t="s">
        <v>304</v>
      </c>
      <c r="E518" s="15" t="str">
        <f aca="false">$A518&amp;"."&amp;$D518&amp;".jpg"</f>
        <v>7908591300840.PT01.jpg</v>
      </c>
      <c r="F518" s="11" t="str">
        <f aca="false">INDEX('O QUE MOSTRAR'!$B$4:$B$12,MATCH($D518,'O QUE MOSTRAR'!$A$4:$A$12,0))</f>
        <v>Posição 2</v>
      </c>
      <c r="G518" s="11" t="str">
        <f aca="false">IF(INDEX(PRODUTOS!$F$4:$F$63,MATCH($A518,PRODUTOS!$B$4:$B$63,0))="Ração",INDEX('O QUE MOSTRAR'!$C$4:$C$12,MATCH($D518,'O QUE MOSTRAR'!$A$4:$A$12,0)),INDEX('O QUE MOSTRAR'!$D$4:$D$12,MATCH($D518,'O QUE MOSTRAR'!$A$4:$A$12,0)))</f>
        <v>Grande diferencial (ex.: natural, biodegradável, perfumado)</v>
      </c>
      <c r="H518" s="11" t="str">
        <f aca="false">INDEX('O QUE MOSTRAR'!$E$4:$E$12,MATCH($D518,'O QUE MOSTRAR'!$A$4:$A$12,0))</f>
        <v>2000 × 2000</v>
      </c>
      <c r="I518" s="11" t="str">
        <f aca="false">INDEX('O QUE MOSTRAR'!$F$4:$F$12,MATCH($D518,'O QUE MOSTRAR'!$A$4:$A$12,0))</f>
        <v>SIM</v>
      </c>
      <c r="J518" s="13" t="s">
        <v>303</v>
      </c>
      <c r="K518" s="13"/>
    </row>
    <row r="519" customFormat="false" ht="15" hidden="false" customHeight="false" outlineLevel="0" collapsed="false">
      <c r="A519" s="14" t="s">
        <v>277</v>
      </c>
      <c r="B519" s="11" t="str">
        <f aca="false">INDEX(PRODUTOS!$E$4:$E$63,MATCH($A519,PRODUTOS!$B$4:$B$63,0))</f>
        <v>Kit Porta Cata Caca Natural Dots com 4 Refis Biodegradáveis</v>
      </c>
      <c r="C519" s="11" t="str">
        <f aca="false">INDEX(PRODUTOS!$G$4:$G$63,MATCH($A519,PRODUTOS!$B$4:$B$63,0))</f>
        <v>4 un.</v>
      </c>
      <c r="D519" s="11" t="s">
        <v>305</v>
      </c>
      <c r="E519" s="15" t="str">
        <f aca="false">$A519&amp;"."&amp;$D519&amp;".jpg"</f>
        <v>7908591300840.PT02.jpg</v>
      </c>
      <c r="F519" s="11" t="str">
        <f aca="false">INDEX('O QUE MOSTRAR'!$B$4:$B$12,MATCH($D519,'O QUE MOSTRAR'!$A$4:$A$12,0))</f>
        <v>Posição 3</v>
      </c>
      <c r="G519" s="11" t="str">
        <f aca="false">IF(INDEX(PRODUTOS!$F$4:$F$63,MATCH($A519,PRODUTOS!$B$4:$B$63,0))="Ração",INDEX('O QUE MOSTRAR'!$C$4:$C$12,MATCH($D519,'O QUE MOSTRAR'!$A$4:$A$12,0)),INDEX('O QUE MOSTRAR'!$D$4:$D$12,MATCH($D519,'O QUE MOSTRAR'!$A$4:$A$12,0)))</f>
        <v>Benefícios com ícones (4 a 6, impressos na embalagem)</v>
      </c>
      <c r="H519" s="11" t="str">
        <f aca="false">INDEX('O QUE MOSTRAR'!$E$4:$E$12,MATCH($D519,'O QUE MOSTRAR'!$A$4:$A$12,0))</f>
        <v>2000 × 2000</v>
      </c>
      <c r="I519" s="11" t="str">
        <f aca="false">INDEX('O QUE MOSTRAR'!$F$4:$F$12,MATCH($D519,'O QUE MOSTRAR'!$A$4:$A$12,0))</f>
        <v>SIM</v>
      </c>
      <c r="J519" s="13" t="s">
        <v>303</v>
      </c>
      <c r="K519" s="13"/>
    </row>
    <row r="520" customFormat="false" ht="15" hidden="false" customHeight="false" outlineLevel="0" collapsed="false">
      <c r="A520" s="14" t="s">
        <v>277</v>
      </c>
      <c r="B520" s="11" t="str">
        <f aca="false">INDEX(PRODUTOS!$E$4:$E$63,MATCH($A520,PRODUTOS!$B$4:$B$63,0))</f>
        <v>Kit Porta Cata Caca Natural Dots com 4 Refis Biodegradáveis</v>
      </c>
      <c r="C520" s="11" t="str">
        <f aca="false">INDEX(PRODUTOS!$G$4:$G$63,MATCH($A520,PRODUTOS!$B$4:$B$63,0))</f>
        <v>4 un.</v>
      </c>
      <c r="D520" s="11" t="s">
        <v>306</v>
      </c>
      <c r="E520" s="15" t="str">
        <f aca="false">$A520&amp;"."&amp;$D520&amp;".jpg"</f>
        <v>7908591300840.PT03.jpg</v>
      </c>
      <c r="F520" s="11" t="str">
        <f aca="false">INDEX('O QUE MOSTRAR'!$B$4:$B$12,MATCH($D520,'O QUE MOSTRAR'!$A$4:$A$12,0))</f>
        <v>Posição 4</v>
      </c>
      <c r="G520" s="11" t="str">
        <f aca="false">IF(INDEX(PRODUTOS!$F$4:$F$63,MATCH($A520,PRODUTOS!$B$4:$B$63,0))="Ração",INDEX('O QUE MOSTRAR'!$C$4:$C$12,MATCH($D520,'O QUE MOSTRAR'!$A$4:$A$12,0)),INDEX('O QUE MOSTRAR'!$D$4:$D$12,MATCH($D520,'O QUE MOSTRAR'!$A$4:$A$12,0)))</f>
        <v>Detalhe e tamanho real (petisco, grânulo ou tapete aberto), com medidas</v>
      </c>
      <c r="H520" s="11" t="str">
        <f aca="false">INDEX('O QUE MOSTRAR'!$E$4:$E$12,MATCH($D520,'O QUE MOSTRAR'!$A$4:$A$12,0))</f>
        <v>2000 × 2000</v>
      </c>
      <c r="I520" s="11" t="str">
        <f aca="false">INDEX('O QUE MOSTRAR'!$F$4:$F$12,MATCH($D520,'O QUE MOSTRAR'!$A$4:$A$12,0))</f>
        <v>SIM</v>
      </c>
      <c r="J520" s="13" t="s">
        <v>303</v>
      </c>
      <c r="K520" s="13"/>
    </row>
    <row r="521" customFormat="false" ht="15" hidden="false" customHeight="false" outlineLevel="0" collapsed="false">
      <c r="A521" s="14" t="s">
        <v>277</v>
      </c>
      <c r="B521" s="11" t="str">
        <f aca="false">INDEX(PRODUTOS!$E$4:$E$63,MATCH($A521,PRODUTOS!$B$4:$B$63,0))</f>
        <v>Kit Porta Cata Caca Natural Dots com 4 Refis Biodegradáveis</v>
      </c>
      <c r="C521" s="11" t="str">
        <f aca="false">INDEX(PRODUTOS!$G$4:$G$63,MATCH($A521,PRODUTOS!$B$4:$B$63,0))</f>
        <v>4 un.</v>
      </c>
      <c r="D521" s="11" t="s">
        <v>307</v>
      </c>
      <c r="E521" s="15" t="str">
        <f aca="false">$A521&amp;"."&amp;$D521&amp;".jpg"</f>
        <v>7908591300840.PT04.jpg</v>
      </c>
      <c r="F521" s="11" t="str">
        <f aca="false">INDEX('O QUE MOSTRAR'!$B$4:$B$12,MATCH($D521,'O QUE MOSTRAR'!$A$4:$A$12,0))</f>
        <v>Posição 5</v>
      </c>
      <c r="G521" s="11" t="str">
        <f aca="false">IF(INDEX(PRODUTOS!$F$4:$F$63,MATCH($A521,PRODUTOS!$B$4:$B$63,0))="Ração",INDEX('O QUE MOSTRAR'!$C$4:$C$12,MATCH($D521,'O QUE MOSTRAR'!$A$4:$A$12,0)),INDEX('O QUE MOSTRAR'!$D$4:$D$12,MATCH($D521,'O QUE MOSTRAR'!$A$4:$A$12,0)))</f>
        <v>Modo de uso (como oferecer o petisco / como usar o produto)</v>
      </c>
      <c r="H521" s="11" t="str">
        <f aca="false">INDEX('O QUE MOSTRAR'!$E$4:$E$12,MATCH($D521,'O QUE MOSTRAR'!$A$4:$A$12,0))</f>
        <v>2000 × 2000</v>
      </c>
      <c r="I521" s="11" t="str">
        <f aca="false">INDEX('O QUE MOSTRAR'!$F$4:$F$12,MATCH($D521,'O QUE MOSTRAR'!$A$4:$A$12,0))</f>
        <v>SIM</v>
      </c>
      <c r="J521" s="13" t="s">
        <v>303</v>
      </c>
      <c r="K521" s="13"/>
    </row>
    <row r="522" customFormat="false" ht="15" hidden="false" customHeight="false" outlineLevel="0" collapsed="false">
      <c r="A522" s="14" t="s">
        <v>277</v>
      </c>
      <c r="B522" s="11" t="str">
        <f aca="false">INDEX(PRODUTOS!$E$4:$E$63,MATCH($A522,PRODUTOS!$B$4:$B$63,0))</f>
        <v>Kit Porta Cata Caca Natural Dots com 4 Refis Biodegradáveis</v>
      </c>
      <c r="C522" s="11" t="str">
        <f aca="false">INDEX(PRODUTOS!$G$4:$G$63,MATCH($A522,PRODUTOS!$B$4:$B$63,0))</f>
        <v>4 un.</v>
      </c>
      <c r="D522" s="11" t="s">
        <v>308</v>
      </c>
      <c r="E522" s="15" t="str">
        <f aca="false">$A522&amp;"."&amp;$D522&amp;".jpg"</f>
        <v>7908591300840.PT05.jpg</v>
      </c>
      <c r="F522" s="11" t="str">
        <f aca="false">INDEX('O QUE MOSTRAR'!$B$4:$B$12,MATCH($D522,'O QUE MOSTRAR'!$A$4:$A$12,0))</f>
        <v>Posição 6</v>
      </c>
      <c r="G522" s="11" t="str">
        <f aca="false">IF(INDEX(PRODUTOS!$F$4:$F$63,MATCH($A522,PRODUTOS!$B$4:$B$63,0))="Ração",INDEX('O QUE MOSTRAR'!$C$4:$C$12,MATCH($D522,'O QUE MOSTRAR'!$A$4:$A$12,0)),INDEX('O QUE MOSTRAR'!$D$4:$D$12,MATCH($D522,'O QUE MOSTRAR'!$A$4:$A$12,0)))</f>
        <v>Quantidade por dia ou rendimento do pacote</v>
      </c>
      <c r="H522" s="11" t="str">
        <f aca="false">INDEX('O QUE MOSTRAR'!$E$4:$E$12,MATCH($D522,'O QUE MOSTRAR'!$A$4:$A$12,0))</f>
        <v>2000 × 2000</v>
      </c>
      <c r="I522" s="11" t="str">
        <f aca="false">INDEX('O QUE MOSTRAR'!$F$4:$F$12,MATCH($D522,'O QUE MOSTRAR'!$A$4:$A$12,0))</f>
        <v>Recomendada</v>
      </c>
      <c r="J522" s="13" t="s">
        <v>303</v>
      </c>
      <c r="K522" s="13"/>
    </row>
    <row r="523" customFormat="false" ht="15" hidden="false" customHeight="false" outlineLevel="0" collapsed="false">
      <c r="A523" s="14" t="s">
        <v>277</v>
      </c>
      <c r="B523" s="11" t="str">
        <f aca="false">INDEX(PRODUTOS!$E$4:$E$63,MATCH($A523,PRODUTOS!$B$4:$B$63,0))</f>
        <v>Kit Porta Cata Caca Natural Dots com 4 Refis Biodegradáveis</v>
      </c>
      <c r="C523" s="11" t="str">
        <f aca="false">INDEX(PRODUTOS!$G$4:$G$63,MATCH($A523,PRODUTOS!$B$4:$B$63,0))</f>
        <v>4 un.</v>
      </c>
      <c r="D523" s="11" t="s">
        <v>309</v>
      </c>
      <c r="E523" s="15" t="str">
        <f aca="false">$A523&amp;"."&amp;$D523&amp;".jpg"</f>
        <v>7908591300840.PT06.jpg</v>
      </c>
      <c r="F523" s="11" t="str">
        <f aca="false">INDEX('O QUE MOSTRAR'!$B$4:$B$12,MATCH($D523,'O QUE MOSTRAR'!$A$4:$A$12,0))</f>
        <v>Posição 7</v>
      </c>
      <c r="G523" s="11" t="str">
        <f aca="false">IF(INDEX(PRODUTOS!$F$4:$F$63,MATCH($A523,PRODUTOS!$B$4:$B$63,0))="Ração",INDEX('O QUE MOSTRAR'!$C$4:$C$12,MATCH($D523,'O QUE MOSTRAR'!$A$4:$A$12,0)),INDEX('O QUE MOSTRAR'!$D$4:$D$12,MATCH($D523,'O QUE MOSTRAR'!$A$4:$A$12,0)))</f>
        <v>Composição/níveis de garantia (petiscos) ou especificações (higiene)</v>
      </c>
      <c r="H523" s="11" t="str">
        <f aca="false">INDEX('O QUE MOSTRAR'!$E$4:$E$12,MATCH($D523,'O QUE MOSTRAR'!$A$4:$A$12,0))</f>
        <v>2000 × 2000</v>
      </c>
      <c r="I523" s="11" t="str">
        <f aca="false">INDEX('O QUE MOSTRAR'!$F$4:$F$12,MATCH($D523,'O QUE MOSTRAR'!$A$4:$A$12,0))</f>
        <v>SIM</v>
      </c>
      <c r="J523" s="13" t="s">
        <v>303</v>
      </c>
      <c r="K523" s="13"/>
    </row>
    <row r="524" customFormat="false" ht="15" hidden="false" customHeight="false" outlineLevel="0" collapsed="false">
      <c r="A524" s="14" t="s">
        <v>277</v>
      </c>
      <c r="B524" s="11" t="str">
        <f aca="false">INDEX(PRODUTOS!$E$4:$E$63,MATCH($A524,PRODUTOS!$B$4:$B$63,0))</f>
        <v>Kit Porta Cata Caca Natural Dots com 4 Refis Biodegradáveis</v>
      </c>
      <c r="C524" s="11" t="str">
        <f aca="false">INDEX(PRODUTOS!$G$4:$G$63,MATCH($A524,PRODUTOS!$B$4:$B$63,0))</f>
        <v>4 un.</v>
      </c>
      <c r="D524" s="11" t="s">
        <v>310</v>
      </c>
      <c r="E524" s="15" t="str">
        <f aca="false">$A524&amp;"."&amp;$D524&amp;".jpg"</f>
        <v>7908591300840.PT07.jpg</v>
      </c>
      <c r="F524" s="11" t="str">
        <f aca="false">INDEX('O QUE MOSTRAR'!$B$4:$B$12,MATCH($D524,'O QUE MOSTRAR'!$A$4:$A$12,0))</f>
        <v>Posição 8</v>
      </c>
      <c r="G524" s="11" t="str">
        <f aca="false">IF(INDEX(PRODUTOS!$F$4:$F$63,MATCH($A524,PRODUTOS!$B$4:$B$63,0))="Ração",INDEX('O QUE MOSTRAR'!$C$4:$C$12,MATCH($D524,'O QUE MOSTRAR'!$A$4:$A$12,0)),INDEX('O QUE MOSTRAR'!$D$4:$D$12,MATCH($D524,'O QUE MOSTRAR'!$A$4:$A$12,0)))</f>
        <v>Emocional / momento de uso</v>
      </c>
      <c r="H524" s="11" t="str">
        <f aca="false">INDEX('O QUE MOSTRAR'!$E$4:$E$12,MATCH($D524,'O QUE MOSTRAR'!$A$4:$A$12,0))</f>
        <v>2000 × 2000</v>
      </c>
      <c r="I524" s="11" t="str">
        <f aca="false">INDEX('O QUE MOSTRAR'!$F$4:$F$12,MATCH($D524,'O QUE MOSTRAR'!$A$4:$A$12,0))</f>
        <v>Recomendada</v>
      </c>
      <c r="J524" s="13" t="s">
        <v>303</v>
      </c>
      <c r="K524" s="13"/>
    </row>
    <row r="525" customFormat="false" ht="15" hidden="false" customHeight="false" outlineLevel="0" collapsed="false">
      <c r="A525" s="14" t="s">
        <v>277</v>
      </c>
      <c r="B525" s="11" t="str">
        <f aca="false">INDEX(PRODUTOS!$E$4:$E$63,MATCH($A525,PRODUTOS!$B$4:$B$63,0))</f>
        <v>Kit Porta Cata Caca Natural Dots com 4 Refis Biodegradáveis</v>
      </c>
      <c r="C525" s="11" t="str">
        <f aca="false">INDEX(PRODUTOS!$G$4:$G$63,MATCH($A525,PRODUTOS!$B$4:$B$63,0))</f>
        <v>4 un.</v>
      </c>
      <c r="D525" s="11" t="s">
        <v>311</v>
      </c>
      <c r="E525" s="15" t="str">
        <f aca="false">$A525&amp;"."&amp;$D525&amp;".jpg"</f>
        <v>7908591300840.PT08.jpg</v>
      </c>
      <c r="F525" s="11" t="str">
        <f aca="false">INDEX('O QUE MOSTRAR'!$B$4:$B$12,MATCH($D525,'O QUE MOSTRAR'!$A$4:$A$12,0))</f>
        <v>Posição 9</v>
      </c>
      <c r="G525" s="11" t="str">
        <f aca="false">IF(INDEX(PRODUTOS!$F$4:$F$63,MATCH($A525,PRODUTOS!$B$4:$B$63,0))="Ração",INDEX('O QUE MOSTRAR'!$C$4:$C$12,MATCH($D525,'O QUE MOSTRAR'!$A$4:$A$12,0)),INDEX('O QUE MOSTRAR'!$D$4:$D$12,MATCH($D525,'O QUE MOSTRAR'!$A$4:$A$12,0)))</f>
        <v>Linha da marca ("conheça também")</v>
      </c>
      <c r="H525" s="11" t="str">
        <f aca="false">INDEX('O QUE MOSTRAR'!$E$4:$E$12,MATCH($D525,'O QUE MOSTRAR'!$A$4:$A$12,0))</f>
        <v>2000 × 2000</v>
      </c>
      <c r="I525" s="11" t="str">
        <f aca="false">INDEX('O QUE MOSTRAR'!$F$4:$F$12,MATCH($D525,'O QUE MOSTRAR'!$A$4:$A$12,0))</f>
        <v>Recomendada</v>
      </c>
      <c r="J525" s="13" t="s">
        <v>303</v>
      </c>
      <c r="K525" s="13"/>
    </row>
    <row r="526" customFormat="false" ht="15" hidden="false" customHeight="false" outlineLevel="0" collapsed="false">
      <c r="A526" s="14" t="s">
        <v>282</v>
      </c>
      <c r="B526" s="11" t="str">
        <f aca="false">INDEX(PRODUTOS!$E$4:$E$63,MATCH($A526,PRODUTOS!$B$4:$B$63,0))</f>
        <v>Refil Cata Caca Biodegradável Natural Dots com 3 Unidades</v>
      </c>
      <c r="C526" s="11" t="str">
        <f aca="false">INDEX(PRODUTOS!$G$4:$G$63,MATCH($A526,PRODUTOS!$B$4:$B$63,0))</f>
        <v>3 un.</v>
      </c>
      <c r="D526" s="11" t="s">
        <v>302</v>
      </c>
      <c r="E526" s="15" t="str">
        <f aca="false">$A526&amp;"."&amp;$D526&amp;".jpg"</f>
        <v>7908591300857.MAIN.jpg</v>
      </c>
      <c r="F526" s="11" t="str">
        <f aca="false">INDEX('O QUE MOSTRAR'!$B$4:$B$12,MATCH($D526,'O QUE MOSTRAR'!$A$4:$A$12,0))</f>
        <v>Capa (posição 1)</v>
      </c>
      <c r="G526" s="11" t="str">
        <f aca="false">IF(INDEX(PRODUTOS!$F$4:$F$63,MATCH($A526,PRODUTOS!$B$4:$B$63,0))="Ração",INDEX('O QUE MOSTRAR'!$C$4:$C$12,MATCH($D526,'O QUE MOSTRAR'!$A$4:$A$12,0)),INDEX('O QUE MOSTRAR'!$D$4:$D$12,MATCH($D526,'O QUE MOSTRAR'!$A$4:$A$12,0)))</f>
        <v>Embalagem de frente, fundo branco puro, 85% da área, nada adicionado</v>
      </c>
      <c r="H526" s="11" t="str">
        <f aca="false">INDEX('O QUE MOSTRAR'!$E$4:$E$12,MATCH($D526,'O QUE MOSTRAR'!$A$4:$A$12,0))</f>
        <v>2000 × 2000</v>
      </c>
      <c r="I526" s="11" t="str">
        <f aca="false">INDEX('O QUE MOSTRAR'!$F$4:$F$12,MATCH($D526,'O QUE MOSTRAR'!$A$4:$A$12,0))</f>
        <v>SIM</v>
      </c>
      <c r="J526" s="13" t="s">
        <v>303</v>
      </c>
      <c r="K526" s="13"/>
    </row>
    <row r="527" customFormat="false" ht="15" hidden="false" customHeight="false" outlineLevel="0" collapsed="false">
      <c r="A527" s="14" t="s">
        <v>282</v>
      </c>
      <c r="B527" s="11" t="str">
        <f aca="false">INDEX(PRODUTOS!$E$4:$E$63,MATCH($A527,PRODUTOS!$B$4:$B$63,0))</f>
        <v>Refil Cata Caca Biodegradável Natural Dots com 3 Unidades</v>
      </c>
      <c r="C527" s="11" t="str">
        <f aca="false">INDEX(PRODUTOS!$G$4:$G$63,MATCH($A527,PRODUTOS!$B$4:$B$63,0))</f>
        <v>3 un.</v>
      </c>
      <c r="D527" s="11" t="s">
        <v>304</v>
      </c>
      <c r="E527" s="15" t="str">
        <f aca="false">$A527&amp;"."&amp;$D527&amp;".jpg"</f>
        <v>7908591300857.PT01.jpg</v>
      </c>
      <c r="F527" s="11" t="str">
        <f aca="false">INDEX('O QUE MOSTRAR'!$B$4:$B$12,MATCH($D527,'O QUE MOSTRAR'!$A$4:$A$12,0))</f>
        <v>Posição 2</v>
      </c>
      <c r="G527" s="11" t="str">
        <f aca="false">IF(INDEX(PRODUTOS!$F$4:$F$63,MATCH($A527,PRODUTOS!$B$4:$B$63,0))="Ração",INDEX('O QUE MOSTRAR'!$C$4:$C$12,MATCH($D527,'O QUE MOSTRAR'!$A$4:$A$12,0)),INDEX('O QUE MOSTRAR'!$D$4:$D$12,MATCH($D527,'O QUE MOSTRAR'!$A$4:$A$12,0)))</f>
        <v>Grande diferencial (ex.: natural, biodegradável, perfumado)</v>
      </c>
      <c r="H527" s="11" t="str">
        <f aca="false">INDEX('O QUE MOSTRAR'!$E$4:$E$12,MATCH($D527,'O QUE MOSTRAR'!$A$4:$A$12,0))</f>
        <v>2000 × 2000</v>
      </c>
      <c r="I527" s="11" t="str">
        <f aca="false">INDEX('O QUE MOSTRAR'!$F$4:$F$12,MATCH($D527,'O QUE MOSTRAR'!$A$4:$A$12,0))</f>
        <v>SIM</v>
      </c>
      <c r="J527" s="13" t="s">
        <v>303</v>
      </c>
      <c r="K527" s="13"/>
    </row>
    <row r="528" customFormat="false" ht="15" hidden="false" customHeight="false" outlineLevel="0" collapsed="false">
      <c r="A528" s="14" t="s">
        <v>282</v>
      </c>
      <c r="B528" s="11" t="str">
        <f aca="false">INDEX(PRODUTOS!$E$4:$E$63,MATCH($A528,PRODUTOS!$B$4:$B$63,0))</f>
        <v>Refil Cata Caca Biodegradável Natural Dots com 3 Unidades</v>
      </c>
      <c r="C528" s="11" t="str">
        <f aca="false">INDEX(PRODUTOS!$G$4:$G$63,MATCH($A528,PRODUTOS!$B$4:$B$63,0))</f>
        <v>3 un.</v>
      </c>
      <c r="D528" s="11" t="s">
        <v>305</v>
      </c>
      <c r="E528" s="15" t="str">
        <f aca="false">$A528&amp;"."&amp;$D528&amp;".jpg"</f>
        <v>7908591300857.PT02.jpg</v>
      </c>
      <c r="F528" s="11" t="str">
        <f aca="false">INDEX('O QUE MOSTRAR'!$B$4:$B$12,MATCH($D528,'O QUE MOSTRAR'!$A$4:$A$12,0))</f>
        <v>Posição 3</v>
      </c>
      <c r="G528" s="11" t="str">
        <f aca="false">IF(INDEX(PRODUTOS!$F$4:$F$63,MATCH($A528,PRODUTOS!$B$4:$B$63,0))="Ração",INDEX('O QUE MOSTRAR'!$C$4:$C$12,MATCH($D528,'O QUE MOSTRAR'!$A$4:$A$12,0)),INDEX('O QUE MOSTRAR'!$D$4:$D$12,MATCH($D528,'O QUE MOSTRAR'!$A$4:$A$12,0)))</f>
        <v>Benefícios com ícones (4 a 6, impressos na embalagem)</v>
      </c>
      <c r="H528" s="11" t="str">
        <f aca="false">INDEX('O QUE MOSTRAR'!$E$4:$E$12,MATCH($D528,'O QUE MOSTRAR'!$A$4:$A$12,0))</f>
        <v>2000 × 2000</v>
      </c>
      <c r="I528" s="11" t="str">
        <f aca="false">INDEX('O QUE MOSTRAR'!$F$4:$F$12,MATCH($D528,'O QUE MOSTRAR'!$A$4:$A$12,0))</f>
        <v>SIM</v>
      </c>
      <c r="J528" s="13" t="s">
        <v>303</v>
      </c>
      <c r="K528" s="13"/>
    </row>
    <row r="529" customFormat="false" ht="15" hidden="false" customHeight="false" outlineLevel="0" collapsed="false">
      <c r="A529" s="14" t="s">
        <v>282</v>
      </c>
      <c r="B529" s="11" t="str">
        <f aca="false">INDEX(PRODUTOS!$E$4:$E$63,MATCH($A529,PRODUTOS!$B$4:$B$63,0))</f>
        <v>Refil Cata Caca Biodegradável Natural Dots com 3 Unidades</v>
      </c>
      <c r="C529" s="11" t="str">
        <f aca="false">INDEX(PRODUTOS!$G$4:$G$63,MATCH($A529,PRODUTOS!$B$4:$B$63,0))</f>
        <v>3 un.</v>
      </c>
      <c r="D529" s="11" t="s">
        <v>306</v>
      </c>
      <c r="E529" s="15" t="str">
        <f aca="false">$A529&amp;"."&amp;$D529&amp;".jpg"</f>
        <v>7908591300857.PT03.jpg</v>
      </c>
      <c r="F529" s="11" t="str">
        <f aca="false">INDEX('O QUE MOSTRAR'!$B$4:$B$12,MATCH($D529,'O QUE MOSTRAR'!$A$4:$A$12,0))</f>
        <v>Posição 4</v>
      </c>
      <c r="G529" s="11" t="str">
        <f aca="false">IF(INDEX(PRODUTOS!$F$4:$F$63,MATCH($A529,PRODUTOS!$B$4:$B$63,0))="Ração",INDEX('O QUE MOSTRAR'!$C$4:$C$12,MATCH($D529,'O QUE MOSTRAR'!$A$4:$A$12,0)),INDEX('O QUE MOSTRAR'!$D$4:$D$12,MATCH($D529,'O QUE MOSTRAR'!$A$4:$A$12,0)))</f>
        <v>Detalhe e tamanho real (petisco, grânulo ou tapete aberto), com medidas</v>
      </c>
      <c r="H529" s="11" t="str">
        <f aca="false">INDEX('O QUE MOSTRAR'!$E$4:$E$12,MATCH($D529,'O QUE MOSTRAR'!$A$4:$A$12,0))</f>
        <v>2000 × 2000</v>
      </c>
      <c r="I529" s="11" t="str">
        <f aca="false">INDEX('O QUE MOSTRAR'!$F$4:$F$12,MATCH($D529,'O QUE MOSTRAR'!$A$4:$A$12,0))</f>
        <v>SIM</v>
      </c>
      <c r="J529" s="13" t="s">
        <v>303</v>
      </c>
      <c r="K529" s="13"/>
    </row>
    <row r="530" customFormat="false" ht="15" hidden="false" customHeight="false" outlineLevel="0" collapsed="false">
      <c r="A530" s="14" t="s">
        <v>282</v>
      </c>
      <c r="B530" s="11" t="str">
        <f aca="false">INDEX(PRODUTOS!$E$4:$E$63,MATCH($A530,PRODUTOS!$B$4:$B$63,0))</f>
        <v>Refil Cata Caca Biodegradável Natural Dots com 3 Unidades</v>
      </c>
      <c r="C530" s="11" t="str">
        <f aca="false">INDEX(PRODUTOS!$G$4:$G$63,MATCH($A530,PRODUTOS!$B$4:$B$63,0))</f>
        <v>3 un.</v>
      </c>
      <c r="D530" s="11" t="s">
        <v>307</v>
      </c>
      <c r="E530" s="15" t="str">
        <f aca="false">$A530&amp;"."&amp;$D530&amp;".jpg"</f>
        <v>7908591300857.PT04.jpg</v>
      </c>
      <c r="F530" s="11" t="str">
        <f aca="false">INDEX('O QUE MOSTRAR'!$B$4:$B$12,MATCH($D530,'O QUE MOSTRAR'!$A$4:$A$12,0))</f>
        <v>Posição 5</v>
      </c>
      <c r="G530" s="11" t="str">
        <f aca="false">IF(INDEX(PRODUTOS!$F$4:$F$63,MATCH($A530,PRODUTOS!$B$4:$B$63,0))="Ração",INDEX('O QUE MOSTRAR'!$C$4:$C$12,MATCH($D530,'O QUE MOSTRAR'!$A$4:$A$12,0)),INDEX('O QUE MOSTRAR'!$D$4:$D$12,MATCH($D530,'O QUE MOSTRAR'!$A$4:$A$12,0)))</f>
        <v>Modo de uso (como oferecer o petisco / como usar o produto)</v>
      </c>
      <c r="H530" s="11" t="str">
        <f aca="false">INDEX('O QUE MOSTRAR'!$E$4:$E$12,MATCH($D530,'O QUE MOSTRAR'!$A$4:$A$12,0))</f>
        <v>2000 × 2000</v>
      </c>
      <c r="I530" s="11" t="str">
        <f aca="false">INDEX('O QUE MOSTRAR'!$F$4:$F$12,MATCH($D530,'O QUE MOSTRAR'!$A$4:$A$12,0))</f>
        <v>SIM</v>
      </c>
      <c r="J530" s="13" t="s">
        <v>303</v>
      </c>
      <c r="K530" s="13"/>
    </row>
    <row r="531" customFormat="false" ht="15" hidden="false" customHeight="false" outlineLevel="0" collapsed="false">
      <c r="A531" s="14" t="s">
        <v>282</v>
      </c>
      <c r="B531" s="11" t="str">
        <f aca="false">INDEX(PRODUTOS!$E$4:$E$63,MATCH($A531,PRODUTOS!$B$4:$B$63,0))</f>
        <v>Refil Cata Caca Biodegradável Natural Dots com 3 Unidades</v>
      </c>
      <c r="C531" s="11" t="str">
        <f aca="false">INDEX(PRODUTOS!$G$4:$G$63,MATCH($A531,PRODUTOS!$B$4:$B$63,0))</f>
        <v>3 un.</v>
      </c>
      <c r="D531" s="11" t="s">
        <v>308</v>
      </c>
      <c r="E531" s="15" t="str">
        <f aca="false">$A531&amp;"."&amp;$D531&amp;".jpg"</f>
        <v>7908591300857.PT05.jpg</v>
      </c>
      <c r="F531" s="11" t="str">
        <f aca="false">INDEX('O QUE MOSTRAR'!$B$4:$B$12,MATCH($D531,'O QUE MOSTRAR'!$A$4:$A$12,0))</f>
        <v>Posição 6</v>
      </c>
      <c r="G531" s="11" t="str">
        <f aca="false">IF(INDEX(PRODUTOS!$F$4:$F$63,MATCH($A531,PRODUTOS!$B$4:$B$63,0))="Ração",INDEX('O QUE MOSTRAR'!$C$4:$C$12,MATCH($D531,'O QUE MOSTRAR'!$A$4:$A$12,0)),INDEX('O QUE MOSTRAR'!$D$4:$D$12,MATCH($D531,'O QUE MOSTRAR'!$A$4:$A$12,0)))</f>
        <v>Quantidade por dia ou rendimento do pacote</v>
      </c>
      <c r="H531" s="11" t="str">
        <f aca="false">INDEX('O QUE MOSTRAR'!$E$4:$E$12,MATCH($D531,'O QUE MOSTRAR'!$A$4:$A$12,0))</f>
        <v>2000 × 2000</v>
      </c>
      <c r="I531" s="11" t="str">
        <f aca="false">INDEX('O QUE MOSTRAR'!$F$4:$F$12,MATCH($D531,'O QUE MOSTRAR'!$A$4:$A$12,0))</f>
        <v>Recomendada</v>
      </c>
      <c r="J531" s="13" t="s">
        <v>303</v>
      </c>
      <c r="K531" s="13"/>
    </row>
    <row r="532" customFormat="false" ht="15" hidden="false" customHeight="false" outlineLevel="0" collapsed="false">
      <c r="A532" s="14" t="s">
        <v>282</v>
      </c>
      <c r="B532" s="11" t="str">
        <f aca="false">INDEX(PRODUTOS!$E$4:$E$63,MATCH($A532,PRODUTOS!$B$4:$B$63,0))</f>
        <v>Refil Cata Caca Biodegradável Natural Dots com 3 Unidades</v>
      </c>
      <c r="C532" s="11" t="str">
        <f aca="false">INDEX(PRODUTOS!$G$4:$G$63,MATCH($A532,PRODUTOS!$B$4:$B$63,0))</f>
        <v>3 un.</v>
      </c>
      <c r="D532" s="11" t="s">
        <v>309</v>
      </c>
      <c r="E532" s="15" t="str">
        <f aca="false">$A532&amp;"."&amp;$D532&amp;".jpg"</f>
        <v>7908591300857.PT06.jpg</v>
      </c>
      <c r="F532" s="11" t="str">
        <f aca="false">INDEX('O QUE MOSTRAR'!$B$4:$B$12,MATCH($D532,'O QUE MOSTRAR'!$A$4:$A$12,0))</f>
        <v>Posição 7</v>
      </c>
      <c r="G532" s="11" t="str">
        <f aca="false">IF(INDEX(PRODUTOS!$F$4:$F$63,MATCH($A532,PRODUTOS!$B$4:$B$63,0))="Ração",INDEX('O QUE MOSTRAR'!$C$4:$C$12,MATCH($D532,'O QUE MOSTRAR'!$A$4:$A$12,0)),INDEX('O QUE MOSTRAR'!$D$4:$D$12,MATCH($D532,'O QUE MOSTRAR'!$A$4:$A$12,0)))</f>
        <v>Composição/níveis de garantia (petiscos) ou especificações (higiene)</v>
      </c>
      <c r="H532" s="11" t="str">
        <f aca="false">INDEX('O QUE MOSTRAR'!$E$4:$E$12,MATCH($D532,'O QUE MOSTRAR'!$A$4:$A$12,0))</f>
        <v>2000 × 2000</v>
      </c>
      <c r="I532" s="11" t="str">
        <f aca="false">INDEX('O QUE MOSTRAR'!$F$4:$F$12,MATCH($D532,'O QUE MOSTRAR'!$A$4:$A$12,0))</f>
        <v>SIM</v>
      </c>
      <c r="J532" s="13" t="s">
        <v>303</v>
      </c>
      <c r="K532" s="13"/>
    </row>
    <row r="533" customFormat="false" ht="15" hidden="false" customHeight="false" outlineLevel="0" collapsed="false">
      <c r="A533" s="14" t="s">
        <v>282</v>
      </c>
      <c r="B533" s="11" t="str">
        <f aca="false">INDEX(PRODUTOS!$E$4:$E$63,MATCH($A533,PRODUTOS!$B$4:$B$63,0))</f>
        <v>Refil Cata Caca Biodegradável Natural Dots com 3 Unidades</v>
      </c>
      <c r="C533" s="11" t="str">
        <f aca="false">INDEX(PRODUTOS!$G$4:$G$63,MATCH($A533,PRODUTOS!$B$4:$B$63,0))</f>
        <v>3 un.</v>
      </c>
      <c r="D533" s="11" t="s">
        <v>310</v>
      </c>
      <c r="E533" s="15" t="str">
        <f aca="false">$A533&amp;"."&amp;$D533&amp;".jpg"</f>
        <v>7908591300857.PT07.jpg</v>
      </c>
      <c r="F533" s="11" t="str">
        <f aca="false">INDEX('O QUE MOSTRAR'!$B$4:$B$12,MATCH($D533,'O QUE MOSTRAR'!$A$4:$A$12,0))</f>
        <v>Posição 8</v>
      </c>
      <c r="G533" s="11" t="str">
        <f aca="false">IF(INDEX(PRODUTOS!$F$4:$F$63,MATCH($A533,PRODUTOS!$B$4:$B$63,0))="Ração",INDEX('O QUE MOSTRAR'!$C$4:$C$12,MATCH($D533,'O QUE MOSTRAR'!$A$4:$A$12,0)),INDEX('O QUE MOSTRAR'!$D$4:$D$12,MATCH($D533,'O QUE MOSTRAR'!$A$4:$A$12,0)))</f>
        <v>Emocional / momento de uso</v>
      </c>
      <c r="H533" s="11" t="str">
        <f aca="false">INDEX('O QUE MOSTRAR'!$E$4:$E$12,MATCH($D533,'O QUE MOSTRAR'!$A$4:$A$12,0))</f>
        <v>2000 × 2000</v>
      </c>
      <c r="I533" s="11" t="str">
        <f aca="false">INDEX('O QUE MOSTRAR'!$F$4:$F$12,MATCH($D533,'O QUE MOSTRAR'!$A$4:$A$12,0))</f>
        <v>Recomendada</v>
      </c>
      <c r="J533" s="13" t="s">
        <v>303</v>
      </c>
      <c r="K533" s="13"/>
    </row>
    <row r="534" customFormat="false" ht="15" hidden="false" customHeight="false" outlineLevel="0" collapsed="false">
      <c r="A534" s="14" t="s">
        <v>282</v>
      </c>
      <c r="B534" s="11" t="str">
        <f aca="false">INDEX(PRODUTOS!$E$4:$E$63,MATCH($A534,PRODUTOS!$B$4:$B$63,0))</f>
        <v>Refil Cata Caca Biodegradável Natural Dots com 3 Unidades</v>
      </c>
      <c r="C534" s="11" t="str">
        <f aca="false">INDEX(PRODUTOS!$G$4:$G$63,MATCH($A534,PRODUTOS!$B$4:$B$63,0))</f>
        <v>3 un.</v>
      </c>
      <c r="D534" s="11" t="s">
        <v>311</v>
      </c>
      <c r="E534" s="15" t="str">
        <f aca="false">$A534&amp;"."&amp;$D534&amp;".jpg"</f>
        <v>7908591300857.PT08.jpg</v>
      </c>
      <c r="F534" s="11" t="str">
        <f aca="false">INDEX('O QUE MOSTRAR'!$B$4:$B$12,MATCH($D534,'O QUE MOSTRAR'!$A$4:$A$12,0))</f>
        <v>Posição 9</v>
      </c>
      <c r="G534" s="11" t="str">
        <f aca="false">IF(INDEX(PRODUTOS!$F$4:$F$63,MATCH($A534,PRODUTOS!$B$4:$B$63,0))="Ração",INDEX('O QUE MOSTRAR'!$C$4:$C$12,MATCH($D534,'O QUE MOSTRAR'!$A$4:$A$12,0)),INDEX('O QUE MOSTRAR'!$D$4:$D$12,MATCH($D534,'O QUE MOSTRAR'!$A$4:$A$12,0)))</f>
        <v>Linha da marca ("conheça também")</v>
      </c>
      <c r="H534" s="11" t="str">
        <f aca="false">INDEX('O QUE MOSTRAR'!$E$4:$E$12,MATCH($D534,'O QUE MOSTRAR'!$A$4:$A$12,0))</f>
        <v>2000 × 2000</v>
      </c>
      <c r="I534" s="11" t="str">
        <f aca="false">INDEX('O QUE MOSTRAR'!$F$4:$F$12,MATCH($D534,'O QUE MOSTRAR'!$A$4:$A$12,0))</f>
        <v>Recomendada</v>
      </c>
      <c r="J534" s="13" t="s">
        <v>303</v>
      </c>
      <c r="K534" s="13"/>
    </row>
    <row r="535" customFormat="false" ht="15" hidden="false" customHeight="false" outlineLevel="0" collapsed="false">
      <c r="A535" s="14" t="s">
        <v>287</v>
      </c>
      <c r="B535" s="11" t="str">
        <f aca="false">INDEX(PRODUTOS!$E$4:$E$63,MATCH($A535,PRODUTOS!$B$4:$B$63,0))</f>
        <v>Tapete Higiênico Natural Dots Super Premium 80 x 60 cm com 7 Unidades</v>
      </c>
      <c r="C535" s="11" t="str">
        <f aca="false">INDEX(PRODUTOS!$G$4:$G$63,MATCH($A535,PRODUTOS!$B$4:$B$63,0))</f>
        <v>7 un.</v>
      </c>
      <c r="D535" s="11" t="s">
        <v>302</v>
      </c>
      <c r="E535" s="15" t="str">
        <f aca="false">$A535&amp;"."&amp;$D535&amp;".jpg"</f>
        <v>7898968541979.MAIN.jpg</v>
      </c>
      <c r="F535" s="11" t="str">
        <f aca="false">INDEX('O QUE MOSTRAR'!$B$4:$B$12,MATCH($D535,'O QUE MOSTRAR'!$A$4:$A$12,0))</f>
        <v>Capa (posição 1)</v>
      </c>
      <c r="G535" s="11" t="str">
        <f aca="false">IF(INDEX(PRODUTOS!$F$4:$F$63,MATCH($A535,PRODUTOS!$B$4:$B$63,0))="Ração",INDEX('O QUE MOSTRAR'!$C$4:$C$12,MATCH($D535,'O QUE MOSTRAR'!$A$4:$A$12,0)),INDEX('O QUE MOSTRAR'!$D$4:$D$12,MATCH($D535,'O QUE MOSTRAR'!$A$4:$A$12,0)))</f>
        <v>Embalagem de frente, fundo branco puro, 85% da área, nada adicionado</v>
      </c>
      <c r="H535" s="11" t="str">
        <f aca="false">INDEX('O QUE MOSTRAR'!$E$4:$E$12,MATCH($D535,'O QUE MOSTRAR'!$A$4:$A$12,0))</f>
        <v>2000 × 2000</v>
      </c>
      <c r="I535" s="11" t="str">
        <f aca="false">INDEX('O QUE MOSTRAR'!$F$4:$F$12,MATCH($D535,'O QUE MOSTRAR'!$A$4:$A$12,0))</f>
        <v>SIM</v>
      </c>
      <c r="J535" s="13" t="s">
        <v>303</v>
      </c>
      <c r="K535" s="13"/>
    </row>
    <row r="536" customFormat="false" ht="15" hidden="false" customHeight="false" outlineLevel="0" collapsed="false">
      <c r="A536" s="14" t="s">
        <v>287</v>
      </c>
      <c r="B536" s="11" t="str">
        <f aca="false">INDEX(PRODUTOS!$E$4:$E$63,MATCH($A536,PRODUTOS!$B$4:$B$63,0))</f>
        <v>Tapete Higiênico Natural Dots Super Premium 80 x 60 cm com 7 Unidades</v>
      </c>
      <c r="C536" s="11" t="str">
        <f aca="false">INDEX(PRODUTOS!$G$4:$G$63,MATCH($A536,PRODUTOS!$B$4:$B$63,0))</f>
        <v>7 un.</v>
      </c>
      <c r="D536" s="11" t="s">
        <v>304</v>
      </c>
      <c r="E536" s="15" t="str">
        <f aca="false">$A536&amp;"."&amp;$D536&amp;".jpg"</f>
        <v>7898968541979.PT01.jpg</v>
      </c>
      <c r="F536" s="11" t="str">
        <f aca="false">INDEX('O QUE MOSTRAR'!$B$4:$B$12,MATCH($D536,'O QUE MOSTRAR'!$A$4:$A$12,0))</f>
        <v>Posição 2</v>
      </c>
      <c r="G536" s="11" t="str">
        <f aca="false">IF(INDEX(PRODUTOS!$F$4:$F$63,MATCH($A536,PRODUTOS!$B$4:$B$63,0))="Ração",INDEX('O QUE MOSTRAR'!$C$4:$C$12,MATCH($D536,'O QUE MOSTRAR'!$A$4:$A$12,0)),INDEX('O QUE MOSTRAR'!$D$4:$D$12,MATCH($D536,'O QUE MOSTRAR'!$A$4:$A$12,0)))</f>
        <v>Grande diferencial (ex.: natural, biodegradável, perfumado)</v>
      </c>
      <c r="H536" s="11" t="str">
        <f aca="false">INDEX('O QUE MOSTRAR'!$E$4:$E$12,MATCH($D536,'O QUE MOSTRAR'!$A$4:$A$12,0))</f>
        <v>2000 × 2000</v>
      </c>
      <c r="I536" s="11" t="str">
        <f aca="false">INDEX('O QUE MOSTRAR'!$F$4:$F$12,MATCH($D536,'O QUE MOSTRAR'!$A$4:$A$12,0))</f>
        <v>SIM</v>
      </c>
      <c r="J536" s="13" t="s">
        <v>303</v>
      </c>
      <c r="K536" s="13"/>
    </row>
    <row r="537" customFormat="false" ht="15" hidden="false" customHeight="false" outlineLevel="0" collapsed="false">
      <c r="A537" s="14" t="s">
        <v>287</v>
      </c>
      <c r="B537" s="11" t="str">
        <f aca="false">INDEX(PRODUTOS!$E$4:$E$63,MATCH($A537,PRODUTOS!$B$4:$B$63,0))</f>
        <v>Tapete Higiênico Natural Dots Super Premium 80 x 60 cm com 7 Unidades</v>
      </c>
      <c r="C537" s="11" t="str">
        <f aca="false">INDEX(PRODUTOS!$G$4:$G$63,MATCH($A537,PRODUTOS!$B$4:$B$63,0))</f>
        <v>7 un.</v>
      </c>
      <c r="D537" s="11" t="s">
        <v>305</v>
      </c>
      <c r="E537" s="15" t="str">
        <f aca="false">$A537&amp;"."&amp;$D537&amp;".jpg"</f>
        <v>7898968541979.PT02.jpg</v>
      </c>
      <c r="F537" s="11" t="str">
        <f aca="false">INDEX('O QUE MOSTRAR'!$B$4:$B$12,MATCH($D537,'O QUE MOSTRAR'!$A$4:$A$12,0))</f>
        <v>Posição 3</v>
      </c>
      <c r="G537" s="11" t="str">
        <f aca="false">IF(INDEX(PRODUTOS!$F$4:$F$63,MATCH($A537,PRODUTOS!$B$4:$B$63,0))="Ração",INDEX('O QUE MOSTRAR'!$C$4:$C$12,MATCH($D537,'O QUE MOSTRAR'!$A$4:$A$12,0)),INDEX('O QUE MOSTRAR'!$D$4:$D$12,MATCH($D537,'O QUE MOSTRAR'!$A$4:$A$12,0)))</f>
        <v>Benefícios com ícones (4 a 6, impressos na embalagem)</v>
      </c>
      <c r="H537" s="11" t="str">
        <f aca="false">INDEX('O QUE MOSTRAR'!$E$4:$E$12,MATCH($D537,'O QUE MOSTRAR'!$A$4:$A$12,0))</f>
        <v>2000 × 2000</v>
      </c>
      <c r="I537" s="11" t="str">
        <f aca="false">INDEX('O QUE MOSTRAR'!$F$4:$F$12,MATCH($D537,'O QUE MOSTRAR'!$A$4:$A$12,0))</f>
        <v>SIM</v>
      </c>
      <c r="J537" s="13" t="s">
        <v>303</v>
      </c>
      <c r="K537" s="13"/>
    </row>
    <row r="538" customFormat="false" ht="15" hidden="false" customHeight="false" outlineLevel="0" collapsed="false">
      <c r="A538" s="14" t="s">
        <v>287</v>
      </c>
      <c r="B538" s="11" t="str">
        <f aca="false">INDEX(PRODUTOS!$E$4:$E$63,MATCH($A538,PRODUTOS!$B$4:$B$63,0))</f>
        <v>Tapete Higiênico Natural Dots Super Premium 80 x 60 cm com 7 Unidades</v>
      </c>
      <c r="C538" s="11" t="str">
        <f aca="false">INDEX(PRODUTOS!$G$4:$G$63,MATCH($A538,PRODUTOS!$B$4:$B$63,0))</f>
        <v>7 un.</v>
      </c>
      <c r="D538" s="11" t="s">
        <v>306</v>
      </c>
      <c r="E538" s="15" t="str">
        <f aca="false">$A538&amp;"."&amp;$D538&amp;".jpg"</f>
        <v>7898968541979.PT03.jpg</v>
      </c>
      <c r="F538" s="11" t="str">
        <f aca="false">INDEX('O QUE MOSTRAR'!$B$4:$B$12,MATCH($D538,'O QUE MOSTRAR'!$A$4:$A$12,0))</f>
        <v>Posição 4</v>
      </c>
      <c r="G538" s="11" t="str">
        <f aca="false">IF(INDEX(PRODUTOS!$F$4:$F$63,MATCH($A538,PRODUTOS!$B$4:$B$63,0))="Ração",INDEX('O QUE MOSTRAR'!$C$4:$C$12,MATCH($D538,'O QUE MOSTRAR'!$A$4:$A$12,0)),INDEX('O QUE MOSTRAR'!$D$4:$D$12,MATCH($D538,'O QUE MOSTRAR'!$A$4:$A$12,0)))</f>
        <v>Detalhe e tamanho real (petisco, grânulo ou tapete aberto), com medidas</v>
      </c>
      <c r="H538" s="11" t="str">
        <f aca="false">INDEX('O QUE MOSTRAR'!$E$4:$E$12,MATCH($D538,'O QUE MOSTRAR'!$A$4:$A$12,0))</f>
        <v>2000 × 2000</v>
      </c>
      <c r="I538" s="11" t="str">
        <f aca="false">INDEX('O QUE MOSTRAR'!$F$4:$F$12,MATCH($D538,'O QUE MOSTRAR'!$A$4:$A$12,0))</f>
        <v>SIM</v>
      </c>
      <c r="J538" s="13" t="s">
        <v>303</v>
      </c>
      <c r="K538" s="13"/>
    </row>
    <row r="539" customFormat="false" ht="15" hidden="false" customHeight="false" outlineLevel="0" collapsed="false">
      <c r="A539" s="14" t="s">
        <v>287</v>
      </c>
      <c r="B539" s="11" t="str">
        <f aca="false">INDEX(PRODUTOS!$E$4:$E$63,MATCH($A539,PRODUTOS!$B$4:$B$63,0))</f>
        <v>Tapete Higiênico Natural Dots Super Premium 80 x 60 cm com 7 Unidades</v>
      </c>
      <c r="C539" s="11" t="str">
        <f aca="false">INDEX(PRODUTOS!$G$4:$G$63,MATCH($A539,PRODUTOS!$B$4:$B$63,0))</f>
        <v>7 un.</v>
      </c>
      <c r="D539" s="11" t="s">
        <v>307</v>
      </c>
      <c r="E539" s="15" t="str">
        <f aca="false">$A539&amp;"."&amp;$D539&amp;".jpg"</f>
        <v>7898968541979.PT04.jpg</v>
      </c>
      <c r="F539" s="11" t="str">
        <f aca="false">INDEX('O QUE MOSTRAR'!$B$4:$B$12,MATCH($D539,'O QUE MOSTRAR'!$A$4:$A$12,0))</f>
        <v>Posição 5</v>
      </c>
      <c r="G539" s="11" t="str">
        <f aca="false">IF(INDEX(PRODUTOS!$F$4:$F$63,MATCH($A539,PRODUTOS!$B$4:$B$63,0))="Ração",INDEX('O QUE MOSTRAR'!$C$4:$C$12,MATCH($D539,'O QUE MOSTRAR'!$A$4:$A$12,0)),INDEX('O QUE MOSTRAR'!$D$4:$D$12,MATCH($D539,'O QUE MOSTRAR'!$A$4:$A$12,0)))</f>
        <v>Modo de uso (como oferecer o petisco / como usar o produto)</v>
      </c>
      <c r="H539" s="11" t="str">
        <f aca="false">INDEX('O QUE MOSTRAR'!$E$4:$E$12,MATCH($D539,'O QUE MOSTRAR'!$A$4:$A$12,0))</f>
        <v>2000 × 2000</v>
      </c>
      <c r="I539" s="11" t="str">
        <f aca="false">INDEX('O QUE MOSTRAR'!$F$4:$F$12,MATCH($D539,'O QUE MOSTRAR'!$A$4:$A$12,0))</f>
        <v>SIM</v>
      </c>
      <c r="J539" s="13" t="s">
        <v>303</v>
      </c>
      <c r="K539" s="13"/>
    </row>
    <row r="540" customFormat="false" ht="15" hidden="false" customHeight="false" outlineLevel="0" collapsed="false">
      <c r="A540" s="14" t="s">
        <v>287</v>
      </c>
      <c r="B540" s="11" t="str">
        <f aca="false">INDEX(PRODUTOS!$E$4:$E$63,MATCH($A540,PRODUTOS!$B$4:$B$63,0))</f>
        <v>Tapete Higiênico Natural Dots Super Premium 80 x 60 cm com 7 Unidades</v>
      </c>
      <c r="C540" s="11" t="str">
        <f aca="false">INDEX(PRODUTOS!$G$4:$G$63,MATCH($A540,PRODUTOS!$B$4:$B$63,0))</f>
        <v>7 un.</v>
      </c>
      <c r="D540" s="11" t="s">
        <v>308</v>
      </c>
      <c r="E540" s="15" t="str">
        <f aca="false">$A540&amp;"."&amp;$D540&amp;".jpg"</f>
        <v>7898968541979.PT05.jpg</v>
      </c>
      <c r="F540" s="11" t="str">
        <f aca="false">INDEX('O QUE MOSTRAR'!$B$4:$B$12,MATCH($D540,'O QUE MOSTRAR'!$A$4:$A$12,0))</f>
        <v>Posição 6</v>
      </c>
      <c r="G540" s="11" t="str">
        <f aca="false">IF(INDEX(PRODUTOS!$F$4:$F$63,MATCH($A540,PRODUTOS!$B$4:$B$63,0))="Ração",INDEX('O QUE MOSTRAR'!$C$4:$C$12,MATCH($D540,'O QUE MOSTRAR'!$A$4:$A$12,0)),INDEX('O QUE MOSTRAR'!$D$4:$D$12,MATCH($D540,'O QUE MOSTRAR'!$A$4:$A$12,0)))</f>
        <v>Quantidade por dia ou rendimento do pacote</v>
      </c>
      <c r="H540" s="11" t="str">
        <f aca="false">INDEX('O QUE MOSTRAR'!$E$4:$E$12,MATCH($D540,'O QUE MOSTRAR'!$A$4:$A$12,0))</f>
        <v>2000 × 2000</v>
      </c>
      <c r="I540" s="11" t="str">
        <f aca="false">INDEX('O QUE MOSTRAR'!$F$4:$F$12,MATCH($D540,'O QUE MOSTRAR'!$A$4:$A$12,0))</f>
        <v>Recomendada</v>
      </c>
      <c r="J540" s="13" t="s">
        <v>303</v>
      </c>
      <c r="K540" s="13"/>
    </row>
    <row r="541" customFormat="false" ht="15" hidden="false" customHeight="false" outlineLevel="0" collapsed="false">
      <c r="A541" s="14" t="s">
        <v>287</v>
      </c>
      <c r="B541" s="11" t="str">
        <f aca="false">INDEX(PRODUTOS!$E$4:$E$63,MATCH($A541,PRODUTOS!$B$4:$B$63,0))</f>
        <v>Tapete Higiênico Natural Dots Super Premium 80 x 60 cm com 7 Unidades</v>
      </c>
      <c r="C541" s="11" t="str">
        <f aca="false">INDEX(PRODUTOS!$G$4:$G$63,MATCH($A541,PRODUTOS!$B$4:$B$63,0))</f>
        <v>7 un.</v>
      </c>
      <c r="D541" s="11" t="s">
        <v>309</v>
      </c>
      <c r="E541" s="15" t="str">
        <f aca="false">$A541&amp;"."&amp;$D541&amp;".jpg"</f>
        <v>7898968541979.PT06.jpg</v>
      </c>
      <c r="F541" s="11" t="str">
        <f aca="false">INDEX('O QUE MOSTRAR'!$B$4:$B$12,MATCH($D541,'O QUE MOSTRAR'!$A$4:$A$12,0))</f>
        <v>Posição 7</v>
      </c>
      <c r="G541" s="11" t="str">
        <f aca="false">IF(INDEX(PRODUTOS!$F$4:$F$63,MATCH($A541,PRODUTOS!$B$4:$B$63,0))="Ração",INDEX('O QUE MOSTRAR'!$C$4:$C$12,MATCH($D541,'O QUE MOSTRAR'!$A$4:$A$12,0)),INDEX('O QUE MOSTRAR'!$D$4:$D$12,MATCH($D541,'O QUE MOSTRAR'!$A$4:$A$12,0)))</f>
        <v>Composição/níveis de garantia (petiscos) ou especificações (higiene)</v>
      </c>
      <c r="H541" s="11" t="str">
        <f aca="false">INDEX('O QUE MOSTRAR'!$E$4:$E$12,MATCH($D541,'O QUE MOSTRAR'!$A$4:$A$12,0))</f>
        <v>2000 × 2000</v>
      </c>
      <c r="I541" s="11" t="str">
        <f aca="false">INDEX('O QUE MOSTRAR'!$F$4:$F$12,MATCH($D541,'O QUE MOSTRAR'!$A$4:$A$12,0))</f>
        <v>SIM</v>
      </c>
      <c r="J541" s="13" t="s">
        <v>303</v>
      </c>
      <c r="K541" s="13"/>
    </row>
    <row r="542" customFormat="false" ht="15" hidden="false" customHeight="false" outlineLevel="0" collapsed="false">
      <c r="A542" s="14" t="s">
        <v>287</v>
      </c>
      <c r="B542" s="11" t="str">
        <f aca="false">INDEX(PRODUTOS!$E$4:$E$63,MATCH($A542,PRODUTOS!$B$4:$B$63,0))</f>
        <v>Tapete Higiênico Natural Dots Super Premium 80 x 60 cm com 7 Unidades</v>
      </c>
      <c r="C542" s="11" t="str">
        <f aca="false">INDEX(PRODUTOS!$G$4:$G$63,MATCH($A542,PRODUTOS!$B$4:$B$63,0))</f>
        <v>7 un.</v>
      </c>
      <c r="D542" s="11" t="s">
        <v>310</v>
      </c>
      <c r="E542" s="15" t="str">
        <f aca="false">$A542&amp;"."&amp;$D542&amp;".jpg"</f>
        <v>7898968541979.PT07.jpg</v>
      </c>
      <c r="F542" s="11" t="str">
        <f aca="false">INDEX('O QUE MOSTRAR'!$B$4:$B$12,MATCH($D542,'O QUE MOSTRAR'!$A$4:$A$12,0))</f>
        <v>Posição 8</v>
      </c>
      <c r="G542" s="11" t="str">
        <f aca="false">IF(INDEX(PRODUTOS!$F$4:$F$63,MATCH($A542,PRODUTOS!$B$4:$B$63,0))="Ração",INDEX('O QUE MOSTRAR'!$C$4:$C$12,MATCH($D542,'O QUE MOSTRAR'!$A$4:$A$12,0)),INDEX('O QUE MOSTRAR'!$D$4:$D$12,MATCH($D542,'O QUE MOSTRAR'!$A$4:$A$12,0)))</f>
        <v>Emocional / momento de uso</v>
      </c>
      <c r="H542" s="11" t="str">
        <f aca="false">INDEX('O QUE MOSTRAR'!$E$4:$E$12,MATCH($D542,'O QUE MOSTRAR'!$A$4:$A$12,0))</f>
        <v>2000 × 2000</v>
      </c>
      <c r="I542" s="11" t="str">
        <f aca="false">INDEX('O QUE MOSTRAR'!$F$4:$F$12,MATCH($D542,'O QUE MOSTRAR'!$A$4:$A$12,0))</f>
        <v>Recomendada</v>
      </c>
      <c r="J542" s="13" t="s">
        <v>303</v>
      </c>
      <c r="K542" s="13"/>
    </row>
    <row r="543" customFormat="false" ht="15" hidden="false" customHeight="false" outlineLevel="0" collapsed="false">
      <c r="A543" s="14" t="s">
        <v>287</v>
      </c>
      <c r="B543" s="11" t="str">
        <f aca="false">INDEX(PRODUTOS!$E$4:$E$63,MATCH($A543,PRODUTOS!$B$4:$B$63,0))</f>
        <v>Tapete Higiênico Natural Dots Super Premium 80 x 60 cm com 7 Unidades</v>
      </c>
      <c r="C543" s="11" t="str">
        <f aca="false">INDEX(PRODUTOS!$G$4:$G$63,MATCH($A543,PRODUTOS!$B$4:$B$63,0))</f>
        <v>7 un.</v>
      </c>
      <c r="D543" s="11" t="s">
        <v>311</v>
      </c>
      <c r="E543" s="15" t="str">
        <f aca="false">$A543&amp;"."&amp;$D543&amp;".jpg"</f>
        <v>7898968541979.PT08.jpg</v>
      </c>
      <c r="F543" s="11" t="str">
        <f aca="false">INDEX('O QUE MOSTRAR'!$B$4:$B$12,MATCH($D543,'O QUE MOSTRAR'!$A$4:$A$12,0))</f>
        <v>Posição 9</v>
      </c>
      <c r="G543" s="11" t="str">
        <f aca="false">IF(INDEX(PRODUTOS!$F$4:$F$63,MATCH($A543,PRODUTOS!$B$4:$B$63,0))="Ração",INDEX('O QUE MOSTRAR'!$C$4:$C$12,MATCH($D543,'O QUE MOSTRAR'!$A$4:$A$12,0)),INDEX('O QUE MOSTRAR'!$D$4:$D$12,MATCH($D543,'O QUE MOSTRAR'!$A$4:$A$12,0)))</f>
        <v>Linha da marca ("conheça também")</v>
      </c>
      <c r="H543" s="11" t="str">
        <f aca="false">INDEX('O QUE MOSTRAR'!$E$4:$E$12,MATCH($D543,'O QUE MOSTRAR'!$A$4:$A$12,0))</f>
        <v>2000 × 2000</v>
      </c>
      <c r="I543" s="11" t="str">
        <f aca="false">INDEX('O QUE MOSTRAR'!$F$4:$F$12,MATCH($D543,'O QUE MOSTRAR'!$A$4:$A$12,0))</f>
        <v>Recomendada</v>
      </c>
      <c r="J543" s="13" t="s">
        <v>303</v>
      </c>
      <c r="K543" s="13"/>
    </row>
  </sheetData>
  <autoFilter ref="A3:K543"/>
  <conditionalFormatting sqref="J4:J543">
    <cfRule type="expression" priority="2" aboveAverage="0" equalAverage="0" bottom="0" percent="0" rank="0" text="" dxfId="10">
      <formula>$J4="Na pasta"</formula>
    </cfRule>
  </conditionalFormatting>
  <conditionalFormatting sqref="I4:I543">
    <cfRule type="expression" priority="3" aboveAverage="0" equalAverage="0" bottom="0" percent="0" rank="0" text="" dxfId="11">
      <formula>$I4="Recomendada"</formula>
    </cfRule>
  </conditionalFormatting>
  <dataValidations count="1">
    <dataValidation allowBlank="false" errorStyle="stop" operator="between" showDropDown="false" showErrorMessage="false" showInputMessage="false" sqref="J4:J543" type="list">
      <formula1>"Pendente,Na pasta"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4" min="3" style="0" width="62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8" t="s">
        <v>312</v>
      </c>
    </row>
    <row r="2" customFormat="false" ht="15" hidden="false" customHeight="false" outlineLevel="0" collapsed="false">
      <c r="A2" s="9" t="s">
        <v>313</v>
      </c>
    </row>
    <row r="3" customFormat="false" ht="31.5" hidden="false" customHeight="true" outlineLevel="0" collapsed="false">
      <c r="A3" s="10" t="s">
        <v>295</v>
      </c>
      <c r="B3" s="10" t="s">
        <v>297</v>
      </c>
      <c r="C3" s="10" t="s">
        <v>314</v>
      </c>
      <c r="D3" s="10" t="s">
        <v>315</v>
      </c>
      <c r="E3" s="10" t="s">
        <v>299</v>
      </c>
      <c r="F3" s="10" t="s">
        <v>300</v>
      </c>
    </row>
    <row r="4" customFormat="false" ht="15" hidden="false" customHeight="false" outlineLevel="0" collapsed="false">
      <c r="A4" s="16" t="s">
        <v>302</v>
      </c>
      <c r="B4" s="16" t="s">
        <v>316</v>
      </c>
      <c r="C4" s="16" t="s">
        <v>317</v>
      </c>
      <c r="D4" s="16" t="s">
        <v>317</v>
      </c>
      <c r="E4" s="16" t="s">
        <v>318</v>
      </c>
      <c r="F4" s="16" t="s">
        <v>319</v>
      </c>
    </row>
    <row r="5" customFormat="false" ht="15" hidden="false" customHeight="false" outlineLevel="0" collapsed="false">
      <c r="A5" s="16" t="s">
        <v>304</v>
      </c>
      <c r="B5" s="16" t="s">
        <v>320</v>
      </c>
      <c r="C5" s="16" t="s">
        <v>321</v>
      </c>
      <c r="D5" s="16" t="s">
        <v>322</v>
      </c>
      <c r="E5" s="16" t="s">
        <v>318</v>
      </c>
      <c r="F5" s="16" t="s">
        <v>319</v>
      </c>
    </row>
    <row r="6" customFormat="false" ht="15" hidden="false" customHeight="false" outlineLevel="0" collapsed="false">
      <c r="A6" s="16" t="s">
        <v>305</v>
      </c>
      <c r="B6" s="16" t="s">
        <v>323</v>
      </c>
      <c r="C6" s="16" t="s">
        <v>324</v>
      </c>
      <c r="D6" s="16" t="s">
        <v>325</v>
      </c>
      <c r="E6" s="16" t="s">
        <v>318</v>
      </c>
      <c r="F6" s="16" t="s">
        <v>319</v>
      </c>
    </row>
    <row r="7" customFormat="false" ht="15" hidden="false" customHeight="false" outlineLevel="0" collapsed="false">
      <c r="A7" s="16" t="s">
        <v>306</v>
      </c>
      <c r="B7" s="16" t="s">
        <v>326</v>
      </c>
      <c r="C7" s="16" t="s">
        <v>327</v>
      </c>
      <c r="D7" s="16" t="s">
        <v>328</v>
      </c>
      <c r="E7" s="16" t="s">
        <v>318</v>
      </c>
      <c r="F7" s="16" t="s">
        <v>319</v>
      </c>
    </row>
    <row r="8" customFormat="false" ht="15" hidden="false" customHeight="false" outlineLevel="0" collapsed="false">
      <c r="A8" s="16" t="s">
        <v>307</v>
      </c>
      <c r="B8" s="16" t="s">
        <v>329</v>
      </c>
      <c r="C8" s="16" t="s">
        <v>330</v>
      </c>
      <c r="D8" s="16" t="s">
        <v>331</v>
      </c>
      <c r="E8" s="16" t="s">
        <v>318</v>
      </c>
      <c r="F8" s="16" t="s">
        <v>319</v>
      </c>
    </row>
    <row r="9" customFormat="false" ht="15" hidden="false" customHeight="false" outlineLevel="0" collapsed="false">
      <c r="A9" s="16" t="s">
        <v>308</v>
      </c>
      <c r="B9" s="16" t="s">
        <v>332</v>
      </c>
      <c r="C9" s="16" t="s">
        <v>333</v>
      </c>
      <c r="D9" s="16" t="s">
        <v>334</v>
      </c>
      <c r="E9" s="16" t="s">
        <v>318</v>
      </c>
      <c r="F9" s="16" t="s">
        <v>335</v>
      </c>
    </row>
    <row r="10" customFormat="false" ht="15" hidden="false" customHeight="false" outlineLevel="0" collapsed="false">
      <c r="A10" s="16" t="s">
        <v>309</v>
      </c>
      <c r="B10" s="16" t="s">
        <v>336</v>
      </c>
      <c r="C10" s="16" t="s">
        <v>337</v>
      </c>
      <c r="D10" s="16" t="s">
        <v>338</v>
      </c>
      <c r="E10" s="16" t="s">
        <v>318</v>
      </c>
      <c r="F10" s="16" t="s">
        <v>319</v>
      </c>
    </row>
    <row r="11" customFormat="false" ht="15" hidden="false" customHeight="false" outlineLevel="0" collapsed="false">
      <c r="A11" s="16" t="s">
        <v>310</v>
      </c>
      <c r="B11" s="16" t="s">
        <v>339</v>
      </c>
      <c r="C11" s="16" t="s">
        <v>340</v>
      </c>
      <c r="D11" s="16" t="s">
        <v>341</v>
      </c>
      <c r="E11" s="16" t="s">
        <v>318</v>
      </c>
      <c r="F11" s="16" t="s">
        <v>335</v>
      </c>
    </row>
    <row r="12" customFormat="false" ht="15" hidden="false" customHeight="false" outlineLevel="0" collapsed="false">
      <c r="A12" s="16" t="s">
        <v>311</v>
      </c>
      <c r="B12" s="16" t="s">
        <v>342</v>
      </c>
      <c r="C12" s="16" t="s">
        <v>343</v>
      </c>
      <c r="D12" s="16" t="s">
        <v>344</v>
      </c>
      <c r="E12" s="16" t="s">
        <v>318</v>
      </c>
      <c r="F12" s="16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2026-10-10T18:09:45Z</dcterms:created>
  <dc:creator>openpyxl</dc:creator>
  <dc:description/>
  <dc:language>en-US</dc:language>
  <cp:lastModifiedBy/>
  <dcterms:modified xsi:type="dcterms:W3CDTF">2026-10-10T18:09:46Z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