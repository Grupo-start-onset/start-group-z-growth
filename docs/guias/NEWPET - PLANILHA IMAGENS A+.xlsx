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RODUTOS" sheetId="2" state="visible" r:id="rId4"/>
    <sheet name="ARQUIVOS" sheetId="3" state="visible" r:id="rId5"/>
    <sheet name="MODELOS" sheetId="4" state="visible" r:id="rId6"/>
  </sheets>
  <definedNames>
    <definedName function="false" hidden="true" localSheetId="2" name="_xlnm._FilterDatabase" vbProcedure="false">ARQUIVOS!$A$3:$K$483</definedName>
    <definedName function="false" hidden="true" localSheetId="1" name="_xlnm._FilterDatabase" vbProcedure="false">PRODUTOS!$A$3:$N$63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3" authorId="0">
      <text>
        <r>
          <rPr>
            <sz val="10"/>
            <rFont val="Arial"/>
            <family val="2"/>
          </rPr>
          <t xml:space="preserve">A = Essencial (7 imagens + COMP). B = Destaques (6 imagens + COMP). Ver Guia do Conteúdo A+.</t>
        </r>
      </text>
    </comment>
    <comment ref="J3" authorId="0">
      <text>
        <r>
          <rPr>
            <sz val="10"/>
            <rFont val="Arial"/>
            <family val="2"/>
          </rPr>
          <t xml:space="preserve">EAN do produto cujo A+ este vai repetir. Vazio = A+ próprio (precisa das imagens AP).</t>
        </r>
      </text>
    </comment>
  </commentList>
</comments>
</file>

<file path=xl/sharedStrings.xml><?xml version="1.0" encoding="utf-8"?>
<sst xmlns="http://schemas.openxmlformats.org/spreadsheetml/2006/main" count="2052" uniqueCount="376">
  <si>
    <t xml:space="preserve">PLANILHA DE CONTROLE · IMAGENS DO A+ · NEW PET</t>
  </si>
  <si>
    <t xml:space="preserve">Produtos e EANs puxados do cadastro da New Pet na Amazon em 10/10/2026.</t>
  </si>
  <si>
    <t xml:space="preserve">Como usar</t>
  </si>
  <si>
    <t xml:space="preserve">1. Pasta no Drive</t>
  </si>
  <si>
    <t xml:space="preserve">Coloque esta planilha dentro da pasta "NEWPET - IMAGENS A+" no Google Drive (pasta separada da do anúncio) e abra com Google Planilhas. Na mesma pasta ficam as imagens, sem subpastas.</t>
  </si>
  <si>
    <t xml:space="preserve">2. Aba PRODUTOS</t>
  </si>
  <si>
    <t xml:space="preserve">Escolha o Modelo de A+ (A ou B) e confira a coluna "A+ igual ao EAN". Ela já vem sugerida: os tamanhos de um mesmo produto usam o A+ do maior tamanho. Apague o EAN da coluna para um produto ter A+ próprio.</t>
  </si>
  <si>
    <t xml:space="preserve">3. Aba ARQUIVOS</t>
  </si>
  <si>
    <t xml:space="preserve">Lista exata das imagens de cada produto, com o nome pronto. Ela muda sozinha conforme o modelo escolhido e o A+ compartilhado. Linhas com "NÃO" em "Necessário?" não precisam de arquivo.</t>
  </si>
  <si>
    <t xml:space="preserve">4. Aba MODELOS</t>
  </si>
  <si>
    <t xml:space="preserve">O que mostrar e o tamanho de cada imagem nos modelos A e B. Apenas consulta.</t>
  </si>
  <si>
    <t xml:space="preserve">5. Avise a START</t>
  </si>
  <si>
    <t xml:space="preserve">Quando os produtos do lote estiverem com "Completo?" = SIM.</t>
  </si>
  <si>
    <t xml:space="preserve">Cores</t>
  </si>
  <si>
    <t xml:space="preserve">Amarelo</t>
  </si>
  <si>
    <t xml:space="preserve">Vocês preenchem ou escolhem (Modelo de A+, A+ igual ao EAN, Status e Observações).</t>
  </si>
  <si>
    <t xml:space="preserve">Cinza</t>
  </si>
  <si>
    <t xml:space="preserve">Dados do cadastro e fórmulas. Não alterar.</t>
  </si>
  <si>
    <t xml:space="preserve">Regras dos arquivos</t>
  </si>
  <si>
    <t xml:space="preserve">Nome</t>
  </si>
  <si>
    <t xml:space="preserve">EAN.CÓDIGO.jpg  →  exemplo: 7898968541504.AP01.jpg. Use exatamente o nome da aba ARQUIVOS.</t>
  </si>
  <si>
    <t xml:space="preserve">Imagem</t>
  </si>
  <si>
    <t xml:space="preserve">JPG ou PNG, cores RGB, no tamanho exato indicado (ou maior, na mesma proporção).</t>
  </si>
  <si>
    <t xml:space="preserve">Textos</t>
  </si>
  <si>
    <t xml:space="preserve">Títulos, parágrafos e descrições do A+ são criados pela START. De vocês, só as imagens (com, no máximo, um título curto desenhado).</t>
  </si>
  <si>
    <t xml:space="preserve">Atenção</t>
  </si>
  <si>
    <t xml:space="preserve">Palito 8" Rígido 10 un.</t>
  </si>
  <si>
    <t xml:space="preserve">Cadastrado na Amazon com código de 14 dígitos (17908591301158). Usar esse código no nome dos arquivos, exatamente como está na aba ARQUIVOS.</t>
  </si>
  <si>
    <t xml:space="preserve">PRODUTOS · New Pet · uma linha por produto à venda (cadastro Amazon em 10/10/2026)</t>
  </si>
  <si>
    <t xml:space="preserve">Amarelo = escolher/preencher · Cinza = cadastro e fórmulas. "A+ igual ao EAN" já vem sugerido; apague para o produto ter A+ próprio.</t>
  </si>
  <si>
    <t xml:space="preserve">Nº</t>
  </si>
  <si>
    <t xml:space="preserve">EAN</t>
  </si>
  <si>
    <t xml:space="preserve">SKU</t>
  </si>
  <si>
    <t xml:space="preserve">ASIN</t>
  </si>
  <si>
    <t xml:space="preserve">Produto (cadastro Amazon)</t>
  </si>
  <si>
    <t xml:space="preserve">Tipo</t>
  </si>
  <si>
    <t xml:space="preserve">Família (mesmo produto, outros tamanhos)</t>
  </si>
  <si>
    <t xml:space="preserve">Peso / tamanho</t>
  </si>
  <si>
    <t xml:space="preserve">Modelo de A+</t>
  </si>
  <si>
    <t xml:space="preserve">A+ igual ao EAN</t>
  </si>
  <si>
    <t xml:space="preserve">Imagens necessárias</t>
  </si>
  <si>
    <t xml:space="preserve">Imagens na pasta</t>
  </si>
  <si>
    <t xml:space="preserve">Completo?</t>
  </si>
  <si>
    <t xml:space="preserve">Observações</t>
  </si>
  <si>
    <t xml:space="preserve">7898968541504</t>
  </si>
  <si>
    <t xml:space="preserve">B0H7LGC65H</t>
  </si>
  <si>
    <t xml:space="preserve">New Dots Ração Seca Premium para Cães Adultos - 15 kg</t>
  </si>
  <si>
    <t xml:space="preserve">Ração</t>
  </si>
  <si>
    <t xml:space="preserve">New Dots Ração Seca Premium para Cães Adultos</t>
  </si>
  <si>
    <t xml:space="preserve">15 kg</t>
  </si>
  <si>
    <t xml:space="preserve">A</t>
  </si>
  <si>
    <t xml:space="preserve">7908591301144</t>
  </si>
  <si>
    <t xml:space="preserve">B0H7L955P6</t>
  </si>
  <si>
    <t xml:space="preserve">New Dots Ração Seca Premium para Cães Adultos - 10,1 kg</t>
  </si>
  <si>
    <t xml:space="preserve">10,1 kg</t>
  </si>
  <si>
    <t xml:space="preserve">7898968541467</t>
  </si>
  <si>
    <t xml:space="preserve">B0H7KXDGD7</t>
  </si>
  <si>
    <t xml:space="preserve">New Dots Ração Seca Premium para Cães Adultos - 5 kg</t>
  </si>
  <si>
    <t xml:space="preserve">5 kg</t>
  </si>
  <si>
    <t xml:space="preserve">7898968541450</t>
  </si>
  <si>
    <t xml:space="preserve">B0H7KWY5KT</t>
  </si>
  <si>
    <t xml:space="preserve">New Dots Ração Seca Premium para Cães Adultos - 1 kg</t>
  </si>
  <si>
    <t xml:space="preserve">1 kg</t>
  </si>
  <si>
    <t xml:space="preserve">7898968541535</t>
  </si>
  <si>
    <t xml:space="preserve">B0H7LGV2SK</t>
  </si>
  <si>
    <t xml:space="preserve">New Dots Ração Seca Premium para Cães Adultos de Raças Pequenas - 20 kg</t>
  </si>
  <si>
    <t xml:space="preserve">New Dots Ração Seca Premium para Cães Adultos de Raças Pequenas</t>
  </si>
  <si>
    <t xml:space="preserve">20 kg</t>
  </si>
  <si>
    <t xml:space="preserve">7898968541528</t>
  </si>
  <si>
    <t xml:space="preserve">B0H7KZH2XV</t>
  </si>
  <si>
    <t xml:space="preserve">New Dots Ração Seca Premium para Cães Adultos de Raças Pequenas - 5 kg</t>
  </si>
  <si>
    <t xml:space="preserve">7898968541511</t>
  </si>
  <si>
    <t xml:space="preserve">B0H7KZFSLZ</t>
  </si>
  <si>
    <t xml:space="preserve">New Dots Ração Seca Premium para Cães Adultos de Raças Pequenas - 1 kg</t>
  </si>
  <si>
    <t xml:space="preserve">7898968541566</t>
  </si>
  <si>
    <t xml:space="preserve">B0H7L1QMMZ</t>
  </si>
  <si>
    <t xml:space="preserve">New Dots Ração Seca Premium para Cães Filhotes - 20 kg</t>
  </si>
  <si>
    <t xml:space="preserve">New Dots Ração Seca Premium para Cães Filhotes</t>
  </si>
  <si>
    <t xml:space="preserve">7898968541559</t>
  </si>
  <si>
    <t xml:space="preserve">B0H7LG9LK2</t>
  </si>
  <si>
    <t xml:space="preserve">New Dots Ração Seca Premium para Cães Filhotes - 5 kg</t>
  </si>
  <si>
    <t xml:space="preserve">7898968541542</t>
  </si>
  <si>
    <t xml:space="preserve">B0H7L3BHLH</t>
  </si>
  <si>
    <t xml:space="preserve">New Dots Ração Seca Premium para Cães Filhotes - 1 kg</t>
  </si>
  <si>
    <t xml:space="preserve">7898968541597</t>
  </si>
  <si>
    <t xml:space="preserve">B0H7LG5GWZ</t>
  </si>
  <si>
    <t xml:space="preserve">New Dots Ração Seca Premium para Gatos Adultos - 20 kg</t>
  </si>
  <si>
    <t xml:space="preserve">New Dots Ração Seca Premium para Gatos Adultos</t>
  </si>
  <si>
    <t xml:space="preserve">7898968541573</t>
  </si>
  <si>
    <t xml:space="preserve">B0H7LD2TGC</t>
  </si>
  <si>
    <t xml:space="preserve">New Dots Ração Seca Premium para Gatos Adultos - 1 kg</t>
  </si>
  <si>
    <t xml:space="preserve">7908591300666</t>
  </si>
  <si>
    <t xml:space="preserve">B0H7KWW8M4</t>
  </si>
  <si>
    <t xml:space="preserve">New Dots Ração Seca Premium para Gatos Adultos Castrados - 20 kg</t>
  </si>
  <si>
    <t xml:space="preserve">New Dots Ração Seca Premium para Gatos Adultos Castrados</t>
  </si>
  <si>
    <t xml:space="preserve">7908591300413</t>
  </si>
  <si>
    <t xml:space="preserve">B0H7L2N7GF</t>
  </si>
  <si>
    <t xml:space="preserve">New Dots Ração Seca Premium para Gatos Adultos Castrados - 11 kg</t>
  </si>
  <si>
    <t xml:space="preserve">11 kg</t>
  </si>
  <si>
    <t xml:space="preserve">7908591300406</t>
  </si>
  <si>
    <t xml:space="preserve">B0H7KWTZ9P</t>
  </si>
  <si>
    <t xml:space="preserve">New Dots Ração Seca Premium para Gatos Adultos Castrados - 1 kg</t>
  </si>
  <si>
    <t xml:space="preserve">7898968541283</t>
  </si>
  <si>
    <t xml:space="preserve">1001</t>
  </si>
  <si>
    <t xml:space="preserve">B0FH32BP56</t>
  </si>
  <si>
    <t xml:space="preserve">Ração Seca Natural Dots para Cães Adultos - Pacote 15 kg</t>
  </si>
  <si>
    <t xml:space="preserve">Ração Seca Natural Dots para Cães Adultos</t>
  </si>
  <si>
    <t xml:space="preserve">7898968541269</t>
  </si>
  <si>
    <t xml:space="preserve">1195</t>
  </si>
  <si>
    <t xml:space="preserve">B0FH347L7H</t>
  </si>
  <si>
    <t xml:space="preserve">Ração Seca Natural Dots para Cães Adultos - Pacote 1 kg</t>
  </si>
  <si>
    <t xml:space="preserve">7898968541313</t>
  </si>
  <si>
    <t xml:space="preserve">1075</t>
  </si>
  <si>
    <t xml:space="preserve">B0FH34VLTD</t>
  </si>
  <si>
    <t xml:space="preserve">Ração Seca Natural Dots para Cães Filhotes - Pacote 15 kg</t>
  </si>
  <si>
    <t xml:space="preserve">Ração Seca Natural Dots para Cães Filhotes</t>
  </si>
  <si>
    <t xml:space="preserve">7898968541290</t>
  </si>
  <si>
    <t xml:space="preserve">1070</t>
  </si>
  <si>
    <t xml:space="preserve">B0FH2ZVVMK</t>
  </si>
  <si>
    <t xml:space="preserve">Ração Seca Natural Dots para Cães Filhotes - Pacote 1 kg</t>
  </si>
  <si>
    <t xml:space="preserve">7898968541276</t>
  </si>
  <si>
    <t xml:space="preserve">1199</t>
  </si>
  <si>
    <t xml:space="preserve">B0FH337MZK</t>
  </si>
  <si>
    <t xml:space="preserve">Ração Seca Natural Dots para Cães Sênior - Pacote 15 kg</t>
  </si>
  <si>
    <t xml:space="preserve">Ração Seca Natural Dots para Cães Sênior</t>
  </si>
  <si>
    <t xml:space="preserve">7908591300154</t>
  </si>
  <si>
    <t xml:space="preserve">1198</t>
  </si>
  <si>
    <t xml:space="preserve">B0FH341T47</t>
  </si>
  <si>
    <t xml:space="preserve">Ração Seca Natural Dots para Cães Sênior - Pacote 1 kg</t>
  </si>
  <si>
    <t xml:space="preserve">7898968541344</t>
  </si>
  <si>
    <t xml:space="preserve">1196</t>
  </si>
  <si>
    <t xml:space="preserve">B0FH31K58G</t>
  </si>
  <si>
    <t xml:space="preserve">Ração Seca Natural Dots para Cães de Raças Pequenas - Pacote 15 kg</t>
  </si>
  <si>
    <t xml:space="preserve">Ração Seca Natural Dots para Cães de Raças Pequenas</t>
  </si>
  <si>
    <t xml:space="preserve">7898968541320</t>
  </si>
  <si>
    <t xml:space="preserve">1071</t>
  </si>
  <si>
    <t xml:space="preserve">B0FH31X2DG</t>
  </si>
  <si>
    <t xml:space="preserve">Ração Seca Natural Dots para Cães de Raças Pequenas - Pacote 1 kg</t>
  </si>
  <si>
    <t xml:space="preserve">7898968541382</t>
  </si>
  <si>
    <t xml:space="preserve">1081</t>
  </si>
  <si>
    <t xml:space="preserve">B0FH34LMJT</t>
  </si>
  <si>
    <t xml:space="preserve">Ração Seca Natural Dots para Gatos Adultos - Pacote 11 kg</t>
  </si>
  <si>
    <t xml:space="preserve">Ração Seca Natural Dots para Gatos Adultos</t>
  </si>
  <si>
    <t xml:space="preserve">7898968541368</t>
  </si>
  <si>
    <t xml:space="preserve">1080</t>
  </si>
  <si>
    <t xml:space="preserve">B0FH33YSNK</t>
  </si>
  <si>
    <t xml:space="preserve">Ração Seca Natural Dots para Gatos Adultos - Pacote 1 kg</t>
  </si>
  <si>
    <t xml:space="preserve">7898968541399</t>
  </si>
  <si>
    <t xml:space="preserve">1083</t>
  </si>
  <si>
    <t xml:space="preserve">B0FH34NGCJ</t>
  </si>
  <si>
    <t xml:space="preserve">Ração Seca Natural Dots para Gatos Castrados - Pacote 11 kg</t>
  </si>
  <si>
    <t xml:space="preserve">Ração Seca Natural Dots para Gatos Castrados</t>
  </si>
  <si>
    <t xml:space="preserve">7898968541375</t>
  </si>
  <si>
    <t xml:space="preserve">1073</t>
  </si>
  <si>
    <t xml:space="preserve">B0FH32M1DZ</t>
  </si>
  <si>
    <t xml:space="preserve">Ração Seca Natural Dots para Gatos Castrados - Pacote 1 kg</t>
  </si>
  <si>
    <t xml:space="preserve">7898968541412</t>
  </si>
  <si>
    <t xml:space="preserve">1050</t>
  </si>
  <si>
    <t xml:space="preserve">B0FH343T7F</t>
  </si>
  <si>
    <t xml:space="preserve">Ração Seca Natural Dots para Gatos Filhotes - Pacote 11 kg</t>
  </si>
  <si>
    <t xml:space="preserve">Ração Seca Natural Dots para Gatos Filhotes</t>
  </si>
  <si>
    <t xml:space="preserve">7898968541405</t>
  </si>
  <si>
    <t xml:space="preserve">1074</t>
  </si>
  <si>
    <t xml:space="preserve">B0FH35DMQ2</t>
  </si>
  <si>
    <t xml:space="preserve">Ração Seca Natural Dots para Gatos Filhotes - Pacote 1 kg</t>
  </si>
  <si>
    <t xml:space="preserve">7908591301007</t>
  </si>
  <si>
    <t xml:space="preserve">1918</t>
  </si>
  <si>
    <t xml:space="preserve">B0H3WVWSMC</t>
  </si>
  <si>
    <t xml:space="preserve">Ração Natural Dots Super Premium Cães Adultos Sabor Frango 2,5 kg</t>
  </si>
  <si>
    <t xml:space="preserve">2,5 kg</t>
  </si>
  <si>
    <t xml:space="preserve">7908591301021</t>
  </si>
  <si>
    <t xml:space="preserve">1920</t>
  </si>
  <si>
    <t xml:space="preserve">B0H3WSSZCB</t>
  </si>
  <si>
    <t xml:space="preserve">Ração Natural Dots Super Premium Cães Raças Pequenas Sabor Frango 1 kg</t>
  </si>
  <si>
    <t xml:space="preserve">7908591301038</t>
  </si>
  <si>
    <t xml:space="preserve">1921</t>
  </si>
  <si>
    <t xml:space="preserve">B0H3WP6GV3</t>
  </si>
  <si>
    <t xml:space="preserve">Ração Natural Dots Super Premium Gatos Castrados Sabor Peixe 1 kg</t>
  </si>
  <si>
    <t xml:space="preserve">7908591300147</t>
  </si>
  <si>
    <t xml:space="preserve">1197</t>
  </si>
  <si>
    <t xml:space="preserve">B0FH3464Z6</t>
  </si>
  <si>
    <t xml:space="preserve">Ração Seca Natural Dots Light para Cães - Pacote 1 kg</t>
  </si>
  <si>
    <t xml:space="preserve">7908591300376</t>
  </si>
  <si>
    <t xml:space="preserve">1330</t>
  </si>
  <si>
    <t xml:space="preserve">B0H3WXJWT1</t>
  </si>
  <si>
    <t xml:space="preserve">Sachê Natural Dots Livre de Trangênico Cães Carne ao Molho 85 g</t>
  </si>
  <si>
    <t xml:space="preserve">85 g</t>
  </si>
  <si>
    <t xml:space="preserve">7908591300383</t>
  </si>
  <si>
    <t xml:space="preserve">1331</t>
  </si>
  <si>
    <t xml:space="preserve">B0H3WSGSKF</t>
  </si>
  <si>
    <t xml:space="preserve">Sachê Natural Dots Livre de Trangênico Cães Cordeiro 85 g</t>
  </si>
  <si>
    <t xml:space="preserve">7908591300390</t>
  </si>
  <si>
    <t xml:space="preserve">1332</t>
  </si>
  <si>
    <t xml:space="preserve">B0H3WS6T81</t>
  </si>
  <si>
    <t xml:space="preserve">Sachê Natural Dots Livre de Trangênico Gato Carne 85 g</t>
  </si>
  <si>
    <t xml:space="preserve">7908591300673</t>
  </si>
  <si>
    <t xml:space="preserve">1333</t>
  </si>
  <si>
    <t xml:space="preserve">B0H3WK52X1</t>
  </si>
  <si>
    <t xml:space="preserve">Sachê Natural Dots para Gatos Sabor Salmão 85 g - Livre de Transgênicos</t>
  </si>
  <si>
    <t xml:space="preserve">7898968541887</t>
  </si>
  <si>
    <t xml:space="preserve">1249</t>
  </si>
  <si>
    <t xml:space="preserve">B0H9K77WGC</t>
  </si>
  <si>
    <t xml:space="preserve">Bifinhos New Dots Cães Carne, Vegetais e Cereais 50 g</t>
  </si>
  <si>
    <t xml:space="preserve">Petisco</t>
  </si>
  <si>
    <t xml:space="preserve">50 g</t>
  </si>
  <si>
    <t xml:space="preserve">7898968541863</t>
  </si>
  <si>
    <t xml:space="preserve">1821</t>
  </si>
  <si>
    <t xml:space="preserve">B0H9JR5JLF</t>
  </si>
  <si>
    <t xml:space="preserve">Bifinhos New Dots Cães Churrasco 400 g</t>
  </si>
  <si>
    <t xml:space="preserve">400 g</t>
  </si>
  <si>
    <t xml:space="preserve">7898968541856</t>
  </si>
  <si>
    <t xml:space="preserve">1706</t>
  </si>
  <si>
    <t xml:space="preserve">B0H9K93V3B</t>
  </si>
  <si>
    <t xml:space="preserve">Bifinhos New Dots Cães Churrasco 50 g</t>
  </si>
  <si>
    <t xml:space="preserve">7898968541870</t>
  </si>
  <si>
    <t xml:space="preserve">1708</t>
  </si>
  <si>
    <t xml:space="preserve">B0H9K4QF9C</t>
  </si>
  <si>
    <t xml:space="preserve">Bifinhos New Dots Cães RPM Cordeiro 50 g</t>
  </si>
  <si>
    <t xml:space="preserve">7908591300000</t>
  </si>
  <si>
    <t xml:space="preserve">1289</t>
  </si>
  <si>
    <t xml:space="preserve">B0H9K65MS1</t>
  </si>
  <si>
    <t xml:space="preserve">Biscoito Cães Adultos New Dots 400 g</t>
  </si>
  <si>
    <t xml:space="preserve">7908591300017</t>
  </si>
  <si>
    <t xml:space="preserve">1290</t>
  </si>
  <si>
    <t xml:space="preserve">B0H9JZZCH8</t>
  </si>
  <si>
    <t xml:space="preserve">Biscoito Cães Raças Pequenas e Médias New Dots 400 g</t>
  </si>
  <si>
    <t xml:space="preserve">7908591300758</t>
  </si>
  <si>
    <t xml:space="preserve">1831</t>
  </si>
  <si>
    <t xml:space="preserve">B0FH34BY4P</t>
  </si>
  <si>
    <t xml:space="preserve">Cookie Natural Dots Petisco para Pets Sabor Maracujá e Camomila 250 g</t>
  </si>
  <si>
    <t xml:space="preserve">250 g</t>
  </si>
  <si>
    <t xml:space="preserve">7908591300727</t>
  </si>
  <si>
    <t xml:space="preserve">1826</t>
  </si>
  <si>
    <t xml:space="preserve">B0H9K9CCBP</t>
  </si>
  <si>
    <t xml:space="preserve">Nuggets Recheados Gatos New Dots Bolas de Pelo 40 g</t>
  </si>
  <si>
    <t xml:space="preserve">40 g</t>
  </si>
  <si>
    <t xml:space="preserve">7908591300741</t>
  </si>
  <si>
    <t xml:space="preserve">1828</t>
  </si>
  <si>
    <t xml:space="preserve">B0H9JZ1Z9V</t>
  </si>
  <si>
    <t xml:space="preserve">Nuggets Recheados Gatos New Dots Controle PH Urinário 40 g</t>
  </si>
  <si>
    <t xml:space="preserve">7908591300734</t>
  </si>
  <si>
    <t xml:space="preserve">1827</t>
  </si>
  <si>
    <t xml:space="preserve">B0H9K92VM1</t>
  </si>
  <si>
    <t xml:space="preserve">Nuggets Recheados Gatos New Dots Dental 40 g</t>
  </si>
  <si>
    <t xml:space="preserve">17908591301158</t>
  </si>
  <si>
    <t xml:space="preserve">1238</t>
  </si>
  <si>
    <t xml:space="preserve">B0H9JXY85F</t>
  </si>
  <si>
    <t xml:space="preserve">Palito 8 “ Rígido Natural Dots Encartelado 10 un</t>
  </si>
  <si>
    <t xml:space="preserve">10 un.</t>
  </si>
  <si>
    <t xml:space="preserve">Código de 14 dígitos no cadastro: usar exatamente este nos arquivos</t>
  </si>
  <si>
    <t xml:space="preserve">7908591301168</t>
  </si>
  <si>
    <t xml:space="preserve">1329</t>
  </si>
  <si>
    <t xml:space="preserve">B0H9K3MWC2</t>
  </si>
  <si>
    <t xml:space="preserve">Palito 8 ” Rígido Bacon Natural Dots Encartelado 10 un</t>
  </si>
  <si>
    <t xml:space="preserve">7908591301113</t>
  </si>
  <si>
    <t xml:space="preserve">1326</t>
  </si>
  <si>
    <t xml:space="preserve">B0H9K6XW3G</t>
  </si>
  <si>
    <t xml:space="preserve">Palito Flex Natural Dots Hortelã 70 g</t>
  </si>
  <si>
    <t xml:space="preserve">70 g</t>
  </si>
  <si>
    <t xml:space="preserve">7908591301120</t>
  </si>
  <si>
    <t xml:space="preserve">1325</t>
  </si>
  <si>
    <t xml:space="preserve">B0H9K1D2MQ</t>
  </si>
  <si>
    <t xml:space="preserve">Palito Flex Natural Dots Leite 70 g</t>
  </si>
  <si>
    <t xml:space="preserve">7908591301137</t>
  </si>
  <si>
    <t xml:space="preserve">1327</t>
  </si>
  <si>
    <t xml:space="preserve">B0H9K7WC5G</t>
  </si>
  <si>
    <t xml:space="preserve">Palito Flex Natural Dots Maracujá 70 g</t>
  </si>
  <si>
    <t xml:space="preserve">7908591300239</t>
  </si>
  <si>
    <t xml:space="preserve">1202</t>
  </si>
  <si>
    <t xml:space="preserve">B0FH338CT4</t>
  </si>
  <si>
    <t xml:space="preserve">Granulado Higiênico de Madeira Natural Dots para Pets - Pacote 20 kg</t>
  </si>
  <si>
    <t xml:space="preserve">Higiene</t>
  </si>
  <si>
    <t xml:space="preserve">Granulado Higiênico de Madeira Natural Dots para Pets</t>
  </si>
  <si>
    <t xml:space="preserve">7908591300482</t>
  </si>
  <si>
    <t xml:space="preserve">1211</t>
  </si>
  <si>
    <t xml:space="preserve">B0FH34NXMB</t>
  </si>
  <si>
    <t xml:space="preserve">Granulado Higiênico de Madeira Natural Dots para Pets - Pacote 10 kg</t>
  </si>
  <si>
    <t xml:space="preserve">10 kg</t>
  </si>
  <si>
    <t xml:space="preserve">7908591300024</t>
  </si>
  <si>
    <t xml:space="preserve">1210</t>
  </si>
  <si>
    <t xml:space="preserve">B0FH33F6XS</t>
  </si>
  <si>
    <t xml:space="preserve">Granulado Higiênico de Madeira Natural Dots para Pets - Pacote 2 kg</t>
  </si>
  <si>
    <t xml:space="preserve">2 kg</t>
  </si>
  <si>
    <t xml:space="preserve">7898968541924</t>
  </si>
  <si>
    <t xml:space="preserve">1209</t>
  </si>
  <si>
    <t xml:space="preserve">B0F3V344Y5</t>
  </si>
  <si>
    <t xml:space="preserve">Granulado Sanitário Natural Dots de Bentonita Perfumada - Pacote 4 kg</t>
  </si>
  <si>
    <t xml:space="preserve">4 kg</t>
  </si>
  <si>
    <t xml:space="preserve">7908591300185</t>
  </si>
  <si>
    <t xml:space="preserve">1208</t>
  </si>
  <si>
    <t xml:space="preserve">B0FH33JK77</t>
  </si>
  <si>
    <t xml:space="preserve">Granulado Sanitário de Bentonita Natural Dots para Pets - Pacote 4 kg</t>
  </si>
  <si>
    <t xml:space="preserve">7908591300840</t>
  </si>
  <si>
    <t xml:space="preserve">2000</t>
  </si>
  <si>
    <t xml:space="preserve">B0FH34P5ZZ</t>
  </si>
  <si>
    <t xml:space="preserve">Kit Porta Cata Caca Natural Dots com 4 Refis Biodegradáveis</t>
  </si>
  <si>
    <t xml:space="preserve">4 un.</t>
  </si>
  <si>
    <t xml:space="preserve">7908591300857</t>
  </si>
  <si>
    <t xml:space="preserve">2001</t>
  </si>
  <si>
    <t xml:space="preserve">B0FH33K7VX</t>
  </si>
  <si>
    <t xml:space="preserve">Refil Cata Caca Biodegradável Natural Dots com 3 Unidades</t>
  </si>
  <si>
    <t xml:space="preserve">3 un.</t>
  </si>
  <si>
    <t xml:space="preserve">7898968541979</t>
  </si>
  <si>
    <t xml:space="preserve">1231</t>
  </si>
  <si>
    <t xml:space="preserve">B0FH33ZPNW</t>
  </si>
  <si>
    <t xml:space="preserve">Tapete Higiênico Natural Dots Super Premium 80 x 60 cm com 7 Unidades</t>
  </si>
  <si>
    <t xml:space="preserve">7 un.</t>
  </si>
  <si>
    <t xml:space="preserve">ARQUIVOS · lista exata de imagens do A+ por produto</t>
  </si>
  <si>
    <t xml:space="preserve">Linhas com "NÃO" em Necessário? não precisam de arquivo (o produto usa o A+ de outro EAN, ou o código não existe no modelo escolhido).</t>
  </si>
  <si>
    <t xml:space="preserve">Produto</t>
  </si>
  <si>
    <t xml:space="preserve">Código</t>
  </si>
  <si>
    <t xml:space="preserve">Nome exato do arquivo</t>
  </si>
  <si>
    <t xml:space="preserve">Onde entra</t>
  </si>
  <si>
    <t xml:space="preserve">O que mostrar</t>
  </si>
  <si>
    <t xml:space="preserve">Tamanho (px)</t>
  </si>
  <si>
    <t xml:space="preserve">Necessário?</t>
  </si>
  <si>
    <t xml:space="preserve">Status</t>
  </si>
  <si>
    <t xml:space="preserve">AP01</t>
  </si>
  <si>
    <t xml:space="preserve">Pendente</t>
  </si>
  <si>
    <t xml:space="preserve">AP02</t>
  </si>
  <si>
    <t xml:space="preserve">AP03</t>
  </si>
  <si>
    <t xml:space="preserve">AP04</t>
  </si>
  <si>
    <t xml:space="preserve">AP05</t>
  </si>
  <si>
    <t xml:space="preserve">AP06</t>
  </si>
  <si>
    <t xml:space="preserve">AP07</t>
  </si>
  <si>
    <t xml:space="preserve">COMP</t>
  </si>
  <si>
    <t xml:space="preserve">Modelos de A+ · o que mostrar em cada imagem</t>
  </si>
  <si>
    <t xml:space="preserve">Consulta. Detalhes e desenhos dos módulos no Guia do Conteúdo A+.</t>
  </si>
  <si>
    <t xml:space="preserve">Modelo A · Onde entra</t>
  </si>
  <si>
    <t xml:space="preserve">Modelo A · O que mostrar (Ração)</t>
  </si>
  <si>
    <t xml:space="preserve">Modelo A · O que mostrar (Petiscos e higiene)</t>
  </si>
  <si>
    <t xml:space="preserve">Modelo A · Tamanho (px)</t>
  </si>
  <si>
    <t xml:space="preserve">Modelo B · Onde entra</t>
  </si>
  <si>
    <t xml:space="preserve">Modelo B · O que mostrar (Ração)</t>
  </si>
  <si>
    <t xml:space="preserve">Modelo B · O que mostrar (Petiscos e higiene)</t>
  </si>
  <si>
    <t xml:space="preserve">Modelo B · Tamanho (px)</t>
  </si>
  <si>
    <t xml:space="preserve">Módulo 1 · Banner</t>
  </si>
  <si>
    <t xml:space="preserve">Embalagem + pet + ingredientes, com o nome da linha</t>
  </si>
  <si>
    <t xml:space="preserve">Produto + pet, com o nome da linha</t>
  </si>
  <si>
    <t xml:space="preserve">970 × 600</t>
  </si>
  <si>
    <t xml:space="preserve">Cena principal da linha</t>
  </si>
  <si>
    <t xml:space="preserve">Módulo 2 · Texto sobreposto</t>
  </si>
  <si>
    <t xml:space="preserve">Principal diferencial; deixar o lado direito limpo</t>
  </si>
  <si>
    <t xml:space="preserve">970 × 300</t>
  </si>
  <si>
    <t xml:space="preserve">Módulo 2 · Imagem com destaques</t>
  </si>
  <si>
    <t xml:space="preserve">Pacote ou grão em destaque</t>
  </si>
  <si>
    <t xml:space="preserve">Produto em destaque</t>
  </si>
  <si>
    <t xml:space="preserve">300 × 300</t>
  </si>
  <si>
    <t xml:space="preserve">Módulo 3 · Benefício 1 de 4</t>
  </si>
  <si>
    <t xml:space="preserve">Foto/ilustração do benefício 1</t>
  </si>
  <si>
    <t xml:space="preserve">220 × 200</t>
  </si>
  <si>
    <t xml:space="preserve">Módulo 3 · Imagem 1 de 3</t>
  </si>
  <si>
    <t xml:space="preserve">Ingrediente 1 (ex.: frango)</t>
  </si>
  <si>
    <t xml:space="preserve">Benefício 1</t>
  </si>
  <si>
    <t xml:space="preserve">Módulo 3 · Benefício 2 de 4</t>
  </si>
  <si>
    <t xml:space="preserve">Foto/ilustração do benefício 2</t>
  </si>
  <si>
    <t xml:space="preserve">Módulo 3 · Imagem 2 de 3</t>
  </si>
  <si>
    <t xml:space="preserve">Ingrediente 2 (ex.: arroz)</t>
  </si>
  <si>
    <t xml:space="preserve">Benefício 2</t>
  </si>
  <si>
    <t xml:space="preserve">Módulo 3 · Benefício 3 de 4</t>
  </si>
  <si>
    <t xml:space="preserve">Foto/ilustração do benefício 3</t>
  </si>
  <si>
    <t xml:space="preserve">Módulo 3 · Imagem 3 de 3</t>
  </si>
  <si>
    <t xml:space="preserve">Ingrediente 3 (ex.: linhaça)</t>
  </si>
  <si>
    <t xml:space="preserve">Benefício 3</t>
  </si>
  <si>
    <t xml:space="preserve">Módulo 3 · Benefício 4 de 4</t>
  </si>
  <si>
    <t xml:space="preserve">Foto/ilustração do benefício 4</t>
  </si>
  <si>
    <t xml:space="preserve">Módulo 4 · Texto sobreposto</t>
  </si>
  <si>
    <t xml:space="preserve">Momento de uso; deixar o lado direito limpo</t>
  </si>
  <si>
    <t xml:space="preserve">Módulo 4 · Especificações</t>
  </si>
  <si>
    <t xml:space="preserve">Grão ou pacote em destaque</t>
  </si>
  <si>
    <t xml:space="preserve">Não usado no modelo B</t>
  </si>
  <si>
    <t xml:space="preserve">-</t>
  </si>
  <si>
    <t xml:space="preserve">Módulo 5 · Tabela comparativa</t>
  </si>
  <si>
    <t xml:space="preserve">Pacote na vertical, sem fundo colorido</t>
  </si>
  <si>
    <t xml:space="preserve">Produto na vertical, sem fundo colorido</t>
  </si>
  <si>
    <t xml:space="preserve">150 × 300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</si>
</sst>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color rgb="FF5B5B63"/>
      <name val="Arial"/>
      <family val="0"/>
      <charset val="1"/>
    </font>
    <font>
      <b val="true"/>
      <sz val="12"/>
      <color rgb="FFE8711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B5B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Courier New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FEFF2"/>
      </patternFill>
    </fill>
    <fill>
      <patternFill patternType="solid">
        <fgColor rgb="FFEFEFF2"/>
        <bgColor rgb="FFD9F0E1"/>
      </patternFill>
    </fill>
    <fill>
      <patternFill patternType="solid">
        <fgColor rgb="FF1D1D1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6"/>
      </left>
      <right style="thin">
        <color rgb="FFD0D0D6"/>
      </right>
      <top style="thin">
        <color rgb="FFD0D0D6"/>
      </top>
      <bottom style="thin">
        <color rgb="FFD0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D1D1F"/>
          <bgColor rgb="FF000000"/>
        </patternFill>
      </fill>
    </dxf>
    <dxf>
      <fill>
        <patternFill patternType="solid">
          <fgColor rgb="FFEFEF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DADA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b val="1"/>
        <color rgb="FF1F7A3F"/>
      </font>
      <fill>
        <patternFill>
          <bgColor rgb="FFD9F0E1"/>
        </patternFill>
      </fill>
    </dxf>
    <dxf>
      <font>
        <name val="Arial"/>
        <charset val="1"/>
        <family val="0"/>
        <color rgb="FFB3261E"/>
      </font>
      <fill>
        <patternFill>
          <bgColor rgb="FFF8DADA"/>
        </patternFill>
      </fill>
    </dxf>
    <dxf>
      <fill>
        <patternFill patternType="solid">
          <fgColor rgb="FF9A9AA2"/>
          <bgColor rgb="FF000000"/>
        </patternFill>
      </fill>
    </dxf>
    <dxf>
      <font>
        <name val="Arial"/>
        <charset val="1"/>
        <family val="0"/>
        <color rgb="FF9A9AA2"/>
      </font>
    </dxf>
    <dxf>
      <fill>
        <patternFill>
          <bgColor rgb="FFD9F0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F2"/>
      <rgbColor rgb="FF660066"/>
      <rgbColor rgb="FFFF8080"/>
      <rgbColor rgb="FF0066CC"/>
      <rgbColor rgb="FFD0D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E1"/>
      <rgbColor rgb="FFFFFF99"/>
      <rgbColor rgb="FF99CCFF"/>
      <rgbColor rgb="FFFF99CC"/>
      <rgbColor rgb="FFCC99FF"/>
      <rgbColor rgb="FFF8DADA"/>
      <rgbColor rgb="FF3366FF"/>
      <rgbColor rgb="FF33CCCC"/>
      <rgbColor rgb="FF99CC00"/>
      <rgbColor rgb="FFFFCC00"/>
      <rgbColor rgb="FFFF9900"/>
      <rgbColor rgb="FFE8711C"/>
      <rgbColor rgb="FF5B5B63"/>
      <rgbColor rgb="FF9A9AA2"/>
      <rgbColor rgb="FF003366"/>
      <rgbColor rgb="FF339966"/>
      <rgbColor rgb="FF003300"/>
      <rgbColor rgb="FF333300"/>
      <rgbColor rgb="FFB3261E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5" t="s">
        <v>4</v>
      </c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30" hidden="false" customHeight="true" outlineLevel="0" collapsed="false">
      <c r="B8" s="4" t="s">
        <v>7</v>
      </c>
      <c r="C8" s="5" t="s">
        <v>8</v>
      </c>
    </row>
    <row r="9" customFormat="false" ht="30" hidden="false" customHeight="true" outlineLevel="0" collapsed="false">
      <c r="B9" s="4" t="s">
        <v>9</v>
      </c>
      <c r="C9" s="5" t="s">
        <v>10</v>
      </c>
    </row>
    <row r="10" customFormat="false" ht="30" hidden="false" customHeight="true" outlineLevel="0" collapsed="false">
      <c r="B10" s="4" t="s">
        <v>11</v>
      </c>
      <c r="C10" s="5" t="s">
        <v>12</v>
      </c>
    </row>
    <row r="12" customFormat="false" ht="15" hidden="false" customHeight="false" outlineLevel="0" collapsed="false">
      <c r="B12" s="3" t="s">
        <v>13</v>
      </c>
    </row>
    <row r="13" customFormat="false" ht="30" hidden="false" customHeight="true" outlineLevel="0" collapsed="false">
      <c r="B13" s="6" t="s">
        <v>14</v>
      </c>
      <c r="C13" s="5" t="s">
        <v>15</v>
      </c>
    </row>
    <row r="14" customFormat="false" ht="30" hidden="false" customHeight="true" outlineLevel="0" collapsed="false">
      <c r="B14" s="7" t="s">
        <v>16</v>
      </c>
      <c r="C14" s="5" t="s">
        <v>17</v>
      </c>
    </row>
    <row r="16" customFormat="false" ht="15" hidden="false" customHeight="false" outlineLevel="0" collapsed="false">
      <c r="B16" s="3" t="s">
        <v>18</v>
      </c>
    </row>
    <row r="17" customFormat="false" ht="30" hidden="false" customHeight="true" outlineLevel="0" collapsed="false">
      <c r="B17" s="4" t="s">
        <v>19</v>
      </c>
      <c r="C17" s="5" t="s">
        <v>20</v>
      </c>
    </row>
    <row r="18" customFormat="false" ht="30" hidden="false" customHeight="true" outlineLevel="0" collapsed="false">
      <c r="B18" s="4" t="s">
        <v>21</v>
      </c>
      <c r="C18" s="5" t="s">
        <v>22</v>
      </c>
    </row>
    <row r="19" customFormat="false" ht="30" hidden="false" customHeight="true" outlineLevel="0" collapsed="false">
      <c r="B19" s="4" t="s">
        <v>23</v>
      </c>
      <c r="C19" s="5" t="s">
        <v>24</v>
      </c>
    </row>
    <row r="21" customFormat="false" ht="15" hidden="false" customHeight="false" outlineLevel="0" collapsed="false">
      <c r="B21" s="3" t="s">
        <v>25</v>
      </c>
    </row>
    <row r="22" customFormat="false" ht="30" hidden="false" customHeight="true" outlineLevel="0" collapsed="false">
      <c r="B22" s="4" t="s">
        <v>26</v>
      </c>
      <c r="C22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60"/>
    <col collapsed="false" customWidth="true" hidden="false" outlineLevel="0" max="6" min="6" style="0" width="9"/>
    <col collapsed="false" customWidth="true" hidden="false" outlineLevel="0" max="7" min="7" style="0" width="4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8" t="s">
        <v>28</v>
      </c>
    </row>
    <row r="2" customFormat="false" ht="15" hidden="false" customHeight="false" outlineLevel="0" collapsed="false">
      <c r="A2" s="9" t="s">
        <v>29</v>
      </c>
    </row>
    <row r="3" customFormat="false" ht="31.5" hidden="false" customHeight="true" outlineLevel="0" collapsed="false">
      <c r="A3" s="10" t="s">
        <v>30</v>
      </c>
      <c r="B3" s="10" t="s">
        <v>31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36</v>
      </c>
      <c r="H3" s="10" t="s">
        <v>37</v>
      </c>
      <c r="I3" s="10" t="s">
        <v>38</v>
      </c>
      <c r="J3" s="10" t="s">
        <v>39</v>
      </c>
      <c r="K3" s="10" t="s">
        <v>40</v>
      </c>
      <c r="L3" s="10" t="s">
        <v>41</v>
      </c>
      <c r="M3" s="10" t="s">
        <v>42</v>
      </c>
      <c r="N3" s="10" t="s">
        <v>43</v>
      </c>
    </row>
    <row r="4" customFormat="false" ht="15" hidden="false" customHeight="false" outlineLevel="0" collapsed="false">
      <c r="A4" s="11" t="n">
        <v>1</v>
      </c>
      <c r="B4" s="12" t="s">
        <v>44</v>
      </c>
      <c r="C4" s="11" t="s">
        <v>44</v>
      </c>
      <c r="D4" s="11" t="s">
        <v>45</v>
      </c>
      <c r="E4" s="11" t="s">
        <v>46</v>
      </c>
      <c r="F4" s="11" t="s">
        <v>47</v>
      </c>
      <c r="G4" s="11" t="s">
        <v>48</v>
      </c>
      <c r="H4" s="11" t="s">
        <v>49</v>
      </c>
      <c r="I4" s="13" t="s">
        <v>50</v>
      </c>
      <c r="J4" s="14"/>
      <c r="K4" s="11" t="n">
        <f aca="false">COUNTIFS(ARQUIVOS!$A:$A,$B4,ARQUIVOS!$I:$I,"SIM")</f>
        <v>8</v>
      </c>
      <c r="L4" s="11" t="n">
        <f aca="false">COUNTIFS(ARQUIVOS!$A:$A,$B4,ARQUIVOS!$I:$I,"SIM",ARQUIVOS!$J:$J,"Na pasta")</f>
        <v>0</v>
      </c>
      <c r="M4" s="11" t="str">
        <f aca="false">IF(L4&gt;=K4,"SIM","NÃO")</f>
        <v>NÃO</v>
      </c>
      <c r="N4" s="13"/>
    </row>
    <row r="5" customFormat="false" ht="15" hidden="false" customHeight="false" outlineLevel="0" collapsed="false">
      <c r="A5" s="11" t="n">
        <v>2</v>
      </c>
      <c r="B5" s="12" t="s">
        <v>51</v>
      </c>
      <c r="C5" s="11" t="s">
        <v>51</v>
      </c>
      <c r="D5" s="11" t="s">
        <v>52</v>
      </c>
      <c r="E5" s="11" t="s">
        <v>53</v>
      </c>
      <c r="F5" s="11" t="s">
        <v>47</v>
      </c>
      <c r="G5" s="11" t="s">
        <v>48</v>
      </c>
      <c r="H5" s="11" t="s">
        <v>54</v>
      </c>
      <c r="I5" s="13" t="s">
        <v>50</v>
      </c>
      <c r="J5" s="14" t="s">
        <v>44</v>
      </c>
      <c r="K5" s="11" t="n">
        <f aca="false">COUNTIFS(ARQUIVOS!$A:$A,$B5,ARQUIVOS!$I:$I,"SIM")</f>
        <v>1</v>
      </c>
      <c r="L5" s="11" t="n">
        <f aca="false">COUNTIFS(ARQUIVOS!$A:$A,$B5,ARQUIVOS!$I:$I,"SIM",ARQUIVOS!$J:$J,"Na pasta")</f>
        <v>0</v>
      </c>
      <c r="M5" s="11" t="str">
        <f aca="false">IF(L5&gt;=K5,"SIM","NÃO")</f>
        <v>NÃO</v>
      </c>
      <c r="N5" s="13"/>
    </row>
    <row r="6" customFormat="false" ht="15" hidden="false" customHeight="false" outlineLevel="0" collapsed="false">
      <c r="A6" s="11" t="n">
        <v>3</v>
      </c>
      <c r="B6" s="12" t="s">
        <v>55</v>
      </c>
      <c r="C6" s="11" t="s">
        <v>55</v>
      </c>
      <c r="D6" s="11" t="s">
        <v>56</v>
      </c>
      <c r="E6" s="11" t="s">
        <v>57</v>
      </c>
      <c r="F6" s="11" t="s">
        <v>47</v>
      </c>
      <c r="G6" s="11" t="s">
        <v>48</v>
      </c>
      <c r="H6" s="11" t="s">
        <v>58</v>
      </c>
      <c r="I6" s="13" t="s">
        <v>50</v>
      </c>
      <c r="J6" s="14" t="s">
        <v>44</v>
      </c>
      <c r="K6" s="11" t="n">
        <f aca="false">COUNTIFS(ARQUIVOS!$A:$A,$B6,ARQUIVOS!$I:$I,"SIM")</f>
        <v>1</v>
      </c>
      <c r="L6" s="11" t="n">
        <f aca="false">COUNTIFS(ARQUIVOS!$A:$A,$B6,ARQUIVOS!$I:$I,"SIM",ARQUIVOS!$J:$J,"Na pasta")</f>
        <v>0</v>
      </c>
      <c r="M6" s="11" t="str">
        <f aca="false">IF(L6&gt;=K6,"SIM","NÃO")</f>
        <v>NÃO</v>
      </c>
      <c r="N6" s="13"/>
    </row>
    <row r="7" customFormat="false" ht="15" hidden="false" customHeight="false" outlineLevel="0" collapsed="false">
      <c r="A7" s="11" t="n">
        <v>4</v>
      </c>
      <c r="B7" s="12" t="s">
        <v>59</v>
      </c>
      <c r="C7" s="11" t="s">
        <v>59</v>
      </c>
      <c r="D7" s="11" t="s">
        <v>60</v>
      </c>
      <c r="E7" s="11" t="s">
        <v>61</v>
      </c>
      <c r="F7" s="11" t="s">
        <v>47</v>
      </c>
      <c r="G7" s="11" t="s">
        <v>48</v>
      </c>
      <c r="H7" s="11" t="s">
        <v>62</v>
      </c>
      <c r="I7" s="13" t="s">
        <v>50</v>
      </c>
      <c r="J7" s="14" t="s">
        <v>44</v>
      </c>
      <c r="K7" s="11" t="n">
        <f aca="false">COUNTIFS(ARQUIVOS!$A:$A,$B7,ARQUIVOS!$I:$I,"SIM")</f>
        <v>1</v>
      </c>
      <c r="L7" s="11" t="n">
        <f aca="false">COUNTIFS(ARQUIVOS!$A:$A,$B7,ARQUIVOS!$I:$I,"SIM",ARQUIVOS!$J:$J,"Na pasta")</f>
        <v>0</v>
      </c>
      <c r="M7" s="11" t="str">
        <f aca="false">IF(L7&gt;=K7,"SIM","NÃO")</f>
        <v>NÃO</v>
      </c>
      <c r="N7" s="13"/>
    </row>
    <row r="8" customFormat="false" ht="15" hidden="false" customHeight="false" outlineLevel="0" collapsed="false">
      <c r="A8" s="11" t="n">
        <v>5</v>
      </c>
      <c r="B8" s="12" t="s">
        <v>63</v>
      </c>
      <c r="C8" s="11" t="s">
        <v>63</v>
      </c>
      <c r="D8" s="11" t="s">
        <v>64</v>
      </c>
      <c r="E8" s="11" t="s">
        <v>65</v>
      </c>
      <c r="F8" s="11" t="s">
        <v>47</v>
      </c>
      <c r="G8" s="11" t="s">
        <v>66</v>
      </c>
      <c r="H8" s="11" t="s">
        <v>67</v>
      </c>
      <c r="I8" s="13" t="s">
        <v>50</v>
      </c>
      <c r="J8" s="14"/>
      <c r="K8" s="11" t="n">
        <f aca="false">COUNTIFS(ARQUIVOS!$A:$A,$B8,ARQUIVOS!$I:$I,"SIM")</f>
        <v>8</v>
      </c>
      <c r="L8" s="11" t="n">
        <f aca="false">COUNTIFS(ARQUIVOS!$A:$A,$B8,ARQUIVOS!$I:$I,"SIM",ARQUIVOS!$J:$J,"Na pasta")</f>
        <v>0</v>
      </c>
      <c r="M8" s="11" t="str">
        <f aca="false">IF(L8&gt;=K8,"SIM","NÃO")</f>
        <v>NÃO</v>
      </c>
      <c r="N8" s="13"/>
    </row>
    <row r="9" customFormat="false" ht="15" hidden="false" customHeight="false" outlineLevel="0" collapsed="false">
      <c r="A9" s="11" t="n">
        <v>6</v>
      </c>
      <c r="B9" s="12" t="s">
        <v>68</v>
      </c>
      <c r="C9" s="11" t="s">
        <v>68</v>
      </c>
      <c r="D9" s="11" t="s">
        <v>69</v>
      </c>
      <c r="E9" s="11" t="s">
        <v>70</v>
      </c>
      <c r="F9" s="11" t="s">
        <v>47</v>
      </c>
      <c r="G9" s="11" t="s">
        <v>66</v>
      </c>
      <c r="H9" s="11" t="s">
        <v>58</v>
      </c>
      <c r="I9" s="13" t="s">
        <v>50</v>
      </c>
      <c r="J9" s="14" t="s">
        <v>63</v>
      </c>
      <c r="K9" s="11" t="n">
        <f aca="false">COUNTIFS(ARQUIVOS!$A:$A,$B9,ARQUIVOS!$I:$I,"SIM")</f>
        <v>1</v>
      </c>
      <c r="L9" s="11" t="n">
        <f aca="false">COUNTIFS(ARQUIVOS!$A:$A,$B9,ARQUIVOS!$I:$I,"SIM",ARQUIVOS!$J:$J,"Na pasta")</f>
        <v>0</v>
      </c>
      <c r="M9" s="11" t="str">
        <f aca="false">IF(L9&gt;=K9,"SIM","NÃO")</f>
        <v>NÃO</v>
      </c>
      <c r="N9" s="13"/>
    </row>
    <row r="10" customFormat="false" ht="15" hidden="false" customHeight="false" outlineLevel="0" collapsed="false">
      <c r="A10" s="11" t="n">
        <v>7</v>
      </c>
      <c r="B10" s="12" t="s">
        <v>71</v>
      </c>
      <c r="C10" s="11" t="s">
        <v>71</v>
      </c>
      <c r="D10" s="11" t="s">
        <v>72</v>
      </c>
      <c r="E10" s="11" t="s">
        <v>73</v>
      </c>
      <c r="F10" s="11" t="s">
        <v>47</v>
      </c>
      <c r="G10" s="11" t="s">
        <v>66</v>
      </c>
      <c r="H10" s="11" t="s">
        <v>62</v>
      </c>
      <c r="I10" s="13" t="s">
        <v>50</v>
      </c>
      <c r="J10" s="14" t="s">
        <v>63</v>
      </c>
      <c r="K10" s="11" t="n">
        <f aca="false">COUNTIFS(ARQUIVOS!$A:$A,$B10,ARQUIVOS!$I:$I,"SIM")</f>
        <v>1</v>
      </c>
      <c r="L10" s="11" t="n">
        <f aca="false">COUNTIFS(ARQUIVOS!$A:$A,$B10,ARQUIVOS!$I:$I,"SIM",ARQUIVOS!$J:$J,"Na pasta")</f>
        <v>0</v>
      </c>
      <c r="M10" s="11" t="str">
        <f aca="false">IF(L10&gt;=K10,"SIM","NÃO")</f>
        <v>NÃO</v>
      </c>
      <c r="N10" s="13"/>
    </row>
    <row r="11" customFormat="false" ht="15" hidden="false" customHeight="false" outlineLevel="0" collapsed="false">
      <c r="A11" s="11" t="n">
        <v>8</v>
      </c>
      <c r="B11" s="12" t="s">
        <v>74</v>
      </c>
      <c r="C11" s="11" t="s">
        <v>74</v>
      </c>
      <c r="D11" s="11" t="s">
        <v>75</v>
      </c>
      <c r="E11" s="11" t="s">
        <v>76</v>
      </c>
      <c r="F11" s="11" t="s">
        <v>47</v>
      </c>
      <c r="G11" s="11" t="s">
        <v>77</v>
      </c>
      <c r="H11" s="11" t="s">
        <v>67</v>
      </c>
      <c r="I11" s="13" t="s">
        <v>50</v>
      </c>
      <c r="J11" s="14"/>
      <c r="K11" s="11" t="n">
        <f aca="false">COUNTIFS(ARQUIVOS!$A:$A,$B11,ARQUIVOS!$I:$I,"SIM")</f>
        <v>8</v>
      </c>
      <c r="L11" s="11" t="n">
        <f aca="false">COUNTIFS(ARQUIVOS!$A:$A,$B11,ARQUIVOS!$I:$I,"SIM",ARQUIVOS!$J:$J,"Na pasta")</f>
        <v>0</v>
      </c>
      <c r="M11" s="11" t="str">
        <f aca="false">IF(L11&gt;=K11,"SIM","NÃO")</f>
        <v>NÃO</v>
      </c>
      <c r="N11" s="13"/>
    </row>
    <row r="12" customFormat="false" ht="15" hidden="false" customHeight="false" outlineLevel="0" collapsed="false">
      <c r="A12" s="11" t="n">
        <v>9</v>
      </c>
      <c r="B12" s="12" t="s">
        <v>78</v>
      </c>
      <c r="C12" s="11" t="s">
        <v>78</v>
      </c>
      <c r="D12" s="11" t="s">
        <v>79</v>
      </c>
      <c r="E12" s="11" t="s">
        <v>80</v>
      </c>
      <c r="F12" s="11" t="s">
        <v>47</v>
      </c>
      <c r="G12" s="11" t="s">
        <v>77</v>
      </c>
      <c r="H12" s="11" t="s">
        <v>58</v>
      </c>
      <c r="I12" s="13" t="s">
        <v>50</v>
      </c>
      <c r="J12" s="14" t="s">
        <v>74</v>
      </c>
      <c r="K12" s="11" t="n">
        <f aca="false">COUNTIFS(ARQUIVOS!$A:$A,$B12,ARQUIVOS!$I:$I,"SIM")</f>
        <v>1</v>
      </c>
      <c r="L12" s="11" t="n">
        <f aca="false">COUNTIFS(ARQUIVOS!$A:$A,$B12,ARQUIVOS!$I:$I,"SIM",ARQUIVOS!$J:$J,"Na pasta")</f>
        <v>0</v>
      </c>
      <c r="M12" s="11" t="str">
        <f aca="false">IF(L12&gt;=K12,"SIM","NÃO")</f>
        <v>NÃO</v>
      </c>
      <c r="N12" s="13"/>
    </row>
    <row r="13" customFormat="false" ht="15" hidden="false" customHeight="false" outlineLevel="0" collapsed="false">
      <c r="A13" s="11" t="n">
        <v>10</v>
      </c>
      <c r="B13" s="12" t="s">
        <v>81</v>
      </c>
      <c r="C13" s="11" t="s">
        <v>81</v>
      </c>
      <c r="D13" s="11" t="s">
        <v>82</v>
      </c>
      <c r="E13" s="11" t="s">
        <v>83</v>
      </c>
      <c r="F13" s="11" t="s">
        <v>47</v>
      </c>
      <c r="G13" s="11" t="s">
        <v>77</v>
      </c>
      <c r="H13" s="11" t="s">
        <v>62</v>
      </c>
      <c r="I13" s="13" t="s">
        <v>50</v>
      </c>
      <c r="J13" s="14" t="s">
        <v>74</v>
      </c>
      <c r="K13" s="11" t="n">
        <f aca="false">COUNTIFS(ARQUIVOS!$A:$A,$B13,ARQUIVOS!$I:$I,"SIM")</f>
        <v>1</v>
      </c>
      <c r="L13" s="11" t="n">
        <f aca="false">COUNTIFS(ARQUIVOS!$A:$A,$B13,ARQUIVOS!$I:$I,"SIM",ARQUIVOS!$J:$J,"Na pasta")</f>
        <v>0</v>
      </c>
      <c r="M13" s="11" t="str">
        <f aca="false">IF(L13&gt;=K13,"SIM","NÃO")</f>
        <v>NÃO</v>
      </c>
      <c r="N13" s="13"/>
    </row>
    <row r="14" customFormat="false" ht="15" hidden="false" customHeight="false" outlineLevel="0" collapsed="false">
      <c r="A14" s="11" t="n">
        <v>11</v>
      </c>
      <c r="B14" s="12" t="s">
        <v>84</v>
      </c>
      <c r="C14" s="11" t="s">
        <v>84</v>
      </c>
      <c r="D14" s="11" t="s">
        <v>85</v>
      </c>
      <c r="E14" s="11" t="s">
        <v>86</v>
      </c>
      <c r="F14" s="11" t="s">
        <v>47</v>
      </c>
      <c r="G14" s="11" t="s">
        <v>87</v>
      </c>
      <c r="H14" s="11" t="s">
        <v>67</v>
      </c>
      <c r="I14" s="13" t="s">
        <v>50</v>
      </c>
      <c r="J14" s="14"/>
      <c r="K14" s="11" t="n">
        <f aca="false">COUNTIFS(ARQUIVOS!$A:$A,$B14,ARQUIVOS!$I:$I,"SIM")</f>
        <v>8</v>
      </c>
      <c r="L14" s="11" t="n">
        <f aca="false">COUNTIFS(ARQUIVOS!$A:$A,$B14,ARQUIVOS!$I:$I,"SIM",ARQUIVOS!$J:$J,"Na pasta")</f>
        <v>0</v>
      </c>
      <c r="M14" s="11" t="str">
        <f aca="false">IF(L14&gt;=K14,"SIM","NÃO")</f>
        <v>NÃO</v>
      </c>
      <c r="N14" s="13"/>
    </row>
    <row r="15" customFormat="false" ht="15" hidden="false" customHeight="false" outlineLevel="0" collapsed="false">
      <c r="A15" s="11" t="n">
        <v>12</v>
      </c>
      <c r="B15" s="12" t="s">
        <v>88</v>
      </c>
      <c r="C15" s="11" t="s">
        <v>88</v>
      </c>
      <c r="D15" s="11" t="s">
        <v>89</v>
      </c>
      <c r="E15" s="11" t="s">
        <v>90</v>
      </c>
      <c r="F15" s="11" t="s">
        <v>47</v>
      </c>
      <c r="G15" s="11" t="s">
        <v>87</v>
      </c>
      <c r="H15" s="11" t="s">
        <v>62</v>
      </c>
      <c r="I15" s="13" t="s">
        <v>50</v>
      </c>
      <c r="J15" s="14" t="s">
        <v>84</v>
      </c>
      <c r="K15" s="11" t="n">
        <f aca="false">COUNTIFS(ARQUIVOS!$A:$A,$B15,ARQUIVOS!$I:$I,"SIM")</f>
        <v>1</v>
      </c>
      <c r="L15" s="11" t="n">
        <f aca="false">COUNTIFS(ARQUIVOS!$A:$A,$B15,ARQUIVOS!$I:$I,"SIM",ARQUIVOS!$J:$J,"Na pasta")</f>
        <v>0</v>
      </c>
      <c r="M15" s="11" t="str">
        <f aca="false">IF(L15&gt;=K15,"SIM","NÃO")</f>
        <v>NÃO</v>
      </c>
      <c r="N15" s="13"/>
    </row>
    <row r="16" customFormat="false" ht="15" hidden="false" customHeight="false" outlineLevel="0" collapsed="false">
      <c r="A16" s="11" t="n">
        <v>13</v>
      </c>
      <c r="B16" s="12" t="s">
        <v>91</v>
      </c>
      <c r="C16" s="11" t="s">
        <v>91</v>
      </c>
      <c r="D16" s="11" t="s">
        <v>92</v>
      </c>
      <c r="E16" s="11" t="s">
        <v>93</v>
      </c>
      <c r="F16" s="11" t="s">
        <v>47</v>
      </c>
      <c r="G16" s="11" t="s">
        <v>94</v>
      </c>
      <c r="H16" s="11" t="s">
        <v>67</v>
      </c>
      <c r="I16" s="13" t="s">
        <v>50</v>
      </c>
      <c r="J16" s="14"/>
      <c r="K16" s="11" t="n">
        <f aca="false">COUNTIFS(ARQUIVOS!$A:$A,$B16,ARQUIVOS!$I:$I,"SIM")</f>
        <v>8</v>
      </c>
      <c r="L16" s="11" t="n">
        <f aca="false">COUNTIFS(ARQUIVOS!$A:$A,$B16,ARQUIVOS!$I:$I,"SIM",ARQUIVOS!$J:$J,"Na pasta")</f>
        <v>0</v>
      </c>
      <c r="M16" s="11" t="str">
        <f aca="false">IF(L16&gt;=K16,"SIM","NÃO")</f>
        <v>NÃO</v>
      </c>
      <c r="N16" s="13"/>
    </row>
    <row r="17" customFormat="false" ht="15" hidden="false" customHeight="false" outlineLevel="0" collapsed="false">
      <c r="A17" s="11" t="n">
        <v>14</v>
      </c>
      <c r="B17" s="12" t="s">
        <v>95</v>
      </c>
      <c r="C17" s="11" t="s">
        <v>95</v>
      </c>
      <c r="D17" s="11" t="s">
        <v>96</v>
      </c>
      <c r="E17" s="11" t="s">
        <v>97</v>
      </c>
      <c r="F17" s="11" t="s">
        <v>47</v>
      </c>
      <c r="G17" s="11" t="s">
        <v>94</v>
      </c>
      <c r="H17" s="11" t="s">
        <v>98</v>
      </c>
      <c r="I17" s="13" t="s">
        <v>50</v>
      </c>
      <c r="J17" s="14" t="s">
        <v>91</v>
      </c>
      <c r="K17" s="11" t="n">
        <f aca="false">COUNTIFS(ARQUIVOS!$A:$A,$B17,ARQUIVOS!$I:$I,"SIM")</f>
        <v>1</v>
      </c>
      <c r="L17" s="11" t="n">
        <f aca="false">COUNTIFS(ARQUIVOS!$A:$A,$B17,ARQUIVOS!$I:$I,"SIM",ARQUIVOS!$J:$J,"Na pasta")</f>
        <v>0</v>
      </c>
      <c r="M17" s="11" t="str">
        <f aca="false">IF(L17&gt;=K17,"SIM","NÃO")</f>
        <v>NÃO</v>
      </c>
      <c r="N17" s="13"/>
    </row>
    <row r="18" customFormat="false" ht="15" hidden="false" customHeight="false" outlineLevel="0" collapsed="false">
      <c r="A18" s="11" t="n">
        <v>15</v>
      </c>
      <c r="B18" s="12" t="s">
        <v>99</v>
      </c>
      <c r="C18" s="11" t="s">
        <v>99</v>
      </c>
      <c r="D18" s="11" t="s">
        <v>100</v>
      </c>
      <c r="E18" s="11" t="s">
        <v>101</v>
      </c>
      <c r="F18" s="11" t="s">
        <v>47</v>
      </c>
      <c r="G18" s="11" t="s">
        <v>94</v>
      </c>
      <c r="H18" s="11" t="s">
        <v>62</v>
      </c>
      <c r="I18" s="13" t="s">
        <v>50</v>
      </c>
      <c r="J18" s="14" t="s">
        <v>91</v>
      </c>
      <c r="K18" s="11" t="n">
        <f aca="false">COUNTIFS(ARQUIVOS!$A:$A,$B18,ARQUIVOS!$I:$I,"SIM")</f>
        <v>1</v>
      </c>
      <c r="L18" s="11" t="n">
        <f aca="false">COUNTIFS(ARQUIVOS!$A:$A,$B18,ARQUIVOS!$I:$I,"SIM",ARQUIVOS!$J:$J,"Na pasta")</f>
        <v>0</v>
      </c>
      <c r="M18" s="11" t="str">
        <f aca="false">IF(L18&gt;=K18,"SIM","NÃO")</f>
        <v>NÃO</v>
      </c>
      <c r="N18" s="13"/>
    </row>
    <row r="19" customFormat="false" ht="15" hidden="false" customHeight="false" outlineLevel="0" collapsed="false">
      <c r="A19" s="11" t="n">
        <v>16</v>
      </c>
      <c r="B19" s="12" t="s">
        <v>102</v>
      </c>
      <c r="C19" s="11" t="s">
        <v>103</v>
      </c>
      <c r="D19" s="11" t="s">
        <v>104</v>
      </c>
      <c r="E19" s="11" t="s">
        <v>105</v>
      </c>
      <c r="F19" s="11" t="s">
        <v>47</v>
      </c>
      <c r="G19" s="11" t="s">
        <v>106</v>
      </c>
      <c r="H19" s="11" t="s">
        <v>49</v>
      </c>
      <c r="I19" s="13" t="s">
        <v>50</v>
      </c>
      <c r="J19" s="14"/>
      <c r="K19" s="11" t="n">
        <f aca="false">COUNTIFS(ARQUIVOS!$A:$A,$B19,ARQUIVOS!$I:$I,"SIM")</f>
        <v>8</v>
      </c>
      <c r="L19" s="11" t="n">
        <f aca="false">COUNTIFS(ARQUIVOS!$A:$A,$B19,ARQUIVOS!$I:$I,"SIM",ARQUIVOS!$J:$J,"Na pasta")</f>
        <v>0</v>
      </c>
      <c r="M19" s="11" t="str">
        <f aca="false">IF(L19&gt;=K19,"SIM","NÃO")</f>
        <v>NÃO</v>
      </c>
      <c r="N19" s="13"/>
    </row>
    <row r="20" customFormat="false" ht="15" hidden="false" customHeight="false" outlineLevel="0" collapsed="false">
      <c r="A20" s="11" t="n">
        <v>17</v>
      </c>
      <c r="B20" s="12" t="s">
        <v>107</v>
      </c>
      <c r="C20" s="11" t="s">
        <v>108</v>
      </c>
      <c r="D20" s="11" t="s">
        <v>109</v>
      </c>
      <c r="E20" s="11" t="s">
        <v>110</v>
      </c>
      <c r="F20" s="11" t="s">
        <v>47</v>
      </c>
      <c r="G20" s="11" t="s">
        <v>106</v>
      </c>
      <c r="H20" s="11" t="s">
        <v>62</v>
      </c>
      <c r="I20" s="13" t="s">
        <v>50</v>
      </c>
      <c r="J20" s="14" t="s">
        <v>102</v>
      </c>
      <c r="K20" s="11" t="n">
        <f aca="false">COUNTIFS(ARQUIVOS!$A:$A,$B20,ARQUIVOS!$I:$I,"SIM")</f>
        <v>1</v>
      </c>
      <c r="L20" s="11" t="n">
        <f aca="false">COUNTIFS(ARQUIVOS!$A:$A,$B20,ARQUIVOS!$I:$I,"SIM",ARQUIVOS!$J:$J,"Na pasta")</f>
        <v>0</v>
      </c>
      <c r="M20" s="11" t="str">
        <f aca="false">IF(L20&gt;=K20,"SIM","NÃO")</f>
        <v>NÃO</v>
      </c>
      <c r="N20" s="13"/>
    </row>
    <row r="21" customFormat="false" ht="15" hidden="false" customHeight="false" outlineLevel="0" collapsed="false">
      <c r="A21" s="11" t="n">
        <v>18</v>
      </c>
      <c r="B21" s="12" t="s">
        <v>111</v>
      </c>
      <c r="C21" s="11" t="s">
        <v>112</v>
      </c>
      <c r="D21" s="11" t="s">
        <v>113</v>
      </c>
      <c r="E21" s="11" t="s">
        <v>114</v>
      </c>
      <c r="F21" s="11" t="s">
        <v>47</v>
      </c>
      <c r="G21" s="11" t="s">
        <v>115</v>
      </c>
      <c r="H21" s="11" t="s">
        <v>49</v>
      </c>
      <c r="I21" s="13" t="s">
        <v>50</v>
      </c>
      <c r="J21" s="14"/>
      <c r="K21" s="11" t="n">
        <f aca="false">COUNTIFS(ARQUIVOS!$A:$A,$B21,ARQUIVOS!$I:$I,"SIM")</f>
        <v>8</v>
      </c>
      <c r="L21" s="11" t="n">
        <f aca="false">COUNTIFS(ARQUIVOS!$A:$A,$B21,ARQUIVOS!$I:$I,"SIM",ARQUIVOS!$J:$J,"Na pasta")</f>
        <v>0</v>
      </c>
      <c r="M21" s="11" t="str">
        <f aca="false">IF(L21&gt;=K21,"SIM","NÃO")</f>
        <v>NÃO</v>
      </c>
      <c r="N21" s="13"/>
    </row>
    <row r="22" customFormat="false" ht="15" hidden="false" customHeight="false" outlineLevel="0" collapsed="false">
      <c r="A22" s="11" t="n">
        <v>19</v>
      </c>
      <c r="B22" s="12" t="s">
        <v>116</v>
      </c>
      <c r="C22" s="11" t="s">
        <v>117</v>
      </c>
      <c r="D22" s="11" t="s">
        <v>118</v>
      </c>
      <c r="E22" s="11" t="s">
        <v>119</v>
      </c>
      <c r="F22" s="11" t="s">
        <v>47</v>
      </c>
      <c r="G22" s="11" t="s">
        <v>115</v>
      </c>
      <c r="H22" s="11" t="s">
        <v>62</v>
      </c>
      <c r="I22" s="13" t="s">
        <v>50</v>
      </c>
      <c r="J22" s="14" t="s">
        <v>111</v>
      </c>
      <c r="K22" s="11" t="n">
        <f aca="false">COUNTIFS(ARQUIVOS!$A:$A,$B22,ARQUIVOS!$I:$I,"SIM")</f>
        <v>1</v>
      </c>
      <c r="L22" s="11" t="n">
        <f aca="false">COUNTIFS(ARQUIVOS!$A:$A,$B22,ARQUIVOS!$I:$I,"SIM",ARQUIVOS!$J:$J,"Na pasta")</f>
        <v>0</v>
      </c>
      <c r="M22" s="11" t="str">
        <f aca="false">IF(L22&gt;=K22,"SIM","NÃO")</f>
        <v>NÃO</v>
      </c>
      <c r="N22" s="13"/>
    </row>
    <row r="23" customFormat="false" ht="15" hidden="false" customHeight="false" outlineLevel="0" collapsed="false">
      <c r="A23" s="11" t="n">
        <v>20</v>
      </c>
      <c r="B23" s="12" t="s">
        <v>120</v>
      </c>
      <c r="C23" s="11" t="s">
        <v>121</v>
      </c>
      <c r="D23" s="11" t="s">
        <v>122</v>
      </c>
      <c r="E23" s="11" t="s">
        <v>123</v>
      </c>
      <c r="F23" s="11" t="s">
        <v>47</v>
      </c>
      <c r="G23" s="11" t="s">
        <v>124</v>
      </c>
      <c r="H23" s="11" t="s">
        <v>49</v>
      </c>
      <c r="I23" s="13" t="s">
        <v>50</v>
      </c>
      <c r="J23" s="14"/>
      <c r="K23" s="11" t="n">
        <f aca="false">COUNTIFS(ARQUIVOS!$A:$A,$B23,ARQUIVOS!$I:$I,"SIM")</f>
        <v>8</v>
      </c>
      <c r="L23" s="11" t="n">
        <f aca="false">COUNTIFS(ARQUIVOS!$A:$A,$B23,ARQUIVOS!$I:$I,"SIM",ARQUIVOS!$J:$J,"Na pasta")</f>
        <v>0</v>
      </c>
      <c r="M23" s="11" t="str">
        <f aca="false">IF(L23&gt;=K23,"SIM","NÃO")</f>
        <v>NÃO</v>
      </c>
      <c r="N23" s="13"/>
    </row>
    <row r="24" customFormat="false" ht="15" hidden="false" customHeight="false" outlineLevel="0" collapsed="false">
      <c r="A24" s="11" t="n">
        <v>21</v>
      </c>
      <c r="B24" s="12" t="s">
        <v>125</v>
      </c>
      <c r="C24" s="11" t="s">
        <v>126</v>
      </c>
      <c r="D24" s="11" t="s">
        <v>127</v>
      </c>
      <c r="E24" s="11" t="s">
        <v>128</v>
      </c>
      <c r="F24" s="11" t="s">
        <v>47</v>
      </c>
      <c r="G24" s="11" t="s">
        <v>124</v>
      </c>
      <c r="H24" s="11" t="s">
        <v>62</v>
      </c>
      <c r="I24" s="13" t="s">
        <v>50</v>
      </c>
      <c r="J24" s="14" t="s">
        <v>120</v>
      </c>
      <c r="K24" s="11" t="n">
        <f aca="false">COUNTIFS(ARQUIVOS!$A:$A,$B24,ARQUIVOS!$I:$I,"SIM")</f>
        <v>1</v>
      </c>
      <c r="L24" s="11" t="n">
        <f aca="false">COUNTIFS(ARQUIVOS!$A:$A,$B24,ARQUIVOS!$I:$I,"SIM",ARQUIVOS!$J:$J,"Na pasta")</f>
        <v>0</v>
      </c>
      <c r="M24" s="11" t="str">
        <f aca="false">IF(L24&gt;=K24,"SIM","NÃO")</f>
        <v>NÃO</v>
      </c>
      <c r="N24" s="13"/>
    </row>
    <row r="25" customFormat="false" ht="15" hidden="false" customHeight="false" outlineLevel="0" collapsed="false">
      <c r="A25" s="11" t="n">
        <v>22</v>
      </c>
      <c r="B25" s="12" t="s">
        <v>129</v>
      </c>
      <c r="C25" s="11" t="s">
        <v>130</v>
      </c>
      <c r="D25" s="11" t="s">
        <v>131</v>
      </c>
      <c r="E25" s="11" t="s">
        <v>132</v>
      </c>
      <c r="F25" s="11" t="s">
        <v>47</v>
      </c>
      <c r="G25" s="11" t="s">
        <v>133</v>
      </c>
      <c r="H25" s="11" t="s">
        <v>49</v>
      </c>
      <c r="I25" s="13" t="s">
        <v>50</v>
      </c>
      <c r="J25" s="14"/>
      <c r="K25" s="11" t="n">
        <f aca="false">COUNTIFS(ARQUIVOS!$A:$A,$B25,ARQUIVOS!$I:$I,"SIM")</f>
        <v>8</v>
      </c>
      <c r="L25" s="11" t="n">
        <f aca="false">COUNTIFS(ARQUIVOS!$A:$A,$B25,ARQUIVOS!$I:$I,"SIM",ARQUIVOS!$J:$J,"Na pasta")</f>
        <v>0</v>
      </c>
      <c r="M25" s="11" t="str">
        <f aca="false">IF(L25&gt;=K25,"SIM","NÃO")</f>
        <v>NÃO</v>
      </c>
      <c r="N25" s="13"/>
    </row>
    <row r="26" customFormat="false" ht="15" hidden="false" customHeight="false" outlineLevel="0" collapsed="false">
      <c r="A26" s="11" t="n">
        <v>23</v>
      </c>
      <c r="B26" s="12" t="s">
        <v>134</v>
      </c>
      <c r="C26" s="11" t="s">
        <v>135</v>
      </c>
      <c r="D26" s="11" t="s">
        <v>136</v>
      </c>
      <c r="E26" s="11" t="s">
        <v>137</v>
      </c>
      <c r="F26" s="11" t="s">
        <v>47</v>
      </c>
      <c r="G26" s="11" t="s">
        <v>133</v>
      </c>
      <c r="H26" s="11" t="s">
        <v>62</v>
      </c>
      <c r="I26" s="13" t="s">
        <v>50</v>
      </c>
      <c r="J26" s="14" t="s">
        <v>129</v>
      </c>
      <c r="K26" s="11" t="n">
        <f aca="false">COUNTIFS(ARQUIVOS!$A:$A,$B26,ARQUIVOS!$I:$I,"SIM")</f>
        <v>1</v>
      </c>
      <c r="L26" s="11" t="n">
        <f aca="false">COUNTIFS(ARQUIVOS!$A:$A,$B26,ARQUIVOS!$I:$I,"SIM",ARQUIVOS!$J:$J,"Na pasta")</f>
        <v>0</v>
      </c>
      <c r="M26" s="11" t="str">
        <f aca="false">IF(L26&gt;=K26,"SIM","NÃO")</f>
        <v>NÃO</v>
      </c>
      <c r="N26" s="13"/>
    </row>
    <row r="27" customFormat="false" ht="15" hidden="false" customHeight="false" outlineLevel="0" collapsed="false">
      <c r="A27" s="11" t="n">
        <v>24</v>
      </c>
      <c r="B27" s="12" t="s">
        <v>138</v>
      </c>
      <c r="C27" s="11" t="s">
        <v>139</v>
      </c>
      <c r="D27" s="11" t="s">
        <v>140</v>
      </c>
      <c r="E27" s="11" t="s">
        <v>141</v>
      </c>
      <c r="F27" s="11" t="s">
        <v>47</v>
      </c>
      <c r="G27" s="11" t="s">
        <v>142</v>
      </c>
      <c r="H27" s="11" t="s">
        <v>98</v>
      </c>
      <c r="I27" s="13" t="s">
        <v>50</v>
      </c>
      <c r="J27" s="14"/>
      <c r="K27" s="11" t="n">
        <f aca="false">COUNTIFS(ARQUIVOS!$A:$A,$B27,ARQUIVOS!$I:$I,"SIM")</f>
        <v>8</v>
      </c>
      <c r="L27" s="11" t="n">
        <f aca="false">COUNTIFS(ARQUIVOS!$A:$A,$B27,ARQUIVOS!$I:$I,"SIM",ARQUIVOS!$J:$J,"Na pasta")</f>
        <v>0</v>
      </c>
      <c r="M27" s="11" t="str">
        <f aca="false">IF(L27&gt;=K27,"SIM","NÃO")</f>
        <v>NÃO</v>
      </c>
      <c r="N27" s="13"/>
    </row>
    <row r="28" customFormat="false" ht="15" hidden="false" customHeight="false" outlineLevel="0" collapsed="false">
      <c r="A28" s="11" t="n">
        <v>25</v>
      </c>
      <c r="B28" s="12" t="s">
        <v>143</v>
      </c>
      <c r="C28" s="11" t="s">
        <v>144</v>
      </c>
      <c r="D28" s="11" t="s">
        <v>145</v>
      </c>
      <c r="E28" s="11" t="s">
        <v>146</v>
      </c>
      <c r="F28" s="11" t="s">
        <v>47</v>
      </c>
      <c r="G28" s="11" t="s">
        <v>142</v>
      </c>
      <c r="H28" s="11" t="s">
        <v>62</v>
      </c>
      <c r="I28" s="13" t="s">
        <v>50</v>
      </c>
      <c r="J28" s="14" t="s">
        <v>138</v>
      </c>
      <c r="K28" s="11" t="n">
        <f aca="false">COUNTIFS(ARQUIVOS!$A:$A,$B28,ARQUIVOS!$I:$I,"SIM")</f>
        <v>1</v>
      </c>
      <c r="L28" s="11" t="n">
        <f aca="false">COUNTIFS(ARQUIVOS!$A:$A,$B28,ARQUIVOS!$I:$I,"SIM",ARQUIVOS!$J:$J,"Na pasta")</f>
        <v>0</v>
      </c>
      <c r="M28" s="11" t="str">
        <f aca="false">IF(L28&gt;=K28,"SIM","NÃO")</f>
        <v>NÃO</v>
      </c>
      <c r="N28" s="13"/>
    </row>
    <row r="29" customFormat="false" ht="15" hidden="false" customHeight="false" outlineLevel="0" collapsed="false">
      <c r="A29" s="11" t="n">
        <v>26</v>
      </c>
      <c r="B29" s="12" t="s">
        <v>147</v>
      </c>
      <c r="C29" s="11" t="s">
        <v>148</v>
      </c>
      <c r="D29" s="11" t="s">
        <v>149</v>
      </c>
      <c r="E29" s="11" t="s">
        <v>150</v>
      </c>
      <c r="F29" s="11" t="s">
        <v>47</v>
      </c>
      <c r="G29" s="11" t="s">
        <v>151</v>
      </c>
      <c r="H29" s="11" t="s">
        <v>98</v>
      </c>
      <c r="I29" s="13" t="s">
        <v>50</v>
      </c>
      <c r="J29" s="14"/>
      <c r="K29" s="11" t="n">
        <f aca="false">COUNTIFS(ARQUIVOS!$A:$A,$B29,ARQUIVOS!$I:$I,"SIM")</f>
        <v>8</v>
      </c>
      <c r="L29" s="11" t="n">
        <f aca="false">COUNTIFS(ARQUIVOS!$A:$A,$B29,ARQUIVOS!$I:$I,"SIM",ARQUIVOS!$J:$J,"Na pasta")</f>
        <v>0</v>
      </c>
      <c r="M29" s="11" t="str">
        <f aca="false">IF(L29&gt;=K29,"SIM","NÃO")</f>
        <v>NÃO</v>
      </c>
      <c r="N29" s="13"/>
    </row>
    <row r="30" customFormat="false" ht="15" hidden="false" customHeight="false" outlineLevel="0" collapsed="false">
      <c r="A30" s="11" t="n">
        <v>27</v>
      </c>
      <c r="B30" s="12" t="s">
        <v>152</v>
      </c>
      <c r="C30" s="11" t="s">
        <v>153</v>
      </c>
      <c r="D30" s="11" t="s">
        <v>154</v>
      </c>
      <c r="E30" s="11" t="s">
        <v>155</v>
      </c>
      <c r="F30" s="11" t="s">
        <v>47</v>
      </c>
      <c r="G30" s="11" t="s">
        <v>151</v>
      </c>
      <c r="H30" s="11" t="s">
        <v>62</v>
      </c>
      <c r="I30" s="13" t="s">
        <v>50</v>
      </c>
      <c r="J30" s="14" t="s">
        <v>147</v>
      </c>
      <c r="K30" s="11" t="n">
        <f aca="false">COUNTIFS(ARQUIVOS!$A:$A,$B30,ARQUIVOS!$I:$I,"SIM")</f>
        <v>1</v>
      </c>
      <c r="L30" s="11" t="n">
        <f aca="false">COUNTIFS(ARQUIVOS!$A:$A,$B30,ARQUIVOS!$I:$I,"SIM",ARQUIVOS!$J:$J,"Na pasta")</f>
        <v>0</v>
      </c>
      <c r="M30" s="11" t="str">
        <f aca="false">IF(L30&gt;=K30,"SIM","NÃO")</f>
        <v>NÃO</v>
      </c>
      <c r="N30" s="13"/>
    </row>
    <row r="31" customFormat="false" ht="15" hidden="false" customHeight="false" outlineLevel="0" collapsed="false">
      <c r="A31" s="11" t="n">
        <v>28</v>
      </c>
      <c r="B31" s="12" t="s">
        <v>156</v>
      </c>
      <c r="C31" s="11" t="s">
        <v>157</v>
      </c>
      <c r="D31" s="11" t="s">
        <v>158</v>
      </c>
      <c r="E31" s="11" t="s">
        <v>159</v>
      </c>
      <c r="F31" s="11" t="s">
        <v>47</v>
      </c>
      <c r="G31" s="11" t="s">
        <v>160</v>
      </c>
      <c r="H31" s="11" t="s">
        <v>98</v>
      </c>
      <c r="I31" s="13" t="s">
        <v>50</v>
      </c>
      <c r="J31" s="14"/>
      <c r="K31" s="11" t="n">
        <f aca="false">COUNTIFS(ARQUIVOS!$A:$A,$B31,ARQUIVOS!$I:$I,"SIM")</f>
        <v>8</v>
      </c>
      <c r="L31" s="11" t="n">
        <f aca="false">COUNTIFS(ARQUIVOS!$A:$A,$B31,ARQUIVOS!$I:$I,"SIM",ARQUIVOS!$J:$J,"Na pasta")</f>
        <v>0</v>
      </c>
      <c r="M31" s="11" t="str">
        <f aca="false">IF(L31&gt;=K31,"SIM","NÃO")</f>
        <v>NÃO</v>
      </c>
      <c r="N31" s="13"/>
    </row>
    <row r="32" customFormat="false" ht="15" hidden="false" customHeight="false" outlineLevel="0" collapsed="false">
      <c r="A32" s="11" t="n">
        <v>29</v>
      </c>
      <c r="B32" s="12" t="s">
        <v>161</v>
      </c>
      <c r="C32" s="11" t="s">
        <v>162</v>
      </c>
      <c r="D32" s="11" t="s">
        <v>163</v>
      </c>
      <c r="E32" s="11" t="s">
        <v>164</v>
      </c>
      <c r="F32" s="11" t="s">
        <v>47</v>
      </c>
      <c r="G32" s="11" t="s">
        <v>160</v>
      </c>
      <c r="H32" s="11" t="s">
        <v>62</v>
      </c>
      <c r="I32" s="13" t="s">
        <v>50</v>
      </c>
      <c r="J32" s="14" t="s">
        <v>156</v>
      </c>
      <c r="K32" s="11" t="n">
        <f aca="false">COUNTIFS(ARQUIVOS!$A:$A,$B32,ARQUIVOS!$I:$I,"SIM")</f>
        <v>1</v>
      </c>
      <c r="L32" s="11" t="n">
        <f aca="false">COUNTIFS(ARQUIVOS!$A:$A,$B32,ARQUIVOS!$I:$I,"SIM",ARQUIVOS!$J:$J,"Na pasta")</f>
        <v>0</v>
      </c>
      <c r="M32" s="11" t="str">
        <f aca="false">IF(L32&gt;=K32,"SIM","NÃO")</f>
        <v>NÃO</v>
      </c>
      <c r="N32" s="13"/>
    </row>
    <row r="33" customFormat="false" ht="15" hidden="false" customHeight="false" outlineLevel="0" collapsed="false">
      <c r="A33" s="11" t="n">
        <v>30</v>
      </c>
      <c r="B33" s="12" t="s">
        <v>165</v>
      </c>
      <c r="C33" s="11" t="s">
        <v>166</v>
      </c>
      <c r="D33" s="11" t="s">
        <v>167</v>
      </c>
      <c r="E33" s="11" t="s">
        <v>168</v>
      </c>
      <c r="F33" s="11" t="s">
        <v>47</v>
      </c>
      <c r="G33" s="11"/>
      <c r="H33" s="11" t="s">
        <v>169</v>
      </c>
      <c r="I33" s="13" t="s">
        <v>50</v>
      </c>
      <c r="J33" s="14"/>
      <c r="K33" s="11" t="n">
        <f aca="false">COUNTIFS(ARQUIVOS!$A:$A,$B33,ARQUIVOS!$I:$I,"SIM")</f>
        <v>8</v>
      </c>
      <c r="L33" s="11" t="n">
        <f aca="false">COUNTIFS(ARQUIVOS!$A:$A,$B33,ARQUIVOS!$I:$I,"SIM",ARQUIVOS!$J:$J,"Na pasta")</f>
        <v>0</v>
      </c>
      <c r="M33" s="11" t="str">
        <f aca="false">IF(L33&gt;=K33,"SIM","NÃO")</f>
        <v>NÃO</v>
      </c>
      <c r="N33" s="13"/>
    </row>
    <row r="34" customFormat="false" ht="15" hidden="false" customHeight="false" outlineLevel="0" collapsed="false">
      <c r="A34" s="11" t="n">
        <v>31</v>
      </c>
      <c r="B34" s="12" t="s">
        <v>170</v>
      </c>
      <c r="C34" s="11" t="s">
        <v>171</v>
      </c>
      <c r="D34" s="11" t="s">
        <v>172</v>
      </c>
      <c r="E34" s="11" t="s">
        <v>173</v>
      </c>
      <c r="F34" s="11" t="s">
        <v>47</v>
      </c>
      <c r="G34" s="11"/>
      <c r="H34" s="11" t="s">
        <v>62</v>
      </c>
      <c r="I34" s="13" t="s">
        <v>50</v>
      </c>
      <c r="J34" s="14"/>
      <c r="K34" s="11" t="n">
        <f aca="false">COUNTIFS(ARQUIVOS!$A:$A,$B34,ARQUIVOS!$I:$I,"SIM")</f>
        <v>8</v>
      </c>
      <c r="L34" s="11" t="n">
        <f aca="false">COUNTIFS(ARQUIVOS!$A:$A,$B34,ARQUIVOS!$I:$I,"SIM",ARQUIVOS!$J:$J,"Na pasta")</f>
        <v>0</v>
      </c>
      <c r="M34" s="11" t="str">
        <f aca="false">IF(L34&gt;=K34,"SIM","NÃO")</f>
        <v>NÃO</v>
      </c>
      <c r="N34" s="13"/>
    </row>
    <row r="35" customFormat="false" ht="15" hidden="false" customHeight="false" outlineLevel="0" collapsed="false">
      <c r="A35" s="11" t="n">
        <v>32</v>
      </c>
      <c r="B35" s="12" t="s">
        <v>174</v>
      </c>
      <c r="C35" s="11" t="s">
        <v>175</v>
      </c>
      <c r="D35" s="11" t="s">
        <v>176</v>
      </c>
      <c r="E35" s="11" t="s">
        <v>177</v>
      </c>
      <c r="F35" s="11" t="s">
        <v>47</v>
      </c>
      <c r="G35" s="11"/>
      <c r="H35" s="11" t="s">
        <v>62</v>
      </c>
      <c r="I35" s="13" t="s">
        <v>50</v>
      </c>
      <c r="J35" s="14"/>
      <c r="K35" s="11" t="n">
        <f aca="false">COUNTIFS(ARQUIVOS!$A:$A,$B35,ARQUIVOS!$I:$I,"SIM")</f>
        <v>8</v>
      </c>
      <c r="L35" s="11" t="n">
        <f aca="false">COUNTIFS(ARQUIVOS!$A:$A,$B35,ARQUIVOS!$I:$I,"SIM",ARQUIVOS!$J:$J,"Na pasta")</f>
        <v>0</v>
      </c>
      <c r="M35" s="11" t="str">
        <f aca="false">IF(L35&gt;=K35,"SIM","NÃO")</f>
        <v>NÃO</v>
      </c>
      <c r="N35" s="13"/>
    </row>
    <row r="36" customFormat="false" ht="15" hidden="false" customHeight="false" outlineLevel="0" collapsed="false">
      <c r="A36" s="11" t="n">
        <v>33</v>
      </c>
      <c r="B36" s="12" t="s">
        <v>178</v>
      </c>
      <c r="C36" s="11" t="s">
        <v>179</v>
      </c>
      <c r="D36" s="11" t="s">
        <v>180</v>
      </c>
      <c r="E36" s="11" t="s">
        <v>181</v>
      </c>
      <c r="F36" s="11" t="s">
        <v>47</v>
      </c>
      <c r="G36" s="11"/>
      <c r="H36" s="11" t="s">
        <v>62</v>
      </c>
      <c r="I36" s="13" t="s">
        <v>50</v>
      </c>
      <c r="J36" s="14"/>
      <c r="K36" s="11" t="n">
        <f aca="false">COUNTIFS(ARQUIVOS!$A:$A,$B36,ARQUIVOS!$I:$I,"SIM")</f>
        <v>8</v>
      </c>
      <c r="L36" s="11" t="n">
        <f aca="false">COUNTIFS(ARQUIVOS!$A:$A,$B36,ARQUIVOS!$I:$I,"SIM",ARQUIVOS!$J:$J,"Na pasta")</f>
        <v>0</v>
      </c>
      <c r="M36" s="11" t="str">
        <f aca="false">IF(L36&gt;=K36,"SIM","NÃO")</f>
        <v>NÃO</v>
      </c>
      <c r="N36" s="13"/>
    </row>
    <row r="37" customFormat="false" ht="15" hidden="false" customHeight="false" outlineLevel="0" collapsed="false">
      <c r="A37" s="11" t="n">
        <v>34</v>
      </c>
      <c r="B37" s="12" t="s">
        <v>182</v>
      </c>
      <c r="C37" s="11" t="s">
        <v>183</v>
      </c>
      <c r="D37" s="11" t="s">
        <v>184</v>
      </c>
      <c r="E37" s="11" t="s">
        <v>185</v>
      </c>
      <c r="F37" s="11" t="s">
        <v>47</v>
      </c>
      <c r="G37" s="11"/>
      <c r="H37" s="11" t="s">
        <v>186</v>
      </c>
      <c r="I37" s="13" t="s">
        <v>50</v>
      </c>
      <c r="J37" s="14"/>
      <c r="K37" s="11" t="n">
        <f aca="false">COUNTIFS(ARQUIVOS!$A:$A,$B37,ARQUIVOS!$I:$I,"SIM")</f>
        <v>8</v>
      </c>
      <c r="L37" s="11" t="n">
        <f aca="false">COUNTIFS(ARQUIVOS!$A:$A,$B37,ARQUIVOS!$I:$I,"SIM",ARQUIVOS!$J:$J,"Na pasta")</f>
        <v>0</v>
      </c>
      <c r="M37" s="11" t="str">
        <f aca="false">IF(L37&gt;=K37,"SIM","NÃO")</f>
        <v>NÃO</v>
      </c>
      <c r="N37" s="13"/>
    </row>
    <row r="38" customFormat="false" ht="15" hidden="false" customHeight="false" outlineLevel="0" collapsed="false">
      <c r="A38" s="11" t="n">
        <v>35</v>
      </c>
      <c r="B38" s="12" t="s">
        <v>187</v>
      </c>
      <c r="C38" s="11" t="s">
        <v>188</v>
      </c>
      <c r="D38" s="11" t="s">
        <v>189</v>
      </c>
      <c r="E38" s="11" t="s">
        <v>190</v>
      </c>
      <c r="F38" s="11" t="s">
        <v>47</v>
      </c>
      <c r="G38" s="11"/>
      <c r="H38" s="11" t="s">
        <v>186</v>
      </c>
      <c r="I38" s="13" t="s">
        <v>50</v>
      </c>
      <c r="J38" s="14"/>
      <c r="K38" s="11" t="n">
        <f aca="false">COUNTIFS(ARQUIVOS!$A:$A,$B38,ARQUIVOS!$I:$I,"SIM")</f>
        <v>8</v>
      </c>
      <c r="L38" s="11" t="n">
        <f aca="false">COUNTIFS(ARQUIVOS!$A:$A,$B38,ARQUIVOS!$I:$I,"SIM",ARQUIVOS!$J:$J,"Na pasta")</f>
        <v>0</v>
      </c>
      <c r="M38" s="11" t="str">
        <f aca="false">IF(L38&gt;=K38,"SIM","NÃO")</f>
        <v>NÃO</v>
      </c>
      <c r="N38" s="13"/>
    </row>
    <row r="39" customFormat="false" ht="15" hidden="false" customHeight="false" outlineLevel="0" collapsed="false">
      <c r="A39" s="11" t="n">
        <v>36</v>
      </c>
      <c r="B39" s="12" t="s">
        <v>191</v>
      </c>
      <c r="C39" s="11" t="s">
        <v>192</v>
      </c>
      <c r="D39" s="11" t="s">
        <v>193</v>
      </c>
      <c r="E39" s="11" t="s">
        <v>194</v>
      </c>
      <c r="F39" s="11" t="s">
        <v>47</v>
      </c>
      <c r="G39" s="11"/>
      <c r="H39" s="11" t="s">
        <v>186</v>
      </c>
      <c r="I39" s="13" t="s">
        <v>50</v>
      </c>
      <c r="J39" s="14"/>
      <c r="K39" s="11" t="n">
        <f aca="false">COUNTIFS(ARQUIVOS!$A:$A,$B39,ARQUIVOS!$I:$I,"SIM")</f>
        <v>8</v>
      </c>
      <c r="L39" s="11" t="n">
        <f aca="false">COUNTIFS(ARQUIVOS!$A:$A,$B39,ARQUIVOS!$I:$I,"SIM",ARQUIVOS!$J:$J,"Na pasta")</f>
        <v>0</v>
      </c>
      <c r="M39" s="11" t="str">
        <f aca="false">IF(L39&gt;=K39,"SIM","NÃO")</f>
        <v>NÃO</v>
      </c>
      <c r="N39" s="13"/>
    </row>
    <row r="40" customFormat="false" ht="15" hidden="false" customHeight="false" outlineLevel="0" collapsed="false">
      <c r="A40" s="11" t="n">
        <v>37</v>
      </c>
      <c r="B40" s="12" t="s">
        <v>195</v>
      </c>
      <c r="C40" s="11" t="s">
        <v>196</v>
      </c>
      <c r="D40" s="11" t="s">
        <v>197</v>
      </c>
      <c r="E40" s="11" t="s">
        <v>198</v>
      </c>
      <c r="F40" s="11" t="s">
        <v>47</v>
      </c>
      <c r="G40" s="11"/>
      <c r="H40" s="11" t="s">
        <v>186</v>
      </c>
      <c r="I40" s="13" t="s">
        <v>50</v>
      </c>
      <c r="J40" s="14"/>
      <c r="K40" s="11" t="n">
        <f aca="false">COUNTIFS(ARQUIVOS!$A:$A,$B40,ARQUIVOS!$I:$I,"SIM")</f>
        <v>8</v>
      </c>
      <c r="L40" s="11" t="n">
        <f aca="false">COUNTIFS(ARQUIVOS!$A:$A,$B40,ARQUIVOS!$I:$I,"SIM",ARQUIVOS!$J:$J,"Na pasta")</f>
        <v>0</v>
      </c>
      <c r="M40" s="11" t="str">
        <f aca="false">IF(L40&gt;=K40,"SIM","NÃO")</f>
        <v>NÃO</v>
      </c>
      <c r="N40" s="13"/>
    </row>
    <row r="41" customFormat="false" ht="15" hidden="false" customHeight="false" outlineLevel="0" collapsed="false">
      <c r="A41" s="11" t="n">
        <v>38</v>
      </c>
      <c r="B41" s="12" t="s">
        <v>199</v>
      </c>
      <c r="C41" s="11" t="s">
        <v>200</v>
      </c>
      <c r="D41" s="11" t="s">
        <v>201</v>
      </c>
      <c r="E41" s="11" t="s">
        <v>202</v>
      </c>
      <c r="F41" s="11" t="s">
        <v>203</v>
      </c>
      <c r="G41" s="11"/>
      <c r="H41" s="11" t="s">
        <v>204</v>
      </c>
      <c r="I41" s="13" t="s">
        <v>50</v>
      </c>
      <c r="J41" s="14"/>
      <c r="K41" s="11" t="n">
        <f aca="false">COUNTIFS(ARQUIVOS!$A:$A,$B41,ARQUIVOS!$I:$I,"SIM")</f>
        <v>8</v>
      </c>
      <c r="L41" s="11" t="n">
        <f aca="false">COUNTIFS(ARQUIVOS!$A:$A,$B41,ARQUIVOS!$I:$I,"SIM",ARQUIVOS!$J:$J,"Na pasta")</f>
        <v>0</v>
      </c>
      <c r="M41" s="11" t="str">
        <f aca="false">IF(L41&gt;=K41,"SIM","NÃO")</f>
        <v>NÃO</v>
      </c>
      <c r="N41" s="13"/>
    </row>
    <row r="42" customFormat="false" ht="15" hidden="false" customHeight="false" outlineLevel="0" collapsed="false">
      <c r="A42" s="11" t="n">
        <v>39</v>
      </c>
      <c r="B42" s="12" t="s">
        <v>205</v>
      </c>
      <c r="C42" s="11" t="s">
        <v>206</v>
      </c>
      <c r="D42" s="11" t="s">
        <v>207</v>
      </c>
      <c r="E42" s="11" t="s">
        <v>208</v>
      </c>
      <c r="F42" s="11" t="s">
        <v>203</v>
      </c>
      <c r="G42" s="11"/>
      <c r="H42" s="11" t="s">
        <v>209</v>
      </c>
      <c r="I42" s="13" t="s">
        <v>50</v>
      </c>
      <c r="J42" s="14"/>
      <c r="K42" s="11" t="n">
        <f aca="false">COUNTIFS(ARQUIVOS!$A:$A,$B42,ARQUIVOS!$I:$I,"SIM")</f>
        <v>8</v>
      </c>
      <c r="L42" s="11" t="n">
        <f aca="false">COUNTIFS(ARQUIVOS!$A:$A,$B42,ARQUIVOS!$I:$I,"SIM",ARQUIVOS!$J:$J,"Na pasta")</f>
        <v>0</v>
      </c>
      <c r="M42" s="11" t="str">
        <f aca="false">IF(L42&gt;=K42,"SIM","NÃO")</f>
        <v>NÃO</v>
      </c>
      <c r="N42" s="13"/>
    </row>
    <row r="43" customFormat="false" ht="15" hidden="false" customHeight="false" outlineLevel="0" collapsed="false">
      <c r="A43" s="11" t="n">
        <v>40</v>
      </c>
      <c r="B43" s="12" t="s">
        <v>210</v>
      </c>
      <c r="C43" s="11" t="s">
        <v>211</v>
      </c>
      <c r="D43" s="11" t="s">
        <v>212</v>
      </c>
      <c r="E43" s="11" t="s">
        <v>213</v>
      </c>
      <c r="F43" s="11" t="s">
        <v>203</v>
      </c>
      <c r="G43" s="11"/>
      <c r="H43" s="11" t="s">
        <v>204</v>
      </c>
      <c r="I43" s="13" t="s">
        <v>50</v>
      </c>
      <c r="J43" s="14"/>
      <c r="K43" s="11" t="n">
        <f aca="false">COUNTIFS(ARQUIVOS!$A:$A,$B43,ARQUIVOS!$I:$I,"SIM")</f>
        <v>8</v>
      </c>
      <c r="L43" s="11" t="n">
        <f aca="false">COUNTIFS(ARQUIVOS!$A:$A,$B43,ARQUIVOS!$I:$I,"SIM",ARQUIVOS!$J:$J,"Na pasta")</f>
        <v>0</v>
      </c>
      <c r="M43" s="11" t="str">
        <f aca="false">IF(L43&gt;=K43,"SIM","NÃO")</f>
        <v>NÃO</v>
      </c>
      <c r="N43" s="13"/>
    </row>
    <row r="44" customFormat="false" ht="15" hidden="false" customHeight="false" outlineLevel="0" collapsed="false">
      <c r="A44" s="11" t="n">
        <v>41</v>
      </c>
      <c r="B44" s="12" t="s">
        <v>214</v>
      </c>
      <c r="C44" s="11" t="s">
        <v>215</v>
      </c>
      <c r="D44" s="11" t="s">
        <v>216</v>
      </c>
      <c r="E44" s="11" t="s">
        <v>217</v>
      </c>
      <c r="F44" s="11" t="s">
        <v>203</v>
      </c>
      <c r="G44" s="11"/>
      <c r="H44" s="11" t="s">
        <v>204</v>
      </c>
      <c r="I44" s="13" t="s">
        <v>50</v>
      </c>
      <c r="J44" s="14"/>
      <c r="K44" s="11" t="n">
        <f aca="false">COUNTIFS(ARQUIVOS!$A:$A,$B44,ARQUIVOS!$I:$I,"SIM")</f>
        <v>8</v>
      </c>
      <c r="L44" s="11" t="n">
        <f aca="false">COUNTIFS(ARQUIVOS!$A:$A,$B44,ARQUIVOS!$I:$I,"SIM",ARQUIVOS!$J:$J,"Na pasta")</f>
        <v>0</v>
      </c>
      <c r="M44" s="11" t="str">
        <f aca="false">IF(L44&gt;=K44,"SIM","NÃO")</f>
        <v>NÃO</v>
      </c>
      <c r="N44" s="13"/>
    </row>
    <row r="45" customFormat="false" ht="15" hidden="false" customHeight="false" outlineLevel="0" collapsed="false">
      <c r="A45" s="11" t="n">
        <v>42</v>
      </c>
      <c r="B45" s="12" t="s">
        <v>218</v>
      </c>
      <c r="C45" s="11" t="s">
        <v>219</v>
      </c>
      <c r="D45" s="11" t="s">
        <v>220</v>
      </c>
      <c r="E45" s="11" t="s">
        <v>221</v>
      </c>
      <c r="F45" s="11" t="s">
        <v>203</v>
      </c>
      <c r="G45" s="11"/>
      <c r="H45" s="11" t="s">
        <v>209</v>
      </c>
      <c r="I45" s="13" t="s">
        <v>50</v>
      </c>
      <c r="J45" s="14"/>
      <c r="K45" s="11" t="n">
        <f aca="false">COUNTIFS(ARQUIVOS!$A:$A,$B45,ARQUIVOS!$I:$I,"SIM")</f>
        <v>8</v>
      </c>
      <c r="L45" s="11" t="n">
        <f aca="false">COUNTIFS(ARQUIVOS!$A:$A,$B45,ARQUIVOS!$I:$I,"SIM",ARQUIVOS!$J:$J,"Na pasta")</f>
        <v>0</v>
      </c>
      <c r="M45" s="11" t="str">
        <f aca="false">IF(L45&gt;=K45,"SIM","NÃO")</f>
        <v>NÃO</v>
      </c>
      <c r="N45" s="13"/>
    </row>
    <row r="46" customFormat="false" ht="15" hidden="false" customHeight="false" outlineLevel="0" collapsed="false">
      <c r="A46" s="11" t="n">
        <v>43</v>
      </c>
      <c r="B46" s="12" t="s">
        <v>222</v>
      </c>
      <c r="C46" s="11" t="s">
        <v>223</v>
      </c>
      <c r="D46" s="11" t="s">
        <v>224</v>
      </c>
      <c r="E46" s="11" t="s">
        <v>225</v>
      </c>
      <c r="F46" s="11" t="s">
        <v>203</v>
      </c>
      <c r="G46" s="11"/>
      <c r="H46" s="11" t="s">
        <v>209</v>
      </c>
      <c r="I46" s="13" t="s">
        <v>50</v>
      </c>
      <c r="J46" s="14"/>
      <c r="K46" s="11" t="n">
        <f aca="false">COUNTIFS(ARQUIVOS!$A:$A,$B46,ARQUIVOS!$I:$I,"SIM")</f>
        <v>8</v>
      </c>
      <c r="L46" s="11" t="n">
        <f aca="false">COUNTIFS(ARQUIVOS!$A:$A,$B46,ARQUIVOS!$I:$I,"SIM",ARQUIVOS!$J:$J,"Na pasta")</f>
        <v>0</v>
      </c>
      <c r="M46" s="11" t="str">
        <f aca="false">IF(L46&gt;=K46,"SIM","NÃO")</f>
        <v>NÃO</v>
      </c>
      <c r="N46" s="13"/>
    </row>
    <row r="47" customFormat="false" ht="15" hidden="false" customHeight="false" outlineLevel="0" collapsed="false">
      <c r="A47" s="11" t="n">
        <v>44</v>
      </c>
      <c r="B47" s="12" t="s">
        <v>226</v>
      </c>
      <c r="C47" s="11" t="s">
        <v>227</v>
      </c>
      <c r="D47" s="11" t="s">
        <v>228</v>
      </c>
      <c r="E47" s="11" t="s">
        <v>229</v>
      </c>
      <c r="F47" s="11" t="s">
        <v>203</v>
      </c>
      <c r="G47" s="11"/>
      <c r="H47" s="11" t="s">
        <v>230</v>
      </c>
      <c r="I47" s="13" t="s">
        <v>50</v>
      </c>
      <c r="J47" s="14"/>
      <c r="K47" s="11" t="n">
        <f aca="false">COUNTIFS(ARQUIVOS!$A:$A,$B47,ARQUIVOS!$I:$I,"SIM")</f>
        <v>8</v>
      </c>
      <c r="L47" s="11" t="n">
        <f aca="false">COUNTIFS(ARQUIVOS!$A:$A,$B47,ARQUIVOS!$I:$I,"SIM",ARQUIVOS!$J:$J,"Na pasta")</f>
        <v>0</v>
      </c>
      <c r="M47" s="11" t="str">
        <f aca="false">IF(L47&gt;=K47,"SIM","NÃO")</f>
        <v>NÃO</v>
      </c>
      <c r="N47" s="13"/>
    </row>
    <row r="48" customFormat="false" ht="15" hidden="false" customHeight="false" outlineLevel="0" collapsed="false">
      <c r="A48" s="11" t="n">
        <v>45</v>
      </c>
      <c r="B48" s="12" t="s">
        <v>231</v>
      </c>
      <c r="C48" s="11" t="s">
        <v>232</v>
      </c>
      <c r="D48" s="11" t="s">
        <v>233</v>
      </c>
      <c r="E48" s="11" t="s">
        <v>234</v>
      </c>
      <c r="F48" s="11" t="s">
        <v>203</v>
      </c>
      <c r="G48" s="11"/>
      <c r="H48" s="11" t="s">
        <v>235</v>
      </c>
      <c r="I48" s="13" t="s">
        <v>50</v>
      </c>
      <c r="J48" s="14"/>
      <c r="K48" s="11" t="n">
        <f aca="false">COUNTIFS(ARQUIVOS!$A:$A,$B48,ARQUIVOS!$I:$I,"SIM")</f>
        <v>8</v>
      </c>
      <c r="L48" s="11" t="n">
        <f aca="false">COUNTIFS(ARQUIVOS!$A:$A,$B48,ARQUIVOS!$I:$I,"SIM",ARQUIVOS!$J:$J,"Na pasta")</f>
        <v>0</v>
      </c>
      <c r="M48" s="11" t="str">
        <f aca="false">IF(L48&gt;=K48,"SIM","NÃO")</f>
        <v>NÃO</v>
      </c>
      <c r="N48" s="13"/>
    </row>
    <row r="49" customFormat="false" ht="15" hidden="false" customHeight="false" outlineLevel="0" collapsed="false">
      <c r="A49" s="11" t="n">
        <v>46</v>
      </c>
      <c r="B49" s="12" t="s">
        <v>236</v>
      </c>
      <c r="C49" s="11" t="s">
        <v>237</v>
      </c>
      <c r="D49" s="11" t="s">
        <v>238</v>
      </c>
      <c r="E49" s="11" t="s">
        <v>239</v>
      </c>
      <c r="F49" s="11" t="s">
        <v>203</v>
      </c>
      <c r="G49" s="11"/>
      <c r="H49" s="11" t="s">
        <v>235</v>
      </c>
      <c r="I49" s="13" t="s">
        <v>50</v>
      </c>
      <c r="J49" s="14"/>
      <c r="K49" s="11" t="n">
        <f aca="false">COUNTIFS(ARQUIVOS!$A:$A,$B49,ARQUIVOS!$I:$I,"SIM")</f>
        <v>8</v>
      </c>
      <c r="L49" s="11" t="n">
        <f aca="false">COUNTIFS(ARQUIVOS!$A:$A,$B49,ARQUIVOS!$I:$I,"SIM",ARQUIVOS!$J:$J,"Na pasta")</f>
        <v>0</v>
      </c>
      <c r="M49" s="11" t="str">
        <f aca="false">IF(L49&gt;=K49,"SIM","NÃO")</f>
        <v>NÃO</v>
      </c>
      <c r="N49" s="13"/>
    </row>
    <row r="50" customFormat="false" ht="15" hidden="false" customHeight="false" outlineLevel="0" collapsed="false">
      <c r="A50" s="11" t="n">
        <v>47</v>
      </c>
      <c r="B50" s="12" t="s">
        <v>240</v>
      </c>
      <c r="C50" s="11" t="s">
        <v>241</v>
      </c>
      <c r="D50" s="11" t="s">
        <v>242</v>
      </c>
      <c r="E50" s="11" t="s">
        <v>243</v>
      </c>
      <c r="F50" s="11" t="s">
        <v>203</v>
      </c>
      <c r="G50" s="11"/>
      <c r="H50" s="11" t="s">
        <v>235</v>
      </c>
      <c r="I50" s="13" t="s">
        <v>50</v>
      </c>
      <c r="J50" s="14"/>
      <c r="K50" s="11" t="n">
        <f aca="false">COUNTIFS(ARQUIVOS!$A:$A,$B50,ARQUIVOS!$I:$I,"SIM")</f>
        <v>8</v>
      </c>
      <c r="L50" s="11" t="n">
        <f aca="false">COUNTIFS(ARQUIVOS!$A:$A,$B50,ARQUIVOS!$I:$I,"SIM",ARQUIVOS!$J:$J,"Na pasta")</f>
        <v>0</v>
      </c>
      <c r="M50" s="11" t="str">
        <f aca="false">IF(L50&gt;=K50,"SIM","NÃO")</f>
        <v>NÃO</v>
      </c>
      <c r="N50" s="13"/>
    </row>
    <row r="51" customFormat="false" ht="15" hidden="false" customHeight="false" outlineLevel="0" collapsed="false">
      <c r="A51" s="11" t="n">
        <v>48</v>
      </c>
      <c r="B51" s="12" t="s">
        <v>244</v>
      </c>
      <c r="C51" s="11" t="s">
        <v>245</v>
      </c>
      <c r="D51" s="11" t="s">
        <v>246</v>
      </c>
      <c r="E51" s="11" t="s">
        <v>247</v>
      </c>
      <c r="F51" s="11" t="s">
        <v>203</v>
      </c>
      <c r="G51" s="11"/>
      <c r="H51" s="11" t="s">
        <v>248</v>
      </c>
      <c r="I51" s="13" t="s">
        <v>50</v>
      </c>
      <c r="J51" s="14"/>
      <c r="K51" s="11" t="n">
        <f aca="false">COUNTIFS(ARQUIVOS!$A:$A,$B51,ARQUIVOS!$I:$I,"SIM")</f>
        <v>8</v>
      </c>
      <c r="L51" s="11" t="n">
        <f aca="false">COUNTIFS(ARQUIVOS!$A:$A,$B51,ARQUIVOS!$I:$I,"SIM",ARQUIVOS!$J:$J,"Na pasta")</f>
        <v>0</v>
      </c>
      <c r="M51" s="11" t="str">
        <f aca="false">IF(L51&gt;=K51,"SIM","NÃO")</f>
        <v>NÃO</v>
      </c>
      <c r="N51" s="13" t="s">
        <v>249</v>
      </c>
    </row>
    <row r="52" customFormat="false" ht="15" hidden="false" customHeight="false" outlineLevel="0" collapsed="false">
      <c r="A52" s="11" t="n">
        <v>49</v>
      </c>
      <c r="B52" s="12" t="s">
        <v>250</v>
      </c>
      <c r="C52" s="11" t="s">
        <v>251</v>
      </c>
      <c r="D52" s="11" t="s">
        <v>252</v>
      </c>
      <c r="E52" s="11" t="s">
        <v>253</v>
      </c>
      <c r="F52" s="11" t="s">
        <v>203</v>
      </c>
      <c r="G52" s="11"/>
      <c r="H52" s="11" t="s">
        <v>248</v>
      </c>
      <c r="I52" s="13" t="s">
        <v>50</v>
      </c>
      <c r="J52" s="14"/>
      <c r="K52" s="11" t="n">
        <f aca="false">COUNTIFS(ARQUIVOS!$A:$A,$B52,ARQUIVOS!$I:$I,"SIM")</f>
        <v>8</v>
      </c>
      <c r="L52" s="11" t="n">
        <f aca="false">COUNTIFS(ARQUIVOS!$A:$A,$B52,ARQUIVOS!$I:$I,"SIM",ARQUIVOS!$J:$J,"Na pasta")</f>
        <v>0</v>
      </c>
      <c r="M52" s="11" t="str">
        <f aca="false">IF(L52&gt;=K52,"SIM","NÃO")</f>
        <v>NÃO</v>
      </c>
      <c r="N52" s="13"/>
    </row>
    <row r="53" customFormat="false" ht="15" hidden="false" customHeight="false" outlineLevel="0" collapsed="false">
      <c r="A53" s="11" t="n">
        <v>50</v>
      </c>
      <c r="B53" s="12" t="s">
        <v>254</v>
      </c>
      <c r="C53" s="11" t="s">
        <v>255</v>
      </c>
      <c r="D53" s="11" t="s">
        <v>256</v>
      </c>
      <c r="E53" s="11" t="s">
        <v>257</v>
      </c>
      <c r="F53" s="11" t="s">
        <v>203</v>
      </c>
      <c r="G53" s="11"/>
      <c r="H53" s="11" t="s">
        <v>258</v>
      </c>
      <c r="I53" s="13" t="s">
        <v>50</v>
      </c>
      <c r="J53" s="14"/>
      <c r="K53" s="11" t="n">
        <f aca="false">COUNTIFS(ARQUIVOS!$A:$A,$B53,ARQUIVOS!$I:$I,"SIM")</f>
        <v>8</v>
      </c>
      <c r="L53" s="11" t="n">
        <f aca="false">COUNTIFS(ARQUIVOS!$A:$A,$B53,ARQUIVOS!$I:$I,"SIM",ARQUIVOS!$J:$J,"Na pasta")</f>
        <v>0</v>
      </c>
      <c r="M53" s="11" t="str">
        <f aca="false">IF(L53&gt;=K53,"SIM","NÃO")</f>
        <v>NÃO</v>
      </c>
      <c r="N53" s="13"/>
    </row>
    <row r="54" customFormat="false" ht="15" hidden="false" customHeight="false" outlineLevel="0" collapsed="false">
      <c r="A54" s="11" t="n">
        <v>51</v>
      </c>
      <c r="B54" s="12" t="s">
        <v>259</v>
      </c>
      <c r="C54" s="11" t="s">
        <v>260</v>
      </c>
      <c r="D54" s="11" t="s">
        <v>261</v>
      </c>
      <c r="E54" s="11" t="s">
        <v>262</v>
      </c>
      <c r="F54" s="11" t="s">
        <v>203</v>
      </c>
      <c r="G54" s="11"/>
      <c r="H54" s="11" t="s">
        <v>258</v>
      </c>
      <c r="I54" s="13" t="s">
        <v>50</v>
      </c>
      <c r="J54" s="14"/>
      <c r="K54" s="11" t="n">
        <f aca="false">COUNTIFS(ARQUIVOS!$A:$A,$B54,ARQUIVOS!$I:$I,"SIM")</f>
        <v>8</v>
      </c>
      <c r="L54" s="11" t="n">
        <f aca="false">COUNTIFS(ARQUIVOS!$A:$A,$B54,ARQUIVOS!$I:$I,"SIM",ARQUIVOS!$J:$J,"Na pasta")</f>
        <v>0</v>
      </c>
      <c r="M54" s="11" t="str">
        <f aca="false">IF(L54&gt;=K54,"SIM","NÃO")</f>
        <v>NÃO</v>
      </c>
      <c r="N54" s="13"/>
    </row>
    <row r="55" customFormat="false" ht="15" hidden="false" customHeight="false" outlineLevel="0" collapsed="false">
      <c r="A55" s="11" t="n">
        <v>52</v>
      </c>
      <c r="B55" s="12" t="s">
        <v>263</v>
      </c>
      <c r="C55" s="11" t="s">
        <v>264</v>
      </c>
      <c r="D55" s="11" t="s">
        <v>265</v>
      </c>
      <c r="E55" s="11" t="s">
        <v>266</v>
      </c>
      <c r="F55" s="11" t="s">
        <v>203</v>
      </c>
      <c r="G55" s="11"/>
      <c r="H55" s="11" t="s">
        <v>258</v>
      </c>
      <c r="I55" s="13" t="s">
        <v>50</v>
      </c>
      <c r="J55" s="14"/>
      <c r="K55" s="11" t="n">
        <f aca="false">COUNTIFS(ARQUIVOS!$A:$A,$B55,ARQUIVOS!$I:$I,"SIM")</f>
        <v>8</v>
      </c>
      <c r="L55" s="11" t="n">
        <f aca="false">COUNTIFS(ARQUIVOS!$A:$A,$B55,ARQUIVOS!$I:$I,"SIM",ARQUIVOS!$J:$J,"Na pasta")</f>
        <v>0</v>
      </c>
      <c r="M55" s="11" t="str">
        <f aca="false">IF(L55&gt;=K55,"SIM","NÃO")</f>
        <v>NÃO</v>
      </c>
      <c r="N55" s="13"/>
    </row>
    <row r="56" customFormat="false" ht="15" hidden="false" customHeight="false" outlineLevel="0" collapsed="false">
      <c r="A56" s="11" t="n">
        <v>53</v>
      </c>
      <c r="B56" s="12" t="s">
        <v>267</v>
      </c>
      <c r="C56" s="11" t="s">
        <v>268</v>
      </c>
      <c r="D56" s="11" t="s">
        <v>269</v>
      </c>
      <c r="E56" s="11" t="s">
        <v>270</v>
      </c>
      <c r="F56" s="11" t="s">
        <v>271</v>
      </c>
      <c r="G56" s="11" t="s">
        <v>272</v>
      </c>
      <c r="H56" s="11" t="s">
        <v>67</v>
      </c>
      <c r="I56" s="13" t="s">
        <v>50</v>
      </c>
      <c r="J56" s="14"/>
      <c r="K56" s="11" t="n">
        <f aca="false">COUNTIFS(ARQUIVOS!$A:$A,$B56,ARQUIVOS!$I:$I,"SIM")</f>
        <v>8</v>
      </c>
      <c r="L56" s="11" t="n">
        <f aca="false">COUNTIFS(ARQUIVOS!$A:$A,$B56,ARQUIVOS!$I:$I,"SIM",ARQUIVOS!$J:$J,"Na pasta")</f>
        <v>0</v>
      </c>
      <c r="M56" s="11" t="str">
        <f aca="false">IF(L56&gt;=K56,"SIM","NÃO")</f>
        <v>NÃO</v>
      </c>
      <c r="N56" s="13"/>
    </row>
    <row r="57" customFormat="false" ht="15" hidden="false" customHeight="false" outlineLevel="0" collapsed="false">
      <c r="A57" s="11" t="n">
        <v>54</v>
      </c>
      <c r="B57" s="12" t="s">
        <v>273</v>
      </c>
      <c r="C57" s="11" t="s">
        <v>274</v>
      </c>
      <c r="D57" s="11" t="s">
        <v>275</v>
      </c>
      <c r="E57" s="11" t="s">
        <v>276</v>
      </c>
      <c r="F57" s="11" t="s">
        <v>271</v>
      </c>
      <c r="G57" s="11" t="s">
        <v>272</v>
      </c>
      <c r="H57" s="11" t="s">
        <v>277</v>
      </c>
      <c r="I57" s="13" t="s">
        <v>50</v>
      </c>
      <c r="J57" s="14" t="s">
        <v>267</v>
      </c>
      <c r="K57" s="11" t="n">
        <f aca="false">COUNTIFS(ARQUIVOS!$A:$A,$B57,ARQUIVOS!$I:$I,"SIM")</f>
        <v>1</v>
      </c>
      <c r="L57" s="11" t="n">
        <f aca="false">COUNTIFS(ARQUIVOS!$A:$A,$B57,ARQUIVOS!$I:$I,"SIM",ARQUIVOS!$J:$J,"Na pasta")</f>
        <v>0</v>
      </c>
      <c r="M57" s="11" t="str">
        <f aca="false">IF(L57&gt;=K57,"SIM","NÃO")</f>
        <v>NÃO</v>
      </c>
      <c r="N57" s="13"/>
    </row>
    <row r="58" customFormat="false" ht="15" hidden="false" customHeight="false" outlineLevel="0" collapsed="false">
      <c r="A58" s="11" t="n">
        <v>55</v>
      </c>
      <c r="B58" s="12" t="s">
        <v>278</v>
      </c>
      <c r="C58" s="11" t="s">
        <v>279</v>
      </c>
      <c r="D58" s="11" t="s">
        <v>280</v>
      </c>
      <c r="E58" s="11" t="s">
        <v>281</v>
      </c>
      <c r="F58" s="11" t="s">
        <v>271</v>
      </c>
      <c r="G58" s="11" t="s">
        <v>272</v>
      </c>
      <c r="H58" s="11" t="s">
        <v>282</v>
      </c>
      <c r="I58" s="13" t="s">
        <v>50</v>
      </c>
      <c r="J58" s="14" t="s">
        <v>267</v>
      </c>
      <c r="K58" s="11" t="n">
        <f aca="false">COUNTIFS(ARQUIVOS!$A:$A,$B58,ARQUIVOS!$I:$I,"SIM")</f>
        <v>1</v>
      </c>
      <c r="L58" s="11" t="n">
        <f aca="false">COUNTIFS(ARQUIVOS!$A:$A,$B58,ARQUIVOS!$I:$I,"SIM",ARQUIVOS!$J:$J,"Na pasta")</f>
        <v>0</v>
      </c>
      <c r="M58" s="11" t="str">
        <f aca="false">IF(L58&gt;=K58,"SIM","NÃO")</f>
        <v>NÃO</v>
      </c>
      <c r="N58" s="13"/>
    </row>
    <row r="59" customFormat="false" ht="15" hidden="false" customHeight="false" outlineLevel="0" collapsed="false">
      <c r="A59" s="11" t="n">
        <v>56</v>
      </c>
      <c r="B59" s="12" t="s">
        <v>283</v>
      </c>
      <c r="C59" s="11" t="s">
        <v>284</v>
      </c>
      <c r="D59" s="11" t="s">
        <v>285</v>
      </c>
      <c r="E59" s="11" t="s">
        <v>286</v>
      </c>
      <c r="F59" s="11" t="s">
        <v>271</v>
      </c>
      <c r="G59" s="11"/>
      <c r="H59" s="11" t="s">
        <v>287</v>
      </c>
      <c r="I59" s="13" t="s">
        <v>50</v>
      </c>
      <c r="J59" s="14"/>
      <c r="K59" s="11" t="n">
        <f aca="false">COUNTIFS(ARQUIVOS!$A:$A,$B59,ARQUIVOS!$I:$I,"SIM")</f>
        <v>8</v>
      </c>
      <c r="L59" s="11" t="n">
        <f aca="false">COUNTIFS(ARQUIVOS!$A:$A,$B59,ARQUIVOS!$I:$I,"SIM",ARQUIVOS!$J:$J,"Na pasta")</f>
        <v>0</v>
      </c>
      <c r="M59" s="11" t="str">
        <f aca="false">IF(L59&gt;=K59,"SIM","NÃO")</f>
        <v>NÃO</v>
      </c>
      <c r="N59" s="13"/>
    </row>
    <row r="60" customFormat="false" ht="15" hidden="false" customHeight="false" outlineLevel="0" collapsed="false">
      <c r="A60" s="11" t="n">
        <v>57</v>
      </c>
      <c r="B60" s="12" t="s">
        <v>288</v>
      </c>
      <c r="C60" s="11" t="s">
        <v>289</v>
      </c>
      <c r="D60" s="11" t="s">
        <v>290</v>
      </c>
      <c r="E60" s="11" t="s">
        <v>291</v>
      </c>
      <c r="F60" s="11" t="s">
        <v>271</v>
      </c>
      <c r="G60" s="11"/>
      <c r="H60" s="11" t="s">
        <v>287</v>
      </c>
      <c r="I60" s="13" t="s">
        <v>50</v>
      </c>
      <c r="J60" s="14"/>
      <c r="K60" s="11" t="n">
        <f aca="false">COUNTIFS(ARQUIVOS!$A:$A,$B60,ARQUIVOS!$I:$I,"SIM")</f>
        <v>8</v>
      </c>
      <c r="L60" s="11" t="n">
        <f aca="false">COUNTIFS(ARQUIVOS!$A:$A,$B60,ARQUIVOS!$I:$I,"SIM",ARQUIVOS!$J:$J,"Na pasta")</f>
        <v>0</v>
      </c>
      <c r="M60" s="11" t="str">
        <f aca="false">IF(L60&gt;=K60,"SIM","NÃO")</f>
        <v>NÃO</v>
      </c>
      <c r="N60" s="13"/>
    </row>
    <row r="61" customFormat="false" ht="15" hidden="false" customHeight="false" outlineLevel="0" collapsed="false">
      <c r="A61" s="11" t="n">
        <v>58</v>
      </c>
      <c r="B61" s="12" t="s">
        <v>292</v>
      </c>
      <c r="C61" s="11" t="s">
        <v>293</v>
      </c>
      <c r="D61" s="11" t="s">
        <v>294</v>
      </c>
      <c r="E61" s="11" t="s">
        <v>295</v>
      </c>
      <c r="F61" s="11" t="s">
        <v>271</v>
      </c>
      <c r="G61" s="11"/>
      <c r="H61" s="11" t="s">
        <v>296</v>
      </c>
      <c r="I61" s="13" t="s">
        <v>50</v>
      </c>
      <c r="J61" s="14"/>
      <c r="K61" s="11" t="n">
        <f aca="false">COUNTIFS(ARQUIVOS!$A:$A,$B61,ARQUIVOS!$I:$I,"SIM")</f>
        <v>8</v>
      </c>
      <c r="L61" s="11" t="n">
        <f aca="false">COUNTIFS(ARQUIVOS!$A:$A,$B61,ARQUIVOS!$I:$I,"SIM",ARQUIVOS!$J:$J,"Na pasta")</f>
        <v>0</v>
      </c>
      <c r="M61" s="11" t="str">
        <f aca="false">IF(L61&gt;=K61,"SIM","NÃO")</f>
        <v>NÃO</v>
      </c>
      <c r="N61" s="13"/>
    </row>
    <row r="62" customFormat="false" ht="15" hidden="false" customHeight="false" outlineLevel="0" collapsed="false">
      <c r="A62" s="11" t="n">
        <v>59</v>
      </c>
      <c r="B62" s="12" t="s">
        <v>297</v>
      </c>
      <c r="C62" s="11" t="s">
        <v>298</v>
      </c>
      <c r="D62" s="11" t="s">
        <v>299</v>
      </c>
      <c r="E62" s="11" t="s">
        <v>300</v>
      </c>
      <c r="F62" s="11" t="s">
        <v>271</v>
      </c>
      <c r="G62" s="11"/>
      <c r="H62" s="11" t="s">
        <v>301</v>
      </c>
      <c r="I62" s="13" t="s">
        <v>50</v>
      </c>
      <c r="J62" s="14"/>
      <c r="K62" s="11" t="n">
        <f aca="false">COUNTIFS(ARQUIVOS!$A:$A,$B62,ARQUIVOS!$I:$I,"SIM")</f>
        <v>8</v>
      </c>
      <c r="L62" s="11" t="n">
        <f aca="false">COUNTIFS(ARQUIVOS!$A:$A,$B62,ARQUIVOS!$I:$I,"SIM",ARQUIVOS!$J:$J,"Na pasta")</f>
        <v>0</v>
      </c>
      <c r="M62" s="11" t="str">
        <f aca="false">IF(L62&gt;=K62,"SIM","NÃO")</f>
        <v>NÃO</v>
      </c>
      <c r="N62" s="13"/>
    </row>
    <row r="63" customFormat="false" ht="15" hidden="false" customHeight="false" outlineLevel="0" collapsed="false">
      <c r="A63" s="11" t="n">
        <v>60</v>
      </c>
      <c r="B63" s="12" t="s">
        <v>302</v>
      </c>
      <c r="C63" s="11" t="s">
        <v>303</v>
      </c>
      <c r="D63" s="11" t="s">
        <v>304</v>
      </c>
      <c r="E63" s="11" t="s">
        <v>305</v>
      </c>
      <c r="F63" s="11" t="s">
        <v>271</v>
      </c>
      <c r="G63" s="11"/>
      <c r="H63" s="11" t="s">
        <v>306</v>
      </c>
      <c r="I63" s="13" t="s">
        <v>50</v>
      </c>
      <c r="J63" s="14"/>
      <c r="K63" s="11" t="n">
        <f aca="false">COUNTIFS(ARQUIVOS!$A:$A,$B63,ARQUIVOS!$I:$I,"SIM")</f>
        <v>8</v>
      </c>
      <c r="L63" s="11" t="n">
        <f aca="false">COUNTIFS(ARQUIVOS!$A:$A,$B63,ARQUIVOS!$I:$I,"SIM",ARQUIVOS!$J:$J,"Na pasta")</f>
        <v>0</v>
      </c>
      <c r="M63" s="11" t="str">
        <f aca="false">IF(L63&gt;=K63,"SIM","NÃO")</f>
        <v>NÃO</v>
      </c>
      <c r="N63" s="13"/>
    </row>
  </sheetData>
  <autoFilter ref="A3:N63"/>
  <conditionalFormatting sqref="M4:M63">
    <cfRule type="expression" priority="2" aboveAverage="0" equalAverage="0" bottom="0" percent="0" rank="0" text="" dxfId="7">
      <formula>$M4="SIM"</formula>
    </cfRule>
    <cfRule type="expression" priority="3" aboveAverage="0" equalAverage="0" bottom="0" percent="0" rank="0" text="" dxfId="8">
      <formula>$M4="NÃO"</formula>
    </cfRule>
  </conditionalFormatting>
  <dataValidations count="2">
    <dataValidation allowBlank="false" error="Escolha A ou B." errorStyle="stop" errorTitle="Modelo de A+" operator="between" showDropDown="false" showErrorMessage="true" showInputMessage="false" sqref="I4:I63" type="list">
      <formula1>"A,B"</formula1>
      <formula2>0</formula2>
    </dataValidation>
    <dataValidation allowBlank="true" error="Use um EAN da coluna B (ou deixe vazio)." errorStyle="stop" errorTitle="A+ igual ao EAN" operator="between" showDropDown="false" showErrorMessage="true" showInputMessage="false" sqref="J4:J63" type="list">
      <formula1>$B$4:$B$63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5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50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26"/>
  </cols>
  <sheetData>
    <row r="1" customFormat="false" ht="15" hidden="false" customHeight="false" outlineLevel="0" collapsed="false">
      <c r="A1" s="8" t="s">
        <v>307</v>
      </c>
    </row>
    <row r="2" customFormat="false" ht="15" hidden="false" customHeight="false" outlineLevel="0" collapsed="false">
      <c r="A2" s="9" t="s">
        <v>308</v>
      </c>
    </row>
    <row r="3" customFormat="false" ht="31.5" hidden="false" customHeight="true" outlineLevel="0" collapsed="false">
      <c r="A3" s="10" t="s">
        <v>31</v>
      </c>
      <c r="B3" s="10" t="s">
        <v>309</v>
      </c>
      <c r="C3" s="10" t="s">
        <v>37</v>
      </c>
      <c r="D3" s="10" t="s">
        <v>310</v>
      </c>
      <c r="E3" s="10" t="s">
        <v>311</v>
      </c>
      <c r="F3" s="10" t="s">
        <v>312</v>
      </c>
      <c r="G3" s="10" t="s">
        <v>313</v>
      </c>
      <c r="H3" s="10" t="s">
        <v>314</v>
      </c>
      <c r="I3" s="10" t="s">
        <v>315</v>
      </c>
      <c r="J3" s="10" t="s">
        <v>316</v>
      </c>
      <c r="K3" s="10" t="s">
        <v>43</v>
      </c>
    </row>
    <row r="4" customFormat="false" ht="15" hidden="false" customHeight="false" outlineLevel="0" collapsed="false">
      <c r="A4" s="15" t="s">
        <v>44</v>
      </c>
      <c r="B4" s="11" t="str">
        <f aca="false">INDEX(PRODUTOS!$E$4:$E$63,MATCH($A4,PRODUTOS!$B$4:$B$63,0))</f>
        <v>New Dots Ração Seca Premium para Cães Adultos - 15 kg</v>
      </c>
      <c r="C4" s="11" t="str">
        <f aca="false">INDEX(PRODUTOS!$H$4:$H$63,MATCH($A4,PRODUTOS!$B$4:$B$63,0))</f>
        <v>15 kg</v>
      </c>
      <c r="D4" s="11" t="s">
        <v>317</v>
      </c>
      <c r="E4" s="16" t="str">
        <f aca="false">$A4&amp;"."&amp;$D4&amp;".jpg"</f>
        <v>7898968541504.AP01.jpg</v>
      </c>
      <c r="F4" s="11" t="str">
        <f aca="false">IF(INDEX(PRODUTOS!$I$4:$I$63,MATCH($A4,PRODUTOS!$B$4:$B$63,0))="B",INDEX(MODELOS!$F$4:$F$11,MATCH($D4,MODELOS!$A$4:$A$11,0)),INDEX(MODELOS!$B$4:$B$11,MATCH($D4,MODELOS!$A$4:$A$11,0)))</f>
        <v>Módulo 1 · Banner</v>
      </c>
      <c r="G4" s="11" t="str">
        <f aca="false">IF(INDEX(PRODUTOS!$F$4:$F$63,MATCH($A4,PRODUTOS!$B$4:$B$63,0))="Ração",IF(INDEX(PRODUTOS!$I$4:$I$63,MATCH($A4,PRODUTOS!$B$4:$B$63,0))="B",INDEX(MODELOS!$G$4:$G$11,MATCH($D4,MODELOS!$A$4:$A$11,0)),INDEX(MODELOS!$C$4:$C$11,MATCH($D4,MODELOS!$A$4:$A$11,0))),IF(INDEX(PRODUTOS!$I$4:$I$63,MATCH($A4,PRODUTOS!$B$4:$B$63,0))="B",INDEX(MODELOS!$H$4:$H$11,MATCH($D4,MODELOS!$A$4:$A$11,0)),INDEX(MODELOS!$D$4:$D$11,MATCH($D4,MODELOS!$A$4:$A$11,0))))</f>
        <v>Embalagem + pet + ingredientes, com o nome da linha</v>
      </c>
      <c r="H4" s="11" t="str">
        <f aca="false">IF(INDEX(PRODUTOS!$I$4:$I$63,MATCH($A4,PRODUTOS!$B$4:$B$63,0))="B",INDEX(MODELOS!$I$4:$I$11,MATCH($D4,MODELOS!$A$4:$A$11,0)),INDEX(MODELOS!$E$4:$E$11,MATCH($D4,MODELOS!$A$4:$A$11,0)))</f>
        <v>970 × 600</v>
      </c>
      <c r="I4" s="11" t="str">
        <f aca="false">IF($D4="COMP","SIM",IF(INDEX(PRODUTOS!$J$4:$J$63,MATCH($A4,PRODUTOS!$B$4:$B$63,0))&lt;&gt;"","NÃO (usa o A+ do EAN "&amp;INDEX(PRODUTOS!$J$4:$J$63,MATCH($A4,PRODUTOS!$B$4:$B$63,0))&amp;")",IF(AND(INDEX(PRODUTOS!$I$4:$I$63,MATCH($A4,PRODUTOS!$B$4:$B$63,0))="B",$D4="AP07"),"NÃO (modelo B)","SIM")))</f>
        <v>SIM</v>
      </c>
      <c r="J4" s="13" t="s">
        <v>318</v>
      </c>
      <c r="K4" s="13"/>
    </row>
    <row r="5" customFormat="false" ht="15" hidden="false" customHeight="false" outlineLevel="0" collapsed="false">
      <c r="A5" s="15" t="s">
        <v>44</v>
      </c>
      <c r="B5" s="11" t="str">
        <f aca="false">INDEX(PRODUTOS!$E$4:$E$63,MATCH($A5,PRODUTOS!$B$4:$B$63,0))</f>
        <v>New Dots Ração Seca Premium para Cães Adultos - 15 kg</v>
      </c>
      <c r="C5" s="11" t="str">
        <f aca="false">INDEX(PRODUTOS!$H$4:$H$63,MATCH($A5,PRODUTOS!$B$4:$B$63,0))</f>
        <v>15 kg</v>
      </c>
      <c r="D5" s="11" t="s">
        <v>319</v>
      </c>
      <c r="E5" s="16" t="str">
        <f aca="false">$A5&amp;"."&amp;$D5&amp;".jpg"</f>
        <v>7898968541504.AP02.jpg</v>
      </c>
      <c r="F5" s="11" t="str">
        <f aca="false">IF(INDEX(PRODUTOS!$I$4:$I$63,MATCH($A5,PRODUTOS!$B$4:$B$63,0))="B",INDEX(MODELOS!$F$4:$F$11,MATCH($D5,MODELOS!$A$4:$A$11,0)),INDEX(MODELOS!$B$4:$B$11,MATCH($D5,MODELOS!$A$4:$A$11,0)))</f>
        <v>Módulo 2 · Texto sobreposto</v>
      </c>
      <c r="G5" s="11" t="str">
        <f aca="false">IF(INDEX(PRODUTOS!$F$4:$F$63,MATCH($A5,PRODUTOS!$B$4:$B$63,0))="Ração",IF(INDEX(PRODUTOS!$I$4:$I$63,MATCH($A5,PRODUTOS!$B$4:$B$63,0))="B",INDEX(MODELOS!$G$4:$G$11,MATCH($D5,MODELOS!$A$4:$A$11,0)),INDEX(MODELOS!$C$4:$C$11,MATCH($D5,MODELOS!$A$4:$A$11,0))),IF(INDEX(PRODUTOS!$I$4:$I$63,MATCH($A5,PRODUTOS!$B$4:$B$63,0))="B",INDEX(MODELOS!$H$4:$H$11,MATCH($D5,MODELOS!$A$4:$A$11,0)),INDEX(MODELOS!$D$4:$D$11,MATCH($D5,MODELOS!$A$4:$A$11,0))))</f>
        <v>Principal diferencial; deixar o lado direito limpo</v>
      </c>
      <c r="H5" s="11" t="str">
        <f aca="false">IF(INDEX(PRODUTOS!$I$4:$I$63,MATCH($A5,PRODUTOS!$B$4:$B$63,0))="B",INDEX(MODELOS!$I$4:$I$11,MATCH($D5,MODELOS!$A$4:$A$11,0)),INDEX(MODELOS!$E$4:$E$11,MATCH($D5,MODELOS!$A$4:$A$11,0)))</f>
        <v>970 × 300</v>
      </c>
      <c r="I5" s="11" t="str">
        <f aca="false">IF($D5="COMP","SIM",IF(INDEX(PRODUTOS!$J$4:$J$63,MATCH($A5,PRODUTOS!$B$4:$B$63,0))&lt;&gt;"","NÃO (usa o A+ do EAN "&amp;INDEX(PRODUTOS!$J$4:$J$63,MATCH($A5,PRODUTOS!$B$4:$B$63,0))&amp;")",IF(AND(INDEX(PRODUTOS!$I$4:$I$63,MATCH($A5,PRODUTOS!$B$4:$B$63,0))="B",$D5="AP07"),"NÃO (modelo B)","SIM")))</f>
        <v>SIM</v>
      </c>
      <c r="J5" s="13" t="s">
        <v>318</v>
      </c>
      <c r="K5" s="13"/>
    </row>
    <row r="6" customFormat="false" ht="15" hidden="false" customHeight="false" outlineLevel="0" collapsed="false">
      <c r="A6" s="15" t="s">
        <v>44</v>
      </c>
      <c r="B6" s="11" t="str">
        <f aca="false">INDEX(PRODUTOS!$E$4:$E$63,MATCH($A6,PRODUTOS!$B$4:$B$63,0))</f>
        <v>New Dots Ração Seca Premium para Cães Adultos - 15 kg</v>
      </c>
      <c r="C6" s="11" t="str">
        <f aca="false">INDEX(PRODUTOS!$H$4:$H$63,MATCH($A6,PRODUTOS!$B$4:$B$63,0))</f>
        <v>15 kg</v>
      </c>
      <c r="D6" s="11" t="s">
        <v>320</v>
      </c>
      <c r="E6" s="16" t="str">
        <f aca="false">$A6&amp;"."&amp;$D6&amp;".jpg"</f>
        <v>7898968541504.AP03.jpg</v>
      </c>
      <c r="F6" s="11" t="str">
        <f aca="false">IF(INDEX(PRODUTOS!$I$4:$I$63,MATCH($A6,PRODUTOS!$B$4:$B$63,0))="B",INDEX(MODELOS!$F$4:$F$11,MATCH($D6,MODELOS!$A$4:$A$11,0)),INDEX(MODELOS!$B$4:$B$11,MATCH($D6,MODELOS!$A$4:$A$11,0)))</f>
        <v>Módulo 3 · Benefício 1 de 4</v>
      </c>
      <c r="G6" s="11" t="str">
        <f aca="false">IF(INDEX(PRODUTOS!$F$4:$F$63,MATCH($A6,PRODUTOS!$B$4:$B$63,0))="Ração",IF(INDEX(PRODUTOS!$I$4:$I$63,MATCH($A6,PRODUTOS!$B$4:$B$63,0))="B",INDEX(MODELOS!$G$4:$G$11,MATCH($D6,MODELOS!$A$4:$A$11,0)),INDEX(MODELOS!$C$4:$C$11,MATCH($D6,MODELOS!$A$4:$A$11,0))),IF(INDEX(PRODUTOS!$I$4:$I$63,MATCH($A6,PRODUTOS!$B$4:$B$63,0))="B",INDEX(MODELOS!$H$4:$H$11,MATCH($D6,MODELOS!$A$4:$A$11,0)),INDEX(MODELOS!$D$4:$D$11,MATCH($D6,MODELOS!$A$4:$A$11,0))))</f>
        <v>Foto/ilustração do benefício 1</v>
      </c>
      <c r="H6" s="11" t="str">
        <f aca="false">IF(INDEX(PRODUTOS!$I$4:$I$63,MATCH($A6,PRODUTOS!$B$4:$B$63,0))="B",INDEX(MODELOS!$I$4:$I$11,MATCH($D6,MODELOS!$A$4:$A$11,0)),INDEX(MODELOS!$E$4:$E$11,MATCH($D6,MODELOS!$A$4:$A$11,0)))</f>
        <v>220 × 200</v>
      </c>
      <c r="I6" s="11" t="str">
        <f aca="false">IF($D6="COMP","SIM",IF(INDEX(PRODUTOS!$J$4:$J$63,MATCH($A6,PRODUTOS!$B$4:$B$63,0))&lt;&gt;"","NÃO (usa o A+ do EAN "&amp;INDEX(PRODUTOS!$J$4:$J$63,MATCH($A6,PRODUTOS!$B$4:$B$63,0))&amp;")",IF(AND(INDEX(PRODUTOS!$I$4:$I$63,MATCH($A6,PRODUTOS!$B$4:$B$63,0))="B",$D6="AP07"),"NÃO (modelo B)","SIM")))</f>
        <v>SIM</v>
      </c>
      <c r="J6" s="13" t="s">
        <v>318</v>
      </c>
      <c r="K6" s="13"/>
    </row>
    <row r="7" customFormat="false" ht="15" hidden="false" customHeight="false" outlineLevel="0" collapsed="false">
      <c r="A7" s="15" t="s">
        <v>44</v>
      </c>
      <c r="B7" s="11" t="str">
        <f aca="false">INDEX(PRODUTOS!$E$4:$E$63,MATCH($A7,PRODUTOS!$B$4:$B$63,0))</f>
        <v>New Dots Ração Seca Premium para Cães Adultos - 15 kg</v>
      </c>
      <c r="C7" s="11" t="str">
        <f aca="false">INDEX(PRODUTOS!$H$4:$H$63,MATCH($A7,PRODUTOS!$B$4:$B$63,0))</f>
        <v>15 kg</v>
      </c>
      <c r="D7" s="11" t="s">
        <v>321</v>
      </c>
      <c r="E7" s="16" t="str">
        <f aca="false">$A7&amp;"."&amp;$D7&amp;".jpg"</f>
        <v>7898968541504.AP04.jpg</v>
      </c>
      <c r="F7" s="11" t="str">
        <f aca="false">IF(INDEX(PRODUTOS!$I$4:$I$63,MATCH($A7,PRODUTOS!$B$4:$B$63,0))="B",INDEX(MODELOS!$F$4:$F$11,MATCH($D7,MODELOS!$A$4:$A$11,0)),INDEX(MODELOS!$B$4:$B$11,MATCH($D7,MODELOS!$A$4:$A$11,0)))</f>
        <v>Módulo 3 · Benefício 2 de 4</v>
      </c>
      <c r="G7" s="11" t="str">
        <f aca="false">IF(INDEX(PRODUTOS!$F$4:$F$63,MATCH($A7,PRODUTOS!$B$4:$B$63,0))="Ração",IF(INDEX(PRODUTOS!$I$4:$I$63,MATCH($A7,PRODUTOS!$B$4:$B$63,0))="B",INDEX(MODELOS!$G$4:$G$11,MATCH($D7,MODELOS!$A$4:$A$11,0)),INDEX(MODELOS!$C$4:$C$11,MATCH($D7,MODELOS!$A$4:$A$11,0))),IF(INDEX(PRODUTOS!$I$4:$I$63,MATCH($A7,PRODUTOS!$B$4:$B$63,0))="B",INDEX(MODELOS!$H$4:$H$11,MATCH($D7,MODELOS!$A$4:$A$11,0)),INDEX(MODELOS!$D$4:$D$11,MATCH($D7,MODELOS!$A$4:$A$11,0))))</f>
        <v>Foto/ilustração do benefício 2</v>
      </c>
      <c r="H7" s="11" t="str">
        <f aca="false">IF(INDEX(PRODUTOS!$I$4:$I$63,MATCH($A7,PRODUTOS!$B$4:$B$63,0))="B",INDEX(MODELOS!$I$4:$I$11,MATCH($D7,MODELOS!$A$4:$A$11,0)),INDEX(MODELOS!$E$4:$E$11,MATCH($D7,MODELOS!$A$4:$A$11,0)))</f>
        <v>220 × 200</v>
      </c>
      <c r="I7" s="11" t="str">
        <f aca="false">IF($D7="COMP","SIM",IF(INDEX(PRODUTOS!$J$4:$J$63,MATCH($A7,PRODUTOS!$B$4:$B$63,0))&lt;&gt;"","NÃO (usa o A+ do EAN "&amp;INDEX(PRODUTOS!$J$4:$J$63,MATCH($A7,PRODUTOS!$B$4:$B$63,0))&amp;")",IF(AND(INDEX(PRODUTOS!$I$4:$I$63,MATCH($A7,PRODUTOS!$B$4:$B$63,0))="B",$D7="AP07"),"NÃO (modelo B)","SIM")))</f>
        <v>SIM</v>
      </c>
      <c r="J7" s="13" t="s">
        <v>318</v>
      </c>
      <c r="K7" s="13"/>
    </row>
    <row r="8" customFormat="false" ht="15" hidden="false" customHeight="false" outlineLevel="0" collapsed="false">
      <c r="A8" s="15" t="s">
        <v>44</v>
      </c>
      <c r="B8" s="11" t="str">
        <f aca="false">INDEX(PRODUTOS!$E$4:$E$63,MATCH($A8,PRODUTOS!$B$4:$B$63,0))</f>
        <v>New Dots Ração Seca Premium para Cães Adultos - 15 kg</v>
      </c>
      <c r="C8" s="11" t="str">
        <f aca="false">INDEX(PRODUTOS!$H$4:$H$63,MATCH($A8,PRODUTOS!$B$4:$B$63,0))</f>
        <v>15 kg</v>
      </c>
      <c r="D8" s="11" t="s">
        <v>322</v>
      </c>
      <c r="E8" s="16" t="str">
        <f aca="false">$A8&amp;"."&amp;$D8&amp;".jpg"</f>
        <v>7898968541504.AP05.jpg</v>
      </c>
      <c r="F8" s="11" t="str">
        <f aca="false">IF(INDEX(PRODUTOS!$I$4:$I$63,MATCH($A8,PRODUTOS!$B$4:$B$63,0))="B",INDEX(MODELOS!$F$4:$F$11,MATCH($D8,MODELOS!$A$4:$A$11,0)),INDEX(MODELOS!$B$4:$B$11,MATCH($D8,MODELOS!$A$4:$A$11,0)))</f>
        <v>Módulo 3 · Benefício 3 de 4</v>
      </c>
      <c r="G8" s="11" t="str">
        <f aca="false">IF(INDEX(PRODUTOS!$F$4:$F$63,MATCH($A8,PRODUTOS!$B$4:$B$63,0))="Ração",IF(INDEX(PRODUTOS!$I$4:$I$63,MATCH($A8,PRODUTOS!$B$4:$B$63,0))="B",INDEX(MODELOS!$G$4:$G$11,MATCH($D8,MODELOS!$A$4:$A$11,0)),INDEX(MODELOS!$C$4:$C$11,MATCH($D8,MODELOS!$A$4:$A$11,0))),IF(INDEX(PRODUTOS!$I$4:$I$63,MATCH($A8,PRODUTOS!$B$4:$B$63,0))="B",INDEX(MODELOS!$H$4:$H$11,MATCH($D8,MODELOS!$A$4:$A$11,0)),INDEX(MODELOS!$D$4:$D$11,MATCH($D8,MODELOS!$A$4:$A$11,0))))</f>
        <v>Foto/ilustração do benefício 3</v>
      </c>
      <c r="H8" s="11" t="str">
        <f aca="false">IF(INDEX(PRODUTOS!$I$4:$I$63,MATCH($A8,PRODUTOS!$B$4:$B$63,0))="B",INDEX(MODELOS!$I$4:$I$11,MATCH($D8,MODELOS!$A$4:$A$11,0)),INDEX(MODELOS!$E$4:$E$11,MATCH($D8,MODELOS!$A$4:$A$11,0)))</f>
        <v>220 × 200</v>
      </c>
      <c r="I8" s="11" t="str">
        <f aca="false">IF($D8="COMP","SIM",IF(INDEX(PRODUTOS!$J$4:$J$63,MATCH($A8,PRODUTOS!$B$4:$B$63,0))&lt;&gt;"","NÃO (usa o A+ do EAN "&amp;INDEX(PRODUTOS!$J$4:$J$63,MATCH($A8,PRODUTOS!$B$4:$B$63,0))&amp;")",IF(AND(INDEX(PRODUTOS!$I$4:$I$63,MATCH($A8,PRODUTOS!$B$4:$B$63,0))="B",$D8="AP07"),"NÃO (modelo B)","SIM")))</f>
        <v>SIM</v>
      </c>
      <c r="J8" s="13" t="s">
        <v>318</v>
      </c>
      <c r="K8" s="13"/>
    </row>
    <row r="9" customFormat="false" ht="15" hidden="false" customHeight="false" outlineLevel="0" collapsed="false">
      <c r="A9" s="15" t="s">
        <v>44</v>
      </c>
      <c r="B9" s="11" t="str">
        <f aca="false">INDEX(PRODUTOS!$E$4:$E$63,MATCH($A9,PRODUTOS!$B$4:$B$63,0))</f>
        <v>New Dots Ração Seca Premium para Cães Adultos - 15 kg</v>
      </c>
      <c r="C9" s="11" t="str">
        <f aca="false">INDEX(PRODUTOS!$H$4:$H$63,MATCH($A9,PRODUTOS!$B$4:$B$63,0))</f>
        <v>15 kg</v>
      </c>
      <c r="D9" s="11" t="s">
        <v>323</v>
      </c>
      <c r="E9" s="16" t="str">
        <f aca="false">$A9&amp;"."&amp;$D9&amp;".jpg"</f>
        <v>7898968541504.AP06.jpg</v>
      </c>
      <c r="F9" s="11" t="str">
        <f aca="false">IF(INDEX(PRODUTOS!$I$4:$I$63,MATCH($A9,PRODUTOS!$B$4:$B$63,0))="B",INDEX(MODELOS!$F$4:$F$11,MATCH($D9,MODELOS!$A$4:$A$11,0)),INDEX(MODELOS!$B$4:$B$11,MATCH($D9,MODELOS!$A$4:$A$11,0)))</f>
        <v>Módulo 3 · Benefício 4 de 4</v>
      </c>
      <c r="G9" s="11" t="str">
        <f aca="false">IF(INDEX(PRODUTOS!$F$4:$F$63,MATCH($A9,PRODUTOS!$B$4:$B$63,0))="Ração",IF(INDEX(PRODUTOS!$I$4:$I$63,MATCH($A9,PRODUTOS!$B$4:$B$63,0))="B",INDEX(MODELOS!$G$4:$G$11,MATCH($D9,MODELOS!$A$4:$A$11,0)),INDEX(MODELOS!$C$4:$C$11,MATCH($D9,MODELOS!$A$4:$A$11,0))),IF(INDEX(PRODUTOS!$I$4:$I$63,MATCH($A9,PRODUTOS!$B$4:$B$63,0))="B",INDEX(MODELOS!$H$4:$H$11,MATCH($D9,MODELOS!$A$4:$A$11,0)),INDEX(MODELOS!$D$4:$D$11,MATCH($D9,MODELOS!$A$4:$A$11,0))))</f>
        <v>Foto/ilustração do benefício 4</v>
      </c>
      <c r="H9" s="11" t="str">
        <f aca="false">IF(INDEX(PRODUTOS!$I$4:$I$63,MATCH($A9,PRODUTOS!$B$4:$B$63,0))="B",INDEX(MODELOS!$I$4:$I$11,MATCH($D9,MODELOS!$A$4:$A$11,0)),INDEX(MODELOS!$E$4:$E$11,MATCH($D9,MODELOS!$A$4:$A$11,0)))</f>
        <v>220 × 200</v>
      </c>
      <c r="I9" s="11" t="str">
        <f aca="false">IF($D9="COMP","SIM",IF(INDEX(PRODUTOS!$J$4:$J$63,MATCH($A9,PRODUTOS!$B$4:$B$63,0))&lt;&gt;"","NÃO (usa o A+ do EAN "&amp;INDEX(PRODUTOS!$J$4:$J$63,MATCH($A9,PRODUTOS!$B$4:$B$63,0))&amp;")",IF(AND(INDEX(PRODUTOS!$I$4:$I$63,MATCH($A9,PRODUTOS!$B$4:$B$63,0))="B",$D9="AP07"),"NÃO (modelo B)","SIM")))</f>
        <v>SIM</v>
      </c>
      <c r="J9" s="13" t="s">
        <v>318</v>
      </c>
      <c r="K9" s="13"/>
    </row>
    <row r="10" customFormat="false" ht="15" hidden="false" customHeight="false" outlineLevel="0" collapsed="false">
      <c r="A10" s="15" t="s">
        <v>44</v>
      </c>
      <c r="B10" s="11" t="str">
        <f aca="false">INDEX(PRODUTOS!$E$4:$E$63,MATCH($A10,PRODUTOS!$B$4:$B$63,0))</f>
        <v>New Dots Ração Seca Premium para Cães Adultos - 15 kg</v>
      </c>
      <c r="C10" s="11" t="str">
        <f aca="false">INDEX(PRODUTOS!$H$4:$H$63,MATCH($A10,PRODUTOS!$B$4:$B$63,0))</f>
        <v>15 kg</v>
      </c>
      <c r="D10" s="11" t="s">
        <v>324</v>
      </c>
      <c r="E10" s="16" t="str">
        <f aca="false">$A10&amp;"."&amp;$D10&amp;".jpg"</f>
        <v>7898968541504.AP07.jpg</v>
      </c>
      <c r="F10" s="11" t="str">
        <f aca="false">IF(INDEX(PRODUTOS!$I$4:$I$63,MATCH($A10,PRODUTOS!$B$4:$B$63,0))="B",INDEX(MODELOS!$F$4:$F$11,MATCH($D10,MODELOS!$A$4:$A$11,0)),INDEX(MODELOS!$B$4:$B$11,MATCH($D10,MODELOS!$A$4:$A$11,0)))</f>
        <v>Módulo 4 · Especificações</v>
      </c>
      <c r="G10" s="11" t="str">
        <f aca="false">IF(INDEX(PRODUTOS!$F$4:$F$63,MATCH($A10,PRODUTOS!$B$4:$B$63,0))="Ração",IF(INDEX(PRODUTOS!$I$4:$I$63,MATCH($A10,PRODUTOS!$B$4:$B$63,0))="B",INDEX(MODELOS!$G$4:$G$11,MATCH($D10,MODELOS!$A$4:$A$11,0)),INDEX(MODELOS!$C$4:$C$11,MATCH($D10,MODELOS!$A$4:$A$11,0))),IF(INDEX(PRODUTOS!$I$4:$I$63,MATCH($A10,PRODUTOS!$B$4:$B$63,0))="B",INDEX(MODELOS!$H$4:$H$11,MATCH($D10,MODELOS!$A$4:$A$11,0)),INDEX(MODELOS!$D$4:$D$11,MATCH($D10,MODELOS!$A$4:$A$11,0))))</f>
        <v>Grão ou pacote em destaque</v>
      </c>
      <c r="H10" s="11" t="str">
        <f aca="false">IF(INDEX(PRODUTOS!$I$4:$I$63,MATCH($A10,PRODUTOS!$B$4:$B$63,0))="B",INDEX(MODELOS!$I$4:$I$11,MATCH($D10,MODELOS!$A$4:$A$11,0)),INDEX(MODELOS!$E$4:$E$11,MATCH($D10,MODELOS!$A$4:$A$11,0)))</f>
        <v>300 × 300</v>
      </c>
      <c r="I10" s="11" t="str">
        <f aca="false">IF($D10="COMP","SIM",IF(INDEX(PRODUTOS!$J$4:$J$63,MATCH($A10,PRODUTOS!$B$4:$B$63,0))&lt;&gt;"","NÃO (usa o A+ do EAN "&amp;INDEX(PRODUTOS!$J$4:$J$63,MATCH($A10,PRODUTOS!$B$4:$B$63,0))&amp;")",IF(AND(INDEX(PRODUTOS!$I$4:$I$63,MATCH($A10,PRODUTOS!$B$4:$B$63,0))="B",$D10="AP07"),"NÃO (modelo B)","SIM")))</f>
        <v>SIM</v>
      </c>
      <c r="J10" s="13" t="s">
        <v>318</v>
      </c>
      <c r="K10" s="13"/>
    </row>
    <row r="11" customFormat="false" ht="15" hidden="false" customHeight="false" outlineLevel="0" collapsed="false">
      <c r="A11" s="15" t="s">
        <v>44</v>
      </c>
      <c r="B11" s="11" t="str">
        <f aca="false">INDEX(PRODUTOS!$E$4:$E$63,MATCH($A11,PRODUTOS!$B$4:$B$63,0))</f>
        <v>New Dots Ração Seca Premium para Cães Adultos - 15 kg</v>
      </c>
      <c r="C11" s="11" t="str">
        <f aca="false">INDEX(PRODUTOS!$H$4:$H$63,MATCH($A11,PRODUTOS!$B$4:$B$63,0))</f>
        <v>15 kg</v>
      </c>
      <c r="D11" s="11" t="s">
        <v>325</v>
      </c>
      <c r="E11" s="16" t="str">
        <f aca="false">$A11&amp;"."&amp;$D11&amp;".jpg"</f>
        <v>7898968541504.COMP.jpg</v>
      </c>
      <c r="F11" s="11" t="str">
        <f aca="false">IF(INDEX(PRODUTOS!$I$4:$I$63,MATCH($A11,PRODUTOS!$B$4:$B$63,0))="B",INDEX(MODELOS!$F$4:$F$11,MATCH($D11,MODELOS!$A$4:$A$11,0)),INDEX(MODELOS!$B$4:$B$11,MATCH($D11,MODELOS!$A$4:$A$11,0)))</f>
        <v>Módulo 5 · Tabela comparativa</v>
      </c>
      <c r="G11" s="11" t="str">
        <f aca="false">IF(INDEX(PRODUTOS!$F$4:$F$63,MATCH($A11,PRODUTOS!$B$4:$B$63,0))="Ração",IF(INDEX(PRODUTOS!$I$4:$I$63,MATCH($A11,PRODUTOS!$B$4:$B$63,0))="B",INDEX(MODELOS!$G$4:$G$11,MATCH($D11,MODELOS!$A$4:$A$11,0)),INDEX(MODELOS!$C$4:$C$11,MATCH($D11,MODELOS!$A$4:$A$11,0))),IF(INDEX(PRODUTOS!$I$4:$I$63,MATCH($A11,PRODUTOS!$B$4:$B$63,0))="B",INDEX(MODELOS!$H$4:$H$11,MATCH($D11,MODELOS!$A$4:$A$11,0)),INDEX(MODELOS!$D$4:$D$11,MATCH($D11,MODELOS!$A$4:$A$11,0))))</f>
        <v>Pacote na vertical, sem fundo colorido</v>
      </c>
      <c r="H11" s="11" t="str">
        <f aca="false">IF(INDEX(PRODUTOS!$I$4:$I$63,MATCH($A11,PRODUTOS!$B$4:$B$63,0))="B",INDEX(MODELOS!$I$4:$I$11,MATCH($D11,MODELOS!$A$4:$A$11,0)),INDEX(MODELOS!$E$4:$E$11,MATCH($D11,MODELOS!$A$4:$A$11,0)))</f>
        <v>150 × 300</v>
      </c>
      <c r="I11" s="11" t="str">
        <f aca="false">IF($D11="COMP","SIM",IF(INDEX(PRODUTOS!$J$4:$J$63,MATCH($A11,PRODUTOS!$B$4:$B$63,0))&lt;&gt;"","NÃO (usa o A+ do EAN "&amp;INDEX(PRODUTOS!$J$4:$J$63,MATCH($A11,PRODUTOS!$B$4:$B$63,0))&amp;")",IF(AND(INDEX(PRODUTOS!$I$4:$I$63,MATCH($A11,PRODUTOS!$B$4:$B$63,0))="B",$D11="AP07"),"NÃO (modelo B)","SIM")))</f>
        <v>SIM</v>
      </c>
      <c r="J11" s="13" t="s">
        <v>318</v>
      </c>
      <c r="K11" s="13"/>
    </row>
    <row r="12" customFormat="false" ht="15" hidden="false" customHeight="false" outlineLevel="0" collapsed="false">
      <c r="A12" s="15" t="s">
        <v>51</v>
      </c>
      <c r="B12" s="11" t="str">
        <f aca="false">INDEX(PRODUTOS!$E$4:$E$63,MATCH($A12,PRODUTOS!$B$4:$B$63,0))</f>
        <v>New Dots Ração Seca Premium para Cães Adultos - 10,1 kg</v>
      </c>
      <c r="C12" s="11" t="str">
        <f aca="false">INDEX(PRODUTOS!$H$4:$H$63,MATCH($A12,PRODUTOS!$B$4:$B$63,0))</f>
        <v>10,1 kg</v>
      </c>
      <c r="D12" s="11" t="s">
        <v>317</v>
      </c>
      <c r="E12" s="16" t="str">
        <f aca="false">$A12&amp;"."&amp;$D12&amp;".jpg"</f>
        <v>7908591301144.AP01.jpg</v>
      </c>
      <c r="F12" s="11" t="str">
        <f aca="false">IF(INDEX(PRODUTOS!$I$4:$I$63,MATCH($A12,PRODUTOS!$B$4:$B$63,0))="B",INDEX(MODELOS!$F$4:$F$11,MATCH($D12,MODELOS!$A$4:$A$11,0)),INDEX(MODELOS!$B$4:$B$11,MATCH($D12,MODELOS!$A$4:$A$11,0)))</f>
        <v>Módulo 1 · Banner</v>
      </c>
      <c r="G12" s="11" t="str">
        <f aca="false">IF(INDEX(PRODUTOS!$F$4:$F$63,MATCH($A12,PRODUTOS!$B$4:$B$63,0))="Ração",IF(INDEX(PRODUTOS!$I$4:$I$63,MATCH($A12,PRODUTOS!$B$4:$B$63,0))="B",INDEX(MODELOS!$G$4:$G$11,MATCH($D12,MODELOS!$A$4:$A$11,0)),INDEX(MODELOS!$C$4:$C$11,MATCH($D12,MODELOS!$A$4:$A$11,0))),IF(INDEX(PRODUTOS!$I$4:$I$63,MATCH($A12,PRODUTOS!$B$4:$B$63,0))="B",INDEX(MODELOS!$H$4:$H$11,MATCH($D12,MODELOS!$A$4:$A$11,0)),INDEX(MODELOS!$D$4:$D$11,MATCH($D12,MODELOS!$A$4:$A$11,0))))</f>
        <v>Embalagem + pet + ingredientes, com o nome da linha</v>
      </c>
      <c r="H12" s="11" t="str">
        <f aca="false">IF(INDEX(PRODUTOS!$I$4:$I$63,MATCH($A12,PRODUTOS!$B$4:$B$63,0))="B",INDEX(MODELOS!$I$4:$I$11,MATCH($D12,MODELOS!$A$4:$A$11,0)),INDEX(MODELOS!$E$4:$E$11,MATCH($D12,MODELOS!$A$4:$A$11,0)))</f>
        <v>970 × 600</v>
      </c>
      <c r="I12" s="11" t="str">
        <f aca="false">IF($D12="COMP","SIM",IF(INDEX(PRODUTOS!$J$4:$J$63,MATCH($A12,PRODUTOS!$B$4:$B$63,0))&lt;&gt;"","NÃO (usa o A+ do EAN "&amp;INDEX(PRODUTOS!$J$4:$J$63,MATCH($A12,PRODUTOS!$B$4:$B$63,0))&amp;")",IF(AND(INDEX(PRODUTOS!$I$4:$I$63,MATCH($A12,PRODUTOS!$B$4:$B$63,0))="B",$D12="AP07"),"NÃO (modelo B)","SIM")))</f>
        <v>NÃO (usa o A+ do EAN 7898968541504)</v>
      </c>
      <c r="J12" s="13" t="s">
        <v>318</v>
      </c>
      <c r="K12" s="13"/>
    </row>
    <row r="13" customFormat="false" ht="15" hidden="false" customHeight="false" outlineLevel="0" collapsed="false">
      <c r="A13" s="15" t="s">
        <v>51</v>
      </c>
      <c r="B13" s="11" t="str">
        <f aca="false">INDEX(PRODUTOS!$E$4:$E$63,MATCH($A13,PRODUTOS!$B$4:$B$63,0))</f>
        <v>New Dots Ração Seca Premium para Cães Adultos - 10,1 kg</v>
      </c>
      <c r="C13" s="11" t="str">
        <f aca="false">INDEX(PRODUTOS!$H$4:$H$63,MATCH($A13,PRODUTOS!$B$4:$B$63,0))</f>
        <v>10,1 kg</v>
      </c>
      <c r="D13" s="11" t="s">
        <v>319</v>
      </c>
      <c r="E13" s="16" t="str">
        <f aca="false">$A13&amp;"."&amp;$D13&amp;".jpg"</f>
        <v>7908591301144.AP02.jpg</v>
      </c>
      <c r="F13" s="11" t="str">
        <f aca="false">IF(INDEX(PRODUTOS!$I$4:$I$63,MATCH($A13,PRODUTOS!$B$4:$B$63,0))="B",INDEX(MODELOS!$F$4:$F$11,MATCH($D13,MODELOS!$A$4:$A$11,0)),INDEX(MODELOS!$B$4:$B$11,MATCH($D13,MODELOS!$A$4:$A$11,0)))</f>
        <v>Módulo 2 · Texto sobreposto</v>
      </c>
      <c r="G13" s="11" t="str">
        <f aca="false">IF(INDEX(PRODUTOS!$F$4:$F$63,MATCH($A13,PRODUTOS!$B$4:$B$63,0))="Ração",IF(INDEX(PRODUTOS!$I$4:$I$63,MATCH($A13,PRODUTOS!$B$4:$B$63,0))="B",INDEX(MODELOS!$G$4:$G$11,MATCH($D13,MODELOS!$A$4:$A$11,0)),INDEX(MODELOS!$C$4:$C$11,MATCH($D13,MODELOS!$A$4:$A$11,0))),IF(INDEX(PRODUTOS!$I$4:$I$63,MATCH($A13,PRODUTOS!$B$4:$B$63,0))="B",INDEX(MODELOS!$H$4:$H$11,MATCH($D13,MODELOS!$A$4:$A$11,0)),INDEX(MODELOS!$D$4:$D$11,MATCH($D13,MODELOS!$A$4:$A$11,0))))</f>
        <v>Principal diferencial; deixar o lado direito limpo</v>
      </c>
      <c r="H13" s="11" t="str">
        <f aca="false">IF(INDEX(PRODUTOS!$I$4:$I$63,MATCH($A13,PRODUTOS!$B$4:$B$63,0))="B",INDEX(MODELOS!$I$4:$I$11,MATCH($D13,MODELOS!$A$4:$A$11,0)),INDEX(MODELOS!$E$4:$E$11,MATCH($D13,MODELOS!$A$4:$A$11,0)))</f>
        <v>970 × 300</v>
      </c>
      <c r="I13" s="11" t="str">
        <f aca="false">IF($D13="COMP","SIM",IF(INDEX(PRODUTOS!$J$4:$J$63,MATCH($A13,PRODUTOS!$B$4:$B$63,0))&lt;&gt;"","NÃO (usa o A+ do EAN "&amp;INDEX(PRODUTOS!$J$4:$J$63,MATCH($A13,PRODUTOS!$B$4:$B$63,0))&amp;")",IF(AND(INDEX(PRODUTOS!$I$4:$I$63,MATCH($A13,PRODUTOS!$B$4:$B$63,0))="B",$D13="AP07"),"NÃO (modelo B)","SIM")))</f>
        <v>NÃO (usa o A+ do EAN 7898968541504)</v>
      </c>
      <c r="J13" s="13" t="s">
        <v>318</v>
      </c>
      <c r="K13" s="13"/>
    </row>
    <row r="14" customFormat="false" ht="15" hidden="false" customHeight="false" outlineLevel="0" collapsed="false">
      <c r="A14" s="15" t="s">
        <v>51</v>
      </c>
      <c r="B14" s="11" t="str">
        <f aca="false">INDEX(PRODUTOS!$E$4:$E$63,MATCH($A14,PRODUTOS!$B$4:$B$63,0))</f>
        <v>New Dots Ração Seca Premium para Cães Adultos - 10,1 kg</v>
      </c>
      <c r="C14" s="11" t="str">
        <f aca="false">INDEX(PRODUTOS!$H$4:$H$63,MATCH($A14,PRODUTOS!$B$4:$B$63,0))</f>
        <v>10,1 kg</v>
      </c>
      <c r="D14" s="11" t="s">
        <v>320</v>
      </c>
      <c r="E14" s="16" t="str">
        <f aca="false">$A14&amp;"."&amp;$D14&amp;".jpg"</f>
        <v>7908591301144.AP03.jpg</v>
      </c>
      <c r="F14" s="11" t="str">
        <f aca="false">IF(INDEX(PRODUTOS!$I$4:$I$63,MATCH($A14,PRODUTOS!$B$4:$B$63,0))="B",INDEX(MODELOS!$F$4:$F$11,MATCH($D14,MODELOS!$A$4:$A$11,0)),INDEX(MODELOS!$B$4:$B$11,MATCH($D14,MODELOS!$A$4:$A$11,0)))</f>
        <v>Módulo 3 · Benefício 1 de 4</v>
      </c>
      <c r="G14" s="11" t="str">
        <f aca="false">IF(INDEX(PRODUTOS!$F$4:$F$63,MATCH($A14,PRODUTOS!$B$4:$B$63,0))="Ração",IF(INDEX(PRODUTOS!$I$4:$I$63,MATCH($A14,PRODUTOS!$B$4:$B$63,0))="B",INDEX(MODELOS!$G$4:$G$11,MATCH($D14,MODELOS!$A$4:$A$11,0)),INDEX(MODELOS!$C$4:$C$11,MATCH($D14,MODELOS!$A$4:$A$11,0))),IF(INDEX(PRODUTOS!$I$4:$I$63,MATCH($A14,PRODUTOS!$B$4:$B$63,0))="B",INDEX(MODELOS!$H$4:$H$11,MATCH($D14,MODELOS!$A$4:$A$11,0)),INDEX(MODELOS!$D$4:$D$11,MATCH($D14,MODELOS!$A$4:$A$11,0))))</f>
        <v>Foto/ilustração do benefício 1</v>
      </c>
      <c r="H14" s="11" t="str">
        <f aca="false">IF(INDEX(PRODUTOS!$I$4:$I$63,MATCH($A14,PRODUTOS!$B$4:$B$63,0))="B",INDEX(MODELOS!$I$4:$I$11,MATCH($D14,MODELOS!$A$4:$A$11,0)),INDEX(MODELOS!$E$4:$E$11,MATCH($D14,MODELOS!$A$4:$A$11,0)))</f>
        <v>220 × 200</v>
      </c>
      <c r="I14" s="11" t="str">
        <f aca="false">IF($D14="COMP","SIM",IF(INDEX(PRODUTOS!$J$4:$J$63,MATCH($A14,PRODUTOS!$B$4:$B$63,0))&lt;&gt;"","NÃO (usa o A+ do EAN "&amp;INDEX(PRODUTOS!$J$4:$J$63,MATCH($A14,PRODUTOS!$B$4:$B$63,0))&amp;")",IF(AND(INDEX(PRODUTOS!$I$4:$I$63,MATCH($A14,PRODUTOS!$B$4:$B$63,0))="B",$D14="AP07"),"NÃO (modelo B)","SIM")))</f>
        <v>NÃO (usa o A+ do EAN 7898968541504)</v>
      </c>
      <c r="J14" s="13" t="s">
        <v>318</v>
      </c>
      <c r="K14" s="13"/>
    </row>
    <row r="15" customFormat="false" ht="15" hidden="false" customHeight="false" outlineLevel="0" collapsed="false">
      <c r="A15" s="15" t="s">
        <v>51</v>
      </c>
      <c r="B15" s="11" t="str">
        <f aca="false">INDEX(PRODUTOS!$E$4:$E$63,MATCH($A15,PRODUTOS!$B$4:$B$63,0))</f>
        <v>New Dots Ração Seca Premium para Cães Adultos - 10,1 kg</v>
      </c>
      <c r="C15" s="11" t="str">
        <f aca="false">INDEX(PRODUTOS!$H$4:$H$63,MATCH($A15,PRODUTOS!$B$4:$B$63,0))</f>
        <v>10,1 kg</v>
      </c>
      <c r="D15" s="11" t="s">
        <v>321</v>
      </c>
      <c r="E15" s="16" t="str">
        <f aca="false">$A15&amp;"."&amp;$D15&amp;".jpg"</f>
        <v>7908591301144.AP04.jpg</v>
      </c>
      <c r="F15" s="11" t="str">
        <f aca="false">IF(INDEX(PRODUTOS!$I$4:$I$63,MATCH($A15,PRODUTOS!$B$4:$B$63,0))="B",INDEX(MODELOS!$F$4:$F$11,MATCH($D15,MODELOS!$A$4:$A$11,0)),INDEX(MODELOS!$B$4:$B$11,MATCH($D15,MODELOS!$A$4:$A$11,0)))</f>
        <v>Módulo 3 · Benefício 2 de 4</v>
      </c>
      <c r="G15" s="11" t="str">
        <f aca="false">IF(INDEX(PRODUTOS!$F$4:$F$63,MATCH($A15,PRODUTOS!$B$4:$B$63,0))="Ração",IF(INDEX(PRODUTOS!$I$4:$I$63,MATCH($A15,PRODUTOS!$B$4:$B$63,0))="B",INDEX(MODELOS!$G$4:$G$11,MATCH($D15,MODELOS!$A$4:$A$11,0)),INDEX(MODELOS!$C$4:$C$11,MATCH($D15,MODELOS!$A$4:$A$11,0))),IF(INDEX(PRODUTOS!$I$4:$I$63,MATCH($A15,PRODUTOS!$B$4:$B$63,0))="B",INDEX(MODELOS!$H$4:$H$11,MATCH($D15,MODELOS!$A$4:$A$11,0)),INDEX(MODELOS!$D$4:$D$11,MATCH($D15,MODELOS!$A$4:$A$11,0))))</f>
        <v>Foto/ilustração do benefício 2</v>
      </c>
      <c r="H15" s="11" t="str">
        <f aca="false">IF(INDEX(PRODUTOS!$I$4:$I$63,MATCH($A15,PRODUTOS!$B$4:$B$63,0))="B",INDEX(MODELOS!$I$4:$I$11,MATCH($D15,MODELOS!$A$4:$A$11,0)),INDEX(MODELOS!$E$4:$E$11,MATCH($D15,MODELOS!$A$4:$A$11,0)))</f>
        <v>220 × 200</v>
      </c>
      <c r="I15" s="11" t="str">
        <f aca="false">IF($D15="COMP","SIM",IF(INDEX(PRODUTOS!$J$4:$J$63,MATCH($A15,PRODUTOS!$B$4:$B$63,0))&lt;&gt;"","NÃO (usa o A+ do EAN "&amp;INDEX(PRODUTOS!$J$4:$J$63,MATCH($A15,PRODUTOS!$B$4:$B$63,0))&amp;")",IF(AND(INDEX(PRODUTOS!$I$4:$I$63,MATCH($A15,PRODUTOS!$B$4:$B$63,0))="B",$D15="AP07"),"NÃO (modelo B)","SIM")))</f>
        <v>NÃO (usa o A+ do EAN 7898968541504)</v>
      </c>
      <c r="J15" s="13" t="s">
        <v>318</v>
      </c>
      <c r="K15" s="13"/>
    </row>
    <row r="16" customFormat="false" ht="15" hidden="false" customHeight="false" outlineLevel="0" collapsed="false">
      <c r="A16" s="15" t="s">
        <v>51</v>
      </c>
      <c r="B16" s="11" t="str">
        <f aca="false">INDEX(PRODUTOS!$E$4:$E$63,MATCH($A16,PRODUTOS!$B$4:$B$63,0))</f>
        <v>New Dots Ração Seca Premium para Cães Adultos - 10,1 kg</v>
      </c>
      <c r="C16" s="11" t="str">
        <f aca="false">INDEX(PRODUTOS!$H$4:$H$63,MATCH($A16,PRODUTOS!$B$4:$B$63,0))</f>
        <v>10,1 kg</v>
      </c>
      <c r="D16" s="11" t="s">
        <v>322</v>
      </c>
      <c r="E16" s="16" t="str">
        <f aca="false">$A16&amp;"."&amp;$D16&amp;".jpg"</f>
        <v>7908591301144.AP05.jpg</v>
      </c>
      <c r="F16" s="11" t="str">
        <f aca="false">IF(INDEX(PRODUTOS!$I$4:$I$63,MATCH($A16,PRODUTOS!$B$4:$B$63,0))="B",INDEX(MODELOS!$F$4:$F$11,MATCH($D16,MODELOS!$A$4:$A$11,0)),INDEX(MODELOS!$B$4:$B$11,MATCH($D16,MODELOS!$A$4:$A$11,0)))</f>
        <v>Módulo 3 · Benefício 3 de 4</v>
      </c>
      <c r="G16" s="11" t="str">
        <f aca="false">IF(INDEX(PRODUTOS!$F$4:$F$63,MATCH($A16,PRODUTOS!$B$4:$B$63,0))="Ração",IF(INDEX(PRODUTOS!$I$4:$I$63,MATCH($A16,PRODUTOS!$B$4:$B$63,0))="B",INDEX(MODELOS!$G$4:$G$11,MATCH($D16,MODELOS!$A$4:$A$11,0)),INDEX(MODELOS!$C$4:$C$11,MATCH($D16,MODELOS!$A$4:$A$11,0))),IF(INDEX(PRODUTOS!$I$4:$I$63,MATCH($A16,PRODUTOS!$B$4:$B$63,0))="B",INDEX(MODELOS!$H$4:$H$11,MATCH($D16,MODELOS!$A$4:$A$11,0)),INDEX(MODELOS!$D$4:$D$11,MATCH($D16,MODELOS!$A$4:$A$11,0))))</f>
        <v>Foto/ilustração do benefício 3</v>
      </c>
      <c r="H16" s="11" t="str">
        <f aca="false">IF(INDEX(PRODUTOS!$I$4:$I$63,MATCH($A16,PRODUTOS!$B$4:$B$63,0))="B",INDEX(MODELOS!$I$4:$I$11,MATCH($D16,MODELOS!$A$4:$A$11,0)),INDEX(MODELOS!$E$4:$E$11,MATCH($D16,MODELOS!$A$4:$A$11,0)))</f>
        <v>220 × 200</v>
      </c>
      <c r="I16" s="11" t="str">
        <f aca="false">IF($D16="COMP","SIM",IF(INDEX(PRODUTOS!$J$4:$J$63,MATCH($A16,PRODUTOS!$B$4:$B$63,0))&lt;&gt;"","NÃO (usa o A+ do EAN "&amp;INDEX(PRODUTOS!$J$4:$J$63,MATCH($A16,PRODUTOS!$B$4:$B$63,0))&amp;")",IF(AND(INDEX(PRODUTOS!$I$4:$I$63,MATCH($A16,PRODUTOS!$B$4:$B$63,0))="B",$D16="AP07"),"NÃO (modelo B)","SIM")))</f>
        <v>NÃO (usa o A+ do EAN 7898968541504)</v>
      </c>
      <c r="J16" s="13" t="s">
        <v>318</v>
      </c>
      <c r="K16" s="13"/>
    </row>
    <row r="17" customFormat="false" ht="15" hidden="false" customHeight="false" outlineLevel="0" collapsed="false">
      <c r="A17" s="15" t="s">
        <v>51</v>
      </c>
      <c r="B17" s="11" t="str">
        <f aca="false">INDEX(PRODUTOS!$E$4:$E$63,MATCH($A17,PRODUTOS!$B$4:$B$63,0))</f>
        <v>New Dots Ração Seca Premium para Cães Adultos - 10,1 kg</v>
      </c>
      <c r="C17" s="11" t="str">
        <f aca="false">INDEX(PRODUTOS!$H$4:$H$63,MATCH($A17,PRODUTOS!$B$4:$B$63,0))</f>
        <v>10,1 kg</v>
      </c>
      <c r="D17" s="11" t="s">
        <v>323</v>
      </c>
      <c r="E17" s="16" t="str">
        <f aca="false">$A17&amp;"."&amp;$D17&amp;".jpg"</f>
        <v>7908591301144.AP06.jpg</v>
      </c>
      <c r="F17" s="11" t="str">
        <f aca="false">IF(INDEX(PRODUTOS!$I$4:$I$63,MATCH($A17,PRODUTOS!$B$4:$B$63,0))="B",INDEX(MODELOS!$F$4:$F$11,MATCH($D17,MODELOS!$A$4:$A$11,0)),INDEX(MODELOS!$B$4:$B$11,MATCH($D17,MODELOS!$A$4:$A$11,0)))</f>
        <v>Módulo 3 · Benefício 4 de 4</v>
      </c>
      <c r="G17" s="11" t="str">
        <f aca="false">IF(INDEX(PRODUTOS!$F$4:$F$63,MATCH($A17,PRODUTOS!$B$4:$B$63,0))="Ração",IF(INDEX(PRODUTOS!$I$4:$I$63,MATCH($A17,PRODUTOS!$B$4:$B$63,0))="B",INDEX(MODELOS!$G$4:$G$11,MATCH($D17,MODELOS!$A$4:$A$11,0)),INDEX(MODELOS!$C$4:$C$11,MATCH($D17,MODELOS!$A$4:$A$11,0))),IF(INDEX(PRODUTOS!$I$4:$I$63,MATCH($A17,PRODUTOS!$B$4:$B$63,0))="B",INDEX(MODELOS!$H$4:$H$11,MATCH($D17,MODELOS!$A$4:$A$11,0)),INDEX(MODELOS!$D$4:$D$11,MATCH($D17,MODELOS!$A$4:$A$11,0))))</f>
        <v>Foto/ilustração do benefício 4</v>
      </c>
      <c r="H17" s="11" t="str">
        <f aca="false">IF(INDEX(PRODUTOS!$I$4:$I$63,MATCH($A17,PRODUTOS!$B$4:$B$63,0))="B",INDEX(MODELOS!$I$4:$I$11,MATCH($D17,MODELOS!$A$4:$A$11,0)),INDEX(MODELOS!$E$4:$E$11,MATCH($D17,MODELOS!$A$4:$A$11,0)))</f>
        <v>220 × 200</v>
      </c>
      <c r="I17" s="11" t="str">
        <f aca="false">IF($D17="COMP","SIM",IF(INDEX(PRODUTOS!$J$4:$J$63,MATCH($A17,PRODUTOS!$B$4:$B$63,0))&lt;&gt;"","NÃO (usa o A+ do EAN "&amp;INDEX(PRODUTOS!$J$4:$J$63,MATCH($A17,PRODUTOS!$B$4:$B$63,0))&amp;")",IF(AND(INDEX(PRODUTOS!$I$4:$I$63,MATCH($A17,PRODUTOS!$B$4:$B$63,0))="B",$D17="AP07"),"NÃO (modelo B)","SIM")))</f>
        <v>NÃO (usa o A+ do EAN 7898968541504)</v>
      </c>
      <c r="J17" s="13" t="s">
        <v>318</v>
      </c>
      <c r="K17" s="13"/>
    </row>
    <row r="18" customFormat="false" ht="15" hidden="false" customHeight="false" outlineLevel="0" collapsed="false">
      <c r="A18" s="15" t="s">
        <v>51</v>
      </c>
      <c r="B18" s="11" t="str">
        <f aca="false">INDEX(PRODUTOS!$E$4:$E$63,MATCH($A18,PRODUTOS!$B$4:$B$63,0))</f>
        <v>New Dots Ração Seca Premium para Cães Adultos - 10,1 kg</v>
      </c>
      <c r="C18" s="11" t="str">
        <f aca="false">INDEX(PRODUTOS!$H$4:$H$63,MATCH($A18,PRODUTOS!$B$4:$B$63,0))</f>
        <v>10,1 kg</v>
      </c>
      <c r="D18" s="11" t="s">
        <v>324</v>
      </c>
      <c r="E18" s="16" t="str">
        <f aca="false">$A18&amp;"."&amp;$D18&amp;".jpg"</f>
        <v>7908591301144.AP07.jpg</v>
      </c>
      <c r="F18" s="11" t="str">
        <f aca="false">IF(INDEX(PRODUTOS!$I$4:$I$63,MATCH($A18,PRODUTOS!$B$4:$B$63,0))="B",INDEX(MODELOS!$F$4:$F$11,MATCH($D18,MODELOS!$A$4:$A$11,0)),INDEX(MODELOS!$B$4:$B$11,MATCH($D18,MODELOS!$A$4:$A$11,0)))</f>
        <v>Módulo 4 · Especificações</v>
      </c>
      <c r="G18" s="11" t="str">
        <f aca="false">IF(INDEX(PRODUTOS!$F$4:$F$63,MATCH($A18,PRODUTOS!$B$4:$B$63,0))="Ração",IF(INDEX(PRODUTOS!$I$4:$I$63,MATCH($A18,PRODUTOS!$B$4:$B$63,0))="B",INDEX(MODELOS!$G$4:$G$11,MATCH($D18,MODELOS!$A$4:$A$11,0)),INDEX(MODELOS!$C$4:$C$11,MATCH($D18,MODELOS!$A$4:$A$11,0))),IF(INDEX(PRODUTOS!$I$4:$I$63,MATCH($A18,PRODUTOS!$B$4:$B$63,0))="B",INDEX(MODELOS!$H$4:$H$11,MATCH($D18,MODELOS!$A$4:$A$11,0)),INDEX(MODELOS!$D$4:$D$11,MATCH($D18,MODELOS!$A$4:$A$11,0))))</f>
        <v>Grão ou pacote em destaque</v>
      </c>
      <c r="H18" s="11" t="str">
        <f aca="false">IF(INDEX(PRODUTOS!$I$4:$I$63,MATCH($A18,PRODUTOS!$B$4:$B$63,0))="B",INDEX(MODELOS!$I$4:$I$11,MATCH($D18,MODELOS!$A$4:$A$11,0)),INDEX(MODELOS!$E$4:$E$11,MATCH($D18,MODELOS!$A$4:$A$11,0)))</f>
        <v>300 × 300</v>
      </c>
      <c r="I18" s="11" t="str">
        <f aca="false">IF($D18="COMP","SIM",IF(INDEX(PRODUTOS!$J$4:$J$63,MATCH($A18,PRODUTOS!$B$4:$B$63,0))&lt;&gt;"","NÃO (usa o A+ do EAN "&amp;INDEX(PRODUTOS!$J$4:$J$63,MATCH($A18,PRODUTOS!$B$4:$B$63,0))&amp;")",IF(AND(INDEX(PRODUTOS!$I$4:$I$63,MATCH($A18,PRODUTOS!$B$4:$B$63,0))="B",$D18="AP07"),"NÃO (modelo B)","SIM")))</f>
        <v>NÃO (usa o A+ do EAN 7898968541504)</v>
      </c>
      <c r="J18" s="13" t="s">
        <v>318</v>
      </c>
      <c r="K18" s="13"/>
    </row>
    <row r="19" customFormat="false" ht="15" hidden="false" customHeight="false" outlineLevel="0" collapsed="false">
      <c r="A19" s="15" t="s">
        <v>51</v>
      </c>
      <c r="B19" s="11" t="str">
        <f aca="false">INDEX(PRODUTOS!$E$4:$E$63,MATCH($A19,PRODUTOS!$B$4:$B$63,0))</f>
        <v>New Dots Ração Seca Premium para Cães Adultos - 10,1 kg</v>
      </c>
      <c r="C19" s="11" t="str">
        <f aca="false">INDEX(PRODUTOS!$H$4:$H$63,MATCH($A19,PRODUTOS!$B$4:$B$63,0))</f>
        <v>10,1 kg</v>
      </c>
      <c r="D19" s="11" t="s">
        <v>325</v>
      </c>
      <c r="E19" s="16" t="str">
        <f aca="false">$A19&amp;"."&amp;$D19&amp;".jpg"</f>
        <v>7908591301144.COMP.jpg</v>
      </c>
      <c r="F19" s="11" t="str">
        <f aca="false">IF(INDEX(PRODUTOS!$I$4:$I$63,MATCH($A19,PRODUTOS!$B$4:$B$63,0))="B",INDEX(MODELOS!$F$4:$F$11,MATCH($D19,MODELOS!$A$4:$A$11,0)),INDEX(MODELOS!$B$4:$B$11,MATCH($D19,MODELOS!$A$4:$A$11,0)))</f>
        <v>Módulo 5 · Tabela comparativa</v>
      </c>
      <c r="G19" s="11" t="str">
        <f aca="false">IF(INDEX(PRODUTOS!$F$4:$F$63,MATCH($A19,PRODUTOS!$B$4:$B$63,0))="Ração",IF(INDEX(PRODUTOS!$I$4:$I$63,MATCH($A19,PRODUTOS!$B$4:$B$63,0))="B",INDEX(MODELOS!$G$4:$G$11,MATCH($D19,MODELOS!$A$4:$A$11,0)),INDEX(MODELOS!$C$4:$C$11,MATCH($D19,MODELOS!$A$4:$A$11,0))),IF(INDEX(PRODUTOS!$I$4:$I$63,MATCH($A19,PRODUTOS!$B$4:$B$63,0))="B",INDEX(MODELOS!$H$4:$H$11,MATCH($D19,MODELOS!$A$4:$A$11,0)),INDEX(MODELOS!$D$4:$D$11,MATCH($D19,MODELOS!$A$4:$A$11,0))))</f>
        <v>Pacote na vertical, sem fundo colorido</v>
      </c>
      <c r="H19" s="11" t="str">
        <f aca="false">IF(INDEX(PRODUTOS!$I$4:$I$63,MATCH($A19,PRODUTOS!$B$4:$B$63,0))="B",INDEX(MODELOS!$I$4:$I$11,MATCH($D19,MODELOS!$A$4:$A$11,0)),INDEX(MODELOS!$E$4:$E$11,MATCH($D19,MODELOS!$A$4:$A$11,0)))</f>
        <v>150 × 300</v>
      </c>
      <c r="I19" s="11" t="str">
        <f aca="false">IF($D19="COMP","SIM",IF(INDEX(PRODUTOS!$J$4:$J$63,MATCH($A19,PRODUTOS!$B$4:$B$63,0))&lt;&gt;"","NÃO (usa o A+ do EAN "&amp;INDEX(PRODUTOS!$J$4:$J$63,MATCH($A19,PRODUTOS!$B$4:$B$63,0))&amp;")",IF(AND(INDEX(PRODUTOS!$I$4:$I$63,MATCH($A19,PRODUTOS!$B$4:$B$63,0))="B",$D19="AP07"),"NÃO (modelo B)","SIM")))</f>
        <v>SIM</v>
      </c>
      <c r="J19" s="13" t="s">
        <v>318</v>
      </c>
      <c r="K19" s="13"/>
    </row>
    <row r="20" customFormat="false" ht="15" hidden="false" customHeight="false" outlineLevel="0" collapsed="false">
      <c r="A20" s="15" t="s">
        <v>55</v>
      </c>
      <c r="B20" s="11" t="str">
        <f aca="false">INDEX(PRODUTOS!$E$4:$E$63,MATCH($A20,PRODUTOS!$B$4:$B$63,0))</f>
        <v>New Dots Ração Seca Premium para Cães Adultos - 5 kg</v>
      </c>
      <c r="C20" s="11" t="str">
        <f aca="false">INDEX(PRODUTOS!$H$4:$H$63,MATCH($A20,PRODUTOS!$B$4:$B$63,0))</f>
        <v>5 kg</v>
      </c>
      <c r="D20" s="11" t="s">
        <v>317</v>
      </c>
      <c r="E20" s="16" t="str">
        <f aca="false">$A20&amp;"."&amp;$D20&amp;".jpg"</f>
        <v>7898968541467.AP01.jpg</v>
      </c>
      <c r="F20" s="11" t="str">
        <f aca="false">IF(INDEX(PRODUTOS!$I$4:$I$63,MATCH($A20,PRODUTOS!$B$4:$B$63,0))="B",INDEX(MODELOS!$F$4:$F$11,MATCH($D20,MODELOS!$A$4:$A$11,0)),INDEX(MODELOS!$B$4:$B$11,MATCH($D20,MODELOS!$A$4:$A$11,0)))</f>
        <v>Módulo 1 · Banner</v>
      </c>
      <c r="G20" s="11" t="str">
        <f aca="false">IF(INDEX(PRODUTOS!$F$4:$F$63,MATCH($A20,PRODUTOS!$B$4:$B$63,0))="Ração",IF(INDEX(PRODUTOS!$I$4:$I$63,MATCH($A20,PRODUTOS!$B$4:$B$63,0))="B",INDEX(MODELOS!$G$4:$G$11,MATCH($D20,MODELOS!$A$4:$A$11,0)),INDEX(MODELOS!$C$4:$C$11,MATCH($D20,MODELOS!$A$4:$A$11,0))),IF(INDEX(PRODUTOS!$I$4:$I$63,MATCH($A20,PRODUTOS!$B$4:$B$63,0))="B",INDEX(MODELOS!$H$4:$H$11,MATCH($D20,MODELOS!$A$4:$A$11,0)),INDEX(MODELOS!$D$4:$D$11,MATCH($D20,MODELOS!$A$4:$A$11,0))))</f>
        <v>Embalagem + pet + ingredientes, com o nome da linha</v>
      </c>
      <c r="H20" s="11" t="str">
        <f aca="false">IF(INDEX(PRODUTOS!$I$4:$I$63,MATCH($A20,PRODUTOS!$B$4:$B$63,0))="B",INDEX(MODELOS!$I$4:$I$11,MATCH($D20,MODELOS!$A$4:$A$11,0)),INDEX(MODELOS!$E$4:$E$11,MATCH($D20,MODELOS!$A$4:$A$11,0)))</f>
        <v>970 × 600</v>
      </c>
      <c r="I20" s="11" t="str">
        <f aca="false">IF($D20="COMP","SIM",IF(INDEX(PRODUTOS!$J$4:$J$63,MATCH($A20,PRODUTOS!$B$4:$B$63,0))&lt;&gt;"","NÃO (usa o A+ do EAN "&amp;INDEX(PRODUTOS!$J$4:$J$63,MATCH($A20,PRODUTOS!$B$4:$B$63,0))&amp;")",IF(AND(INDEX(PRODUTOS!$I$4:$I$63,MATCH($A20,PRODUTOS!$B$4:$B$63,0))="B",$D20="AP07"),"NÃO (modelo B)","SIM")))</f>
        <v>NÃO (usa o A+ do EAN 7898968541504)</v>
      </c>
      <c r="J20" s="13" t="s">
        <v>318</v>
      </c>
      <c r="K20" s="13"/>
    </row>
    <row r="21" customFormat="false" ht="15" hidden="false" customHeight="false" outlineLevel="0" collapsed="false">
      <c r="A21" s="15" t="s">
        <v>55</v>
      </c>
      <c r="B21" s="11" t="str">
        <f aca="false">INDEX(PRODUTOS!$E$4:$E$63,MATCH($A21,PRODUTOS!$B$4:$B$63,0))</f>
        <v>New Dots Ração Seca Premium para Cães Adultos - 5 kg</v>
      </c>
      <c r="C21" s="11" t="str">
        <f aca="false">INDEX(PRODUTOS!$H$4:$H$63,MATCH($A21,PRODUTOS!$B$4:$B$63,0))</f>
        <v>5 kg</v>
      </c>
      <c r="D21" s="11" t="s">
        <v>319</v>
      </c>
      <c r="E21" s="16" t="str">
        <f aca="false">$A21&amp;"."&amp;$D21&amp;".jpg"</f>
        <v>7898968541467.AP02.jpg</v>
      </c>
      <c r="F21" s="11" t="str">
        <f aca="false">IF(INDEX(PRODUTOS!$I$4:$I$63,MATCH($A21,PRODUTOS!$B$4:$B$63,0))="B",INDEX(MODELOS!$F$4:$F$11,MATCH($D21,MODELOS!$A$4:$A$11,0)),INDEX(MODELOS!$B$4:$B$11,MATCH($D21,MODELOS!$A$4:$A$11,0)))</f>
        <v>Módulo 2 · Texto sobreposto</v>
      </c>
      <c r="G21" s="11" t="str">
        <f aca="false">IF(INDEX(PRODUTOS!$F$4:$F$63,MATCH($A21,PRODUTOS!$B$4:$B$63,0))="Ração",IF(INDEX(PRODUTOS!$I$4:$I$63,MATCH($A21,PRODUTOS!$B$4:$B$63,0))="B",INDEX(MODELOS!$G$4:$G$11,MATCH($D21,MODELOS!$A$4:$A$11,0)),INDEX(MODELOS!$C$4:$C$11,MATCH($D21,MODELOS!$A$4:$A$11,0))),IF(INDEX(PRODUTOS!$I$4:$I$63,MATCH($A21,PRODUTOS!$B$4:$B$63,0))="B",INDEX(MODELOS!$H$4:$H$11,MATCH($D21,MODELOS!$A$4:$A$11,0)),INDEX(MODELOS!$D$4:$D$11,MATCH($D21,MODELOS!$A$4:$A$11,0))))</f>
        <v>Principal diferencial; deixar o lado direito limpo</v>
      </c>
      <c r="H21" s="11" t="str">
        <f aca="false">IF(INDEX(PRODUTOS!$I$4:$I$63,MATCH($A21,PRODUTOS!$B$4:$B$63,0))="B",INDEX(MODELOS!$I$4:$I$11,MATCH($D21,MODELOS!$A$4:$A$11,0)),INDEX(MODELOS!$E$4:$E$11,MATCH($D21,MODELOS!$A$4:$A$11,0)))</f>
        <v>970 × 300</v>
      </c>
      <c r="I21" s="11" t="str">
        <f aca="false">IF($D21="COMP","SIM",IF(INDEX(PRODUTOS!$J$4:$J$63,MATCH($A21,PRODUTOS!$B$4:$B$63,0))&lt;&gt;"","NÃO (usa o A+ do EAN "&amp;INDEX(PRODUTOS!$J$4:$J$63,MATCH($A21,PRODUTOS!$B$4:$B$63,0))&amp;")",IF(AND(INDEX(PRODUTOS!$I$4:$I$63,MATCH($A21,PRODUTOS!$B$4:$B$63,0))="B",$D21="AP07"),"NÃO (modelo B)","SIM")))</f>
        <v>NÃO (usa o A+ do EAN 7898968541504)</v>
      </c>
      <c r="J21" s="13" t="s">
        <v>318</v>
      </c>
      <c r="K21" s="13"/>
    </row>
    <row r="22" customFormat="false" ht="15" hidden="false" customHeight="false" outlineLevel="0" collapsed="false">
      <c r="A22" s="15" t="s">
        <v>55</v>
      </c>
      <c r="B22" s="11" t="str">
        <f aca="false">INDEX(PRODUTOS!$E$4:$E$63,MATCH($A22,PRODUTOS!$B$4:$B$63,0))</f>
        <v>New Dots Ração Seca Premium para Cães Adultos - 5 kg</v>
      </c>
      <c r="C22" s="11" t="str">
        <f aca="false">INDEX(PRODUTOS!$H$4:$H$63,MATCH($A22,PRODUTOS!$B$4:$B$63,0))</f>
        <v>5 kg</v>
      </c>
      <c r="D22" s="11" t="s">
        <v>320</v>
      </c>
      <c r="E22" s="16" t="str">
        <f aca="false">$A22&amp;"."&amp;$D22&amp;".jpg"</f>
        <v>7898968541467.AP03.jpg</v>
      </c>
      <c r="F22" s="11" t="str">
        <f aca="false">IF(INDEX(PRODUTOS!$I$4:$I$63,MATCH($A22,PRODUTOS!$B$4:$B$63,0))="B",INDEX(MODELOS!$F$4:$F$11,MATCH($D22,MODELOS!$A$4:$A$11,0)),INDEX(MODELOS!$B$4:$B$11,MATCH($D22,MODELOS!$A$4:$A$11,0)))</f>
        <v>Módulo 3 · Benefício 1 de 4</v>
      </c>
      <c r="G22" s="11" t="str">
        <f aca="false">IF(INDEX(PRODUTOS!$F$4:$F$63,MATCH($A22,PRODUTOS!$B$4:$B$63,0))="Ração",IF(INDEX(PRODUTOS!$I$4:$I$63,MATCH($A22,PRODUTOS!$B$4:$B$63,0))="B",INDEX(MODELOS!$G$4:$G$11,MATCH($D22,MODELOS!$A$4:$A$11,0)),INDEX(MODELOS!$C$4:$C$11,MATCH($D22,MODELOS!$A$4:$A$11,0))),IF(INDEX(PRODUTOS!$I$4:$I$63,MATCH($A22,PRODUTOS!$B$4:$B$63,0))="B",INDEX(MODELOS!$H$4:$H$11,MATCH($D22,MODELOS!$A$4:$A$11,0)),INDEX(MODELOS!$D$4:$D$11,MATCH($D22,MODELOS!$A$4:$A$11,0))))</f>
        <v>Foto/ilustração do benefício 1</v>
      </c>
      <c r="H22" s="11" t="str">
        <f aca="false">IF(INDEX(PRODUTOS!$I$4:$I$63,MATCH($A22,PRODUTOS!$B$4:$B$63,0))="B",INDEX(MODELOS!$I$4:$I$11,MATCH($D22,MODELOS!$A$4:$A$11,0)),INDEX(MODELOS!$E$4:$E$11,MATCH($D22,MODELOS!$A$4:$A$11,0)))</f>
        <v>220 × 200</v>
      </c>
      <c r="I22" s="11" t="str">
        <f aca="false">IF($D22="COMP","SIM",IF(INDEX(PRODUTOS!$J$4:$J$63,MATCH($A22,PRODUTOS!$B$4:$B$63,0))&lt;&gt;"","NÃO (usa o A+ do EAN "&amp;INDEX(PRODUTOS!$J$4:$J$63,MATCH($A22,PRODUTOS!$B$4:$B$63,0))&amp;")",IF(AND(INDEX(PRODUTOS!$I$4:$I$63,MATCH($A22,PRODUTOS!$B$4:$B$63,0))="B",$D22="AP07"),"NÃO (modelo B)","SIM")))</f>
        <v>NÃO (usa o A+ do EAN 7898968541504)</v>
      </c>
      <c r="J22" s="13" t="s">
        <v>318</v>
      </c>
      <c r="K22" s="13"/>
    </row>
    <row r="23" customFormat="false" ht="15" hidden="false" customHeight="false" outlineLevel="0" collapsed="false">
      <c r="A23" s="15" t="s">
        <v>55</v>
      </c>
      <c r="B23" s="11" t="str">
        <f aca="false">INDEX(PRODUTOS!$E$4:$E$63,MATCH($A23,PRODUTOS!$B$4:$B$63,0))</f>
        <v>New Dots Ração Seca Premium para Cães Adultos - 5 kg</v>
      </c>
      <c r="C23" s="11" t="str">
        <f aca="false">INDEX(PRODUTOS!$H$4:$H$63,MATCH($A23,PRODUTOS!$B$4:$B$63,0))</f>
        <v>5 kg</v>
      </c>
      <c r="D23" s="11" t="s">
        <v>321</v>
      </c>
      <c r="E23" s="16" t="str">
        <f aca="false">$A23&amp;"."&amp;$D23&amp;".jpg"</f>
        <v>7898968541467.AP04.jpg</v>
      </c>
      <c r="F23" s="11" t="str">
        <f aca="false">IF(INDEX(PRODUTOS!$I$4:$I$63,MATCH($A23,PRODUTOS!$B$4:$B$63,0))="B",INDEX(MODELOS!$F$4:$F$11,MATCH($D23,MODELOS!$A$4:$A$11,0)),INDEX(MODELOS!$B$4:$B$11,MATCH($D23,MODELOS!$A$4:$A$11,0)))</f>
        <v>Módulo 3 · Benefício 2 de 4</v>
      </c>
      <c r="G23" s="11" t="str">
        <f aca="false">IF(INDEX(PRODUTOS!$F$4:$F$63,MATCH($A23,PRODUTOS!$B$4:$B$63,0))="Ração",IF(INDEX(PRODUTOS!$I$4:$I$63,MATCH($A23,PRODUTOS!$B$4:$B$63,0))="B",INDEX(MODELOS!$G$4:$G$11,MATCH($D23,MODELOS!$A$4:$A$11,0)),INDEX(MODELOS!$C$4:$C$11,MATCH($D23,MODELOS!$A$4:$A$11,0))),IF(INDEX(PRODUTOS!$I$4:$I$63,MATCH($A23,PRODUTOS!$B$4:$B$63,0))="B",INDEX(MODELOS!$H$4:$H$11,MATCH($D23,MODELOS!$A$4:$A$11,0)),INDEX(MODELOS!$D$4:$D$11,MATCH($D23,MODELOS!$A$4:$A$11,0))))</f>
        <v>Foto/ilustração do benefício 2</v>
      </c>
      <c r="H23" s="11" t="str">
        <f aca="false">IF(INDEX(PRODUTOS!$I$4:$I$63,MATCH($A23,PRODUTOS!$B$4:$B$63,0))="B",INDEX(MODELOS!$I$4:$I$11,MATCH($D23,MODELOS!$A$4:$A$11,0)),INDEX(MODELOS!$E$4:$E$11,MATCH($D23,MODELOS!$A$4:$A$11,0)))</f>
        <v>220 × 200</v>
      </c>
      <c r="I23" s="11" t="str">
        <f aca="false">IF($D23="COMP","SIM",IF(INDEX(PRODUTOS!$J$4:$J$63,MATCH($A23,PRODUTOS!$B$4:$B$63,0))&lt;&gt;"","NÃO (usa o A+ do EAN "&amp;INDEX(PRODUTOS!$J$4:$J$63,MATCH($A23,PRODUTOS!$B$4:$B$63,0))&amp;")",IF(AND(INDEX(PRODUTOS!$I$4:$I$63,MATCH($A23,PRODUTOS!$B$4:$B$63,0))="B",$D23="AP07"),"NÃO (modelo B)","SIM")))</f>
        <v>NÃO (usa o A+ do EAN 7898968541504)</v>
      </c>
      <c r="J23" s="13" t="s">
        <v>318</v>
      </c>
      <c r="K23" s="13"/>
    </row>
    <row r="24" customFormat="false" ht="15" hidden="false" customHeight="false" outlineLevel="0" collapsed="false">
      <c r="A24" s="15" t="s">
        <v>55</v>
      </c>
      <c r="B24" s="11" t="str">
        <f aca="false">INDEX(PRODUTOS!$E$4:$E$63,MATCH($A24,PRODUTOS!$B$4:$B$63,0))</f>
        <v>New Dots Ração Seca Premium para Cães Adultos - 5 kg</v>
      </c>
      <c r="C24" s="11" t="str">
        <f aca="false">INDEX(PRODUTOS!$H$4:$H$63,MATCH($A24,PRODUTOS!$B$4:$B$63,0))</f>
        <v>5 kg</v>
      </c>
      <c r="D24" s="11" t="s">
        <v>322</v>
      </c>
      <c r="E24" s="16" t="str">
        <f aca="false">$A24&amp;"."&amp;$D24&amp;".jpg"</f>
        <v>7898968541467.AP05.jpg</v>
      </c>
      <c r="F24" s="11" t="str">
        <f aca="false">IF(INDEX(PRODUTOS!$I$4:$I$63,MATCH($A24,PRODUTOS!$B$4:$B$63,0))="B",INDEX(MODELOS!$F$4:$F$11,MATCH($D24,MODELOS!$A$4:$A$11,0)),INDEX(MODELOS!$B$4:$B$11,MATCH($D24,MODELOS!$A$4:$A$11,0)))</f>
        <v>Módulo 3 · Benefício 3 de 4</v>
      </c>
      <c r="G24" s="11" t="str">
        <f aca="false">IF(INDEX(PRODUTOS!$F$4:$F$63,MATCH($A24,PRODUTOS!$B$4:$B$63,0))="Ração",IF(INDEX(PRODUTOS!$I$4:$I$63,MATCH($A24,PRODUTOS!$B$4:$B$63,0))="B",INDEX(MODELOS!$G$4:$G$11,MATCH($D24,MODELOS!$A$4:$A$11,0)),INDEX(MODELOS!$C$4:$C$11,MATCH($D24,MODELOS!$A$4:$A$11,0))),IF(INDEX(PRODUTOS!$I$4:$I$63,MATCH($A24,PRODUTOS!$B$4:$B$63,0))="B",INDEX(MODELOS!$H$4:$H$11,MATCH($D24,MODELOS!$A$4:$A$11,0)),INDEX(MODELOS!$D$4:$D$11,MATCH($D24,MODELOS!$A$4:$A$11,0))))</f>
        <v>Foto/ilustração do benefício 3</v>
      </c>
      <c r="H24" s="11" t="str">
        <f aca="false">IF(INDEX(PRODUTOS!$I$4:$I$63,MATCH($A24,PRODUTOS!$B$4:$B$63,0))="B",INDEX(MODELOS!$I$4:$I$11,MATCH($D24,MODELOS!$A$4:$A$11,0)),INDEX(MODELOS!$E$4:$E$11,MATCH($D24,MODELOS!$A$4:$A$11,0)))</f>
        <v>220 × 200</v>
      </c>
      <c r="I24" s="11" t="str">
        <f aca="false">IF($D24="COMP","SIM",IF(INDEX(PRODUTOS!$J$4:$J$63,MATCH($A24,PRODUTOS!$B$4:$B$63,0))&lt;&gt;"","NÃO (usa o A+ do EAN "&amp;INDEX(PRODUTOS!$J$4:$J$63,MATCH($A24,PRODUTOS!$B$4:$B$63,0))&amp;")",IF(AND(INDEX(PRODUTOS!$I$4:$I$63,MATCH($A24,PRODUTOS!$B$4:$B$63,0))="B",$D24="AP07"),"NÃO (modelo B)","SIM")))</f>
        <v>NÃO (usa o A+ do EAN 7898968541504)</v>
      </c>
      <c r="J24" s="13" t="s">
        <v>318</v>
      </c>
      <c r="K24" s="13"/>
    </row>
    <row r="25" customFormat="false" ht="15" hidden="false" customHeight="false" outlineLevel="0" collapsed="false">
      <c r="A25" s="15" t="s">
        <v>55</v>
      </c>
      <c r="B25" s="11" t="str">
        <f aca="false">INDEX(PRODUTOS!$E$4:$E$63,MATCH($A25,PRODUTOS!$B$4:$B$63,0))</f>
        <v>New Dots Ração Seca Premium para Cães Adultos - 5 kg</v>
      </c>
      <c r="C25" s="11" t="str">
        <f aca="false">INDEX(PRODUTOS!$H$4:$H$63,MATCH($A25,PRODUTOS!$B$4:$B$63,0))</f>
        <v>5 kg</v>
      </c>
      <c r="D25" s="11" t="s">
        <v>323</v>
      </c>
      <c r="E25" s="16" t="str">
        <f aca="false">$A25&amp;"."&amp;$D25&amp;".jpg"</f>
        <v>7898968541467.AP06.jpg</v>
      </c>
      <c r="F25" s="11" t="str">
        <f aca="false">IF(INDEX(PRODUTOS!$I$4:$I$63,MATCH($A25,PRODUTOS!$B$4:$B$63,0))="B",INDEX(MODELOS!$F$4:$F$11,MATCH($D25,MODELOS!$A$4:$A$11,0)),INDEX(MODELOS!$B$4:$B$11,MATCH($D25,MODELOS!$A$4:$A$11,0)))</f>
        <v>Módulo 3 · Benefício 4 de 4</v>
      </c>
      <c r="G25" s="11" t="str">
        <f aca="false">IF(INDEX(PRODUTOS!$F$4:$F$63,MATCH($A25,PRODUTOS!$B$4:$B$63,0))="Ração",IF(INDEX(PRODUTOS!$I$4:$I$63,MATCH($A25,PRODUTOS!$B$4:$B$63,0))="B",INDEX(MODELOS!$G$4:$G$11,MATCH($D25,MODELOS!$A$4:$A$11,0)),INDEX(MODELOS!$C$4:$C$11,MATCH($D25,MODELOS!$A$4:$A$11,0))),IF(INDEX(PRODUTOS!$I$4:$I$63,MATCH($A25,PRODUTOS!$B$4:$B$63,0))="B",INDEX(MODELOS!$H$4:$H$11,MATCH($D25,MODELOS!$A$4:$A$11,0)),INDEX(MODELOS!$D$4:$D$11,MATCH($D25,MODELOS!$A$4:$A$11,0))))</f>
        <v>Foto/ilustração do benefício 4</v>
      </c>
      <c r="H25" s="11" t="str">
        <f aca="false">IF(INDEX(PRODUTOS!$I$4:$I$63,MATCH($A25,PRODUTOS!$B$4:$B$63,0))="B",INDEX(MODELOS!$I$4:$I$11,MATCH($D25,MODELOS!$A$4:$A$11,0)),INDEX(MODELOS!$E$4:$E$11,MATCH($D25,MODELOS!$A$4:$A$11,0)))</f>
        <v>220 × 200</v>
      </c>
      <c r="I25" s="11" t="str">
        <f aca="false">IF($D25="COMP","SIM",IF(INDEX(PRODUTOS!$J$4:$J$63,MATCH($A25,PRODUTOS!$B$4:$B$63,0))&lt;&gt;"","NÃO (usa o A+ do EAN "&amp;INDEX(PRODUTOS!$J$4:$J$63,MATCH($A25,PRODUTOS!$B$4:$B$63,0))&amp;")",IF(AND(INDEX(PRODUTOS!$I$4:$I$63,MATCH($A25,PRODUTOS!$B$4:$B$63,0))="B",$D25="AP07"),"NÃO (modelo B)","SIM")))</f>
        <v>NÃO (usa o A+ do EAN 7898968541504)</v>
      </c>
      <c r="J25" s="13" t="s">
        <v>318</v>
      </c>
      <c r="K25" s="13"/>
    </row>
    <row r="26" customFormat="false" ht="15" hidden="false" customHeight="false" outlineLevel="0" collapsed="false">
      <c r="A26" s="15" t="s">
        <v>55</v>
      </c>
      <c r="B26" s="11" t="str">
        <f aca="false">INDEX(PRODUTOS!$E$4:$E$63,MATCH($A26,PRODUTOS!$B$4:$B$63,0))</f>
        <v>New Dots Ração Seca Premium para Cães Adultos - 5 kg</v>
      </c>
      <c r="C26" s="11" t="str">
        <f aca="false">INDEX(PRODUTOS!$H$4:$H$63,MATCH($A26,PRODUTOS!$B$4:$B$63,0))</f>
        <v>5 kg</v>
      </c>
      <c r="D26" s="11" t="s">
        <v>324</v>
      </c>
      <c r="E26" s="16" t="str">
        <f aca="false">$A26&amp;"."&amp;$D26&amp;".jpg"</f>
        <v>7898968541467.AP07.jpg</v>
      </c>
      <c r="F26" s="11" t="str">
        <f aca="false">IF(INDEX(PRODUTOS!$I$4:$I$63,MATCH($A26,PRODUTOS!$B$4:$B$63,0))="B",INDEX(MODELOS!$F$4:$F$11,MATCH($D26,MODELOS!$A$4:$A$11,0)),INDEX(MODELOS!$B$4:$B$11,MATCH($D26,MODELOS!$A$4:$A$11,0)))</f>
        <v>Módulo 4 · Especificações</v>
      </c>
      <c r="G26" s="11" t="str">
        <f aca="false">IF(INDEX(PRODUTOS!$F$4:$F$63,MATCH($A26,PRODUTOS!$B$4:$B$63,0))="Ração",IF(INDEX(PRODUTOS!$I$4:$I$63,MATCH($A26,PRODUTOS!$B$4:$B$63,0))="B",INDEX(MODELOS!$G$4:$G$11,MATCH($D26,MODELOS!$A$4:$A$11,0)),INDEX(MODELOS!$C$4:$C$11,MATCH($D26,MODELOS!$A$4:$A$11,0))),IF(INDEX(PRODUTOS!$I$4:$I$63,MATCH($A26,PRODUTOS!$B$4:$B$63,0))="B",INDEX(MODELOS!$H$4:$H$11,MATCH($D26,MODELOS!$A$4:$A$11,0)),INDEX(MODELOS!$D$4:$D$11,MATCH($D26,MODELOS!$A$4:$A$11,0))))</f>
        <v>Grão ou pacote em destaque</v>
      </c>
      <c r="H26" s="11" t="str">
        <f aca="false">IF(INDEX(PRODUTOS!$I$4:$I$63,MATCH($A26,PRODUTOS!$B$4:$B$63,0))="B",INDEX(MODELOS!$I$4:$I$11,MATCH($D26,MODELOS!$A$4:$A$11,0)),INDEX(MODELOS!$E$4:$E$11,MATCH($D26,MODELOS!$A$4:$A$11,0)))</f>
        <v>300 × 300</v>
      </c>
      <c r="I26" s="11" t="str">
        <f aca="false">IF($D26="COMP","SIM",IF(INDEX(PRODUTOS!$J$4:$J$63,MATCH($A26,PRODUTOS!$B$4:$B$63,0))&lt;&gt;"","NÃO (usa o A+ do EAN "&amp;INDEX(PRODUTOS!$J$4:$J$63,MATCH($A26,PRODUTOS!$B$4:$B$63,0))&amp;")",IF(AND(INDEX(PRODUTOS!$I$4:$I$63,MATCH($A26,PRODUTOS!$B$4:$B$63,0))="B",$D26="AP07"),"NÃO (modelo B)","SIM")))</f>
        <v>NÃO (usa o A+ do EAN 7898968541504)</v>
      </c>
      <c r="J26" s="13" t="s">
        <v>318</v>
      </c>
      <c r="K26" s="13"/>
    </row>
    <row r="27" customFormat="false" ht="15" hidden="false" customHeight="false" outlineLevel="0" collapsed="false">
      <c r="A27" s="15" t="s">
        <v>55</v>
      </c>
      <c r="B27" s="11" t="str">
        <f aca="false">INDEX(PRODUTOS!$E$4:$E$63,MATCH($A27,PRODUTOS!$B$4:$B$63,0))</f>
        <v>New Dots Ração Seca Premium para Cães Adultos - 5 kg</v>
      </c>
      <c r="C27" s="11" t="str">
        <f aca="false">INDEX(PRODUTOS!$H$4:$H$63,MATCH($A27,PRODUTOS!$B$4:$B$63,0))</f>
        <v>5 kg</v>
      </c>
      <c r="D27" s="11" t="s">
        <v>325</v>
      </c>
      <c r="E27" s="16" t="str">
        <f aca="false">$A27&amp;"."&amp;$D27&amp;".jpg"</f>
        <v>7898968541467.COMP.jpg</v>
      </c>
      <c r="F27" s="11" t="str">
        <f aca="false">IF(INDEX(PRODUTOS!$I$4:$I$63,MATCH($A27,PRODUTOS!$B$4:$B$63,0))="B",INDEX(MODELOS!$F$4:$F$11,MATCH($D27,MODELOS!$A$4:$A$11,0)),INDEX(MODELOS!$B$4:$B$11,MATCH($D27,MODELOS!$A$4:$A$11,0)))</f>
        <v>Módulo 5 · Tabela comparativa</v>
      </c>
      <c r="G27" s="11" t="str">
        <f aca="false">IF(INDEX(PRODUTOS!$F$4:$F$63,MATCH($A27,PRODUTOS!$B$4:$B$63,0))="Ração",IF(INDEX(PRODUTOS!$I$4:$I$63,MATCH($A27,PRODUTOS!$B$4:$B$63,0))="B",INDEX(MODELOS!$G$4:$G$11,MATCH($D27,MODELOS!$A$4:$A$11,0)),INDEX(MODELOS!$C$4:$C$11,MATCH($D27,MODELOS!$A$4:$A$11,0))),IF(INDEX(PRODUTOS!$I$4:$I$63,MATCH($A27,PRODUTOS!$B$4:$B$63,0))="B",INDEX(MODELOS!$H$4:$H$11,MATCH($D27,MODELOS!$A$4:$A$11,0)),INDEX(MODELOS!$D$4:$D$11,MATCH($D27,MODELOS!$A$4:$A$11,0))))</f>
        <v>Pacote na vertical, sem fundo colorido</v>
      </c>
      <c r="H27" s="11" t="str">
        <f aca="false">IF(INDEX(PRODUTOS!$I$4:$I$63,MATCH($A27,PRODUTOS!$B$4:$B$63,0))="B",INDEX(MODELOS!$I$4:$I$11,MATCH($D27,MODELOS!$A$4:$A$11,0)),INDEX(MODELOS!$E$4:$E$11,MATCH($D27,MODELOS!$A$4:$A$11,0)))</f>
        <v>150 × 300</v>
      </c>
      <c r="I27" s="11" t="str">
        <f aca="false">IF($D27="COMP","SIM",IF(INDEX(PRODUTOS!$J$4:$J$63,MATCH($A27,PRODUTOS!$B$4:$B$63,0))&lt;&gt;"","NÃO (usa o A+ do EAN "&amp;INDEX(PRODUTOS!$J$4:$J$63,MATCH($A27,PRODUTOS!$B$4:$B$63,0))&amp;")",IF(AND(INDEX(PRODUTOS!$I$4:$I$63,MATCH($A27,PRODUTOS!$B$4:$B$63,0))="B",$D27="AP07"),"NÃO (modelo B)","SIM")))</f>
        <v>SIM</v>
      </c>
      <c r="J27" s="13" t="s">
        <v>318</v>
      </c>
      <c r="K27" s="13"/>
    </row>
    <row r="28" customFormat="false" ht="15" hidden="false" customHeight="false" outlineLevel="0" collapsed="false">
      <c r="A28" s="15" t="s">
        <v>59</v>
      </c>
      <c r="B28" s="11" t="str">
        <f aca="false">INDEX(PRODUTOS!$E$4:$E$63,MATCH($A28,PRODUTOS!$B$4:$B$63,0))</f>
        <v>New Dots Ração Seca Premium para Cães Adultos - 1 kg</v>
      </c>
      <c r="C28" s="11" t="str">
        <f aca="false">INDEX(PRODUTOS!$H$4:$H$63,MATCH($A28,PRODUTOS!$B$4:$B$63,0))</f>
        <v>1 kg</v>
      </c>
      <c r="D28" s="11" t="s">
        <v>317</v>
      </c>
      <c r="E28" s="16" t="str">
        <f aca="false">$A28&amp;"."&amp;$D28&amp;".jpg"</f>
        <v>7898968541450.AP01.jpg</v>
      </c>
      <c r="F28" s="11" t="str">
        <f aca="false">IF(INDEX(PRODUTOS!$I$4:$I$63,MATCH($A28,PRODUTOS!$B$4:$B$63,0))="B",INDEX(MODELOS!$F$4:$F$11,MATCH($D28,MODELOS!$A$4:$A$11,0)),INDEX(MODELOS!$B$4:$B$11,MATCH($D28,MODELOS!$A$4:$A$11,0)))</f>
        <v>Módulo 1 · Banner</v>
      </c>
      <c r="G28" s="11" t="str">
        <f aca="false">IF(INDEX(PRODUTOS!$F$4:$F$63,MATCH($A28,PRODUTOS!$B$4:$B$63,0))="Ração",IF(INDEX(PRODUTOS!$I$4:$I$63,MATCH($A28,PRODUTOS!$B$4:$B$63,0))="B",INDEX(MODELOS!$G$4:$G$11,MATCH($D28,MODELOS!$A$4:$A$11,0)),INDEX(MODELOS!$C$4:$C$11,MATCH($D28,MODELOS!$A$4:$A$11,0))),IF(INDEX(PRODUTOS!$I$4:$I$63,MATCH($A28,PRODUTOS!$B$4:$B$63,0))="B",INDEX(MODELOS!$H$4:$H$11,MATCH($D28,MODELOS!$A$4:$A$11,0)),INDEX(MODELOS!$D$4:$D$11,MATCH($D28,MODELOS!$A$4:$A$11,0))))</f>
        <v>Embalagem + pet + ingredientes, com o nome da linha</v>
      </c>
      <c r="H28" s="11" t="str">
        <f aca="false">IF(INDEX(PRODUTOS!$I$4:$I$63,MATCH($A28,PRODUTOS!$B$4:$B$63,0))="B",INDEX(MODELOS!$I$4:$I$11,MATCH($D28,MODELOS!$A$4:$A$11,0)),INDEX(MODELOS!$E$4:$E$11,MATCH($D28,MODELOS!$A$4:$A$11,0)))</f>
        <v>970 × 600</v>
      </c>
      <c r="I28" s="11" t="str">
        <f aca="false">IF($D28="COMP","SIM",IF(INDEX(PRODUTOS!$J$4:$J$63,MATCH($A28,PRODUTOS!$B$4:$B$63,0))&lt;&gt;"","NÃO (usa o A+ do EAN "&amp;INDEX(PRODUTOS!$J$4:$J$63,MATCH($A28,PRODUTOS!$B$4:$B$63,0))&amp;")",IF(AND(INDEX(PRODUTOS!$I$4:$I$63,MATCH($A28,PRODUTOS!$B$4:$B$63,0))="B",$D28="AP07"),"NÃO (modelo B)","SIM")))</f>
        <v>NÃO (usa o A+ do EAN 7898968541504)</v>
      </c>
      <c r="J28" s="13" t="s">
        <v>318</v>
      </c>
      <c r="K28" s="13"/>
    </row>
    <row r="29" customFormat="false" ht="15" hidden="false" customHeight="false" outlineLevel="0" collapsed="false">
      <c r="A29" s="15" t="s">
        <v>59</v>
      </c>
      <c r="B29" s="11" t="str">
        <f aca="false">INDEX(PRODUTOS!$E$4:$E$63,MATCH($A29,PRODUTOS!$B$4:$B$63,0))</f>
        <v>New Dots Ração Seca Premium para Cães Adultos - 1 kg</v>
      </c>
      <c r="C29" s="11" t="str">
        <f aca="false">INDEX(PRODUTOS!$H$4:$H$63,MATCH($A29,PRODUTOS!$B$4:$B$63,0))</f>
        <v>1 kg</v>
      </c>
      <c r="D29" s="11" t="s">
        <v>319</v>
      </c>
      <c r="E29" s="16" t="str">
        <f aca="false">$A29&amp;"."&amp;$D29&amp;".jpg"</f>
        <v>7898968541450.AP02.jpg</v>
      </c>
      <c r="F29" s="11" t="str">
        <f aca="false">IF(INDEX(PRODUTOS!$I$4:$I$63,MATCH($A29,PRODUTOS!$B$4:$B$63,0))="B",INDEX(MODELOS!$F$4:$F$11,MATCH($D29,MODELOS!$A$4:$A$11,0)),INDEX(MODELOS!$B$4:$B$11,MATCH($D29,MODELOS!$A$4:$A$11,0)))</f>
        <v>Módulo 2 · Texto sobreposto</v>
      </c>
      <c r="G29" s="11" t="str">
        <f aca="false">IF(INDEX(PRODUTOS!$F$4:$F$63,MATCH($A29,PRODUTOS!$B$4:$B$63,0))="Ração",IF(INDEX(PRODUTOS!$I$4:$I$63,MATCH($A29,PRODUTOS!$B$4:$B$63,0))="B",INDEX(MODELOS!$G$4:$G$11,MATCH($D29,MODELOS!$A$4:$A$11,0)),INDEX(MODELOS!$C$4:$C$11,MATCH($D29,MODELOS!$A$4:$A$11,0))),IF(INDEX(PRODUTOS!$I$4:$I$63,MATCH($A29,PRODUTOS!$B$4:$B$63,0))="B",INDEX(MODELOS!$H$4:$H$11,MATCH($D29,MODELOS!$A$4:$A$11,0)),INDEX(MODELOS!$D$4:$D$11,MATCH($D29,MODELOS!$A$4:$A$11,0))))</f>
        <v>Principal diferencial; deixar o lado direito limpo</v>
      </c>
      <c r="H29" s="11" t="str">
        <f aca="false">IF(INDEX(PRODUTOS!$I$4:$I$63,MATCH($A29,PRODUTOS!$B$4:$B$63,0))="B",INDEX(MODELOS!$I$4:$I$11,MATCH($D29,MODELOS!$A$4:$A$11,0)),INDEX(MODELOS!$E$4:$E$11,MATCH($D29,MODELOS!$A$4:$A$11,0)))</f>
        <v>970 × 300</v>
      </c>
      <c r="I29" s="11" t="str">
        <f aca="false">IF($D29="COMP","SIM",IF(INDEX(PRODUTOS!$J$4:$J$63,MATCH($A29,PRODUTOS!$B$4:$B$63,0))&lt;&gt;"","NÃO (usa o A+ do EAN "&amp;INDEX(PRODUTOS!$J$4:$J$63,MATCH($A29,PRODUTOS!$B$4:$B$63,0))&amp;")",IF(AND(INDEX(PRODUTOS!$I$4:$I$63,MATCH($A29,PRODUTOS!$B$4:$B$63,0))="B",$D29="AP07"),"NÃO (modelo B)","SIM")))</f>
        <v>NÃO (usa o A+ do EAN 7898968541504)</v>
      </c>
      <c r="J29" s="13" t="s">
        <v>318</v>
      </c>
      <c r="K29" s="13"/>
    </row>
    <row r="30" customFormat="false" ht="15" hidden="false" customHeight="false" outlineLevel="0" collapsed="false">
      <c r="A30" s="15" t="s">
        <v>59</v>
      </c>
      <c r="B30" s="11" t="str">
        <f aca="false">INDEX(PRODUTOS!$E$4:$E$63,MATCH($A30,PRODUTOS!$B$4:$B$63,0))</f>
        <v>New Dots Ração Seca Premium para Cães Adultos - 1 kg</v>
      </c>
      <c r="C30" s="11" t="str">
        <f aca="false">INDEX(PRODUTOS!$H$4:$H$63,MATCH($A30,PRODUTOS!$B$4:$B$63,0))</f>
        <v>1 kg</v>
      </c>
      <c r="D30" s="11" t="s">
        <v>320</v>
      </c>
      <c r="E30" s="16" t="str">
        <f aca="false">$A30&amp;"."&amp;$D30&amp;".jpg"</f>
        <v>7898968541450.AP03.jpg</v>
      </c>
      <c r="F30" s="11" t="str">
        <f aca="false">IF(INDEX(PRODUTOS!$I$4:$I$63,MATCH($A30,PRODUTOS!$B$4:$B$63,0))="B",INDEX(MODELOS!$F$4:$F$11,MATCH($D30,MODELOS!$A$4:$A$11,0)),INDEX(MODELOS!$B$4:$B$11,MATCH($D30,MODELOS!$A$4:$A$11,0)))</f>
        <v>Módulo 3 · Benefício 1 de 4</v>
      </c>
      <c r="G30" s="11" t="str">
        <f aca="false">IF(INDEX(PRODUTOS!$F$4:$F$63,MATCH($A30,PRODUTOS!$B$4:$B$63,0))="Ração",IF(INDEX(PRODUTOS!$I$4:$I$63,MATCH($A30,PRODUTOS!$B$4:$B$63,0))="B",INDEX(MODELOS!$G$4:$G$11,MATCH($D30,MODELOS!$A$4:$A$11,0)),INDEX(MODELOS!$C$4:$C$11,MATCH($D30,MODELOS!$A$4:$A$11,0))),IF(INDEX(PRODUTOS!$I$4:$I$63,MATCH($A30,PRODUTOS!$B$4:$B$63,0))="B",INDEX(MODELOS!$H$4:$H$11,MATCH($D30,MODELOS!$A$4:$A$11,0)),INDEX(MODELOS!$D$4:$D$11,MATCH($D30,MODELOS!$A$4:$A$11,0))))</f>
        <v>Foto/ilustração do benefício 1</v>
      </c>
      <c r="H30" s="11" t="str">
        <f aca="false">IF(INDEX(PRODUTOS!$I$4:$I$63,MATCH($A30,PRODUTOS!$B$4:$B$63,0))="B",INDEX(MODELOS!$I$4:$I$11,MATCH($D30,MODELOS!$A$4:$A$11,0)),INDEX(MODELOS!$E$4:$E$11,MATCH($D30,MODELOS!$A$4:$A$11,0)))</f>
        <v>220 × 200</v>
      </c>
      <c r="I30" s="11" t="str">
        <f aca="false">IF($D30="COMP","SIM",IF(INDEX(PRODUTOS!$J$4:$J$63,MATCH($A30,PRODUTOS!$B$4:$B$63,0))&lt;&gt;"","NÃO (usa o A+ do EAN "&amp;INDEX(PRODUTOS!$J$4:$J$63,MATCH($A30,PRODUTOS!$B$4:$B$63,0))&amp;")",IF(AND(INDEX(PRODUTOS!$I$4:$I$63,MATCH($A30,PRODUTOS!$B$4:$B$63,0))="B",$D30="AP07"),"NÃO (modelo B)","SIM")))</f>
        <v>NÃO (usa o A+ do EAN 7898968541504)</v>
      </c>
      <c r="J30" s="13" t="s">
        <v>318</v>
      </c>
      <c r="K30" s="13"/>
    </row>
    <row r="31" customFormat="false" ht="15" hidden="false" customHeight="false" outlineLevel="0" collapsed="false">
      <c r="A31" s="15" t="s">
        <v>59</v>
      </c>
      <c r="B31" s="11" t="str">
        <f aca="false">INDEX(PRODUTOS!$E$4:$E$63,MATCH($A31,PRODUTOS!$B$4:$B$63,0))</f>
        <v>New Dots Ração Seca Premium para Cães Adultos - 1 kg</v>
      </c>
      <c r="C31" s="11" t="str">
        <f aca="false">INDEX(PRODUTOS!$H$4:$H$63,MATCH($A31,PRODUTOS!$B$4:$B$63,0))</f>
        <v>1 kg</v>
      </c>
      <c r="D31" s="11" t="s">
        <v>321</v>
      </c>
      <c r="E31" s="16" t="str">
        <f aca="false">$A31&amp;"."&amp;$D31&amp;".jpg"</f>
        <v>7898968541450.AP04.jpg</v>
      </c>
      <c r="F31" s="11" t="str">
        <f aca="false">IF(INDEX(PRODUTOS!$I$4:$I$63,MATCH($A31,PRODUTOS!$B$4:$B$63,0))="B",INDEX(MODELOS!$F$4:$F$11,MATCH($D31,MODELOS!$A$4:$A$11,0)),INDEX(MODELOS!$B$4:$B$11,MATCH($D31,MODELOS!$A$4:$A$11,0)))</f>
        <v>Módulo 3 · Benefício 2 de 4</v>
      </c>
      <c r="G31" s="11" t="str">
        <f aca="false">IF(INDEX(PRODUTOS!$F$4:$F$63,MATCH($A31,PRODUTOS!$B$4:$B$63,0))="Ração",IF(INDEX(PRODUTOS!$I$4:$I$63,MATCH($A31,PRODUTOS!$B$4:$B$63,0))="B",INDEX(MODELOS!$G$4:$G$11,MATCH($D31,MODELOS!$A$4:$A$11,0)),INDEX(MODELOS!$C$4:$C$11,MATCH($D31,MODELOS!$A$4:$A$11,0))),IF(INDEX(PRODUTOS!$I$4:$I$63,MATCH($A31,PRODUTOS!$B$4:$B$63,0))="B",INDEX(MODELOS!$H$4:$H$11,MATCH($D31,MODELOS!$A$4:$A$11,0)),INDEX(MODELOS!$D$4:$D$11,MATCH($D31,MODELOS!$A$4:$A$11,0))))</f>
        <v>Foto/ilustração do benefício 2</v>
      </c>
      <c r="H31" s="11" t="str">
        <f aca="false">IF(INDEX(PRODUTOS!$I$4:$I$63,MATCH($A31,PRODUTOS!$B$4:$B$63,0))="B",INDEX(MODELOS!$I$4:$I$11,MATCH($D31,MODELOS!$A$4:$A$11,0)),INDEX(MODELOS!$E$4:$E$11,MATCH($D31,MODELOS!$A$4:$A$11,0)))</f>
        <v>220 × 200</v>
      </c>
      <c r="I31" s="11" t="str">
        <f aca="false">IF($D31="COMP","SIM",IF(INDEX(PRODUTOS!$J$4:$J$63,MATCH($A31,PRODUTOS!$B$4:$B$63,0))&lt;&gt;"","NÃO (usa o A+ do EAN "&amp;INDEX(PRODUTOS!$J$4:$J$63,MATCH($A31,PRODUTOS!$B$4:$B$63,0))&amp;")",IF(AND(INDEX(PRODUTOS!$I$4:$I$63,MATCH($A31,PRODUTOS!$B$4:$B$63,0))="B",$D31="AP07"),"NÃO (modelo B)","SIM")))</f>
        <v>NÃO (usa o A+ do EAN 7898968541504)</v>
      </c>
      <c r="J31" s="13" t="s">
        <v>318</v>
      </c>
      <c r="K31" s="13"/>
    </row>
    <row r="32" customFormat="false" ht="15" hidden="false" customHeight="false" outlineLevel="0" collapsed="false">
      <c r="A32" s="15" t="s">
        <v>59</v>
      </c>
      <c r="B32" s="11" t="str">
        <f aca="false">INDEX(PRODUTOS!$E$4:$E$63,MATCH($A32,PRODUTOS!$B$4:$B$63,0))</f>
        <v>New Dots Ração Seca Premium para Cães Adultos - 1 kg</v>
      </c>
      <c r="C32" s="11" t="str">
        <f aca="false">INDEX(PRODUTOS!$H$4:$H$63,MATCH($A32,PRODUTOS!$B$4:$B$63,0))</f>
        <v>1 kg</v>
      </c>
      <c r="D32" s="11" t="s">
        <v>322</v>
      </c>
      <c r="E32" s="16" t="str">
        <f aca="false">$A32&amp;"."&amp;$D32&amp;".jpg"</f>
        <v>7898968541450.AP05.jpg</v>
      </c>
      <c r="F32" s="11" t="str">
        <f aca="false">IF(INDEX(PRODUTOS!$I$4:$I$63,MATCH($A32,PRODUTOS!$B$4:$B$63,0))="B",INDEX(MODELOS!$F$4:$F$11,MATCH($D32,MODELOS!$A$4:$A$11,0)),INDEX(MODELOS!$B$4:$B$11,MATCH($D32,MODELOS!$A$4:$A$11,0)))</f>
        <v>Módulo 3 · Benefício 3 de 4</v>
      </c>
      <c r="G32" s="11" t="str">
        <f aca="false">IF(INDEX(PRODUTOS!$F$4:$F$63,MATCH($A32,PRODUTOS!$B$4:$B$63,0))="Ração",IF(INDEX(PRODUTOS!$I$4:$I$63,MATCH($A32,PRODUTOS!$B$4:$B$63,0))="B",INDEX(MODELOS!$G$4:$G$11,MATCH($D32,MODELOS!$A$4:$A$11,0)),INDEX(MODELOS!$C$4:$C$11,MATCH($D32,MODELOS!$A$4:$A$11,0))),IF(INDEX(PRODUTOS!$I$4:$I$63,MATCH($A32,PRODUTOS!$B$4:$B$63,0))="B",INDEX(MODELOS!$H$4:$H$11,MATCH($D32,MODELOS!$A$4:$A$11,0)),INDEX(MODELOS!$D$4:$D$11,MATCH($D32,MODELOS!$A$4:$A$11,0))))</f>
        <v>Foto/ilustração do benefício 3</v>
      </c>
      <c r="H32" s="11" t="str">
        <f aca="false">IF(INDEX(PRODUTOS!$I$4:$I$63,MATCH($A32,PRODUTOS!$B$4:$B$63,0))="B",INDEX(MODELOS!$I$4:$I$11,MATCH($D32,MODELOS!$A$4:$A$11,0)),INDEX(MODELOS!$E$4:$E$11,MATCH($D32,MODELOS!$A$4:$A$11,0)))</f>
        <v>220 × 200</v>
      </c>
      <c r="I32" s="11" t="str">
        <f aca="false">IF($D32="COMP","SIM",IF(INDEX(PRODUTOS!$J$4:$J$63,MATCH($A32,PRODUTOS!$B$4:$B$63,0))&lt;&gt;"","NÃO (usa o A+ do EAN "&amp;INDEX(PRODUTOS!$J$4:$J$63,MATCH($A32,PRODUTOS!$B$4:$B$63,0))&amp;")",IF(AND(INDEX(PRODUTOS!$I$4:$I$63,MATCH($A32,PRODUTOS!$B$4:$B$63,0))="B",$D32="AP07"),"NÃO (modelo B)","SIM")))</f>
        <v>NÃO (usa o A+ do EAN 7898968541504)</v>
      </c>
      <c r="J32" s="13" t="s">
        <v>318</v>
      </c>
      <c r="K32" s="13"/>
    </row>
    <row r="33" customFormat="false" ht="15" hidden="false" customHeight="false" outlineLevel="0" collapsed="false">
      <c r="A33" s="15" t="s">
        <v>59</v>
      </c>
      <c r="B33" s="11" t="str">
        <f aca="false">INDEX(PRODUTOS!$E$4:$E$63,MATCH($A33,PRODUTOS!$B$4:$B$63,0))</f>
        <v>New Dots Ração Seca Premium para Cães Adultos - 1 kg</v>
      </c>
      <c r="C33" s="11" t="str">
        <f aca="false">INDEX(PRODUTOS!$H$4:$H$63,MATCH($A33,PRODUTOS!$B$4:$B$63,0))</f>
        <v>1 kg</v>
      </c>
      <c r="D33" s="11" t="s">
        <v>323</v>
      </c>
      <c r="E33" s="16" t="str">
        <f aca="false">$A33&amp;"."&amp;$D33&amp;".jpg"</f>
        <v>7898968541450.AP06.jpg</v>
      </c>
      <c r="F33" s="11" t="str">
        <f aca="false">IF(INDEX(PRODUTOS!$I$4:$I$63,MATCH($A33,PRODUTOS!$B$4:$B$63,0))="B",INDEX(MODELOS!$F$4:$F$11,MATCH($D33,MODELOS!$A$4:$A$11,0)),INDEX(MODELOS!$B$4:$B$11,MATCH($D33,MODELOS!$A$4:$A$11,0)))</f>
        <v>Módulo 3 · Benefício 4 de 4</v>
      </c>
      <c r="G33" s="11" t="str">
        <f aca="false">IF(INDEX(PRODUTOS!$F$4:$F$63,MATCH($A33,PRODUTOS!$B$4:$B$63,0))="Ração",IF(INDEX(PRODUTOS!$I$4:$I$63,MATCH($A33,PRODUTOS!$B$4:$B$63,0))="B",INDEX(MODELOS!$G$4:$G$11,MATCH($D33,MODELOS!$A$4:$A$11,0)),INDEX(MODELOS!$C$4:$C$11,MATCH($D33,MODELOS!$A$4:$A$11,0))),IF(INDEX(PRODUTOS!$I$4:$I$63,MATCH($A33,PRODUTOS!$B$4:$B$63,0))="B",INDEX(MODELOS!$H$4:$H$11,MATCH($D33,MODELOS!$A$4:$A$11,0)),INDEX(MODELOS!$D$4:$D$11,MATCH($D33,MODELOS!$A$4:$A$11,0))))</f>
        <v>Foto/ilustração do benefício 4</v>
      </c>
      <c r="H33" s="11" t="str">
        <f aca="false">IF(INDEX(PRODUTOS!$I$4:$I$63,MATCH($A33,PRODUTOS!$B$4:$B$63,0))="B",INDEX(MODELOS!$I$4:$I$11,MATCH($D33,MODELOS!$A$4:$A$11,0)),INDEX(MODELOS!$E$4:$E$11,MATCH($D33,MODELOS!$A$4:$A$11,0)))</f>
        <v>220 × 200</v>
      </c>
      <c r="I33" s="11" t="str">
        <f aca="false">IF($D33="COMP","SIM",IF(INDEX(PRODUTOS!$J$4:$J$63,MATCH($A33,PRODUTOS!$B$4:$B$63,0))&lt;&gt;"","NÃO (usa o A+ do EAN "&amp;INDEX(PRODUTOS!$J$4:$J$63,MATCH($A33,PRODUTOS!$B$4:$B$63,0))&amp;")",IF(AND(INDEX(PRODUTOS!$I$4:$I$63,MATCH($A33,PRODUTOS!$B$4:$B$63,0))="B",$D33="AP07"),"NÃO (modelo B)","SIM")))</f>
        <v>NÃO (usa o A+ do EAN 7898968541504)</v>
      </c>
      <c r="J33" s="13" t="s">
        <v>318</v>
      </c>
      <c r="K33" s="13"/>
    </row>
    <row r="34" customFormat="false" ht="15" hidden="false" customHeight="false" outlineLevel="0" collapsed="false">
      <c r="A34" s="15" t="s">
        <v>59</v>
      </c>
      <c r="B34" s="11" t="str">
        <f aca="false">INDEX(PRODUTOS!$E$4:$E$63,MATCH($A34,PRODUTOS!$B$4:$B$63,0))</f>
        <v>New Dots Ração Seca Premium para Cães Adultos - 1 kg</v>
      </c>
      <c r="C34" s="11" t="str">
        <f aca="false">INDEX(PRODUTOS!$H$4:$H$63,MATCH($A34,PRODUTOS!$B$4:$B$63,0))</f>
        <v>1 kg</v>
      </c>
      <c r="D34" s="11" t="s">
        <v>324</v>
      </c>
      <c r="E34" s="16" t="str">
        <f aca="false">$A34&amp;"."&amp;$D34&amp;".jpg"</f>
        <v>7898968541450.AP07.jpg</v>
      </c>
      <c r="F34" s="11" t="str">
        <f aca="false">IF(INDEX(PRODUTOS!$I$4:$I$63,MATCH($A34,PRODUTOS!$B$4:$B$63,0))="B",INDEX(MODELOS!$F$4:$F$11,MATCH($D34,MODELOS!$A$4:$A$11,0)),INDEX(MODELOS!$B$4:$B$11,MATCH($D34,MODELOS!$A$4:$A$11,0)))</f>
        <v>Módulo 4 · Especificações</v>
      </c>
      <c r="G34" s="11" t="str">
        <f aca="false">IF(INDEX(PRODUTOS!$F$4:$F$63,MATCH($A34,PRODUTOS!$B$4:$B$63,0))="Ração",IF(INDEX(PRODUTOS!$I$4:$I$63,MATCH($A34,PRODUTOS!$B$4:$B$63,0))="B",INDEX(MODELOS!$G$4:$G$11,MATCH($D34,MODELOS!$A$4:$A$11,0)),INDEX(MODELOS!$C$4:$C$11,MATCH($D34,MODELOS!$A$4:$A$11,0))),IF(INDEX(PRODUTOS!$I$4:$I$63,MATCH($A34,PRODUTOS!$B$4:$B$63,0))="B",INDEX(MODELOS!$H$4:$H$11,MATCH($D34,MODELOS!$A$4:$A$11,0)),INDEX(MODELOS!$D$4:$D$11,MATCH($D34,MODELOS!$A$4:$A$11,0))))</f>
        <v>Grão ou pacote em destaque</v>
      </c>
      <c r="H34" s="11" t="str">
        <f aca="false">IF(INDEX(PRODUTOS!$I$4:$I$63,MATCH($A34,PRODUTOS!$B$4:$B$63,0))="B",INDEX(MODELOS!$I$4:$I$11,MATCH($D34,MODELOS!$A$4:$A$11,0)),INDEX(MODELOS!$E$4:$E$11,MATCH($D34,MODELOS!$A$4:$A$11,0)))</f>
        <v>300 × 300</v>
      </c>
      <c r="I34" s="11" t="str">
        <f aca="false">IF($D34="COMP","SIM",IF(INDEX(PRODUTOS!$J$4:$J$63,MATCH($A34,PRODUTOS!$B$4:$B$63,0))&lt;&gt;"","NÃO (usa o A+ do EAN "&amp;INDEX(PRODUTOS!$J$4:$J$63,MATCH($A34,PRODUTOS!$B$4:$B$63,0))&amp;")",IF(AND(INDEX(PRODUTOS!$I$4:$I$63,MATCH($A34,PRODUTOS!$B$4:$B$63,0))="B",$D34="AP07"),"NÃO (modelo B)","SIM")))</f>
        <v>NÃO (usa o A+ do EAN 7898968541504)</v>
      </c>
      <c r="J34" s="13" t="s">
        <v>318</v>
      </c>
      <c r="K34" s="13"/>
    </row>
    <row r="35" customFormat="false" ht="15" hidden="false" customHeight="false" outlineLevel="0" collapsed="false">
      <c r="A35" s="15" t="s">
        <v>59</v>
      </c>
      <c r="B35" s="11" t="str">
        <f aca="false">INDEX(PRODUTOS!$E$4:$E$63,MATCH($A35,PRODUTOS!$B$4:$B$63,0))</f>
        <v>New Dots Ração Seca Premium para Cães Adultos - 1 kg</v>
      </c>
      <c r="C35" s="11" t="str">
        <f aca="false">INDEX(PRODUTOS!$H$4:$H$63,MATCH($A35,PRODUTOS!$B$4:$B$63,0))</f>
        <v>1 kg</v>
      </c>
      <c r="D35" s="11" t="s">
        <v>325</v>
      </c>
      <c r="E35" s="16" t="str">
        <f aca="false">$A35&amp;"."&amp;$D35&amp;".jpg"</f>
        <v>7898968541450.COMP.jpg</v>
      </c>
      <c r="F35" s="11" t="str">
        <f aca="false">IF(INDEX(PRODUTOS!$I$4:$I$63,MATCH($A35,PRODUTOS!$B$4:$B$63,0))="B",INDEX(MODELOS!$F$4:$F$11,MATCH($D35,MODELOS!$A$4:$A$11,0)),INDEX(MODELOS!$B$4:$B$11,MATCH($D35,MODELOS!$A$4:$A$11,0)))</f>
        <v>Módulo 5 · Tabela comparativa</v>
      </c>
      <c r="G35" s="11" t="str">
        <f aca="false">IF(INDEX(PRODUTOS!$F$4:$F$63,MATCH($A35,PRODUTOS!$B$4:$B$63,0))="Ração",IF(INDEX(PRODUTOS!$I$4:$I$63,MATCH($A35,PRODUTOS!$B$4:$B$63,0))="B",INDEX(MODELOS!$G$4:$G$11,MATCH($D35,MODELOS!$A$4:$A$11,0)),INDEX(MODELOS!$C$4:$C$11,MATCH($D35,MODELOS!$A$4:$A$11,0))),IF(INDEX(PRODUTOS!$I$4:$I$63,MATCH($A35,PRODUTOS!$B$4:$B$63,0))="B",INDEX(MODELOS!$H$4:$H$11,MATCH($D35,MODELOS!$A$4:$A$11,0)),INDEX(MODELOS!$D$4:$D$11,MATCH($D35,MODELOS!$A$4:$A$11,0))))</f>
        <v>Pacote na vertical, sem fundo colorido</v>
      </c>
      <c r="H35" s="11" t="str">
        <f aca="false">IF(INDEX(PRODUTOS!$I$4:$I$63,MATCH($A35,PRODUTOS!$B$4:$B$63,0))="B",INDEX(MODELOS!$I$4:$I$11,MATCH($D35,MODELOS!$A$4:$A$11,0)),INDEX(MODELOS!$E$4:$E$11,MATCH($D35,MODELOS!$A$4:$A$11,0)))</f>
        <v>150 × 300</v>
      </c>
      <c r="I35" s="11" t="str">
        <f aca="false">IF($D35="COMP","SIM",IF(INDEX(PRODUTOS!$J$4:$J$63,MATCH($A35,PRODUTOS!$B$4:$B$63,0))&lt;&gt;"","NÃO (usa o A+ do EAN "&amp;INDEX(PRODUTOS!$J$4:$J$63,MATCH($A35,PRODUTOS!$B$4:$B$63,0))&amp;")",IF(AND(INDEX(PRODUTOS!$I$4:$I$63,MATCH($A35,PRODUTOS!$B$4:$B$63,0))="B",$D35="AP07"),"NÃO (modelo B)","SIM")))</f>
        <v>SIM</v>
      </c>
      <c r="J35" s="13" t="s">
        <v>318</v>
      </c>
      <c r="K35" s="13"/>
    </row>
    <row r="36" customFormat="false" ht="15" hidden="false" customHeight="false" outlineLevel="0" collapsed="false">
      <c r="A36" s="15" t="s">
        <v>63</v>
      </c>
      <c r="B36" s="11" t="str">
        <f aca="false">INDEX(PRODUTOS!$E$4:$E$63,MATCH($A36,PRODUTOS!$B$4:$B$63,0))</f>
        <v>New Dots Ração Seca Premium para Cães Adultos de Raças Pequenas - 20 kg</v>
      </c>
      <c r="C36" s="11" t="str">
        <f aca="false">INDEX(PRODUTOS!$H$4:$H$63,MATCH($A36,PRODUTOS!$B$4:$B$63,0))</f>
        <v>20 kg</v>
      </c>
      <c r="D36" s="11" t="s">
        <v>317</v>
      </c>
      <c r="E36" s="16" t="str">
        <f aca="false">$A36&amp;"."&amp;$D36&amp;".jpg"</f>
        <v>7898968541535.AP01.jpg</v>
      </c>
      <c r="F36" s="11" t="str">
        <f aca="false">IF(INDEX(PRODUTOS!$I$4:$I$63,MATCH($A36,PRODUTOS!$B$4:$B$63,0))="B",INDEX(MODELOS!$F$4:$F$11,MATCH($D36,MODELOS!$A$4:$A$11,0)),INDEX(MODELOS!$B$4:$B$11,MATCH($D36,MODELOS!$A$4:$A$11,0)))</f>
        <v>Módulo 1 · Banner</v>
      </c>
      <c r="G36" s="11" t="str">
        <f aca="false">IF(INDEX(PRODUTOS!$F$4:$F$63,MATCH($A36,PRODUTOS!$B$4:$B$63,0))="Ração",IF(INDEX(PRODUTOS!$I$4:$I$63,MATCH($A36,PRODUTOS!$B$4:$B$63,0))="B",INDEX(MODELOS!$G$4:$G$11,MATCH($D36,MODELOS!$A$4:$A$11,0)),INDEX(MODELOS!$C$4:$C$11,MATCH($D36,MODELOS!$A$4:$A$11,0))),IF(INDEX(PRODUTOS!$I$4:$I$63,MATCH($A36,PRODUTOS!$B$4:$B$63,0))="B",INDEX(MODELOS!$H$4:$H$11,MATCH($D36,MODELOS!$A$4:$A$11,0)),INDEX(MODELOS!$D$4:$D$11,MATCH($D36,MODELOS!$A$4:$A$11,0))))</f>
        <v>Embalagem + pet + ingredientes, com o nome da linha</v>
      </c>
      <c r="H36" s="11" t="str">
        <f aca="false">IF(INDEX(PRODUTOS!$I$4:$I$63,MATCH($A36,PRODUTOS!$B$4:$B$63,0))="B",INDEX(MODELOS!$I$4:$I$11,MATCH($D36,MODELOS!$A$4:$A$11,0)),INDEX(MODELOS!$E$4:$E$11,MATCH($D36,MODELOS!$A$4:$A$11,0)))</f>
        <v>970 × 600</v>
      </c>
      <c r="I36" s="11" t="str">
        <f aca="false">IF($D36="COMP","SIM",IF(INDEX(PRODUTOS!$J$4:$J$63,MATCH($A36,PRODUTOS!$B$4:$B$63,0))&lt;&gt;"","NÃO (usa o A+ do EAN "&amp;INDEX(PRODUTOS!$J$4:$J$63,MATCH($A36,PRODUTOS!$B$4:$B$63,0))&amp;")",IF(AND(INDEX(PRODUTOS!$I$4:$I$63,MATCH($A36,PRODUTOS!$B$4:$B$63,0))="B",$D36="AP07"),"NÃO (modelo B)","SIM")))</f>
        <v>SIM</v>
      </c>
      <c r="J36" s="13" t="s">
        <v>318</v>
      </c>
      <c r="K36" s="13"/>
    </row>
    <row r="37" customFormat="false" ht="15" hidden="false" customHeight="false" outlineLevel="0" collapsed="false">
      <c r="A37" s="15" t="s">
        <v>63</v>
      </c>
      <c r="B37" s="11" t="str">
        <f aca="false">INDEX(PRODUTOS!$E$4:$E$63,MATCH($A37,PRODUTOS!$B$4:$B$63,0))</f>
        <v>New Dots Ração Seca Premium para Cães Adultos de Raças Pequenas - 20 kg</v>
      </c>
      <c r="C37" s="11" t="str">
        <f aca="false">INDEX(PRODUTOS!$H$4:$H$63,MATCH($A37,PRODUTOS!$B$4:$B$63,0))</f>
        <v>20 kg</v>
      </c>
      <c r="D37" s="11" t="s">
        <v>319</v>
      </c>
      <c r="E37" s="16" t="str">
        <f aca="false">$A37&amp;"."&amp;$D37&amp;".jpg"</f>
        <v>7898968541535.AP02.jpg</v>
      </c>
      <c r="F37" s="11" t="str">
        <f aca="false">IF(INDEX(PRODUTOS!$I$4:$I$63,MATCH($A37,PRODUTOS!$B$4:$B$63,0))="B",INDEX(MODELOS!$F$4:$F$11,MATCH($D37,MODELOS!$A$4:$A$11,0)),INDEX(MODELOS!$B$4:$B$11,MATCH($D37,MODELOS!$A$4:$A$11,0)))</f>
        <v>Módulo 2 · Texto sobreposto</v>
      </c>
      <c r="G37" s="11" t="str">
        <f aca="false">IF(INDEX(PRODUTOS!$F$4:$F$63,MATCH($A37,PRODUTOS!$B$4:$B$63,0))="Ração",IF(INDEX(PRODUTOS!$I$4:$I$63,MATCH($A37,PRODUTOS!$B$4:$B$63,0))="B",INDEX(MODELOS!$G$4:$G$11,MATCH($D37,MODELOS!$A$4:$A$11,0)),INDEX(MODELOS!$C$4:$C$11,MATCH($D37,MODELOS!$A$4:$A$11,0))),IF(INDEX(PRODUTOS!$I$4:$I$63,MATCH($A37,PRODUTOS!$B$4:$B$63,0))="B",INDEX(MODELOS!$H$4:$H$11,MATCH($D37,MODELOS!$A$4:$A$11,0)),INDEX(MODELOS!$D$4:$D$11,MATCH($D37,MODELOS!$A$4:$A$11,0))))</f>
        <v>Principal diferencial; deixar o lado direito limpo</v>
      </c>
      <c r="H37" s="11" t="str">
        <f aca="false">IF(INDEX(PRODUTOS!$I$4:$I$63,MATCH($A37,PRODUTOS!$B$4:$B$63,0))="B",INDEX(MODELOS!$I$4:$I$11,MATCH($D37,MODELOS!$A$4:$A$11,0)),INDEX(MODELOS!$E$4:$E$11,MATCH($D37,MODELOS!$A$4:$A$11,0)))</f>
        <v>970 × 300</v>
      </c>
      <c r="I37" s="11" t="str">
        <f aca="false">IF($D37="COMP","SIM",IF(INDEX(PRODUTOS!$J$4:$J$63,MATCH($A37,PRODUTOS!$B$4:$B$63,0))&lt;&gt;"","NÃO (usa o A+ do EAN "&amp;INDEX(PRODUTOS!$J$4:$J$63,MATCH($A37,PRODUTOS!$B$4:$B$63,0))&amp;")",IF(AND(INDEX(PRODUTOS!$I$4:$I$63,MATCH($A37,PRODUTOS!$B$4:$B$63,0))="B",$D37="AP07"),"NÃO (modelo B)","SIM")))</f>
        <v>SIM</v>
      </c>
      <c r="J37" s="13" t="s">
        <v>318</v>
      </c>
      <c r="K37" s="13"/>
    </row>
    <row r="38" customFormat="false" ht="15" hidden="false" customHeight="false" outlineLevel="0" collapsed="false">
      <c r="A38" s="15" t="s">
        <v>63</v>
      </c>
      <c r="B38" s="11" t="str">
        <f aca="false">INDEX(PRODUTOS!$E$4:$E$63,MATCH($A38,PRODUTOS!$B$4:$B$63,0))</f>
        <v>New Dots Ração Seca Premium para Cães Adultos de Raças Pequenas - 20 kg</v>
      </c>
      <c r="C38" s="11" t="str">
        <f aca="false">INDEX(PRODUTOS!$H$4:$H$63,MATCH($A38,PRODUTOS!$B$4:$B$63,0))</f>
        <v>20 kg</v>
      </c>
      <c r="D38" s="11" t="s">
        <v>320</v>
      </c>
      <c r="E38" s="16" t="str">
        <f aca="false">$A38&amp;"."&amp;$D38&amp;".jpg"</f>
        <v>7898968541535.AP03.jpg</v>
      </c>
      <c r="F38" s="11" t="str">
        <f aca="false">IF(INDEX(PRODUTOS!$I$4:$I$63,MATCH($A38,PRODUTOS!$B$4:$B$63,0))="B",INDEX(MODELOS!$F$4:$F$11,MATCH($D38,MODELOS!$A$4:$A$11,0)),INDEX(MODELOS!$B$4:$B$11,MATCH($D38,MODELOS!$A$4:$A$11,0)))</f>
        <v>Módulo 3 · Benefício 1 de 4</v>
      </c>
      <c r="G38" s="11" t="str">
        <f aca="false">IF(INDEX(PRODUTOS!$F$4:$F$63,MATCH($A38,PRODUTOS!$B$4:$B$63,0))="Ração",IF(INDEX(PRODUTOS!$I$4:$I$63,MATCH($A38,PRODUTOS!$B$4:$B$63,0))="B",INDEX(MODELOS!$G$4:$G$11,MATCH($D38,MODELOS!$A$4:$A$11,0)),INDEX(MODELOS!$C$4:$C$11,MATCH($D38,MODELOS!$A$4:$A$11,0))),IF(INDEX(PRODUTOS!$I$4:$I$63,MATCH($A38,PRODUTOS!$B$4:$B$63,0))="B",INDEX(MODELOS!$H$4:$H$11,MATCH($D38,MODELOS!$A$4:$A$11,0)),INDEX(MODELOS!$D$4:$D$11,MATCH($D38,MODELOS!$A$4:$A$11,0))))</f>
        <v>Foto/ilustração do benefício 1</v>
      </c>
      <c r="H38" s="11" t="str">
        <f aca="false">IF(INDEX(PRODUTOS!$I$4:$I$63,MATCH($A38,PRODUTOS!$B$4:$B$63,0))="B",INDEX(MODELOS!$I$4:$I$11,MATCH($D38,MODELOS!$A$4:$A$11,0)),INDEX(MODELOS!$E$4:$E$11,MATCH($D38,MODELOS!$A$4:$A$11,0)))</f>
        <v>220 × 200</v>
      </c>
      <c r="I38" s="11" t="str">
        <f aca="false">IF($D38="COMP","SIM",IF(INDEX(PRODUTOS!$J$4:$J$63,MATCH($A38,PRODUTOS!$B$4:$B$63,0))&lt;&gt;"","NÃO (usa o A+ do EAN "&amp;INDEX(PRODUTOS!$J$4:$J$63,MATCH($A38,PRODUTOS!$B$4:$B$63,0))&amp;")",IF(AND(INDEX(PRODUTOS!$I$4:$I$63,MATCH($A38,PRODUTOS!$B$4:$B$63,0))="B",$D38="AP07"),"NÃO (modelo B)","SIM")))</f>
        <v>SIM</v>
      </c>
      <c r="J38" s="13" t="s">
        <v>318</v>
      </c>
      <c r="K38" s="13"/>
    </row>
    <row r="39" customFormat="false" ht="15" hidden="false" customHeight="false" outlineLevel="0" collapsed="false">
      <c r="A39" s="15" t="s">
        <v>63</v>
      </c>
      <c r="B39" s="11" t="str">
        <f aca="false">INDEX(PRODUTOS!$E$4:$E$63,MATCH($A39,PRODUTOS!$B$4:$B$63,0))</f>
        <v>New Dots Ração Seca Premium para Cães Adultos de Raças Pequenas - 20 kg</v>
      </c>
      <c r="C39" s="11" t="str">
        <f aca="false">INDEX(PRODUTOS!$H$4:$H$63,MATCH($A39,PRODUTOS!$B$4:$B$63,0))</f>
        <v>20 kg</v>
      </c>
      <c r="D39" s="11" t="s">
        <v>321</v>
      </c>
      <c r="E39" s="16" t="str">
        <f aca="false">$A39&amp;"."&amp;$D39&amp;".jpg"</f>
        <v>7898968541535.AP04.jpg</v>
      </c>
      <c r="F39" s="11" t="str">
        <f aca="false">IF(INDEX(PRODUTOS!$I$4:$I$63,MATCH($A39,PRODUTOS!$B$4:$B$63,0))="B",INDEX(MODELOS!$F$4:$F$11,MATCH($D39,MODELOS!$A$4:$A$11,0)),INDEX(MODELOS!$B$4:$B$11,MATCH($D39,MODELOS!$A$4:$A$11,0)))</f>
        <v>Módulo 3 · Benefício 2 de 4</v>
      </c>
      <c r="G39" s="11" t="str">
        <f aca="false">IF(INDEX(PRODUTOS!$F$4:$F$63,MATCH($A39,PRODUTOS!$B$4:$B$63,0))="Ração",IF(INDEX(PRODUTOS!$I$4:$I$63,MATCH($A39,PRODUTOS!$B$4:$B$63,0))="B",INDEX(MODELOS!$G$4:$G$11,MATCH($D39,MODELOS!$A$4:$A$11,0)),INDEX(MODELOS!$C$4:$C$11,MATCH($D39,MODELOS!$A$4:$A$11,0))),IF(INDEX(PRODUTOS!$I$4:$I$63,MATCH($A39,PRODUTOS!$B$4:$B$63,0))="B",INDEX(MODELOS!$H$4:$H$11,MATCH($D39,MODELOS!$A$4:$A$11,0)),INDEX(MODELOS!$D$4:$D$11,MATCH($D39,MODELOS!$A$4:$A$11,0))))</f>
        <v>Foto/ilustração do benefício 2</v>
      </c>
      <c r="H39" s="11" t="str">
        <f aca="false">IF(INDEX(PRODUTOS!$I$4:$I$63,MATCH($A39,PRODUTOS!$B$4:$B$63,0))="B",INDEX(MODELOS!$I$4:$I$11,MATCH($D39,MODELOS!$A$4:$A$11,0)),INDEX(MODELOS!$E$4:$E$11,MATCH($D39,MODELOS!$A$4:$A$11,0)))</f>
        <v>220 × 200</v>
      </c>
      <c r="I39" s="11" t="str">
        <f aca="false">IF($D39="COMP","SIM",IF(INDEX(PRODUTOS!$J$4:$J$63,MATCH($A39,PRODUTOS!$B$4:$B$63,0))&lt;&gt;"","NÃO (usa o A+ do EAN "&amp;INDEX(PRODUTOS!$J$4:$J$63,MATCH($A39,PRODUTOS!$B$4:$B$63,0))&amp;")",IF(AND(INDEX(PRODUTOS!$I$4:$I$63,MATCH($A39,PRODUTOS!$B$4:$B$63,0))="B",$D39="AP07"),"NÃO (modelo B)","SIM")))</f>
        <v>SIM</v>
      </c>
      <c r="J39" s="13" t="s">
        <v>318</v>
      </c>
      <c r="K39" s="13"/>
    </row>
    <row r="40" customFormat="false" ht="15" hidden="false" customHeight="false" outlineLevel="0" collapsed="false">
      <c r="A40" s="15" t="s">
        <v>63</v>
      </c>
      <c r="B40" s="11" t="str">
        <f aca="false">INDEX(PRODUTOS!$E$4:$E$63,MATCH($A40,PRODUTOS!$B$4:$B$63,0))</f>
        <v>New Dots Ração Seca Premium para Cães Adultos de Raças Pequenas - 20 kg</v>
      </c>
      <c r="C40" s="11" t="str">
        <f aca="false">INDEX(PRODUTOS!$H$4:$H$63,MATCH($A40,PRODUTOS!$B$4:$B$63,0))</f>
        <v>20 kg</v>
      </c>
      <c r="D40" s="11" t="s">
        <v>322</v>
      </c>
      <c r="E40" s="16" t="str">
        <f aca="false">$A40&amp;"."&amp;$D40&amp;".jpg"</f>
        <v>7898968541535.AP05.jpg</v>
      </c>
      <c r="F40" s="11" t="str">
        <f aca="false">IF(INDEX(PRODUTOS!$I$4:$I$63,MATCH($A40,PRODUTOS!$B$4:$B$63,0))="B",INDEX(MODELOS!$F$4:$F$11,MATCH($D40,MODELOS!$A$4:$A$11,0)),INDEX(MODELOS!$B$4:$B$11,MATCH($D40,MODELOS!$A$4:$A$11,0)))</f>
        <v>Módulo 3 · Benefício 3 de 4</v>
      </c>
      <c r="G40" s="11" t="str">
        <f aca="false">IF(INDEX(PRODUTOS!$F$4:$F$63,MATCH($A40,PRODUTOS!$B$4:$B$63,0))="Ração",IF(INDEX(PRODUTOS!$I$4:$I$63,MATCH($A40,PRODUTOS!$B$4:$B$63,0))="B",INDEX(MODELOS!$G$4:$G$11,MATCH($D40,MODELOS!$A$4:$A$11,0)),INDEX(MODELOS!$C$4:$C$11,MATCH($D40,MODELOS!$A$4:$A$11,0))),IF(INDEX(PRODUTOS!$I$4:$I$63,MATCH($A40,PRODUTOS!$B$4:$B$63,0))="B",INDEX(MODELOS!$H$4:$H$11,MATCH($D40,MODELOS!$A$4:$A$11,0)),INDEX(MODELOS!$D$4:$D$11,MATCH($D40,MODELOS!$A$4:$A$11,0))))</f>
        <v>Foto/ilustração do benefício 3</v>
      </c>
      <c r="H40" s="11" t="str">
        <f aca="false">IF(INDEX(PRODUTOS!$I$4:$I$63,MATCH($A40,PRODUTOS!$B$4:$B$63,0))="B",INDEX(MODELOS!$I$4:$I$11,MATCH($D40,MODELOS!$A$4:$A$11,0)),INDEX(MODELOS!$E$4:$E$11,MATCH($D40,MODELOS!$A$4:$A$11,0)))</f>
        <v>220 × 200</v>
      </c>
      <c r="I40" s="11" t="str">
        <f aca="false">IF($D40="COMP","SIM",IF(INDEX(PRODUTOS!$J$4:$J$63,MATCH($A40,PRODUTOS!$B$4:$B$63,0))&lt;&gt;"","NÃO (usa o A+ do EAN "&amp;INDEX(PRODUTOS!$J$4:$J$63,MATCH($A40,PRODUTOS!$B$4:$B$63,0))&amp;")",IF(AND(INDEX(PRODUTOS!$I$4:$I$63,MATCH($A40,PRODUTOS!$B$4:$B$63,0))="B",$D40="AP07"),"NÃO (modelo B)","SIM")))</f>
        <v>SIM</v>
      </c>
      <c r="J40" s="13" t="s">
        <v>318</v>
      </c>
      <c r="K40" s="13"/>
    </row>
    <row r="41" customFormat="false" ht="15" hidden="false" customHeight="false" outlineLevel="0" collapsed="false">
      <c r="A41" s="15" t="s">
        <v>63</v>
      </c>
      <c r="B41" s="11" t="str">
        <f aca="false">INDEX(PRODUTOS!$E$4:$E$63,MATCH($A41,PRODUTOS!$B$4:$B$63,0))</f>
        <v>New Dots Ração Seca Premium para Cães Adultos de Raças Pequenas - 20 kg</v>
      </c>
      <c r="C41" s="11" t="str">
        <f aca="false">INDEX(PRODUTOS!$H$4:$H$63,MATCH($A41,PRODUTOS!$B$4:$B$63,0))</f>
        <v>20 kg</v>
      </c>
      <c r="D41" s="11" t="s">
        <v>323</v>
      </c>
      <c r="E41" s="16" t="str">
        <f aca="false">$A41&amp;"."&amp;$D41&amp;".jpg"</f>
        <v>7898968541535.AP06.jpg</v>
      </c>
      <c r="F41" s="11" t="str">
        <f aca="false">IF(INDEX(PRODUTOS!$I$4:$I$63,MATCH($A41,PRODUTOS!$B$4:$B$63,0))="B",INDEX(MODELOS!$F$4:$F$11,MATCH($D41,MODELOS!$A$4:$A$11,0)),INDEX(MODELOS!$B$4:$B$11,MATCH($D41,MODELOS!$A$4:$A$11,0)))</f>
        <v>Módulo 3 · Benefício 4 de 4</v>
      </c>
      <c r="G41" s="11" t="str">
        <f aca="false">IF(INDEX(PRODUTOS!$F$4:$F$63,MATCH($A41,PRODUTOS!$B$4:$B$63,0))="Ração",IF(INDEX(PRODUTOS!$I$4:$I$63,MATCH($A41,PRODUTOS!$B$4:$B$63,0))="B",INDEX(MODELOS!$G$4:$G$11,MATCH($D41,MODELOS!$A$4:$A$11,0)),INDEX(MODELOS!$C$4:$C$11,MATCH($D41,MODELOS!$A$4:$A$11,0))),IF(INDEX(PRODUTOS!$I$4:$I$63,MATCH($A41,PRODUTOS!$B$4:$B$63,0))="B",INDEX(MODELOS!$H$4:$H$11,MATCH($D41,MODELOS!$A$4:$A$11,0)),INDEX(MODELOS!$D$4:$D$11,MATCH($D41,MODELOS!$A$4:$A$11,0))))</f>
        <v>Foto/ilustração do benefício 4</v>
      </c>
      <c r="H41" s="11" t="str">
        <f aca="false">IF(INDEX(PRODUTOS!$I$4:$I$63,MATCH($A41,PRODUTOS!$B$4:$B$63,0))="B",INDEX(MODELOS!$I$4:$I$11,MATCH($D41,MODELOS!$A$4:$A$11,0)),INDEX(MODELOS!$E$4:$E$11,MATCH($D41,MODELOS!$A$4:$A$11,0)))</f>
        <v>220 × 200</v>
      </c>
      <c r="I41" s="11" t="str">
        <f aca="false">IF($D41="COMP","SIM",IF(INDEX(PRODUTOS!$J$4:$J$63,MATCH($A41,PRODUTOS!$B$4:$B$63,0))&lt;&gt;"","NÃO (usa o A+ do EAN "&amp;INDEX(PRODUTOS!$J$4:$J$63,MATCH($A41,PRODUTOS!$B$4:$B$63,0))&amp;")",IF(AND(INDEX(PRODUTOS!$I$4:$I$63,MATCH($A41,PRODUTOS!$B$4:$B$63,0))="B",$D41="AP07"),"NÃO (modelo B)","SIM")))</f>
        <v>SIM</v>
      </c>
      <c r="J41" s="13" t="s">
        <v>318</v>
      </c>
      <c r="K41" s="13"/>
    </row>
    <row r="42" customFormat="false" ht="15" hidden="false" customHeight="false" outlineLevel="0" collapsed="false">
      <c r="A42" s="15" t="s">
        <v>63</v>
      </c>
      <c r="B42" s="11" t="str">
        <f aca="false">INDEX(PRODUTOS!$E$4:$E$63,MATCH($A42,PRODUTOS!$B$4:$B$63,0))</f>
        <v>New Dots Ração Seca Premium para Cães Adultos de Raças Pequenas - 20 kg</v>
      </c>
      <c r="C42" s="11" t="str">
        <f aca="false">INDEX(PRODUTOS!$H$4:$H$63,MATCH($A42,PRODUTOS!$B$4:$B$63,0))</f>
        <v>20 kg</v>
      </c>
      <c r="D42" s="11" t="s">
        <v>324</v>
      </c>
      <c r="E42" s="16" t="str">
        <f aca="false">$A42&amp;"."&amp;$D42&amp;".jpg"</f>
        <v>7898968541535.AP07.jpg</v>
      </c>
      <c r="F42" s="11" t="str">
        <f aca="false">IF(INDEX(PRODUTOS!$I$4:$I$63,MATCH($A42,PRODUTOS!$B$4:$B$63,0))="B",INDEX(MODELOS!$F$4:$F$11,MATCH($D42,MODELOS!$A$4:$A$11,0)),INDEX(MODELOS!$B$4:$B$11,MATCH($D42,MODELOS!$A$4:$A$11,0)))</f>
        <v>Módulo 4 · Especificações</v>
      </c>
      <c r="G42" s="11" t="str">
        <f aca="false">IF(INDEX(PRODUTOS!$F$4:$F$63,MATCH($A42,PRODUTOS!$B$4:$B$63,0))="Ração",IF(INDEX(PRODUTOS!$I$4:$I$63,MATCH($A42,PRODUTOS!$B$4:$B$63,0))="B",INDEX(MODELOS!$G$4:$G$11,MATCH($D42,MODELOS!$A$4:$A$11,0)),INDEX(MODELOS!$C$4:$C$11,MATCH($D42,MODELOS!$A$4:$A$11,0))),IF(INDEX(PRODUTOS!$I$4:$I$63,MATCH($A42,PRODUTOS!$B$4:$B$63,0))="B",INDEX(MODELOS!$H$4:$H$11,MATCH($D42,MODELOS!$A$4:$A$11,0)),INDEX(MODELOS!$D$4:$D$11,MATCH($D42,MODELOS!$A$4:$A$11,0))))</f>
        <v>Grão ou pacote em destaque</v>
      </c>
      <c r="H42" s="11" t="str">
        <f aca="false">IF(INDEX(PRODUTOS!$I$4:$I$63,MATCH($A42,PRODUTOS!$B$4:$B$63,0))="B",INDEX(MODELOS!$I$4:$I$11,MATCH($D42,MODELOS!$A$4:$A$11,0)),INDEX(MODELOS!$E$4:$E$11,MATCH($D42,MODELOS!$A$4:$A$11,0)))</f>
        <v>300 × 300</v>
      </c>
      <c r="I42" s="11" t="str">
        <f aca="false">IF($D42="COMP","SIM",IF(INDEX(PRODUTOS!$J$4:$J$63,MATCH($A42,PRODUTOS!$B$4:$B$63,0))&lt;&gt;"","NÃO (usa o A+ do EAN "&amp;INDEX(PRODUTOS!$J$4:$J$63,MATCH($A42,PRODUTOS!$B$4:$B$63,0))&amp;")",IF(AND(INDEX(PRODUTOS!$I$4:$I$63,MATCH($A42,PRODUTOS!$B$4:$B$63,0))="B",$D42="AP07"),"NÃO (modelo B)","SIM")))</f>
        <v>SIM</v>
      </c>
      <c r="J42" s="13" t="s">
        <v>318</v>
      </c>
      <c r="K42" s="13"/>
    </row>
    <row r="43" customFormat="false" ht="15" hidden="false" customHeight="false" outlineLevel="0" collapsed="false">
      <c r="A43" s="15" t="s">
        <v>63</v>
      </c>
      <c r="B43" s="11" t="str">
        <f aca="false">INDEX(PRODUTOS!$E$4:$E$63,MATCH($A43,PRODUTOS!$B$4:$B$63,0))</f>
        <v>New Dots Ração Seca Premium para Cães Adultos de Raças Pequenas - 20 kg</v>
      </c>
      <c r="C43" s="11" t="str">
        <f aca="false">INDEX(PRODUTOS!$H$4:$H$63,MATCH($A43,PRODUTOS!$B$4:$B$63,0))</f>
        <v>20 kg</v>
      </c>
      <c r="D43" s="11" t="s">
        <v>325</v>
      </c>
      <c r="E43" s="16" t="str">
        <f aca="false">$A43&amp;"."&amp;$D43&amp;".jpg"</f>
        <v>7898968541535.COMP.jpg</v>
      </c>
      <c r="F43" s="11" t="str">
        <f aca="false">IF(INDEX(PRODUTOS!$I$4:$I$63,MATCH($A43,PRODUTOS!$B$4:$B$63,0))="B",INDEX(MODELOS!$F$4:$F$11,MATCH($D43,MODELOS!$A$4:$A$11,0)),INDEX(MODELOS!$B$4:$B$11,MATCH($D43,MODELOS!$A$4:$A$11,0)))</f>
        <v>Módulo 5 · Tabela comparativa</v>
      </c>
      <c r="G43" s="11" t="str">
        <f aca="false">IF(INDEX(PRODUTOS!$F$4:$F$63,MATCH($A43,PRODUTOS!$B$4:$B$63,0))="Ração",IF(INDEX(PRODUTOS!$I$4:$I$63,MATCH($A43,PRODUTOS!$B$4:$B$63,0))="B",INDEX(MODELOS!$G$4:$G$11,MATCH($D43,MODELOS!$A$4:$A$11,0)),INDEX(MODELOS!$C$4:$C$11,MATCH($D43,MODELOS!$A$4:$A$11,0))),IF(INDEX(PRODUTOS!$I$4:$I$63,MATCH($A43,PRODUTOS!$B$4:$B$63,0))="B",INDEX(MODELOS!$H$4:$H$11,MATCH($D43,MODELOS!$A$4:$A$11,0)),INDEX(MODELOS!$D$4:$D$11,MATCH($D43,MODELOS!$A$4:$A$11,0))))</f>
        <v>Pacote na vertical, sem fundo colorido</v>
      </c>
      <c r="H43" s="11" t="str">
        <f aca="false">IF(INDEX(PRODUTOS!$I$4:$I$63,MATCH($A43,PRODUTOS!$B$4:$B$63,0))="B",INDEX(MODELOS!$I$4:$I$11,MATCH($D43,MODELOS!$A$4:$A$11,0)),INDEX(MODELOS!$E$4:$E$11,MATCH($D43,MODELOS!$A$4:$A$11,0)))</f>
        <v>150 × 300</v>
      </c>
      <c r="I43" s="11" t="str">
        <f aca="false">IF($D43="COMP","SIM",IF(INDEX(PRODUTOS!$J$4:$J$63,MATCH($A43,PRODUTOS!$B$4:$B$63,0))&lt;&gt;"","NÃO (usa o A+ do EAN "&amp;INDEX(PRODUTOS!$J$4:$J$63,MATCH($A43,PRODUTOS!$B$4:$B$63,0))&amp;")",IF(AND(INDEX(PRODUTOS!$I$4:$I$63,MATCH($A43,PRODUTOS!$B$4:$B$63,0))="B",$D43="AP07"),"NÃO (modelo B)","SIM")))</f>
        <v>SIM</v>
      </c>
      <c r="J43" s="13" t="s">
        <v>318</v>
      </c>
      <c r="K43" s="13"/>
    </row>
    <row r="44" customFormat="false" ht="15" hidden="false" customHeight="false" outlineLevel="0" collapsed="false">
      <c r="A44" s="15" t="s">
        <v>68</v>
      </c>
      <c r="B44" s="11" t="str">
        <f aca="false">INDEX(PRODUTOS!$E$4:$E$63,MATCH($A44,PRODUTOS!$B$4:$B$63,0))</f>
        <v>New Dots Ração Seca Premium para Cães Adultos de Raças Pequenas - 5 kg</v>
      </c>
      <c r="C44" s="11" t="str">
        <f aca="false">INDEX(PRODUTOS!$H$4:$H$63,MATCH($A44,PRODUTOS!$B$4:$B$63,0))</f>
        <v>5 kg</v>
      </c>
      <c r="D44" s="11" t="s">
        <v>317</v>
      </c>
      <c r="E44" s="16" t="str">
        <f aca="false">$A44&amp;"."&amp;$D44&amp;".jpg"</f>
        <v>7898968541528.AP01.jpg</v>
      </c>
      <c r="F44" s="11" t="str">
        <f aca="false">IF(INDEX(PRODUTOS!$I$4:$I$63,MATCH($A44,PRODUTOS!$B$4:$B$63,0))="B",INDEX(MODELOS!$F$4:$F$11,MATCH($D44,MODELOS!$A$4:$A$11,0)),INDEX(MODELOS!$B$4:$B$11,MATCH($D44,MODELOS!$A$4:$A$11,0)))</f>
        <v>Módulo 1 · Banner</v>
      </c>
      <c r="G44" s="11" t="str">
        <f aca="false">IF(INDEX(PRODUTOS!$F$4:$F$63,MATCH($A44,PRODUTOS!$B$4:$B$63,0))="Ração",IF(INDEX(PRODUTOS!$I$4:$I$63,MATCH($A44,PRODUTOS!$B$4:$B$63,0))="B",INDEX(MODELOS!$G$4:$G$11,MATCH($D44,MODELOS!$A$4:$A$11,0)),INDEX(MODELOS!$C$4:$C$11,MATCH($D44,MODELOS!$A$4:$A$11,0))),IF(INDEX(PRODUTOS!$I$4:$I$63,MATCH($A44,PRODUTOS!$B$4:$B$63,0))="B",INDEX(MODELOS!$H$4:$H$11,MATCH($D44,MODELOS!$A$4:$A$11,0)),INDEX(MODELOS!$D$4:$D$11,MATCH($D44,MODELOS!$A$4:$A$11,0))))</f>
        <v>Embalagem + pet + ingredientes, com o nome da linha</v>
      </c>
      <c r="H44" s="11" t="str">
        <f aca="false">IF(INDEX(PRODUTOS!$I$4:$I$63,MATCH($A44,PRODUTOS!$B$4:$B$63,0))="B",INDEX(MODELOS!$I$4:$I$11,MATCH($D44,MODELOS!$A$4:$A$11,0)),INDEX(MODELOS!$E$4:$E$11,MATCH($D44,MODELOS!$A$4:$A$11,0)))</f>
        <v>970 × 600</v>
      </c>
      <c r="I44" s="11" t="str">
        <f aca="false">IF($D44="COMP","SIM",IF(INDEX(PRODUTOS!$J$4:$J$63,MATCH($A44,PRODUTOS!$B$4:$B$63,0))&lt;&gt;"","NÃO (usa o A+ do EAN "&amp;INDEX(PRODUTOS!$J$4:$J$63,MATCH($A44,PRODUTOS!$B$4:$B$63,0))&amp;")",IF(AND(INDEX(PRODUTOS!$I$4:$I$63,MATCH($A44,PRODUTOS!$B$4:$B$63,0))="B",$D44="AP07"),"NÃO (modelo B)","SIM")))</f>
        <v>NÃO (usa o A+ do EAN 7898968541535)</v>
      </c>
      <c r="J44" s="13" t="s">
        <v>318</v>
      </c>
      <c r="K44" s="13"/>
    </row>
    <row r="45" customFormat="false" ht="15" hidden="false" customHeight="false" outlineLevel="0" collapsed="false">
      <c r="A45" s="15" t="s">
        <v>68</v>
      </c>
      <c r="B45" s="11" t="str">
        <f aca="false">INDEX(PRODUTOS!$E$4:$E$63,MATCH($A45,PRODUTOS!$B$4:$B$63,0))</f>
        <v>New Dots Ração Seca Premium para Cães Adultos de Raças Pequenas - 5 kg</v>
      </c>
      <c r="C45" s="11" t="str">
        <f aca="false">INDEX(PRODUTOS!$H$4:$H$63,MATCH($A45,PRODUTOS!$B$4:$B$63,0))</f>
        <v>5 kg</v>
      </c>
      <c r="D45" s="11" t="s">
        <v>319</v>
      </c>
      <c r="E45" s="16" t="str">
        <f aca="false">$A45&amp;"."&amp;$D45&amp;".jpg"</f>
        <v>7898968541528.AP02.jpg</v>
      </c>
      <c r="F45" s="11" t="str">
        <f aca="false">IF(INDEX(PRODUTOS!$I$4:$I$63,MATCH($A45,PRODUTOS!$B$4:$B$63,0))="B",INDEX(MODELOS!$F$4:$F$11,MATCH($D45,MODELOS!$A$4:$A$11,0)),INDEX(MODELOS!$B$4:$B$11,MATCH($D45,MODELOS!$A$4:$A$11,0)))</f>
        <v>Módulo 2 · Texto sobreposto</v>
      </c>
      <c r="G45" s="11" t="str">
        <f aca="false">IF(INDEX(PRODUTOS!$F$4:$F$63,MATCH($A45,PRODUTOS!$B$4:$B$63,0))="Ração",IF(INDEX(PRODUTOS!$I$4:$I$63,MATCH($A45,PRODUTOS!$B$4:$B$63,0))="B",INDEX(MODELOS!$G$4:$G$11,MATCH($D45,MODELOS!$A$4:$A$11,0)),INDEX(MODELOS!$C$4:$C$11,MATCH($D45,MODELOS!$A$4:$A$11,0))),IF(INDEX(PRODUTOS!$I$4:$I$63,MATCH($A45,PRODUTOS!$B$4:$B$63,0))="B",INDEX(MODELOS!$H$4:$H$11,MATCH($D45,MODELOS!$A$4:$A$11,0)),INDEX(MODELOS!$D$4:$D$11,MATCH($D45,MODELOS!$A$4:$A$11,0))))</f>
        <v>Principal diferencial; deixar o lado direito limpo</v>
      </c>
      <c r="H45" s="11" t="str">
        <f aca="false">IF(INDEX(PRODUTOS!$I$4:$I$63,MATCH($A45,PRODUTOS!$B$4:$B$63,0))="B",INDEX(MODELOS!$I$4:$I$11,MATCH($D45,MODELOS!$A$4:$A$11,0)),INDEX(MODELOS!$E$4:$E$11,MATCH($D45,MODELOS!$A$4:$A$11,0)))</f>
        <v>970 × 300</v>
      </c>
      <c r="I45" s="11" t="str">
        <f aca="false">IF($D45="COMP","SIM",IF(INDEX(PRODUTOS!$J$4:$J$63,MATCH($A45,PRODUTOS!$B$4:$B$63,0))&lt;&gt;"","NÃO (usa o A+ do EAN "&amp;INDEX(PRODUTOS!$J$4:$J$63,MATCH($A45,PRODUTOS!$B$4:$B$63,0))&amp;")",IF(AND(INDEX(PRODUTOS!$I$4:$I$63,MATCH($A45,PRODUTOS!$B$4:$B$63,0))="B",$D45="AP07"),"NÃO (modelo B)","SIM")))</f>
        <v>NÃO (usa o A+ do EAN 7898968541535)</v>
      </c>
      <c r="J45" s="13" t="s">
        <v>318</v>
      </c>
      <c r="K45" s="13"/>
    </row>
    <row r="46" customFormat="false" ht="15" hidden="false" customHeight="false" outlineLevel="0" collapsed="false">
      <c r="A46" s="15" t="s">
        <v>68</v>
      </c>
      <c r="B46" s="11" t="str">
        <f aca="false">INDEX(PRODUTOS!$E$4:$E$63,MATCH($A46,PRODUTOS!$B$4:$B$63,0))</f>
        <v>New Dots Ração Seca Premium para Cães Adultos de Raças Pequenas - 5 kg</v>
      </c>
      <c r="C46" s="11" t="str">
        <f aca="false">INDEX(PRODUTOS!$H$4:$H$63,MATCH($A46,PRODUTOS!$B$4:$B$63,0))</f>
        <v>5 kg</v>
      </c>
      <c r="D46" s="11" t="s">
        <v>320</v>
      </c>
      <c r="E46" s="16" t="str">
        <f aca="false">$A46&amp;"."&amp;$D46&amp;".jpg"</f>
        <v>7898968541528.AP03.jpg</v>
      </c>
      <c r="F46" s="11" t="str">
        <f aca="false">IF(INDEX(PRODUTOS!$I$4:$I$63,MATCH($A46,PRODUTOS!$B$4:$B$63,0))="B",INDEX(MODELOS!$F$4:$F$11,MATCH($D46,MODELOS!$A$4:$A$11,0)),INDEX(MODELOS!$B$4:$B$11,MATCH($D46,MODELOS!$A$4:$A$11,0)))</f>
        <v>Módulo 3 · Benefício 1 de 4</v>
      </c>
      <c r="G46" s="11" t="str">
        <f aca="false">IF(INDEX(PRODUTOS!$F$4:$F$63,MATCH($A46,PRODUTOS!$B$4:$B$63,0))="Ração",IF(INDEX(PRODUTOS!$I$4:$I$63,MATCH($A46,PRODUTOS!$B$4:$B$63,0))="B",INDEX(MODELOS!$G$4:$G$11,MATCH($D46,MODELOS!$A$4:$A$11,0)),INDEX(MODELOS!$C$4:$C$11,MATCH($D46,MODELOS!$A$4:$A$11,0))),IF(INDEX(PRODUTOS!$I$4:$I$63,MATCH($A46,PRODUTOS!$B$4:$B$63,0))="B",INDEX(MODELOS!$H$4:$H$11,MATCH($D46,MODELOS!$A$4:$A$11,0)),INDEX(MODELOS!$D$4:$D$11,MATCH($D46,MODELOS!$A$4:$A$11,0))))</f>
        <v>Foto/ilustração do benefício 1</v>
      </c>
      <c r="H46" s="11" t="str">
        <f aca="false">IF(INDEX(PRODUTOS!$I$4:$I$63,MATCH($A46,PRODUTOS!$B$4:$B$63,0))="B",INDEX(MODELOS!$I$4:$I$11,MATCH($D46,MODELOS!$A$4:$A$11,0)),INDEX(MODELOS!$E$4:$E$11,MATCH($D46,MODELOS!$A$4:$A$11,0)))</f>
        <v>220 × 200</v>
      </c>
      <c r="I46" s="11" t="str">
        <f aca="false">IF($D46="COMP","SIM",IF(INDEX(PRODUTOS!$J$4:$J$63,MATCH($A46,PRODUTOS!$B$4:$B$63,0))&lt;&gt;"","NÃO (usa o A+ do EAN "&amp;INDEX(PRODUTOS!$J$4:$J$63,MATCH($A46,PRODUTOS!$B$4:$B$63,0))&amp;")",IF(AND(INDEX(PRODUTOS!$I$4:$I$63,MATCH($A46,PRODUTOS!$B$4:$B$63,0))="B",$D46="AP07"),"NÃO (modelo B)","SIM")))</f>
        <v>NÃO (usa o A+ do EAN 7898968541535)</v>
      </c>
      <c r="J46" s="13" t="s">
        <v>318</v>
      </c>
      <c r="K46" s="13"/>
    </row>
    <row r="47" customFormat="false" ht="15" hidden="false" customHeight="false" outlineLevel="0" collapsed="false">
      <c r="A47" s="15" t="s">
        <v>68</v>
      </c>
      <c r="B47" s="11" t="str">
        <f aca="false">INDEX(PRODUTOS!$E$4:$E$63,MATCH($A47,PRODUTOS!$B$4:$B$63,0))</f>
        <v>New Dots Ração Seca Premium para Cães Adultos de Raças Pequenas - 5 kg</v>
      </c>
      <c r="C47" s="11" t="str">
        <f aca="false">INDEX(PRODUTOS!$H$4:$H$63,MATCH($A47,PRODUTOS!$B$4:$B$63,0))</f>
        <v>5 kg</v>
      </c>
      <c r="D47" s="11" t="s">
        <v>321</v>
      </c>
      <c r="E47" s="16" t="str">
        <f aca="false">$A47&amp;"."&amp;$D47&amp;".jpg"</f>
        <v>7898968541528.AP04.jpg</v>
      </c>
      <c r="F47" s="11" t="str">
        <f aca="false">IF(INDEX(PRODUTOS!$I$4:$I$63,MATCH($A47,PRODUTOS!$B$4:$B$63,0))="B",INDEX(MODELOS!$F$4:$F$11,MATCH($D47,MODELOS!$A$4:$A$11,0)),INDEX(MODELOS!$B$4:$B$11,MATCH($D47,MODELOS!$A$4:$A$11,0)))</f>
        <v>Módulo 3 · Benefício 2 de 4</v>
      </c>
      <c r="G47" s="11" t="str">
        <f aca="false">IF(INDEX(PRODUTOS!$F$4:$F$63,MATCH($A47,PRODUTOS!$B$4:$B$63,0))="Ração",IF(INDEX(PRODUTOS!$I$4:$I$63,MATCH($A47,PRODUTOS!$B$4:$B$63,0))="B",INDEX(MODELOS!$G$4:$G$11,MATCH($D47,MODELOS!$A$4:$A$11,0)),INDEX(MODELOS!$C$4:$C$11,MATCH($D47,MODELOS!$A$4:$A$11,0))),IF(INDEX(PRODUTOS!$I$4:$I$63,MATCH($A47,PRODUTOS!$B$4:$B$63,0))="B",INDEX(MODELOS!$H$4:$H$11,MATCH($D47,MODELOS!$A$4:$A$11,0)),INDEX(MODELOS!$D$4:$D$11,MATCH($D47,MODELOS!$A$4:$A$11,0))))</f>
        <v>Foto/ilustração do benefício 2</v>
      </c>
      <c r="H47" s="11" t="str">
        <f aca="false">IF(INDEX(PRODUTOS!$I$4:$I$63,MATCH($A47,PRODUTOS!$B$4:$B$63,0))="B",INDEX(MODELOS!$I$4:$I$11,MATCH($D47,MODELOS!$A$4:$A$11,0)),INDEX(MODELOS!$E$4:$E$11,MATCH($D47,MODELOS!$A$4:$A$11,0)))</f>
        <v>220 × 200</v>
      </c>
      <c r="I47" s="11" t="str">
        <f aca="false">IF($D47="COMP","SIM",IF(INDEX(PRODUTOS!$J$4:$J$63,MATCH($A47,PRODUTOS!$B$4:$B$63,0))&lt;&gt;"","NÃO (usa o A+ do EAN "&amp;INDEX(PRODUTOS!$J$4:$J$63,MATCH($A47,PRODUTOS!$B$4:$B$63,0))&amp;")",IF(AND(INDEX(PRODUTOS!$I$4:$I$63,MATCH($A47,PRODUTOS!$B$4:$B$63,0))="B",$D47="AP07"),"NÃO (modelo B)","SIM")))</f>
        <v>NÃO (usa o A+ do EAN 7898968541535)</v>
      </c>
      <c r="J47" s="13" t="s">
        <v>318</v>
      </c>
      <c r="K47" s="13"/>
    </row>
    <row r="48" customFormat="false" ht="15" hidden="false" customHeight="false" outlineLevel="0" collapsed="false">
      <c r="A48" s="15" t="s">
        <v>68</v>
      </c>
      <c r="B48" s="11" t="str">
        <f aca="false">INDEX(PRODUTOS!$E$4:$E$63,MATCH($A48,PRODUTOS!$B$4:$B$63,0))</f>
        <v>New Dots Ração Seca Premium para Cães Adultos de Raças Pequenas - 5 kg</v>
      </c>
      <c r="C48" s="11" t="str">
        <f aca="false">INDEX(PRODUTOS!$H$4:$H$63,MATCH($A48,PRODUTOS!$B$4:$B$63,0))</f>
        <v>5 kg</v>
      </c>
      <c r="D48" s="11" t="s">
        <v>322</v>
      </c>
      <c r="E48" s="16" t="str">
        <f aca="false">$A48&amp;"."&amp;$D48&amp;".jpg"</f>
        <v>7898968541528.AP05.jpg</v>
      </c>
      <c r="F48" s="11" t="str">
        <f aca="false">IF(INDEX(PRODUTOS!$I$4:$I$63,MATCH($A48,PRODUTOS!$B$4:$B$63,0))="B",INDEX(MODELOS!$F$4:$F$11,MATCH($D48,MODELOS!$A$4:$A$11,0)),INDEX(MODELOS!$B$4:$B$11,MATCH($D48,MODELOS!$A$4:$A$11,0)))</f>
        <v>Módulo 3 · Benefício 3 de 4</v>
      </c>
      <c r="G48" s="11" t="str">
        <f aca="false">IF(INDEX(PRODUTOS!$F$4:$F$63,MATCH($A48,PRODUTOS!$B$4:$B$63,0))="Ração",IF(INDEX(PRODUTOS!$I$4:$I$63,MATCH($A48,PRODUTOS!$B$4:$B$63,0))="B",INDEX(MODELOS!$G$4:$G$11,MATCH($D48,MODELOS!$A$4:$A$11,0)),INDEX(MODELOS!$C$4:$C$11,MATCH($D48,MODELOS!$A$4:$A$11,0))),IF(INDEX(PRODUTOS!$I$4:$I$63,MATCH($A48,PRODUTOS!$B$4:$B$63,0))="B",INDEX(MODELOS!$H$4:$H$11,MATCH($D48,MODELOS!$A$4:$A$11,0)),INDEX(MODELOS!$D$4:$D$11,MATCH($D48,MODELOS!$A$4:$A$11,0))))</f>
        <v>Foto/ilustração do benefício 3</v>
      </c>
      <c r="H48" s="11" t="str">
        <f aca="false">IF(INDEX(PRODUTOS!$I$4:$I$63,MATCH($A48,PRODUTOS!$B$4:$B$63,0))="B",INDEX(MODELOS!$I$4:$I$11,MATCH($D48,MODELOS!$A$4:$A$11,0)),INDEX(MODELOS!$E$4:$E$11,MATCH($D48,MODELOS!$A$4:$A$11,0)))</f>
        <v>220 × 200</v>
      </c>
      <c r="I48" s="11" t="str">
        <f aca="false">IF($D48="COMP","SIM",IF(INDEX(PRODUTOS!$J$4:$J$63,MATCH($A48,PRODUTOS!$B$4:$B$63,0))&lt;&gt;"","NÃO (usa o A+ do EAN "&amp;INDEX(PRODUTOS!$J$4:$J$63,MATCH($A48,PRODUTOS!$B$4:$B$63,0))&amp;")",IF(AND(INDEX(PRODUTOS!$I$4:$I$63,MATCH($A48,PRODUTOS!$B$4:$B$63,0))="B",$D48="AP07"),"NÃO (modelo B)","SIM")))</f>
        <v>NÃO (usa o A+ do EAN 7898968541535)</v>
      </c>
      <c r="J48" s="13" t="s">
        <v>318</v>
      </c>
      <c r="K48" s="13"/>
    </row>
    <row r="49" customFormat="false" ht="15" hidden="false" customHeight="false" outlineLevel="0" collapsed="false">
      <c r="A49" s="15" t="s">
        <v>68</v>
      </c>
      <c r="B49" s="11" t="str">
        <f aca="false">INDEX(PRODUTOS!$E$4:$E$63,MATCH($A49,PRODUTOS!$B$4:$B$63,0))</f>
        <v>New Dots Ração Seca Premium para Cães Adultos de Raças Pequenas - 5 kg</v>
      </c>
      <c r="C49" s="11" t="str">
        <f aca="false">INDEX(PRODUTOS!$H$4:$H$63,MATCH($A49,PRODUTOS!$B$4:$B$63,0))</f>
        <v>5 kg</v>
      </c>
      <c r="D49" s="11" t="s">
        <v>323</v>
      </c>
      <c r="E49" s="16" t="str">
        <f aca="false">$A49&amp;"."&amp;$D49&amp;".jpg"</f>
        <v>7898968541528.AP06.jpg</v>
      </c>
      <c r="F49" s="11" t="str">
        <f aca="false">IF(INDEX(PRODUTOS!$I$4:$I$63,MATCH($A49,PRODUTOS!$B$4:$B$63,0))="B",INDEX(MODELOS!$F$4:$F$11,MATCH($D49,MODELOS!$A$4:$A$11,0)),INDEX(MODELOS!$B$4:$B$11,MATCH($D49,MODELOS!$A$4:$A$11,0)))</f>
        <v>Módulo 3 · Benefício 4 de 4</v>
      </c>
      <c r="G49" s="11" t="str">
        <f aca="false">IF(INDEX(PRODUTOS!$F$4:$F$63,MATCH($A49,PRODUTOS!$B$4:$B$63,0))="Ração",IF(INDEX(PRODUTOS!$I$4:$I$63,MATCH($A49,PRODUTOS!$B$4:$B$63,0))="B",INDEX(MODELOS!$G$4:$G$11,MATCH($D49,MODELOS!$A$4:$A$11,0)),INDEX(MODELOS!$C$4:$C$11,MATCH($D49,MODELOS!$A$4:$A$11,0))),IF(INDEX(PRODUTOS!$I$4:$I$63,MATCH($A49,PRODUTOS!$B$4:$B$63,0))="B",INDEX(MODELOS!$H$4:$H$11,MATCH($D49,MODELOS!$A$4:$A$11,0)),INDEX(MODELOS!$D$4:$D$11,MATCH($D49,MODELOS!$A$4:$A$11,0))))</f>
        <v>Foto/ilustração do benefício 4</v>
      </c>
      <c r="H49" s="11" t="str">
        <f aca="false">IF(INDEX(PRODUTOS!$I$4:$I$63,MATCH($A49,PRODUTOS!$B$4:$B$63,0))="B",INDEX(MODELOS!$I$4:$I$11,MATCH($D49,MODELOS!$A$4:$A$11,0)),INDEX(MODELOS!$E$4:$E$11,MATCH($D49,MODELOS!$A$4:$A$11,0)))</f>
        <v>220 × 200</v>
      </c>
      <c r="I49" s="11" t="str">
        <f aca="false">IF($D49="COMP","SIM",IF(INDEX(PRODUTOS!$J$4:$J$63,MATCH($A49,PRODUTOS!$B$4:$B$63,0))&lt;&gt;"","NÃO (usa o A+ do EAN "&amp;INDEX(PRODUTOS!$J$4:$J$63,MATCH($A49,PRODUTOS!$B$4:$B$63,0))&amp;")",IF(AND(INDEX(PRODUTOS!$I$4:$I$63,MATCH($A49,PRODUTOS!$B$4:$B$63,0))="B",$D49="AP07"),"NÃO (modelo B)","SIM")))</f>
        <v>NÃO (usa o A+ do EAN 7898968541535)</v>
      </c>
      <c r="J49" s="13" t="s">
        <v>318</v>
      </c>
      <c r="K49" s="13"/>
    </row>
    <row r="50" customFormat="false" ht="15" hidden="false" customHeight="false" outlineLevel="0" collapsed="false">
      <c r="A50" s="15" t="s">
        <v>68</v>
      </c>
      <c r="B50" s="11" t="str">
        <f aca="false">INDEX(PRODUTOS!$E$4:$E$63,MATCH($A50,PRODUTOS!$B$4:$B$63,0))</f>
        <v>New Dots Ração Seca Premium para Cães Adultos de Raças Pequenas - 5 kg</v>
      </c>
      <c r="C50" s="11" t="str">
        <f aca="false">INDEX(PRODUTOS!$H$4:$H$63,MATCH($A50,PRODUTOS!$B$4:$B$63,0))</f>
        <v>5 kg</v>
      </c>
      <c r="D50" s="11" t="s">
        <v>324</v>
      </c>
      <c r="E50" s="16" t="str">
        <f aca="false">$A50&amp;"."&amp;$D50&amp;".jpg"</f>
        <v>7898968541528.AP07.jpg</v>
      </c>
      <c r="F50" s="11" t="str">
        <f aca="false">IF(INDEX(PRODUTOS!$I$4:$I$63,MATCH($A50,PRODUTOS!$B$4:$B$63,0))="B",INDEX(MODELOS!$F$4:$F$11,MATCH($D50,MODELOS!$A$4:$A$11,0)),INDEX(MODELOS!$B$4:$B$11,MATCH($D50,MODELOS!$A$4:$A$11,0)))</f>
        <v>Módulo 4 · Especificações</v>
      </c>
      <c r="G50" s="11" t="str">
        <f aca="false">IF(INDEX(PRODUTOS!$F$4:$F$63,MATCH($A50,PRODUTOS!$B$4:$B$63,0))="Ração",IF(INDEX(PRODUTOS!$I$4:$I$63,MATCH($A50,PRODUTOS!$B$4:$B$63,0))="B",INDEX(MODELOS!$G$4:$G$11,MATCH($D50,MODELOS!$A$4:$A$11,0)),INDEX(MODELOS!$C$4:$C$11,MATCH($D50,MODELOS!$A$4:$A$11,0))),IF(INDEX(PRODUTOS!$I$4:$I$63,MATCH($A50,PRODUTOS!$B$4:$B$63,0))="B",INDEX(MODELOS!$H$4:$H$11,MATCH($D50,MODELOS!$A$4:$A$11,0)),INDEX(MODELOS!$D$4:$D$11,MATCH($D50,MODELOS!$A$4:$A$11,0))))</f>
        <v>Grão ou pacote em destaque</v>
      </c>
      <c r="H50" s="11" t="str">
        <f aca="false">IF(INDEX(PRODUTOS!$I$4:$I$63,MATCH($A50,PRODUTOS!$B$4:$B$63,0))="B",INDEX(MODELOS!$I$4:$I$11,MATCH($D50,MODELOS!$A$4:$A$11,0)),INDEX(MODELOS!$E$4:$E$11,MATCH($D50,MODELOS!$A$4:$A$11,0)))</f>
        <v>300 × 300</v>
      </c>
      <c r="I50" s="11" t="str">
        <f aca="false">IF($D50="COMP","SIM",IF(INDEX(PRODUTOS!$J$4:$J$63,MATCH($A50,PRODUTOS!$B$4:$B$63,0))&lt;&gt;"","NÃO (usa o A+ do EAN "&amp;INDEX(PRODUTOS!$J$4:$J$63,MATCH($A50,PRODUTOS!$B$4:$B$63,0))&amp;")",IF(AND(INDEX(PRODUTOS!$I$4:$I$63,MATCH($A50,PRODUTOS!$B$4:$B$63,0))="B",$D50="AP07"),"NÃO (modelo B)","SIM")))</f>
        <v>NÃO (usa o A+ do EAN 7898968541535)</v>
      </c>
      <c r="J50" s="13" t="s">
        <v>318</v>
      </c>
      <c r="K50" s="13"/>
    </row>
    <row r="51" customFormat="false" ht="15" hidden="false" customHeight="false" outlineLevel="0" collapsed="false">
      <c r="A51" s="15" t="s">
        <v>68</v>
      </c>
      <c r="B51" s="11" t="str">
        <f aca="false">INDEX(PRODUTOS!$E$4:$E$63,MATCH($A51,PRODUTOS!$B$4:$B$63,0))</f>
        <v>New Dots Ração Seca Premium para Cães Adultos de Raças Pequenas - 5 kg</v>
      </c>
      <c r="C51" s="11" t="str">
        <f aca="false">INDEX(PRODUTOS!$H$4:$H$63,MATCH($A51,PRODUTOS!$B$4:$B$63,0))</f>
        <v>5 kg</v>
      </c>
      <c r="D51" s="11" t="s">
        <v>325</v>
      </c>
      <c r="E51" s="16" t="str">
        <f aca="false">$A51&amp;"."&amp;$D51&amp;".jpg"</f>
        <v>7898968541528.COMP.jpg</v>
      </c>
      <c r="F51" s="11" t="str">
        <f aca="false">IF(INDEX(PRODUTOS!$I$4:$I$63,MATCH($A51,PRODUTOS!$B$4:$B$63,0))="B",INDEX(MODELOS!$F$4:$F$11,MATCH($D51,MODELOS!$A$4:$A$11,0)),INDEX(MODELOS!$B$4:$B$11,MATCH($D51,MODELOS!$A$4:$A$11,0)))</f>
        <v>Módulo 5 · Tabela comparativa</v>
      </c>
      <c r="G51" s="11" t="str">
        <f aca="false">IF(INDEX(PRODUTOS!$F$4:$F$63,MATCH($A51,PRODUTOS!$B$4:$B$63,0))="Ração",IF(INDEX(PRODUTOS!$I$4:$I$63,MATCH($A51,PRODUTOS!$B$4:$B$63,0))="B",INDEX(MODELOS!$G$4:$G$11,MATCH($D51,MODELOS!$A$4:$A$11,0)),INDEX(MODELOS!$C$4:$C$11,MATCH($D51,MODELOS!$A$4:$A$11,0))),IF(INDEX(PRODUTOS!$I$4:$I$63,MATCH($A51,PRODUTOS!$B$4:$B$63,0))="B",INDEX(MODELOS!$H$4:$H$11,MATCH($D51,MODELOS!$A$4:$A$11,0)),INDEX(MODELOS!$D$4:$D$11,MATCH($D51,MODELOS!$A$4:$A$11,0))))</f>
        <v>Pacote na vertical, sem fundo colorido</v>
      </c>
      <c r="H51" s="11" t="str">
        <f aca="false">IF(INDEX(PRODUTOS!$I$4:$I$63,MATCH($A51,PRODUTOS!$B$4:$B$63,0))="B",INDEX(MODELOS!$I$4:$I$11,MATCH($D51,MODELOS!$A$4:$A$11,0)),INDEX(MODELOS!$E$4:$E$11,MATCH($D51,MODELOS!$A$4:$A$11,0)))</f>
        <v>150 × 300</v>
      </c>
      <c r="I51" s="11" t="str">
        <f aca="false">IF($D51="COMP","SIM",IF(INDEX(PRODUTOS!$J$4:$J$63,MATCH($A51,PRODUTOS!$B$4:$B$63,0))&lt;&gt;"","NÃO (usa o A+ do EAN "&amp;INDEX(PRODUTOS!$J$4:$J$63,MATCH($A51,PRODUTOS!$B$4:$B$63,0))&amp;")",IF(AND(INDEX(PRODUTOS!$I$4:$I$63,MATCH($A51,PRODUTOS!$B$4:$B$63,0))="B",$D51="AP07"),"NÃO (modelo B)","SIM")))</f>
        <v>SIM</v>
      </c>
      <c r="J51" s="13" t="s">
        <v>318</v>
      </c>
      <c r="K51" s="13"/>
    </row>
    <row r="52" customFormat="false" ht="15" hidden="false" customHeight="false" outlineLevel="0" collapsed="false">
      <c r="A52" s="15" t="s">
        <v>71</v>
      </c>
      <c r="B52" s="11" t="str">
        <f aca="false">INDEX(PRODUTOS!$E$4:$E$63,MATCH($A52,PRODUTOS!$B$4:$B$63,0))</f>
        <v>New Dots Ração Seca Premium para Cães Adultos de Raças Pequenas - 1 kg</v>
      </c>
      <c r="C52" s="11" t="str">
        <f aca="false">INDEX(PRODUTOS!$H$4:$H$63,MATCH($A52,PRODUTOS!$B$4:$B$63,0))</f>
        <v>1 kg</v>
      </c>
      <c r="D52" s="11" t="s">
        <v>317</v>
      </c>
      <c r="E52" s="16" t="str">
        <f aca="false">$A52&amp;"."&amp;$D52&amp;".jpg"</f>
        <v>7898968541511.AP01.jpg</v>
      </c>
      <c r="F52" s="11" t="str">
        <f aca="false">IF(INDEX(PRODUTOS!$I$4:$I$63,MATCH($A52,PRODUTOS!$B$4:$B$63,0))="B",INDEX(MODELOS!$F$4:$F$11,MATCH($D52,MODELOS!$A$4:$A$11,0)),INDEX(MODELOS!$B$4:$B$11,MATCH($D52,MODELOS!$A$4:$A$11,0)))</f>
        <v>Módulo 1 · Banner</v>
      </c>
      <c r="G52" s="11" t="str">
        <f aca="false">IF(INDEX(PRODUTOS!$F$4:$F$63,MATCH($A52,PRODUTOS!$B$4:$B$63,0))="Ração",IF(INDEX(PRODUTOS!$I$4:$I$63,MATCH($A52,PRODUTOS!$B$4:$B$63,0))="B",INDEX(MODELOS!$G$4:$G$11,MATCH($D52,MODELOS!$A$4:$A$11,0)),INDEX(MODELOS!$C$4:$C$11,MATCH($D52,MODELOS!$A$4:$A$11,0))),IF(INDEX(PRODUTOS!$I$4:$I$63,MATCH($A52,PRODUTOS!$B$4:$B$63,0))="B",INDEX(MODELOS!$H$4:$H$11,MATCH($D52,MODELOS!$A$4:$A$11,0)),INDEX(MODELOS!$D$4:$D$11,MATCH($D52,MODELOS!$A$4:$A$11,0))))</f>
        <v>Embalagem + pet + ingredientes, com o nome da linha</v>
      </c>
      <c r="H52" s="11" t="str">
        <f aca="false">IF(INDEX(PRODUTOS!$I$4:$I$63,MATCH($A52,PRODUTOS!$B$4:$B$63,0))="B",INDEX(MODELOS!$I$4:$I$11,MATCH($D52,MODELOS!$A$4:$A$11,0)),INDEX(MODELOS!$E$4:$E$11,MATCH($D52,MODELOS!$A$4:$A$11,0)))</f>
        <v>970 × 600</v>
      </c>
      <c r="I52" s="11" t="str">
        <f aca="false">IF($D52="COMP","SIM",IF(INDEX(PRODUTOS!$J$4:$J$63,MATCH($A52,PRODUTOS!$B$4:$B$63,0))&lt;&gt;"","NÃO (usa o A+ do EAN "&amp;INDEX(PRODUTOS!$J$4:$J$63,MATCH($A52,PRODUTOS!$B$4:$B$63,0))&amp;")",IF(AND(INDEX(PRODUTOS!$I$4:$I$63,MATCH($A52,PRODUTOS!$B$4:$B$63,0))="B",$D52="AP07"),"NÃO (modelo B)","SIM")))</f>
        <v>NÃO (usa o A+ do EAN 7898968541535)</v>
      </c>
      <c r="J52" s="13" t="s">
        <v>318</v>
      </c>
      <c r="K52" s="13"/>
    </row>
    <row r="53" customFormat="false" ht="15" hidden="false" customHeight="false" outlineLevel="0" collapsed="false">
      <c r="A53" s="15" t="s">
        <v>71</v>
      </c>
      <c r="B53" s="11" t="str">
        <f aca="false">INDEX(PRODUTOS!$E$4:$E$63,MATCH($A53,PRODUTOS!$B$4:$B$63,0))</f>
        <v>New Dots Ração Seca Premium para Cães Adultos de Raças Pequenas - 1 kg</v>
      </c>
      <c r="C53" s="11" t="str">
        <f aca="false">INDEX(PRODUTOS!$H$4:$H$63,MATCH($A53,PRODUTOS!$B$4:$B$63,0))</f>
        <v>1 kg</v>
      </c>
      <c r="D53" s="11" t="s">
        <v>319</v>
      </c>
      <c r="E53" s="16" t="str">
        <f aca="false">$A53&amp;"."&amp;$D53&amp;".jpg"</f>
        <v>7898968541511.AP02.jpg</v>
      </c>
      <c r="F53" s="11" t="str">
        <f aca="false">IF(INDEX(PRODUTOS!$I$4:$I$63,MATCH($A53,PRODUTOS!$B$4:$B$63,0))="B",INDEX(MODELOS!$F$4:$F$11,MATCH($D53,MODELOS!$A$4:$A$11,0)),INDEX(MODELOS!$B$4:$B$11,MATCH($D53,MODELOS!$A$4:$A$11,0)))</f>
        <v>Módulo 2 · Texto sobreposto</v>
      </c>
      <c r="G53" s="11" t="str">
        <f aca="false">IF(INDEX(PRODUTOS!$F$4:$F$63,MATCH($A53,PRODUTOS!$B$4:$B$63,0))="Ração",IF(INDEX(PRODUTOS!$I$4:$I$63,MATCH($A53,PRODUTOS!$B$4:$B$63,0))="B",INDEX(MODELOS!$G$4:$G$11,MATCH($D53,MODELOS!$A$4:$A$11,0)),INDEX(MODELOS!$C$4:$C$11,MATCH($D53,MODELOS!$A$4:$A$11,0))),IF(INDEX(PRODUTOS!$I$4:$I$63,MATCH($A53,PRODUTOS!$B$4:$B$63,0))="B",INDEX(MODELOS!$H$4:$H$11,MATCH($D53,MODELOS!$A$4:$A$11,0)),INDEX(MODELOS!$D$4:$D$11,MATCH($D53,MODELOS!$A$4:$A$11,0))))</f>
        <v>Principal diferencial; deixar o lado direito limpo</v>
      </c>
      <c r="H53" s="11" t="str">
        <f aca="false">IF(INDEX(PRODUTOS!$I$4:$I$63,MATCH($A53,PRODUTOS!$B$4:$B$63,0))="B",INDEX(MODELOS!$I$4:$I$11,MATCH($D53,MODELOS!$A$4:$A$11,0)),INDEX(MODELOS!$E$4:$E$11,MATCH($D53,MODELOS!$A$4:$A$11,0)))</f>
        <v>970 × 300</v>
      </c>
      <c r="I53" s="11" t="str">
        <f aca="false">IF($D53="COMP","SIM",IF(INDEX(PRODUTOS!$J$4:$J$63,MATCH($A53,PRODUTOS!$B$4:$B$63,0))&lt;&gt;"","NÃO (usa o A+ do EAN "&amp;INDEX(PRODUTOS!$J$4:$J$63,MATCH($A53,PRODUTOS!$B$4:$B$63,0))&amp;")",IF(AND(INDEX(PRODUTOS!$I$4:$I$63,MATCH($A53,PRODUTOS!$B$4:$B$63,0))="B",$D53="AP07"),"NÃO (modelo B)","SIM")))</f>
        <v>NÃO (usa o A+ do EAN 7898968541535)</v>
      </c>
      <c r="J53" s="13" t="s">
        <v>318</v>
      </c>
      <c r="K53" s="13"/>
    </row>
    <row r="54" customFormat="false" ht="15" hidden="false" customHeight="false" outlineLevel="0" collapsed="false">
      <c r="A54" s="15" t="s">
        <v>71</v>
      </c>
      <c r="B54" s="11" t="str">
        <f aca="false">INDEX(PRODUTOS!$E$4:$E$63,MATCH($A54,PRODUTOS!$B$4:$B$63,0))</f>
        <v>New Dots Ração Seca Premium para Cães Adultos de Raças Pequenas - 1 kg</v>
      </c>
      <c r="C54" s="11" t="str">
        <f aca="false">INDEX(PRODUTOS!$H$4:$H$63,MATCH($A54,PRODUTOS!$B$4:$B$63,0))</f>
        <v>1 kg</v>
      </c>
      <c r="D54" s="11" t="s">
        <v>320</v>
      </c>
      <c r="E54" s="16" t="str">
        <f aca="false">$A54&amp;"."&amp;$D54&amp;".jpg"</f>
        <v>7898968541511.AP03.jpg</v>
      </c>
      <c r="F54" s="11" t="str">
        <f aca="false">IF(INDEX(PRODUTOS!$I$4:$I$63,MATCH($A54,PRODUTOS!$B$4:$B$63,0))="B",INDEX(MODELOS!$F$4:$F$11,MATCH($D54,MODELOS!$A$4:$A$11,0)),INDEX(MODELOS!$B$4:$B$11,MATCH($D54,MODELOS!$A$4:$A$11,0)))</f>
        <v>Módulo 3 · Benefício 1 de 4</v>
      </c>
      <c r="G54" s="11" t="str">
        <f aca="false">IF(INDEX(PRODUTOS!$F$4:$F$63,MATCH($A54,PRODUTOS!$B$4:$B$63,0))="Ração",IF(INDEX(PRODUTOS!$I$4:$I$63,MATCH($A54,PRODUTOS!$B$4:$B$63,0))="B",INDEX(MODELOS!$G$4:$G$11,MATCH($D54,MODELOS!$A$4:$A$11,0)),INDEX(MODELOS!$C$4:$C$11,MATCH($D54,MODELOS!$A$4:$A$11,0))),IF(INDEX(PRODUTOS!$I$4:$I$63,MATCH($A54,PRODUTOS!$B$4:$B$63,0))="B",INDEX(MODELOS!$H$4:$H$11,MATCH($D54,MODELOS!$A$4:$A$11,0)),INDEX(MODELOS!$D$4:$D$11,MATCH($D54,MODELOS!$A$4:$A$11,0))))</f>
        <v>Foto/ilustração do benefício 1</v>
      </c>
      <c r="H54" s="11" t="str">
        <f aca="false">IF(INDEX(PRODUTOS!$I$4:$I$63,MATCH($A54,PRODUTOS!$B$4:$B$63,0))="B",INDEX(MODELOS!$I$4:$I$11,MATCH($D54,MODELOS!$A$4:$A$11,0)),INDEX(MODELOS!$E$4:$E$11,MATCH($D54,MODELOS!$A$4:$A$11,0)))</f>
        <v>220 × 200</v>
      </c>
      <c r="I54" s="11" t="str">
        <f aca="false">IF($D54="COMP","SIM",IF(INDEX(PRODUTOS!$J$4:$J$63,MATCH($A54,PRODUTOS!$B$4:$B$63,0))&lt;&gt;"","NÃO (usa o A+ do EAN "&amp;INDEX(PRODUTOS!$J$4:$J$63,MATCH($A54,PRODUTOS!$B$4:$B$63,0))&amp;")",IF(AND(INDEX(PRODUTOS!$I$4:$I$63,MATCH($A54,PRODUTOS!$B$4:$B$63,0))="B",$D54="AP07"),"NÃO (modelo B)","SIM")))</f>
        <v>NÃO (usa o A+ do EAN 7898968541535)</v>
      </c>
      <c r="J54" s="13" t="s">
        <v>318</v>
      </c>
      <c r="K54" s="13"/>
    </row>
    <row r="55" customFormat="false" ht="15" hidden="false" customHeight="false" outlineLevel="0" collapsed="false">
      <c r="A55" s="15" t="s">
        <v>71</v>
      </c>
      <c r="B55" s="11" t="str">
        <f aca="false">INDEX(PRODUTOS!$E$4:$E$63,MATCH($A55,PRODUTOS!$B$4:$B$63,0))</f>
        <v>New Dots Ração Seca Premium para Cães Adultos de Raças Pequenas - 1 kg</v>
      </c>
      <c r="C55" s="11" t="str">
        <f aca="false">INDEX(PRODUTOS!$H$4:$H$63,MATCH($A55,PRODUTOS!$B$4:$B$63,0))</f>
        <v>1 kg</v>
      </c>
      <c r="D55" s="11" t="s">
        <v>321</v>
      </c>
      <c r="E55" s="16" t="str">
        <f aca="false">$A55&amp;"."&amp;$D55&amp;".jpg"</f>
        <v>7898968541511.AP04.jpg</v>
      </c>
      <c r="F55" s="11" t="str">
        <f aca="false">IF(INDEX(PRODUTOS!$I$4:$I$63,MATCH($A55,PRODUTOS!$B$4:$B$63,0))="B",INDEX(MODELOS!$F$4:$F$11,MATCH($D55,MODELOS!$A$4:$A$11,0)),INDEX(MODELOS!$B$4:$B$11,MATCH($D55,MODELOS!$A$4:$A$11,0)))</f>
        <v>Módulo 3 · Benefício 2 de 4</v>
      </c>
      <c r="G55" s="11" t="str">
        <f aca="false">IF(INDEX(PRODUTOS!$F$4:$F$63,MATCH($A55,PRODUTOS!$B$4:$B$63,0))="Ração",IF(INDEX(PRODUTOS!$I$4:$I$63,MATCH($A55,PRODUTOS!$B$4:$B$63,0))="B",INDEX(MODELOS!$G$4:$G$11,MATCH($D55,MODELOS!$A$4:$A$11,0)),INDEX(MODELOS!$C$4:$C$11,MATCH($D55,MODELOS!$A$4:$A$11,0))),IF(INDEX(PRODUTOS!$I$4:$I$63,MATCH($A55,PRODUTOS!$B$4:$B$63,0))="B",INDEX(MODELOS!$H$4:$H$11,MATCH($D55,MODELOS!$A$4:$A$11,0)),INDEX(MODELOS!$D$4:$D$11,MATCH($D55,MODELOS!$A$4:$A$11,0))))</f>
        <v>Foto/ilustração do benefício 2</v>
      </c>
      <c r="H55" s="11" t="str">
        <f aca="false">IF(INDEX(PRODUTOS!$I$4:$I$63,MATCH($A55,PRODUTOS!$B$4:$B$63,0))="B",INDEX(MODELOS!$I$4:$I$11,MATCH($D55,MODELOS!$A$4:$A$11,0)),INDEX(MODELOS!$E$4:$E$11,MATCH($D55,MODELOS!$A$4:$A$11,0)))</f>
        <v>220 × 200</v>
      </c>
      <c r="I55" s="11" t="str">
        <f aca="false">IF($D55="COMP","SIM",IF(INDEX(PRODUTOS!$J$4:$J$63,MATCH($A55,PRODUTOS!$B$4:$B$63,0))&lt;&gt;"","NÃO (usa o A+ do EAN "&amp;INDEX(PRODUTOS!$J$4:$J$63,MATCH($A55,PRODUTOS!$B$4:$B$63,0))&amp;")",IF(AND(INDEX(PRODUTOS!$I$4:$I$63,MATCH($A55,PRODUTOS!$B$4:$B$63,0))="B",$D55="AP07"),"NÃO (modelo B)","SIM")))</f>
        <v>NÃO (usa o A+ do EAN 7898968541535)</v>
      </c>
      <c r="J55" s="13" t="s">
        <v>318</v>
      </c>
      <c r="K55" s="13"/>
    </row>
    <row r="56" customFormat="false" ht="15" hidden="false" customHeight="false" outlineLevel="0" collapsed="false">
      <c r="A56" s="15" t="s">
        <v>71</v>
      </c>
      <c r="B56" s="11" t="str">
        <f aca="false">INDEX(PRODUTOS!$E$4:$E$63,MATCH($A56,PRODUTOS!$B$4:$B$63,0))</f>
        <v>New Dots Ração Seca Premium para Cães Adultos de Raças Pequenas - 1 kg</v>
      </c>
      <c r="C56" s="11" t="str">
        <f aca="false">INDEX(PRODUTOS!$H$4:$H$63,MATCH($A56,PRODUTOS!$B$4:$B$63,0))</f>
        <v>1 kg</v>
      </c>
      <c r="D56" s="11" t="s">
        <v>322</v>
      </c>
      <c r="E56" s="16" t="str">
        <f aca="false">$A56&amp;"."&amp;$D56&amp;".jpg"</f>
        <v>7898968541511.AP05.jpg</v>
      </c>
      <c r="F56" s="11" t="str">
        <f aca="false">IF(INDEX(PRODUTOS!$I$4:$I$63,MATCH($A56,PRODUTOS!$B$4:$B$63,0))="B",INDEX(MODELOS!$F$4:$F$11,MATCH($D56,MODELOS!$A$4:$A$11,0)),INDEX(MODELOS!$B$4:$B$11,MATCH($D56,MODELOS!$A$4:$A$11,0)))</f>
        <v>Módulo 3 · Benefício 3 de 4</v>
      </c>
      <c r="G56" s="11" t="str">
        <f aca="false">IF(INDEX(PRODUTOS!$F$4:$F$63,MATCH($A56,PRODUTOS!$B$4:$B$63,0))="Ração",IF(INDEX(PRODUTOS!$I$4:$I$63,MATCH($A56,PRODUTOS!$B$4:$B$63,0))="B",INDEX(MODELOS!$G$4:$G$11,MATCH($D56,MODELOS!$A$4:$A$11,0)),INDEX(MODELOS!$C$4:$C$11,MATCH($D56,MODELOS!$A$4:$A$11,0))),IF(INDEX(PRODUTOS!$I$4:$I$63,MATCH($A56,PRODUTOS!$B$4:$B$63,0))="B",INDEX(MODELOS!$H$4:$H$11,MATCH($D56,MODELOS!$A$4:$A$11,0)),INDEX(MODELOS!$D$4:$D$11,MATCH($D56,MODELOS!$A$4:$A$11,0))))</f>
        <v>Foto/ilustração do benefício 3</v>
      </c>
      <c r="H56" s="11" t="str">
        <f aca="false">IF(INDEX(PRODUTOS!$I$4:$I$63,MATCH($A56,PRODUTOS!$B$4:$B$63,0))="B",INDEX(MODELOS!$I$4:$I$11,MATCH($D56,MODELOS!$A$4:$A$11,0)),INDEX(MODELOS!$E$4:$E$11,MATCH($D56,MODELOS!$A$4:$A$11,0)))</f>
        <v>220 × 200</v>
      </c>
      <c r="I56" s="11" t="str">
        <f aca="false">IF($D56="COMP","SIM",IF(INDEX(PRODUTOS!$J$4:$J$63,MATCH($A56,PRODUTOS!$B$4:$B$63,0))&lt;&gt;"","NÃO (usa o A+ do EAN "&amp;INDEX(PRODUTOS!$J$4:$J$63,MATCH($A56,PRODUTOS!$B$4:$B$63,0))&amp;")",IF(AND(INDEX(PRODUTOS!$I$4:$I$63,MATCH($A56,PRODUTOS!$B$4:$B$63,0))="B",$D56="AP07"),"NÃO (modelo B)","SIM")))</f>
        <v>NÃO (usa o A+ do EAN 7898968541535)</v>
      </c>
      <c r="J56" s="13" t="s">
        <v>318</v>
      </c>
      <c r="K56" s="13"/>
    </row>
    <row r="57" customFormat="false" ht="15" hidden="false" customHeight="false" outlineLevel="0" collapsed="false">
      <c r="A57" s="15" t="s">
        <v>71</v>
      </c>
      <c r="B57" s="11" t="str">
        <f aca="false">INDEX(PRODUTOS!$E$4:$E$63,MATCH($A57,PRODUTOS!$B$4:$B$63,0))</f>
        <v>New Dots Ração Seca Premium para Cães Adultos de Raças Pequenas - 1 kg</v>
      </c>
      <c r="C57" s="11" t="str">
        <f aca="false">INDEX(PRODUTOS!$H$4:$H$63,MATCH($A57,PRODUTOS!$B$4:$B$63,0))</f>
        <v>1 kg</v>
      </c>
      <c r="D57" s="11" t="s">
        <v>323</v>
      </c>
      <c r="E57" s="16" t="str">
        <f aca="false">$A57&amp;"."&amp;$D57&amp;".jpg"</f>
        <v>7898968541511.AP06.jpg</v>
      </c>
      <c r="F57" s="11" t="str">
        <f aca="false">IF(INDEX(PRODUTOS!$I$4:$I$63,MATCH($A57,PRODUTOS!$B$4:$B$63,0))="B",INDEX(MODELOS!$F$4:$F$11,MATCH($D57,MODELOS!$A$4:$A$11,0)),INDEX(MODELOS!$B$4:$B$11,MATCH($D57,MODELOS!$A$4:$A$11,0)))</f>
        <v>Módulo 3 · Benefício 4 de 4</v>
      </c>
      <c r="G57" s="11" t="str">
        <f aca="false">IF(INDEX(PRODUTOS!$F$4:$F$63,MATCH($A57,PRODUTOS!$B$4:$B$63,0))="Ração",IF(INDEX(PRODUTOS!$I$4:$I$63,MATCH($A57,PRODUTOS!$B$4:$B$63,0))="B",INDEX(MODELOS!$G$4:$G$11,MATCH($D57,MODELOS!$A$4:$A$11,0)),INDEX(MODELOS!$C$4:$C$11,MATCH($D57,MODELOS!$A$4:$A$11,0))),IF(INDEX(PRODUTOS!$I$4:$I$63,MATCH($A57,PRODUTOS!$B$4:$B$63,0))="B",INDEX(MODELOS!$H$4:$H$11,MATCH($D57,MODELOS!$A$4:$A$11,0)),INDEX(MODELOS!$D$4:$D$11,MATCH($D57,MODELOS!$A$4:$A$11,0))))</f>
        <v>Foto/ilustração do benefício 4</v>
      </c>
      <c r="H57" s="11" t="str">
        <f aca="false">IF(INDEX(PRODUTOS!$I$4:$I$63,MATCH($A57,PRODUTOS!$B$4:$B$63,0))="B",INDEX(MODELOS!$I$4:$I$11,MATCH($D57,MODELOS!$A$4:$A$11,0)),INDEX(MODELOS!$E$4:$E$11,MATCH($D57,MODELOS!$A$4:$A$11,0)))</f>
        <v>220 × 200</v>
      </c>
      <c r="I57" s="11" t="str">
        <f aca="false">IF($D57="COMP","SIM",IF(INDEX(PRODUTOS!$J$4:$J$63,MATCH($A57,PRODUTOS!$B$4:$B$63,0))&lt;&gt;"","NÃO (usa o A+ do EAN "&amp;INDEX(PRODUTOS!$J$4:$J$63,MATCH($A57,PRODUTOS!$B$4:$B$63,0))&amp;")",IF(AND(INDEX(PRODUTOS!$I$4:$I$63,MATCH($A57,PRODUTOS!$B$4:$B$63,0))="B",$D57="AP07"),"NÃO (modelo B)","SIM")))</f>
        <v>NÃO (usa o A+ do EAN 7898968541535)</v>
      </c>
      <c r="J57" s="13" t="s">
        <v>318</v>
      </c>
      <c r="K57" s="13"/>
    </row>
    <row r="58" customFormat="false" ht="15" hidden="false" customHeight="false" outlineLevel="0" collapsed="false">
      <c r="A58" s="15" t="s">
        <v>71</v>
      </c>
      <c r="B58" s="11" t="str">
        <f aca="false">INDEX(PRODUTOS!$E$4:$E$63,MATCH($A58,PRODUTOS!$B$4:$B$63,0))</f>
        <v>New Dots Ração Seca Premium para Cães Adultos de Raças Pequenas - 1 kg</v>
      </c>
      <c r="C58" s="11" t="str">
        <f aca="false">INDEX(PRODUTOS!$H$4:$H$63,MATCH($A58,PRODUTOS!$B$4:$B$63,0))</f>
        <v>1 kg</v>
      </c>
      <c r="D58" s="11" t="s">
        <v>324</v>
      </c>
      <c r="E58" s="16" t="str">
        <f aca="false">$A58&amp;"."&amp;$D58&amp;".jpg"</f>
        <v>7898968541511.AP07.jpg</v>
      </c>
      <c r="F58" s="11" t="str">
        <f aca="false">IF(INDEX(PRODUTOS!$I$4:$I$63,MATCH($A58,PRODUTOS!$B$4:$B$63,0))="B",INDEX(MODELOS!$F$4:$F$11,MATCH($D58,MODELOS!$A$4:$A$11,0)),INDEX(MODELOS!$B$4:$B$11,MATCH($D58,MODELOS!$A$4:$A$11,0)))</f>
        <v>Módulo 4 · Especificações</v>
      </c>
      <c r="G58" s="11" t="str">
        <f aca="false">IF(INDEX(PRODUTOS!$F$4:$F$63,MATCH($A58,PRODUTOS!$B$4:$B$63,0))="Ração",IF(INDEX(PRODUTOS!$I$4:$I$63,MATCH($A58,PRODUTOS!$B$4:$B$63,0))="B",INDEX(MODELOS!$G$4:$G$11,MATCH($D58,MODELOS!$A$4:$A$11,0)),INDEX(MODELOS!$C$4:$C$11,MATCH($D58,MODELOS!$A$4:$A$11,0))),IF(INDEX(PRODUTOS!$I$4:$I$63,MATCH($A58,PRODUTOS!$B$4:$B$63,0))="B",INDEX(MODELOS!$H$4:$H$11,MATCH($D58,MODELOS!$A$4:$A$11,0)),INDEX(MODELOS!$D$4:$D$11,MATCH($D58,MODELOS!$A$4:$A$11,0))))</f>
        <v>Grão ou pacote em destaque</v>
      </c>
      <c r="H58" s="11" t="str">
        <f aca="false">IF(INDEX(PRODUTOS!$I$4:$I$63,MATCH($A58,PRODUTOS!$B$4:$B$63,0))="B",INDEX(MODELOS!$I$4:$I$11,MATCH($D58,MODELOS!$A$4:$A$11,0)),INDEX(MODELOS!$E$4:$E$11,MATCH($D58,MODELOS!$A$4:$A$11,0)))</f>
        <v>300 × 300</v>
      </c>
      <c r="I58" s="11" t="str">
        <f aca="false">IF($D58="COMP","SIM",IF(INDEX(PRODUTOS!$J$4:$J$63,MATCH($A58,PRODUTOS!$B$4:$B$63,0))&lt;&gt;"","NÃO (usa o A+ do EAN "&amp;INDEX(PRODUTOS!$J$4:$J$63,MATCH($A58,PRODUTOS!$B$4:$B$63,0))&amp;")",IF(AND(INDEX(PRODUTOS!$I$4:$I$63,MATCH($A58,PRODUTOS!$B$4:$B$63,0))="B",$D58="AP07"),"NÃO (modelo B)","SIM")))</f>
        <v>NÃO (usa o A+ do EAN 7898968541535)</v>
      </c>
      <c r="J58" s="13" t="s">
        <v>318</v>
      </c>
      <c r="K58" s="13"/>
    </row>
    <row r="59" customFormat="false" ht="15" hidden="false" customHeight="false" outlineLevel="0" collapsed="false">
      <c r="A59" s="15" t="s">
        <v>71</v>
      </c>
      <c r="B59" s="11" t="str">
        <f aca="false">INDEX(PRODUTOS!$E$4:$E$63,MATCH($A59,PRODUTOS!$B$4:$B$63,0))</f>
        <v>New Dots Ração Seca Premium para Cães Adultos de Raças Pequenas - 1 kg</v>
      </c>
      <c r="C59" s="11" t="str">
        <f aca="false">INDEX(PRODUTOS!$H$4:$H$63,MATCH($A59,PRODUTOS!$B$4:$B$63,0))</f>
        <v>1 kg</v>
      </c>
      <c r="D59" s="11" t="s">
        <v>325</v>
      </c>
      <c r="E59" s="16" t="str">
        <f aca="false">$A59&amp;"."&amp;$D59&amp;".jpg"</f>
        <v>7898968541511.COMP.jpg</v>
      </c>
      <c r="F59" s="11" t="str">
        <f aca="false">IF(INDEX(PRODUTOS!$I$4:$I$63,MATCH($A59,PRODUTOS!$B$4:$B$63,0))="B",INDEX(MODELOS!$F$4:$F$11,MATCH($D59,MODELOS!$A$4:$A$11,0)),INDEX(MODELOS!$B$4:$B$11,MATCH($D59,MODELOS!$A$4:$A$11,0)))</f>
        <v>Módulo 5 · Tabela comparativa</v>
      </c>
      <c r="G59" s="11" t="str">
        <f aca="false">IF(INDEX(PRODUTOS!$F$4:$F$63,MATCH($A59,PRODUTOS!$B$4:$B$63,0))="Ração",IF(INDEX(PRODUTOS!$I$4:$I$63,MATCH($A59,PRODUTOS!$B$4:$B$63,0))="B",INDEX(MODELOS!$G$4:$G$11,MATCH($D59,MODELOS!$A$4:$A$11,0)),INDEX(MODELOS!$C$4:$C$11,MATCH($D59,MODELOS!$A$4:$A$11,0))),IF(INDEX(PRODUTOS!$I$4:$I$63,MATCH($A59,PRODUTOS!$B$4:$B$63,0))="B",INDEX(MODELOS!$H$4:$H$11,MATCH($D59,MODELOS!$A$4:$A$11,0)),INDEX(MODELOS!$D$4:$D$11,MATCH($D59,MODELOS!$A$4:$A$11,0))))</f>
        <v>Pacote na vertical, sem fundo colorido</v>
      </c>
      <c r="H59" s="11" t="str">
        <f aca="false">IF(INDEX(PRODUTOS!$I$4:$I$63,MATCH($A59,PRODUTOS!$B$4:$B$63,0))="B",INDEX(MODELOS!$I$4:$I$11,MATCH($D59,MODELOS!$A$4:$A$11,0)),INDEX(MODELOS!$E$4:$E$11,MATCH($D59,MODELOS!$A$4:$A$11,0)))</f>
        <v>150 × 300</v>
      </c>
      <c r="I59" s="11" t="str">
        <f aca="false">IF($D59="COMP","SIM",IF(INDEX(PRODUTOS!$J$4:$J$63,MATCH($A59,PRODUTOS!$B$4:$B$63,0))&lt;&gt;"","NÃO (usa o A+ do EAN "&amp;INDEX(PRODUTOS!$J$4:$J$63,MATCH($A59,PRODUTOS!$B$4:$B$63,0))&amp;")",IF(AND(INDEX(PRODUTOS!$I$4:$I$63,MATCH($A59,PRODUTOS!$B$4:$B$63,0))="B",$D59="AP07"),"NÃO (modelo B)","SIM")))</f>
        <v>SIM</v>
      </c>
      <c r="J59" s="13" t="s">
        <v>318</v>
      </c>
      <c r="K59" s="13"/>
    </row>
    <row r="60" customFormat="false" ht="15" hidden="false" customHeight="false" outlineLevel="0" collapsed="false">
      <c r="A60" s="15" t="s">
        <v>74</v>
      </c>
      <c r="B60" s="11" t="str">
        <f aca="false">INDEX(PRODUTOS!$E$4:$E$63,MATCH($A60,PRODUTOS!$B$4:$B$63,0))</f>
        <v>New Dots Ração Seca Premium para Cães Filhotes - 20 kg</v>
      </c>
      <c r="C60" s="11" t="str">
        <f aca="false">INDEX(PRODUTOS!$H$4:$H$63,MATCH($A60,PRODUTOS!$B$4:$B$63,0))</f>
        <v>20 kg</v>
      </c>
      <c r="D60" s="11" t="s">
        <v>317</v>
      </c>
      <c r="E60" s="16" t="str">
        <f aca="false">$A60&amp;"."&amp;$D60&amp;".jpg"</f>
        <v>7898968541566.AP01.jpg</v>
      </c>
      <c r="F60" s="11" t="str">
        <f aca="false">IF(INDEX(PRODUTOS!$I$4:$I$63,MATCH($A60,PRODUTOS!$B$4:$B$63,0))="B",INDEX(MODELOS!$F$4:$F$11,MATCH($D60,MODELOS!$A$4:$A$11,0)),INDEX(MODELOS!$B$4:$B$11,MATCH($D60,MODELOS!$A$4:$A$11,0)))</f>
        <v>Módulo 1 · Banner</v>
      </c>
      <c r="G60" s="11" t="str">
        <f aca="false">IF(INDEX(PRODUTOS!$F$4:$F$63,MATCH($A60,PRODUTOS!$B$4:$B$63,0))="Ração",IF(INDEX(PRODUTOS!$I$4:$I$63,MATCH($A60,PRODUTOS!$B$4:$B$63,0))="B",INDEX(MODELOS!$G$4:$G$11,MATCH($D60,MODELOS!$A$4:$A$11,0)),INDEX(MODELOS!$C$4:$C$11,MATCH($D60,MODELOS!$A$4:$A$11,0))),IF(INDEX(PRODUTOS!$I$4:$I$63,MATCH($A60,PRODUTOS!$B$4:$B$63,0))="B",INDEX(MODELOS!$H$4:$H$11,MATCH($D60,MODELOS!$A$4:$A$11,0)),INDEX(MODELOS!$D$4:$D$11,MATCH($D60,MODELOS!$A$4:$A$11,0))))</f>
        <v>Embalagem + pet + ingredientes, com o nome da linha</v>
      </c>
      <c r="H60" s="11" t="str">
        <f aca="false">IF(INDEX(PRODUTOS!$I$4:$I$63,MATCH($A60,PRODUTOS!$B$4:$B$63,0))="B",INDEX(MODELOS!$I$4:$I$11,MATCH($D60,MODELOS!$A$4:$A$11,0)),INDEX(MODELOS!$E$4:$E$11,MATCH($D60,MODELOS!$A$4:$A$11,0)))</f>
        <v>970 × 600</v>
      </c>
      <c r="I60" s="11" t="str">
        <f aca="false">IF($D60="COMP","SIM",IF(INDEX(PRODUTOS!$J$4:$J$63,MATCH($A60,PRODUTOS!$B$4:$B$63,0))&lt;&gt;"","NÃO (usa o A+ do EAN "&amp;INDEX(PRODUTOS!$J$4:$J$63,MATCH($A60,PRODUTOS!$B$4:$B$63,0))&amp;")",IF(AND(INDEX(PRODUTOS!$I$4:$I$63,MATCH($A60,PRODUTOS!$B$4:$B$63,0))="B",$D60="AP07"),"NÃO (modelo B)","SIM")))</f>
        <v>SIM</v>
      </c>
      <c r="J60" s="13" t="s">
        <v>318</v>
      </c>
      <c r="K60" s="13"/>
    </row>
    <row r="61" customFormat="false" ht="15" hidden="false" customHeight="false" outlineLevel="0" collapsed="false">
      <c r="A61" s="15" t="s">
        <v>74</v>
      </c>
      <c r="B61" s="11" t="str">
        <f aca="false">INDEX(PRODUTOS!$E$4:$E$63,MATCH($A61,PRODUTOS!$B$4:$B$63,0))</f>
        <v>New Dots Ração Seca Premium para Cães Filhotes - 20 kg</v>
      </c>
      <c r="C61" s="11" t="str">
        <f aca="false">INDEX(PRODUTOS!$H$4:$H$63,MATCH($A61,PRODUTOS!$B$4:$B$63,0))</f>
        <v>20 kg</v>
      </c>
      <c r="D61" s="11" t="s">
        <v>319</v>
      </c>
      <c r="E61" s="16" t="str">
        <f aca="false">$A61&amp;"."&amp;$D61&amp;".jpg"</f>
        <v>7898968541566.AP02.jpg</v>
      </c>
      <c r="F61" s="11" t="str">
        <f aca="false">IF(INDEX(PRODUTOS!$I$4:$I$63,MATCH($A61,PRODUTOS!$B$4:$B$63,0))="B",INDEX(MODELOS!$F$4:$F$11,MATCH($D61,MODELOS!$A$4:$A$11,0)),INDEX(MODELOS!$B$4:$B$11,MATCH($D61,MODELOS!$A$4:$A$11,0)))</f>
        <v>Módulo 2 · Texto sobreposto</v>
      </c>
      <c r="G61" s="11" t="str">
        <f aca="false">IF(INDEX(PRODUTOS!$F$4:$F$63,MATCH($A61,PRODUTOS!$B$4:$B$63,0))="Ração",IF(INDEX(PRODUTOS!$I$4:$I$63,MATCH($A61,PRODUTOS!$B$4:$B$63,0))="B",INDEX(MODELOS!$G$4:$G$11,MATCH($D61,MODELOS!$A$4:$A$11,0)),INDEX(MODELOS!$C$4:$C$11,MATCH($D61,MODELOS!$A$4:$A$11,0))),IF(INDEX(PRODUTOS!$I$4:$I$63,MATCH($A61,PRODUTOS!$B$4:$B$63,0))="B",INDEX(MODELOS!$H$4:$H$11,MATCH($D61,MODELOS!$A$4:$A$11,0)),INDEX(MODELOS!$D$4:$D$11,MATCH($D61,MODELOS!$A$4:$A$11,0))))</f>
        <v>Principal diferencial; deixar o lado direito limpo</v>
      </c>
      <c r="H61" s="11" t="str">
        <f aca="false">IF(INDEX(PRODUTOS!$I$4:$I$63,MATCH($A61,PRODUTOS!$B$4:$B$63,0))="B",INDEX(MODELOS!$I$4:$I$11,MATCH($D61,MODELOS!$A$4:$A$11,0)),INDEX(MODELOS!$E$4:$E$11,MATCH($D61,MODELOS!$A$4:$A$11,0)))</f>
        <v>970 × 300</v>
      </c>
      <c r="I61" s="11" t="str">
        <f aca="false">IF($D61="COMP","SIM",IF(INDEX(PRODUTOS!$J$4:$J$63,MATCH($A61,PRODUTOS!$B$4:$B$63,0))&lt;&gt;"","NÃO (usa o A+ do EAN "&amp;INDEX(PRODUTOS!$J$4:$J$63,MATCH($A61,PRODUTOS!$B$4:$B$63,0))&amp;")",IF(AND(INDEX(PRODUTOS!$I$4:$I$63,MATCH($A61,PRODUTOS!$B$4:$B$63,0))="B",$D61="AP07"),"NÃO (modelo B)","SIM")))</f>
        <v>SIM</v>
      </c>
      <c r="J61" s="13" t="s">
        <v>318</v>
      </c>
      <c r="K61" s="13"/>
    </row>
    <row r="62" customFormat="false" ht="15" hidden="false" customHeight="false" outlineLevel="0" collapsed="false">
      <c r="A62" s="15" t="s">
        <v>74</v>
      </c>
      <c r="B62" s="11" t="str">
        <f aca="false">INDEX(PRODUTOS!$E$4:$E$63,MATCH($A62,PRODUTOS!$B$4:$B$63,0))</f>
        <v>New Dots Ração Seca Premium para Cães Filhotes - 20 kg</v>
      </c>
      <c r="C62" s="11" t="str">
        <f aca="false">INDEX(PRODUTOS!$H$4:$H$63,MATCH($A62,PRODUTOS!$B$4:$B$63,0))</f>
        <v>20 kg</v>
      </c>
      <c r="D62" s="11" t="s">
        <v>320</v>
      </c>
      <c r="E62" s="16" t="str">
        <f aca="false">$A62&amp;"."&amp;$D62&amp;".jpg"</f>
        <v>7898968541566.AP03.jpg</v>
      </c>
      <c r="F62" s="11" t="str">
        <f aca="false">IF(INDEX(PRODUTOS!$I$4:$I$63,MATCH($A62,PRODUTOS!$B$4:$B$63,0))="B",INDEX(MODELOS!$F$4:$F$11,MATCH($D62,MODELOS!$A$4:$A$11,0)),INDEX(MODELOS!$B$4:$B$11,MATCH($D62,MODELOS!$A$4:$A$11,0)))</f>
        <v>Módulo 3 · Benefício 1 de 4</v>
      </c>
      <c r="G62" s="11" t="str">
        <f aca="false">IF(INDEX(PRODUTOS!$F$4:$F$63,MATCH($A62,PRODUTOS!$B$4:$B$63,0))="Ração",IF(INDEX(PRODUTOS!$I$4:$I$63,MATCH($A62,PRODUTOS!$B$4:$B$63,0))="B",INDEX(MODELOS!$G$4:$G$11,MATCH($D62,MODELOS!$A$4:$A$11,0)),INDEX(MODELOS!$C$4:$C$11,MATCH($D62,MODELOS!$A$4:$A$11,0))),IF(INDEX(PRODUTOS!$I$4:$I$63,MATCH($A62,PRODUTOS!$B$4:$B$63,0))="B",INDEX(MODELOS!$H$4:$H$11,MATCH($D62,MODELOS!$A$4:$A$11,0)),INDEX(MODELOS!$D$4:$D$11,MATCH($D62,MODELOS!$A$4:$A$11,0))))</f>
        <v>Foto/ilustração do benefício 1</v>
      </c>
      <c r="H62" s="11" t="str">
        <f aca="false">IF(INDEX(PRODUTOS!$I$4:$I$63,MATCH($A62,PRODUTOS!$B$4:$B$63,0))="B",INDEX(MODELOS!$I$4:$I$11,MATCH($D62,MODELOS!$A$4:$A$11,0)),INDEX(MODELOS!$E$4:$E$11,MATCH($D62,MODELOS!$A$4:$A$11,0)))</f>
        <v>220 × 200</v>
      </c>
      <c r="I62" s="11" t="str">
        <f aca="false">IF($D62="COMP","SIM",IF(INDEX(PRODUTOS!$J$4:$J$63,MATCH($A62,PRODUTOS!$B$4:$B$63,0))&lt;&gt;"","NÃO (usa o A+ do EAN "&amp;INDEX(PRODUTOS!$J$4:$J$63,MATCH($A62,PRODUTOS!$B$4:$B$63,0))&amp;")",IF(AND(INDEX(PRODUTOS!$I$4:$I$63,MATCH($A62,PRODUTOS!$B$4:$B$63,0))="B",$D62="AP07"),"NÃO (modelo B)","SIM")))</f>
        <v>SIM</v>
      </c>
      <c r="J62" s="13" t="s">
        <v>318</v>
      </c>
      <c r="K62" s="13"/>
    </row>
    <row r="63" customFormat="false" ht="15" hidden="false" customHeight="false" outlineLevel="0" collapsed="false">
      <c r="A63" s="15" t="s">
        <v>74</v>
      </c>
      <c r="B63" s="11" t="str">
        <f aca="false">INDEX(PRODUTOS!$E$4:$E$63,MATCH($A63,PRODUTOS!$B$4:$B$63,0))</f>
        <v>New Dots Ração Seca Premium para Cães Filhotes - 20 kg</v>
      </c>
      <c r="C63" s="11" t="str">
        <f aca="false">INDEX(PRODUTOS!$H$4:$H$63,MATCH($A63,PRODUTOS!$B$4:$B$63,0))</f>
        <v>20 kg</v>
      </c>
      <c r="D63" s="11" t="s">
        <v>321</v>
      </c>
      <c r="E63" s="16" t="str">
        <f aca="false">$A63&amp;"."&amp;$D63&amp;".jpg"</f>
        <v>7898968541566.AP04.jpg</v>
      </c>
      <c r="F63" s="11" t="str">
        <f aca="false">IF(INDEX(PRODUTOS!$I$4:$I$63,MATCH($A63,PRODUTOS!$B$4:$B$63,0))="B",INDEX(MODELOS!$F$4:$F$11,MATCH($D63,MODELOS!$A$4:$A$11,0)),INDEX(MODELOS!$B$4:$B$11,MATCH($D63,MODELOS!$A$4:$A$11,0)))</f>
        <v>Módulo 3 · Benefício 2 de 4</v>
      </c>
      <c r="G63" s="11" t="str">
        <f aca="false">IF(INDEX(PRODUTOS!$F$4:$F$63,MATCH($A63,PRODUTOS!$B$4:$B$63,0))="Ração",IF(INDEX(PRODUTOS!$I$4:$I$63,MATCH($A63,PRODUTOS!$B$4:$B$63,0))="B",INDEX(MODELOS!$G$4:$G$11,MATCH($D63,MODELOS!$A$4:$A$11,0)),INDEX(MODELOS!$C$4:$C$11,MATCH($D63,MODELOS!$A$4:$A$11,0))),IF(INDEX(PRODUTOS!$I$4:$I$63,MATCH($A63,PRODUTOS!$B$4:$B$63,0))="B",INDEX(MODELOS!$H$4:$H$11,MATCH($D63,MODELOS!$A$4:$A$11,0)),INDEX(MODELOS!$D$4:$D$11,MATCH($D63,MODELOS!$A$4:$A$11,0))))</f>
        <v>Foto/ilustração do benefício 2</v>
      </c>
      <c r="H63" s="11" t="str">
        <f aca="false">IF(INDEX(PRODUTOS!$I$4:$I$63,MATCH($A63,PRODUTOS!$B$4:$B$63,0))="B",INDEX(MODELOS!$I$4:$I$11,MATCH($D63,MODELOS!$A$4:$A$11,0)),INDEX(MODELOS!$E$4:$E$11,MATCH($D63,MODELOS!$A$4:$A$11,0)))</f>
        <v>220 × 200</v>
      </c>
      <c r="I63" s="11" t="str">
        <f aca="false">IF($D63="COMP","SIM",IF(INDEX(PRODUTOS!$J$4:$J$63,MATCH($A63,PRODUTOS!$B$4:$B$63,0))&lt;&gt;"","NÃO (usa o A+ do EAN "&amp;INDEX(PRODUTOS!$J$4:$J$63,MATCH($A63,PRODUTOS!$B$4:$B$63,0))&amp;")",IF(AND(INDEX(PRODUTOS!$I$4:$I$63,MATCH($A63,PRODUTOS!$B$4:$B$63,0))="B",$D63="AP07"),"NÃO (modelo B)","SIM")))</f>
        <v>SIM</v>
      </c>
      <c r="J63" s="13" t="s">
        <v>318</v>
      </c>
      <c r="K63" s="13"/>
    </row>
    <row r="64" customFormat="false" ht="15" hidden="false" customHeight="false" outlineLevel="0" collapsed="false">
      <c r="A64" s="15" t="s">
        <v>74</v>
      </c>
      <c r="B64" s="11" t="str">
        <f aca="false">INDEX(PRODUTOS!$E$4:$E$63,MATCH($A64,PRODUTOS!$B$4:$B$63,0))</f>
        <v>New Dots Ração Seca Premium para Cães Filhotes - 20 kg</v>
      </c>
      <c r="C64" s="11" t="str">
        <f aca="false">INDEX(PRODUTOS!$H$4:$H$63,MATCH($A64,PRODUTOS!$B$4:$B$63,0))</f>
        <v>20 kg</v>
      </c>
      <c r="D64" s="11" t="s">
        <v>322</v>
      </c>
      <c r="E64" s="16" t="str">
        <f aca="false">$A64&amp;"."&amp;$D64&amp;".jpg"</f>
        <v>7898968541566.AP05.jpg</v>
      </c>
      <c r="F64" s="11" t="str">
        <f aca="false">IF(INDEX(PRODUTOS!$I$4:$I$63,MATCH($A64,PRODUTOS!$B$4:$B$63,0))="B",INDEX(MODELOS!$F$4:$F$11,MATCH($D64,MODELOS!$A$4:$A$11,0)),INDEX(MODELOS!$B$4:$B$11,MATCH($D64,MODELOS!$A$4:$A$11,0)))</f>
        <v>Módulo 3 · Benefício 3 de 4</v>
      </c>
      <c r="G64" s="11" t="str">
        <f aca="false">IF(INDEX(PRODUTOS!$F$4:$F$63,MATCH($A64,PRODUTOS!$B$4:$B$63,0))="Ração",IF(INDEX(PRODUTOS!$I$4:$I$63,MATCH($A64,PRODUTOS!$B$4:$B$63,0))="B",INDEX(MODELOS!$G$4:$G$11,MATCH($D64,MODELOS!$A$4:$A$11,0)),INDEX(MODELOS!$C$4:$C$11,MATCH($D64,MODELOS!$A$4:$A$11,0))),IF(INDEX(PRODUTOS!$I$4:$I$63,MATCH($A64,PRODUTOS!$B$4:$B$63,0))="B",INDEX(MODELOS!$H$4:$H$11,MATCH($D64,MODELOS!$A$4:$A$11,0)),INDEX(MODELOS!$D$4:$D$11,MATCH($D64,MODELOS!$A$4:$A$11,0))))</f>
        <v>Foto/ilustração do benefício 3</v>
      </c>
      <c r="H64" s="11" t="str">
        <f aca="false">IF(INDEX(PRODUTOS!$I$4:$I$63,MATCH($A64,PRODUTOS!$B$4:$B$63,0))="B",INDEX(MODELOS!$I$4:$I$11,MATCH($D64,MODELOS!$A$4:$A$11,0)),INDEX(MODELOS!$E$4:$E$11,MATCH($D64,MODELOS!$A$4:$A$11,0)))</f>
        <v>220 × 200</v>
      </c>
      <c r="I64" s="11" t="str">
        <f aca="false">IF($D64="COMP","SIM",IF(INDEX(PRODUTOS!$J$4:$J$63,MATCH($A64,PRODUTOS!$B$4:$B$63,0))&lt;&gt;"","NÃO (usa o A+ do EAN "&amp;INDEX(PRODUTOS!$J$4:$J$63,MATCH($A64,PRODUTOS!$B$4:$B$63,0))&amp;")",IF(AND(INDEX(PRODUTOS!$I$4:$I$63,MATCH($A64,PRODUTOS!$B$4:$B$63,0))="B",$D64="AP07"),"NÃO (modelo B)","SIM")))</f>
        <v>SIM</v>
      </c>
      <c r="J64" s="13" t="s">
        <v>318</v>
      </c>
      <c r="K64" s="13"/>
    </row>
    <row r="65" customFormat="false" ht="15" hidden="false" customHeight="false" outlineLevel="0" collapsed="false">
      <c r="A65" s="15" t="s">
        <v>74</v>
      </c>
      <c r="B65" s="11" t="str">
        <f aca="false">INDEX(PRODUTOS!$E$4:$E$63,MATCH($A65,PRODUTOS!$B$4:$B$63,0))</f>
        <v>New Dots Ração Seca Premium para Cães Filhotes - 20 kg</v>
      </c>
      <c r="C65" s="11" t="str">
        <f aca="false">INDEX(PRODUTOS!$H$4:$H$63,MATCH($A65,PRODUTOS!$B$4:$B$63,0))</f>
        <v>20 kg</v>
      </c>
      <c r="D65" s="11" t="s">
        <v>323</v>
      </c>
      <c r="E65" s="16" t="str">
        <f aca="false">$A65&amp;"."&amp;$D65&amp;".jpg"</f>
        <v>7898968541566.AP06.jpg</v>
      </c>
      <c r="F65" s="11" t="str">
        <f aca="false">IF(INDEX(PRODUTOS!$I$4:$I$63,MATCH($A65,PRODUTOS!$B$4:$B$63,0))="B",INDEX(MODELOS!$F$4:$F$11,MATCH($D65,MODELOS!$A$4:$A$11,0)),INDEX(MODELOS!$B$4:$B$11,MATCH($D65,MODELOS!$A$4:$A$11,0)))</f>
        <v>Módulo 3 · Benefício 4 de 4</v>
      </c>
      <c r="G65" s="11" t="str">
        <f aca="false">IF(INDEX(PRODUTOS!$F$4:$F$63,MATCH($A65,PRODUTOS!$B$4:$B$63,0))="Ração",IF(INDEX(PRODUTOS!$I$4:$I$63,MATCH($A65,PRODUTOS!$B$4:$B$63,0))="B",INDEX(MODELOS!$G$4:$G$11,MATCH($D65,MODELOS!$A$4:$A$11,0)),INDEX(MODELOS!$C$4:$C$11,MATCH($D65,MODELOS!$A$4:$A$11,0))),IF(INDEX(PRODUTOS!$I$4:$I$63,MATCH($A65,PRODUTOS!$B$4:$B$63,0))="B",INDEX(MODELOS!$H$4:$H$11,MATCH($D65,MODELOS!$A$4:$A$11,0)),INDEX(MODELOS!$D$4:$D$11,MATCH($D65,MODELOS!$A$4:$A$11,0))))</f>
        <v>Foto/ilustração do benefício 4</v>
      </c>
      <c r="H65" s="11" t="str">
        <f aca="false">IF(INDEX(PRODUTOS!$I$4:$I$63,MATCH($A65,PRODUTOS!$B$4:$B$63,0))="B",INDEX(MODELOS!$I$4:$I$11,MATCH($D65,MODELOS!$A$4:$A$11,0)),INDEX(MODELOS!$E$4:$E$11,MATCH($D65,MODELOS!$A$4:$A$11,0)))</f>
        <v>220 × 200</v>
      </c>
      <c r="I65" s="11" t="str">
        <f aca="false">IF($D65="COMP","SIM",IF(INDEX(PRODUTOS!$J$4:$J$63,MATCH($A65,PRODUTOS!$B$4:$B$63,0))&lt;&gt;"","NÃO (usa o A+ do EAN "&amp;INDEX(PRODUTOS!$J$4:$J$63,MATCH($A65,PRODUTOS!$B$4:$B$63,0))&amp;")",IF(AND(INDEX(PRODUTOS!$I$4:$I$63,MATCH($A65,PRODUTOS!$B$4:$B$63,0))="B",$D65="AP07"),"NÃO (modelo B)","SIM")))</f>
        <v>SIM</v>
      </c>
      <c r="J65" s="13" t="s">
        <v>318</v>
      </c>
      <c r="K65" s="13"/>
    </row>
    <row r="66" customFormat="false" ht="15" hidden="false" customHeight="false" outlineLevel="0" collapsed="false">
      <c r="A66" s="15" t="s">
        <v>74</v>
      </c>
      <c r="B66" s="11" t="str">
        <f aca="false">INDEX(PRODUTOS!$E$4:$E$63,MATCH($A66,PRODUTOS!$B$4:$B$63,0))</f>
        <v>New Dots Ração Seca Premium para Cães Filhotes - 20 kg</v>
      </c>
      <c r="C66" s="11" t="str">
        <f aca="false">INDEX(PRODUTOS!$H$4:$H$63,MATCH($A66,PRODUTOS!$B$4:$B$63,0))</f>
        <v>20 kg</v>
      </c>
      <c r="D66" s="11" t="s">
        <v>324</v>
      </c>
      <c r="E66" s="16" t="str">
        <f aca="false">$A66&amp;"."&amp;$D66&amp;".jpg"</f>
        <v>7898968541566.AP07.jpg</v>
      </c>
      <c r="F66" s="11" t="str">
        <f aca="false">IF(INDEX(PRODUTOS!$I$4:$I$63,MATCH($A66,PRODUTOS!$B$4:$B$63,0))="B",INDEX(MODELOS!$F$4:$F$11,MATCH($D66,MODELOS!$A$4:$A$11,0)),INDEX(MODELOS!$B$4:$B$11,MATCH($D66,MODELOS!$A$4:$A$11,0)))</f>
        <v>Módulo 4 · Especificações</v>
      </c>
      <c r="G66" s="11" t="str">
        <f aca="false">IF(INDEX(PRODUTOS!$F$4:$F$63,MATCH($A66,PRODUTOS!$B$4:$B$63,0))="Ração",IF(INDEX(PRODUTOS!$I$4:$I$63,MATCH($A66,PRODUTOS!$B$4:$B$63,0))="B",INDEX(MODELOS!$G$4:$G$11,MATCH($D66,MODELOS!$A$4:$A$11,0)),INDEX(MODELOS!$C$4:$C$11,MATCH($D66,MODELOS!$A$4:$A$11,0))),IF(INDEX(PRODUTOS!$I$4:$I$63,MATCH($A66,PRODUTOS!$B$4:$B$63,0))="B",INDEX(MODELOS!$H$4:$H$11,MATCH($D66,MODELOS!$A$4:$A$11,0)),INDEX(MODELOS!$D$4:$D$11,MATCH($D66,MODELOS!$A$4:$A$11,0))))</f>
        <v>Grão ou pacote em destaque</v>
      </c>
      <c r="H66" s="11" t="str">
        <f aca="false">IF(INDEX(PRODUTOS!$I$4:$I$63,MATCH($A66,PRODUTOS!$B$4:$B$63,0))="B",INDEX(MODELOS!$I$4:$I$11,MATCH($D66,MODELOS!$A$4:$A$11,0)),INDEX(MODELOS!$E$4:$E$11,MATCH($D66,MODELOS!$A$4:$A$11,0)))</f>
        <v>300 × 300</v>
      </c>
      <c r="I66" s="11" t="str">
        <f aca="false">IF($D66="COMP","SIM",IF(INDEX(PRODUTOS!$J$4:$J$63,MATCH($A66,PRODUTOS!$B$4:$B$63,0))&lt;&gt;"","NÃO (usa o A+ do EAN "&amp;INDEX(PRODUTOS!$J$4:$J$63,MATCH($A66,PRODUTOS!$B$4:$B$63,0))&amp;")",IF(AND(INDEX(PRODUTOS!$I$4:$I$63,MATCH($A66,PRODUTOS!$B$4:$B$63,0))="B",$D66="AP07"),"NÃO (modelo B)","SIM")))</f>
        <v>SIM</v>
      </c>
      <c r="J66" s="13" t="s">
        <v>318</v>
      </c>
      <c r="K66" s="13"/>
    </row>
    <row r="67" customFormat="false" ht="15" hidden="false" customHeight="false" outlineLevel="0" collapsed="false">
      <c r="A67" s="15" t="s">
        <v>74</v>
      </c>
      <c r="B67" s="11" t="str">
        <f aca="false">INDEX(PRODUTOS!$E$4:$E$63,MATCH($A67,PRODUTOS!$B$4:$B$63,0))</f>
        <v>New Dots Ração Seca Premium para Cães Filhotes - 20 kg</v>
      </c>
      <c r="C67" s="11" t="str">
        <f aca="false">INDEX(PRODUTOS!$H$4:$H$63,MATCH($A67,PRODUTOS!$B$4:$B$63,0))</f>
        <v>20 kg</v>
      </c>
      <c r="D67" s="11" t="s">
        <v>325</v>
      </c>
      <c r="E67" s="16" t="str">
        <f aca="false">$A67&amp;"."&amp;$D67&amp;".jpg"</f>
        <v>7898968541566.COMP.jpg</v>
      </c>
      <c r="F67" s="11" t="str">
        <f aca="false">IF(INDEX(PRODUTOS!$I$4:$I$63,MATCH($A67,PRODUTOS!$B$4:$B$63,0))="B",INDEX(MODELOS!$F$4:$F$11,MATCH($D67,MODELOS!$A$4:$A$11,0)),INDEX(MODELOS!$B$4:$B$11,MATCH($D67,MODELOS!$A$4:$A$11,0)))</f>
        <v>Módulo 5 · Tabela comparativa</v>
      </c>
      <c r="G67" s="11" t="str">
        <f aca="false">IF(INDEX(PRODUTOS!$F$4:$F$63,MATCH($A67,PRODUTOS!$B$4:$B$63,0))="Ração",IF(INDEX(PRODUTOS!$I$4:$I$63,MATCH($A67,PRODUTOS!$B$4:$B$63,0))="B",INDEX(MODELOS!$G$4:$G$11,MATCH($D67,MODELOS!$A$4:$A$11,0)),INDEX(MODELOS!$C$4:$C$11,MATCH($D67,MODELOS!$A$4:$A$11,0))),IF(INDEX(PRODUTOS!$I$4:$I$63,MATCH($A67,PRODUTOS!$B$4:$B$63,0))="B",INDEX(MODELOS!$H$4:$H$11,MATCH($D67,MODELOS!$A$4:$A$11,0)),INDEX(MODELOS!$D$4:$D$11,MATCH($D67,MODELOS!$A$4:$A$11,0))))</f>
        <v>Pacote na vertical, sem fundo colorido</v>
      </c>
      <c r="H67" s="11" t="str">
        <f aca="false">IF(INDEX(PRODUTOS!$I$4:$I$63,MATCH($A67,PRODUTOS!$B$4:$B$63,0))="B",INDEX(MODELOS!$I$4:$I$11,MATCH($D67,MODELOS!$A$4:$A$11,0)),INDEX(MODELOS!$E$4:$E$11,MATCH($D67,MODELOS!$A$4:$A$11,0)))</f>
        <v>150 × 300</v>
      </c>
      <c r="I67" s="11" t="str">
        <f aca="false">IF($D67="COMP","SIM",IF(INDEX(PRODUTOS!$J$4:$J$63,MATCH($A67,PRODUTOS!$B$4:$B$63,0))&lt;&gt;"","NÃO (usa o A+ do EAN "&amp;INDEX(PRODUTOS!$J$4:$J$63,MATCH($A67,PRODUTOS!$B$4:$B$63,0))&amp;")",IF(AND(INDEX(PRODUTOS!$I$4:$I$63,MATCH($A67,PRODUTOS!$B$4:$B$63,0))="B",$D67="AP07"),"NÃO (modelo B)","SIM")))</f>
        <v>SIM</v>
      </c>
      <c r="J67" s="13" t="s">
        <v>318</v>
      </c>
      <c r="K67" s="13"/>
    </row>
    <row r="68" customFormat="false" ht="15" hidden="false" customHeight="false" outlineLevel="0" collapsed="false">
      <c r="A68" s="15" t="s">
        <v>78</v>
      </c>
      <c r="B68" s="11" t="str">
        <f aca="false">INDEX(PRODUTOS!$E$4:$E$63,MATCH($A68,PRODUTOS!$B$4:$B$63,0))</f>
        <v>New Dots Ração Seca Premium para Cães Filhotes - 5 kg</v>
      </c>
      <c r="C68" s="11" t="str">
        <f aca="false">INDEX(PRODUTOS!$H$4:$H$63,MATCH($A68,PRODUTOS!$B$4:$B$63,0))</f>
        <v>5 kg</v>
      </c>
      <c r="D68" s="11" t="s">
        <v>317</v>
      </c>
      <c r="E68" s="16" t="str">
        <f aca="false">$A68&amp;"."&amp;$D68&amp;".jpg"</f>
        <v>7898968541559.AP01.jpg</v>
      </c>
      <c r="F68" s="11" t="str">
        <f aca="false">IF(INDEX(PRODUTOS!$I$4:$I$63,MATCH($A68,PRODUTOS!$B$4:$B$63,0))="B",INDEX(MODELOS!$F$4:$F$11,MATCH($D68,MODELOS!$A$4:$A$11,0)),INDEX(MODELOS!$B$4:$B$11,MATCH($D68,MODELOS!$A$4:$A$11,0)))</f>
        <v>Módulo 1 · Banner</v>
      </c>
      <c r="G68" s="11" t="str">
        <f aca="false">IF(INDEX(PRODUTOS!$F$4:$F$63,MATCH($A68,PRODUTOS!$B$4:$B$63,0))="Ração",IF(INDEX(PRODUTOS!$I$4:$I$63,MATCH($A68,PRODUTOS!$B$4:$B$63,0))="B",INDEX(MODELOS!$G$4:$G$11,MATCH($D68,MODELOS!$A$4:$A$11,0)),INDEX(MODELOS!$C$4:$C$11,MATCH($D68,MODELOS!$A$4:$A$11,0))),IF(INDEX(PRODUTOS!$I$4:$I$63,MATCH($A68,PRODUTOS!$B$4:$B$63,0))="B",INDEX(MODELOS!$H$4:$H$11,MATCH($D68,MODELOS!$A$4:$A$11,0)),INDEX(MODELOS!$D$4:$D$11,MATCH($D68,MODELOS!$A$4:$A$11,0))))</f>
        <v>Embalagem + pet + ingredientes, com o nome da linha</v>
      </c>
      <c r="H68" s="11" t="str">
        <f aca="false">IF(INDEX(PRODUTOS!$I$4:$I$63,MATCH($A68,PRODUTOS!$B$4:$B$63,0))="B",INDEX(MODELOS!$I$4:$I$11,MATCH($D68,MODELOS!$A$4:$A$11,0)),INDEX(MODELOS!$E$4:$E$11,MATCH($D68,MODELOS!$A$4:$A$11,0)))</f>
        <v>970 × 600</v>
      </c>
      <c r="I68" s="11" t="str">
        <f aca="false">IF($D68="COMP","SIM",IF(INDEX(PRODUTOS!$J$4:$J$63,MATCH($A68,PRODUTOS!$B$4:$B$63,0))&lt;&gt;"","NÃO (usa o A+ do EAN "&amp;INDEX(PRODUTOS!$J$4:$J$63,MATCH($A68,PRODUTOS!$B$4:$B$63,0))&amp;")",IF(AND(INDEX(PRODUTOS!$I$4:$I$63,MATCH($A68,PRODUTOS!$B$4:$B$63,0))="B",$D68="AP07"),"NÃO (modelo B)","SIM")))</f>
        <v>NÃO (usa o A+ do EAN 7898968541566)</v>
      </c>
      <c r="J68" s="13" t="s">
        <v>318</v>
      </c>
      <c r="K68" s="13"/>
    </row>
    <row r="69" customFormat="false" ht="15" hidden="false" customHeight="false" outlineLevel="0" collapsed="false">
      <c r="A69" s="15" t="s">
        <v>78</v>
      </c>
      <c r="B69" s="11" t="str">
        <f aca="false">INDEX(PRODUTOS!$E$4:$E$63,MATCH($A69,PRODUTOS!$B$4:$B$63,0))</f>
        <v>New Dots Ração Seca Premium para Cães Filhotes - 5 kg</v>
      </c>
      <c r="C69" s="11" t="str">
        <f aca="false">INDEX(PRODUTOS!$H$4:$H$63,MATCH($A69,PRODUTOS!$B$4:$B$63,0))</f>
        <v>5 kg</v>
      </c>
      <c r="D69" s="11" t="s">
        <v>319</v>
      </c>
      <c r="E69" s="16" t="str">
        <f aca="false">$A69&amp;"."&amp;$D69&amp;".jpg"</f>
        <v>7898968541559.AP02.jpg</v>
      </c>
      <c r="F69" s="11" t="str">
        <f aca="false">IF(INDEX(PRODUTOS!$I$4:$I$63,MATCH($A69,PRODUTOS!$B$4:$B$63,0))="B",INDEX(MODELOS!$F$4:$F$11,MATCH($D69,MODELOS!$A$4:$A$11,0)),INDEX(MODELOS!$B$4:$B$11,MATCH($D69,MODELOS!$A$4:$A$11,0)))</f>
        <v>Módulo 2 · Texto sobreposto</v>
      </c>
      <c r="G69" s="11" t="str">
        <f aca="false">IF(INDEX(PRODUTOS!$F$4:$F$63,MATCH($A69,PRODUTOS!$B$4:$B$63,0))="Ração",IF(INDEX(PRODUTOS!$I$4:$I$63,MATCH($A69,PRODUTOS!$B$4:$B$63,0))="B",INDEX(MODELOS!$G$4:$G$11,MATCH($D69,MODELOS!$A$4:$A$11,0)),INDEX(MODELOS!$C$4:$C$11,MATCH($D69,MODELOS!$A$4:$A$11,0))),IF(INDEX(PRODUTOS!$I$4:$I$63,MATCH($A69,PRODUTOS!$B$4:$B$63,0))="B",INDEX(MODELOS!$H$4:$H$11,MATCH($D69,MODELOS!$A$4:$A$11,0)),INDEX(MODELOS!$D$4:$D$11,MATCH($D69,MODELOS!$A$4:$A$11,0))))</f>
        <v>Principal diferencial; deixar o lado direito limpo</v>
      </c>
      <c r="H69" s="11" t="str">
        <f aca="false">IF(INDEX(PRODUTOS!$I$4:$I$63,MATCH($A69,PRODUTOS!$B$4:$B$63,0))="B",INDEX(MODELOS!$I$4:$I$11,MATCH($D69,MODELOS!$A$4:$A$11,0)),INDEX(MODELOS!$E$4:$E$11,MATCH($D69,MODELOS!$A$4:$A$11,0)))</f>
        <v>970 × 300</v>
      </c>
      <c r="I69" s="11" t="str">
        <f aca="false">IF($D69="COMP","SIM",IF(INDEX(PRODUTOS!$J$4:$J$63,MATCH($A69,PRODUTOS!$B$4:$B$63,0))&lt;&gt;"","NÃO (usa o A+ do EAN "&amp;INDEX(PRODUTOS!$J$4:$J$63,MATCH($A69,PRODUTOS!$B$4:$B$63,0))&amp;")",IF(AND(INDEX(PRODUTOS!$I$4:$I$63,MATCH($A69,PRODUTOS!$B$4:$B$63,0))="B",$D69="AP07"),"NÃO (modelo B)","SIM")))</f>
        <v>NÃO (usa o A+ do EAN 7898968541566)</v>
      </c>
      <c r="J69" s="13" t="s">
        <v>318</v>
      </c>
      <c r="K69" s="13"/>
    </row>
    <row r="70" customFormat="false" ht="15" hidden="false" customHeight="false" outlineLevel="0" collapsed="false">
      <c r="A70" s="15" t="s">
        <v>78</v>
      </c>
      <c r="B70" s="11" t="str">
        <f aca="false">INDEX(PRODUTOS!$E$4:$E$63,MATCH($A70,PRODUTOS!$B$4:$B$63,0))</f>
        <v>New Dots Ração Seca Premium para Cães Filhotes - 5 kg</v>
      </c>
      <c r="C70" s="11" t="str">
        <f aca="false">INDEX(PRODUTOS!$H$4:$H$63,MATCH($A70,PRODUTOS!$B$4:$B$63,0))</f>
        <v>5 kg</v>
      </c>
      <c r="D70" s="11" t="s">
        <v>320</v>
      </c>
      <c r="E70" s="16" t="str">
        <f aca="false">$A70&amp;"."&amp;$D70&amp;".jpg"</f>
        <v>7898968541559.AP03.jpg</v>
      </c>
      <c r="F70" s="11" t="str">
        <f aca="false">IF(INDEX(PRODUTOS!$I$4:$I$63,MATCH($A70,PRODUTOS!$B$4:$B$63,0))="B",INDEX(MODELOS!$F$4:$F$11,MATCH($D70,MODELOS!$A$4:$A$11,0)),INDEX(MODELOS!$B$4:$B$11,MATCH($D70,MODELOS!$A$4:$A$11,0)))</f>
        <v>Módulo 3 · Benefício 1 de 4</v>
      </c>
      <c r="G70" s="11" t="str">
        <f aca="false">IF(INDEX(PRODUTOS!$F$4:$F$63,MATCH($A70,PRODUTOS!$B$4:$B$63,0))="Ração",IF(INDEX(PRODUTOS!$I$4:$I$63,MATCH($A70,PRODUTOS!$B$4:$B$63,0))="B",INDEX(MODELOS!$G$4:$G$11,MATCH($D70,MODELOS!$A$4:$A$11,0)),INDEX(MODELOS!$C$4:$C$11,MATCH($D70,MODELOS!$A$4:$A$11,0))),IF(INDEX(PRODUTOS!$I$4:$I$63,MATCH($A70,PRODUTOS!$B$4:$B$63,0))="B",INDEX(MODELOS!$H$4:$H$11,MATCH($D70,MODELOS!$A$4:$A$11,0)),INDEX(MODELOS!$D$4:$D$11,MATCH($D70,MODELOS!$A$4:$A$11,0))))</f>
        <v>Foto/ilustração do benefício 1</v>
      </c>
      <c r="H70" s="11" t="str">
        <f aca="false">IF(INDEX(PRODUTOS!$I$4:$I$63,MATCH($A70,PRODUTOS!$B$4:$B$63,0))="B",INDEX(MODELOS!$I$4:$I$11,MATCH($D70,MODELOS!$A$4:$A$11,0)),INDEX(MODELOS!$E$4:$E$11,MATCH($D70,MODELOS!$A$4:$A$11,0)))</f>
        <v>220 × 200</v>
      </c>
      <c r="I70" s="11" t="str">
        <f aca="false">IF($D70="COMP","SIM",IF(INDEX(PRODUTOS!$J$4:$J$63,MATCH($A70,PRODUTOS!$B$4:$B$63,0))&lt;&gt;"","NÃO (usa o A+ do EAN "&amp;INDEX(PRODUTOS!$J$4:$J$63,MATCH($A70,PRODUTOS!$B$4:$B$63,0))&amp;")",IF(AND(INDEX(PRODUTOS!$I$4:$I$63,MATCH($A70,PRODUTOS!$B$4:$B$63,0))="B",$D70="AP07"),"NÃO (modelo B)","SIM")))</f>
        <v>NÃO (usa o A+ do EAN 7898968541566)</v>
      </c>
      <c r="J70" s="13" t="s">
        <v>318</v>
      </c>
      <c r="K70" s="13"/>
    </row>
    <row r="71" customFormat="false" ht="15" hidden="false" customHeight="false" outlineLevel="0" collapsed="false">
      <c r="A71" s="15" t="s">
        <v>78</v>
      </c>
      <c r="B71" s="11" t="str">
        <f aca="false">INDEX(PRODUTOS!$E$4:$E$63,MATCH($A71,PRODUTOS!$B$4:$B$63,0))</f>
        <v>New Dots Ração Seca Premium para Cães Filhotes - 5 kg</v>
      </c>
      <c r="C71" s="11" t="str">
        <f aca="false">INDEX(PRODUTOS!$H$4:$H$63,MATCH($A71,PRODUTOS!$B$4:$B$63,0))</f>
        <v>5 kg</v>
      </c>
      <c r="D71" s="11" t="s">
        <v>321</v>
      </c>
      <c r="E71" s="16" t="str">
        <f aca="false">$A71&amp;"."&amp;$D71&amp;".jpg"</f>
        <v>7898968541559.AP04.jpg</v>
      </c>
      <c r="F71" s="11" t="str">
        <f aca="false">IF(INDEX(PRODUTOS!$I$4:$I$63,MATCH($A71,PRODUTOS!$B$4:$B$63,0))="B",INDEX(MODELOS!$F$4:$F$11,MATCH($D71,MODELOS!$A$4:$A$11,0)),INDEX(MODELOS!$B$4:$B$11,MATCH($D71,MODELOS!$A$4:$A$11,0)))</f>
        <v>Módulo 3 · Benefício 2 de 4</v>
      </c>
      <c r="G71" s="11" t="str">
        <f aca="false">IF(INDEX(PRODUTOS!$F$4:$F$63,MATCH($A71,PRODUTOS!$B$4:$B$63,0))="Ração",IF(INDEX(PRODUTOS!$I$4:$I$63,MATCH($A71,PRODUTOS!$B$4:$B$63,0))="B",INDEX(MODELOS!$G$4:$G$11,MATCH($D71,MODELOS!$A$4:$A$11,0)),INDEX(MODELOS!$C$4:$C$11,MATCH($D71,MODELOS!$A$4:$A$11,0))),IF(INDEX(PRODUTOS!$I$4:$I$63,MATCH($A71,PRODUTOS!$B$4:$B$63,0))="B",INDEX(MODELOS!$H$4:$H$11,MATCH($D71,MODELOS!$A$4:$A$11,0)),INDEX(MODELOS!$D$4:$D$11,MATCH($D71,MODELOS!$A$4:$A$11,0))))</f>
        <v>Foto/ilustração do benefício 2</v>
      </c>
      <c r="H71" s="11" t="str">
        <f aca="false">IF(INDEX(PRODUTOS!$I$4:$I$63,MATCH($A71,PRODUTOS!$B$4:$B$63,0))="B",INDEX(MODELOS!$I$4:$I$11,MATCH($D71,MODELOS!$A$4:$A$11,0)),INDEX(MODELOS!$E$4:$E$11,MATCH($D71,MODELOS!$A$4:$A$11,0)))</f>
        <v>220 × 200</v>
      </c>
      <c r="I71" s="11" t="str">
        <f aca="false">IF($D71="COMP","SIM",IF(INDEX(PRODUTOS!$J$4:$J$63,MATCH($A71,PRODUTOS!$B$4:$B$63,0))&lt;&gt;"","NÃO (usa o A+ do EAN "&amp;INDEX(PRODUTOS!$J$4:$J$63,MATCH($A71,PRODUTOS!$B$4:$B$63,0))&amp;")",IF(AND(INDEX(PRODUTOS!$I$4:$I$63,MATCH($A71,PRODUTOS!$B$4:$B$63,0))="B",$D71="AP07"),"NÃO (modelo B)","SIM")))</f>
        <v>NÃO (usa o A+ do EAN 7898968541566)</v>
      </c>
      <c r="J71" s="13" t="s">
        <v>318</v>
      </c>
      <c r="K71" s="13"/>
    </row>
    <row r="72" customFormat="false" ht="15" hidden="false" customHeight="false" outlineLevel="0" collapsed="false">
      <c r="A72" s="15" t="s">
        <v>78</v>
      </c>
      <c r="B72" s="11" t="str">
        <f aca="false">INDEX(PRODUTOS!$E$4:$E$63,MATCH($A72,PRODUTOS!$B$4:$B$63,0))</f>
        <v>New Dots Ração Seca Premium para Cães Filhotes - 5 kg</v>
      </c>
      <c r="C72" s="11" t="str">
        <f aca="false">INDEX(PRODUTOS!$H$4:$H$63,MATCH($A72,PRODUTOS!$B$4:$B$63,0))</f>
        <v>5 kg</v>
      </c>
      <c r="D72" s="11" t="s">
        <v>322</v>
      </c>
      <c r="E72" s="16" t="str">
        <f aca="false">$A72&amp;"."&amp;$D72&amp;".jpg"</f>
        <v>7898968541559.AP05.jpg</v>
      </c>
      <c r="F72" s="11" t="str">
        <f aca="false">IF(INDEX(PRODUTOS!$I$4:$I$63,MATCH($A72,PRODUTOS!$B$4:$B$63,0))="B",INDEX(MODELOS!$F$4:$F$11,MATCH($D72,MODELOS!$A$4:$A$11,0)),INDEX(MODELOS!$B$4:$B$11,MATCH($D72,MODELOS!$A$4:$A$11,0)))</f>
        <v>Módulo 3 · Benefício 3 de 4</v>
      </c>
      <c r="G72" s="11" t="str">
        <f aca="false">IF(INDEX(PRODUTOS!$F$4:$F$63,MATCH($A72,PRODUTOS!$B$4:$B$63,0))="Ração",IF(INDEX(PRODUTOS!$I$4:$I$63,MATCH($A72,PRODUTOS!$B$4:$B$63,0))="B",INDEX(MODELOS!$G$4:$G$11,MATCH($D72,MODELOS!$A$4:$A$11,0)),INDEX(MODELOS!$C$4:$C$11,MATCH($D72,MODELOS!$A$4:$A$11,0))),IF(INDEX(PRODUTOS!$I$4:$I$63,MATCH($A72,PRODUTOS!$B$4:$B$63,0))="B",INDEX(MODELOS!$H$4:$H$11,MATCH($D72,MODELOS!$A$4:$A$11,0)),INDEX(MODELOS!$D$4:$D$11,MATCH($D72,MODELOS!$A$4:$A$11,0))))</f>
        <v>Foto/ilustração do benefício 3</v>
      </c>
      <c r="H72" s="11" t="str">
        <f aca="false">IF(INDEX(PRODUTOS!$I$4:$I$63,MATCH($A72,PRODUTOS!$B$4:$B$63,0))="B",INDEX(MODELOS!$I$4:$I$11,MATCH($D72,MODELOS!$A$4:$A$11,0)),INDEX(MODELOS!$E$4:$E$11,MATCH($D72,MODELOS!$A$4:$A$11,0)))</f>
        <v>220 × 200</v>
      </c>
      <c r="I72" s="11" t="str">
        <f aca="false">IF($D72="COMP","SIM",IF(INDEX(PRODUTOS!$J$4:$J$63,MATCH($A72,PRODUTOS!$B$4:$B$63,0))&lt;&gt;"","NÃO (usa o A+ do EAN "&amp;INDEX(PRODUTOS!$J$4:$J$63,MATCH($A72,PRODUTOS!$B$4:$B$63,0))&amp;")",IF(AND(INDEX(PRODUTOS!$I$4:$I$63,MATCH($A72,PRODUTOS!$B$4:$B$63,0))="B",$D72="AP07"),"NÃO (modelo B)","SIM")))</f>
        <v>NÃO (usa o A+ do EAN 7898968541566)</v>
      </c>
      <c r="J72" s="13" t="s">
        <v>318</v>
      </c>
      <c r="K72" s="13"/>
    </row>
    <row r="73" customFormat="false" ht="15" hidden="false" customHeight="false" outlineLevel="0" collapsed="false">
      <c r="A73" s="15" t="s">
        <v>78</v>
      </c>
      <c r="B73" s="11" t="str">
        <f aca="false">INDEX(PRODUTOS!$E$4:$E$63,MATCH($A73,PRODUTOS!$B$4:$B$63,0))</f>
        <v>New Dots Ração Seca Premium para Cães Filhotes - 5 kg</v>
      </c>
      <c r="C73" s="11" t="str">
        <f aca="false">INDEX(PRODUTOS!$H$4:$H$63,MATCH($A73,PRODUTOS!$B$4:$B$63,0))</f>
        <v>5 kg</v>
      </c>
      <c r="D73" s="11" t="s">
        <v>323</v>
      </c>
      <c r="E73" s="16" t="str">
        <f aca="false">$A73&amp;"."&amp;$D73&amp;".jpg"</f>
        <v>7898968541559.AP06.jpg</v>
      </c>
      <c r="F73" s="11" t="str">
        <f aca="false">IF(INDEX(PRODUTOS!$I$4:$I$63,MATCH($A73,PRODUTOS!$B$4:$B$63,0))="B",INDEX(MODELOS!$F$4:$F$11,MATCH($D73,MODELOS!$A$4:$A$11,0)),INDEX(MODELOS!$B$4:$B$11,MATCH($D73,MODELOS!$A$4:$A$11,0)))</f>
        <v>Módulo 3 · Benefício 4 de 4</v>
      </c>
      <c r="G73" s="11" t="str">
        <f aca="false">IF(INDEX(PRODUTOS!$F$4:$F$63,MATCH($A73,PRODUTOS!$B$4:$B$63,0))="Ração",IF(INDEX(PRODUTOS!$I$4:$I$63,MATCH($A73,PRODUTOS!$B$4:$B$63,0))="B",INDEX(MODELOS!$G$4:$G$11,MATCH($D73,MODELOS!$A$4:$A$11,0)),INDEX(MODELOS!$C$4:$C$11,MATCH($D73,MODELOS!$A$4:$A$11,0))),IF(INDEX(PRODUTOS!$I$4:$I$63,MATCH($A73,PRODUTOS!$B$4:$B$63,0))="B",INDEX(MODELOS!$H$4:$H$11,MATCH($D73,MODELOS!$A$4:$A$11,0)),INDEX(MODELOS!$D$4:$D$11,MATCH($D73,MODELOS!$A$4:$A$11,0))))</f>
        <v>Foto/ilustração do benefício 4</v>
      </c>
      <c r="H73" s="11" t="str">
        <f aca="false">IF(INDEX(PRODUTOS!$I$4:$I$63,MATCH($A73,PRODUTOS!$B$4:$B$63,0))="B",INDEX(MODELOS!$I$4:$I$11,MATCH($D73,MODELOS!$A$4:$A$11,0)),INDEX(MODELOS!$E$4:$E$11,MATCH($D73,MODELOS!$A$4:$A$11,0)))</f>
        <v>220 × 200</v>
      </c>
      <c r="I73" s="11" t="str">
        <f aca="false">IF($D73="COMP","SIM",IF(INDEX(PRODUTOS!$J$4:$J$63,MATCH($A73,PRODUTOS!$B$4:$B$63,0))&lt;&gt;"","NÃO (usa o A+ do EAN "&amp;INDEX(PRODUTOS!$J$4:$J$63,MATCH($A73,PRODUTOS!$B$4:$B$63,0))&amp;")",IF(AND(INDEX(PRODUTOS!$I$4:$I$63,MATCH($A73,PRODUTOS!$B$4:$B$63,0))="B",$D73="AP07"),"NÃO (modelo B)","SIM")))</f>
        <v>NÃO (usa o A+ do EAN 7898968541566)</v>
      </c>
      <c r="J73" s="13" t="s">
        <v>318</v>
      </c>
      <c r="K73" s="13"/>
    </row>
    <row r="74" customFormat="false" ht="15" hidden="false" customHeight="false" outlineLevel="0" collapsed="false">
      <c r="A74" s="15" t="s">
        <v>78</v>
      </c>
      <c r="B74" s="11" t="str">
        <f aca="false">INDEX(PRODUTOS!$E$4:$E$63,MATCH($A74,PRODUTOS!$B$4:$B$63,0))</f>
        <v>New Dots Ração Seca Premium para Cães Filhotes - 5 kg</v>
      </c>
      <c r="C74" s="11" t="str">
        <f aca="false">INDEX(PRODUTOS!$H$4:$H$63,MATCH($A74,PRODUTOS!$B$4:$B$63,0))</f>
        <v>5 kg</v>
      </c>
      <c r="D74" s="11" t="s">
        <v>324</v>
      </c>
      <c r="E74" s="16" t="str">
        <f aca="false">$A74&amp;"."&amp;$D74&amp;".jpg"</f>
        <v>7898968541559.AP07.jpg</v>
      </c>
      <c r="F74" s="11" t="str">
        <f aca="false">IF(INDEX(PRODUTOS!$I$4:$I$63,MATCH($A74,PRODUTOS!$B$4:$B$63,0))="B",INDEX(MODELOS!$F$4:$F$11,MATCH($D74,MODELOS!$A$4:$A$11,0)),INDEX(MODELOS!$B$4:$B$11,MATCH($D74,MODELOS!$A$4:$A$11,0)))</f>
        <v>Módulo 4 · Especificações</v>
      </c>
      <c r="G74" s="11" t="str">
        <f aca="false">IF(INDEX(PRODUTOS!$F$4:$F$63,MATCH($A74,PRODUTOS!$B$4:$B$63,0))="Ração",IF(INDEX(PRODUTOS!$I$4:$I$63,MATCH($A74,PRODUTOS!$B$4:$B$63,0))="B",INDEX(MODELOS!$G$4:$G$11,MATCH($D74,MODELOS!$A$4:$A$11,0)),INDEX(MODELOS!$C$4:$C$11,MATCH($D74,MODELOS!$A$4:$A$11,0))),IF(INDEX(PRODUTOS!$I$4:$I$63,MATCH($A74,PRODUTOS!$B$4:$B$63,0))="B",INDEX(MODELOS!$H$4:$H$11,MATCH($D74,MODELOS!$A$4:$A$11,0)),INDEX(MODELOS!$D$4:$D$11,MATCH($D74,MODELOS!$A$4:$A$11,0))))</f>
        <v>Grão ou pacote em destaque</v>
      </c>
      <c r="H74" s="11" t="str">
        <f aca="false">IF(INDEX(PRODUTOS!$I$4:$I$63,MATCH($A74,PRODUTOS!$B$4:$B$63,0))="B",INDEX(MODELOS!$I$4:$I$11,MATCH($D74,MODELOS!$A$4:$A$11,0)),INDEX(MODELOS!$E$4:$E$11,MATCH($D74,MODELOS!$A$4:$A$11,0)))</f>
        <v>300 × 300</v>
      </c>
      <c r="I74" s="11" t="str">
        <f aca="false">IF($D74="COMP","SIM",IF(INDEX(PRODUTOS!$J$4:$J$63,MATCH($A74,PRODUTOS!$B$4:$B$63,0))&lt;&gt;"","NÃO (usa o A+ do EAN "&amp;INDEX(PRODUTOS!$J$4:$J$63,MATCH($A74,PRODUTOS!$B$4:$B$63,0))&amp;")",IF(AND(INDEX(PRODUTOS!$I$4:$I$63,MATCH($A74,PRODUTOS!$B$4:$B$63,0))="B",$D74="AP07"),"NÃO (modelo B)","SIM")))</f>
        <v>NÃO (usa o A+ do EAN 7898968541566)</v>
      </c>
      <c r="J74" s="13" t="s">
        <v>318</v>
      </c>
      <c r="K74" s="13"/>
    </row>
    <row r="75" customFormat="false" ht="15" hidden="false" customHeight="false" outlineLevel="0" collapsed="false">
      <c r="A75" s="15" t="s">
        <v>78</v>
      </c>
      <c r="B75" s="11" t="str">
        <f aca="false">INDEX(PRODUTOS!$E$4:$E$63,MATCH($A75,PRODUTOS!$B$4:$B$63,0))</f>
        <v>New Dots Ração Seca Premium para Cães Filhotes - 5 kg</v>
      </c>
      <c r="C75" s="11" t="str">
        <f aca="false">INDEX(PRODUTOS!$H$4:$H$63,MATCH($A75,PRODUTOS!$B$4:$B$63,0))</f>
        <v>5 kg</v>
      </c>
      <c r="D75" s="11" t="s">
        <v>325</v>
      </c>
      <c r="E75" s="16" t="str">
        <f aca="false">$A75&amp;"."&amp;$D75&amp;".jpg"</f>
        <v>7898968541559.COMP.jpg</v>
      </c>
      <c r="F75" s="11" t="str">
        <f aca="false">IF(INDEX(PRODUTOS!$I$4:$I$63,MATCH($A75,PRODUTOS!$B$4:$B$63,0))="B",INDEX(MODELOS!$F$4:$F$11,MATCH($D75,MODELOS!$A$4:$A$11,0)),INDEX(MODELOS!$B$4:$B$11,MATCH($D75,MODELOS!$A$4:$A$11,0)))</f>
        <v>Módulo 5 · Tabela comparativa</v>
      </c>
      <c r="G75" s="11" t="str">
        <f aca="false">IF(INDEX(PRODUTOS!$F$4:$F$63,MATCH($A75,PRODUTOS!$B$4:$B$63,0))="Ração",IF(INDEX(PRODUTOS!$I$4:$I$63,MATCH($A75,PRODUTOS!$B$4:$B$63,0))="B",INDEX(MODELOS!$G$4:$G$11,MATCH($D75,MODELOS!$A$4:$A$11,0)),INDEX(MODELOS!$C$4:$C$11,MATCH($D75,MODELOS!$A$4:$A$11,0))),IF(INDEX(PRODUTOS!$I$4:$I$63,MATCH($A75,PRODUTOS!$B$4:$B$63,0))="B",INDEX(MODELOS!$H$4:$H$11,MATCH($D75,MODELOS!$A$4:$A$11,0)),INDEX(MODELOS!$D$4:$D$11,MATCH($D75,MODELOS!$A$4:$A$11,0))))</f>
        <v>Pacote na vertical, sem fundo colorido</v>
      </c>
      <c r="H75" s="11" t="str">
        <f aca="false">IF(INDEX(PRODUTOS!$I$4:$I$63,MATCH($A75,PRODUTOS!$B$4:$B$63,0))="B",INDEX(MODELOS!$I$4:$I$11,MATCH($D75,MODELOS!$A$4:$A$11,0)),INDEX(MODELOS!$E$4:$E$11,MATCH($D75,MODELOS!$A$4:$A$11,0)))</f>
        <v>150 × 300</v>
      </c>
      <c r="I75" s="11" t="str">
        <f aca="false">IF($D75="COMP","SIM",IF(INDEX(PRODUTOS!$J$4:$J$63,MATCH($A75,PRODUTOS!$B$4:$B$63,0))&lt;&gt;"","NÃO (usa o A+ do EAN "&amp;INDEX(PRODUTOS!$J$4:$J$63,MATCH($A75,PRODUTOS!$B$4:$B$63,0))&amp;")",IF(AND(INDEX(PRODUTOS!$I$4:$I$63,MATCH($A75,PRODUTOS!$B$4:$B$63,0))="B",$D75="AP07"),"NÃO (modelo B)","SIM")))</f>
        <v>SIM</v>
      </c>
      <c r="J75" s="13" t="s">
        <v>318</v>
      </c>
      <c r="K75" s="13"/>
    </row>
    <row r="76" customFormat="false" ht="15" hidden="false" customHeight="false" outlineLevel="0" collapsed="false">
      <c r="A76" s="15" t="s">
        <v>81</v>
      </c>
      <c r="B76" s="11" t="str">
        <f aca="false">INDEX(PRODUTOS!$E$4:$E$63,MATCH($A76,PRODUTOS!$B$4:$B$63,0))</f>
        <v>New Dots Ração Seca Premium para Cães Filhotes - 1 kg</v>
      </c>
      <c r="C76" s="11" t="str">
        <f aca="false">INDEX(PRODUTOS!$H$4:$H$63,MATCH($A76,PRODUTOS!$B$4:$B$63,0))</f>
        <v>1 kg</v>
      </c>
      <c r="D76" s="11" t="s">
        <v>317</v>
      </c>
      <c r="E76" s="16" t="str">
        <f aca="false">$A76&amp;"."&amp;$D76&amp;".jpg"</f>
        <v>7898968541542.AP01.jpg</v>
      </c>
      <c r="F76" s="11" t="str">
        <f aca="false">IF(INDEX(PRODUTOS!$I$4:$I$63,MATCH($A76,PRODUTOS!$B$4:$B$63,0))="B",INDEX(MODELOS!$F$4:$F$11,MATCH($D76,MODELOS!$A$4:$A$11,0)),INDEX(MODELOS!$B$4:$B$11,MATCH($D76,MODELOS!$A$4:$A$11,0)))</f>
        <v>Módulo 1 · Banner</v>
      </c>
      <c r="G76" s="11" t="str">
        <f aca="false">IF(INDEX(PRODUTOS!$F$4:$F$63,MATCH($A76,PRODUTOS!$B$4:$B$63,0))="Ração",IF(INDEX(PRODUTOS!$I$4:$I$63,MATCH($A76,PRODUTOS!$B$4:$B$63,0))="B",INDEX(MODELOS!$G$4:$G$11,MATCH($D76,MODELOS!$A$4:$A$11,0)),INDEX(MODELOS!$C$4:$C$11,MATCH($D76,MODELOS!$A$4:$A$11,0))),IF(INDEX(PRODUTOS!$I$4:$I$63,MATCH($A76,PRODUTOS!$B$4:$B$63,0))="B",INDEX(MODELOS!$H$4:$H$11,MATCH($D76,MODELOS!$A$4:$A$11,0)),INDEX(MODELOS!$D$4:$D$11,MATCH($D76,MODELOS!$A$4:$A$11,0))))</f>
        <v>Embalagem + pet + ingredientes, com o nome da linha</v>
      </c>
      <c r="H76" s="11" t="str">
        <f aca="false">IF(INDEX(PRODUTOS!$I$4:$I$63,MATCH($A76,PRODUTOS!$B$4:$B$63,0))="B",INDEX(MODELOS!$I$4:$I$11,MATCH($D76,MODELOS!$A$4:$A$11,0)),INDEX(MODELOS!$E$4:$E$11,MATCH($D76,MODELOS!$A$4:$A$11,0)))</f>
        <v>970 × 600</v>
      </c>
      <c r="I76" s="11" t="str">
        <f aca="false">IF($D76="COMP","SIM",IF(INDEX(PRODUTOS!$J$4:$J$63,MATCH($A76,PRODUTOS!$B$4:$B$63,0))&lt;&gt;"","NÃO (usa o A+ do EAN "&amp;INDEX(PRODUTOS!$J$4:$J$63,MATCH($A76,PRODUTOS!$B$4:$B$63,0))&amp;")",IF(AND(INDEX(PRODUTOS!$I$4:$I$63,MATCH($A76,PRODUTOS!$B$4:$B$63,0))="B",$D76="AP07"),"NÃO (modelo B)","SIM")))</f>
        <v>NÃO (usa o A+ do EAN 7898968541566)</v>
      </c>
      <c r="J76" s="13" t="s">
        <v>318</v>
      </c>
      <c r="K76" s="13"/>
    </row>
    <row r="77" customFormat="false" ht="15" hidden="false" customHeight="false" outlineLevel="0" collapsed="false">
      <c r="A77" s="15" t="s">
        <v>81</v>
      </c>
      <c r="B77" s="11" t="str">
        <f aca="false">INDEX(PRODUTOS!$E$4:$E$63,MATCH($A77,PRODUTOS!$B$4:$B$63,0))</f>
        <v>New Dots Ração Seca Premium para Cães Filhotes - 1 kg</v>
      </c>
      <c r="C77" s="11" t="str">
        <f aca="false">INDEX(PRODUTOS!$H$4:$H$63,MATCH($A77,PRODUTOS!$B$4:$B$63,0))</f>
        <v>1 kg</v>
      </c>
      <c r="D77" s="11" t="s">
        <v>319</v>
      </c>
      <c r="E77" s="16" t="str">
        <f aca="false">$A77&amp;"."&amp;$D77&amp;".jpg"</f>
        <v>7898968541542.AP02.jpg</v>
      </c>
      <c r="F77" s="11" t="str">
        <f aca="false">IF(INDEX(PRODUTOS!$I$4:$I$63,MATCH($A77,PRODUTOS!$B$4:$B$63,0))="B",INDEX(MODELOS!$F$4:$F$11,MATCH($D77,MODELOS!$A$4:$A$11,0)),INDEX(MODELOS!$B$4:$B$11,MATCH($D77,MODELOS!$A$4:$A$11,0)))</f>
        <v>Módulo 2 · Texto sobreposto</v>
      </c>
      <c r="G77" s="11" t="str">
        <f aca="false">IF(INDEX(PRODUTOS!$F$4:$F$63,MATCH($A77,PRODUTOS!$B$4:$B$63,0))="Ração",IF(INDEX(PRODUTOS!$I$4:$I$63,MATCH($A77,PRODUTOS!$B$4:$B$63,0))="B",INDEX(MODELOS!$G$4:$G$11,MATCH($D77,MODELOS!$A$4:$A$11,0)),INDEX(MODELOS!$C$4:$C$11,MATCH($D77,MODELOS!$A$4:$A$11,0))),IF(INDEX(PRODUTOS!$I$4:$I$63,MATCH($A77,PRODUTOS!$B$4:$B$63,0))="B",INDEX(MODELOS!$H$4:$H$11,MATCH($D77,MODELOS!$A$4:$A$11,0)),INDEX(MODELOS!$D$4:$D$11,MATCH($D77,MODELOS!$A$4:$A$11,0))))</f>
        <v>Principal diferencial; deixar o lado direito limpo</v>
      </c>
      <c r="H77" s="11" t="str">
        <f aca="false">IF(INDEX(PRODUTOS!$I$4:$I$63,MATCH($A77,PRODUTOS!$B$4:$B$63,0))="B",INDEX(MODELOS!$I$4:$I$11,MATCH($D77,MODELOS!$A$4:$A$11,0)),INDEX(MODELOS!$E$4:$E$11,MATCH($D77,MODELOS!$A$4:$A$11,0)))</f>
        <v>970 × 300</v>
      </c>
      <c r="I77" s="11" t="str">
        <f aca="false">IF($D77="COMP","SIM",IF(INDEX(PRODUTOS!$J$4:$J$63,MATCH($A77,PRODUTOS!$B$4:$B$63,0))&lt;&gt;"","NÃO (usa o A+ do EAN "&amp;INDEX(PRODUTOS!$J$4:$J$63,MATCH($A77,PRODUTOS!$B$4:$B$63,0))&amp;")",IF(AND(INDEX(PRODUTOS!$I$4:$I$63,MATCH($A77,PRODUTOS!$B$4:$B$63,0))="B",$D77="AP07"),"NÃO (modelo B)","SIM")))</f>
        <v>NÃO (usa o A+ do EAN 7898968541566)</v>
      </c>
      <c r="J77" s="13" t="s">
        <v>318</v>
      </c>
      <c r="K77" s="13"/>
    </row>
    <row r="78" customFormat="false" ht="15" hidden="false" customHeight="false" outlineLevel="0" collapsed="false">
      <c r="A78" s="15" t="s">
        <v>81</v>
      </c>
      <c r="B78" s="11" t="str">
        <f aca="false">INDEX(PRODUTOS!$E$4:$E$63,MATCH($A78,PRODUTOS!$B$4:$B$63,0))</f>
        <v>New Dots Ração Seca Premium para Cães Filhotes - 1 kg</v>
      </c>
      <c r="C78" s="11" t="str">
        <f aca="false">INDEX(PRODUTOS!$H$4:$H$63,MATCH($A78,PRODUTOS!$B$4:$B$63,0))</f>
        <v>1 kg</v>
      </c>
      <c r="D78" s="11" t="s">
        <v>320</v>
      </c>
      <c r="E78" s="16" t="str">
        <f aca="false">$A78&amp;"."&amp;$D78&amp;".jpg"</f>
        <v>7898968541542.AP03.jpg</v>
      </c>
      <c r="F78" s="11" t="str">
        <f aca="false">IF(INDEX(PRODUTOS!$I$4:$I$63,MATCH($A78,PRODUTOS!$B$4:$B$63,0))="B",INDEX(MODELOS!$F$4:$F$11,MATCH($D78,MODELOS!$A$4:$A$11,0)),INDEX(MODELOS!$B$4:$B$11,MATCH($D78,MODELOS!$A$4:$A$11,0)))</f>
        <v>Módulo 3 · Benefício 1 de 4</v>
      </c>
      <c r="G78" s="11" t="str">
        <f aca="false">IF(INDEX(PRODUTOS!$F$4:$F$63,MATCH($A78,PRODUTOS!$B$4:$B$63,0))="Ração",IF(INDEX(PRODUTOS!$I$4:$I$63,MATCH($A78,PRODUTOS!$B$4:$B$63,0))="B",INDEX(MODELOS!$G$4:$G$11,MATCH($D78,MODELOS!$A$4:$A$11,0)),INDEX(MODELOS!$C$4:$C$11,MATCH($D78,MODELOS!$A$4:$A$11,0))),IF(INDEX(PRODUTOS!$I$4:$I$63,MATCH($A78,PRODUTOS!$B$4:$B$63,0))="B",INDEX(MODELOS!$H$4:$H$11,MATCH($D78,MODELOS!$A$4:$A$11,0)),INDEX(MODELOS!$D$4:$D$11,MATCH($D78,MODELOS!$A$4:$A$11,0))))</f>
        <v>Foto/ilustração do benefício 1</v>
      </c>
      <c r="H78" s="11" t="str">
        <f aca="false">IF(INDEX(PRODUTOS!$I$4:$I$63,MATCH($A78,PRODUTOS!$B$4:$B$63,0))="B",INDEX(MODELOS!$I$4:$I$11,MATCH($D78,MODELOS!$A$4:$A$11,0)),INDEX(MODELOS!$E$4:$E$11,MATCH($D78,MODELOS!$A$4:$A$11,0)))</f>
        <v>220 × 200</v>
      </c>
      <c r="I78" s="11" t="str">
        <f aca="false">IF($D78="COMP","SIM",IF(INDEX(PRODUTOS!$J$4:$J$63,MATCH($A78,PRODUTOS!$B$4:$B$63,0))&lt;&gt;"","NÃO (usa o A+ do EAN "&amp;INDEX(PRODUTOS!$J$4:$J$63,MATCH($A78,PRODUTOS!$B$4:$B$63,0))&amp;")",IF(AND(INDEX(PRODUTOS!$I$4:$I$63,MATCH($A78,PRODUTOS!$B$4:$B$63,0))="B",$D78="AP07"),"NÃO (modelo B)","SIM")))</f>
        <v>NÃO (usa o A+ do EAN 7898968541566)</v>
      </c>
      <c r="J78" s="13" t="s">
        <v>318</v>
      </c>
      <c r="K78" s="13"/>
    </row>
    <row r="79" customFormat="false" ht="15" hidden="false" customHeight="false" outlineLevel="0" collapsed="false">
      <c r="A79" s="15" t="s">
        <v>81</v>
      </c>
      <c r="B79" s="11" t="str">
        <f aca="false">INDEX(PRODUTOS!$E$4:$E$63,MATCH($A79,PRODUTOS!$B$4:$B$63,0))</f>
        <v>New Dots Ração Seca Premium para Cães Filhotes - 1 kg</v>
      </c>
      <c r="C79" s="11" t="str">
        <f aca="false">INDEX(PRODUTOS!$H$4:$H$63,MATCH($A79,PRODUTOS!$B$4:$B$63,0))</f>
        <v>1 kg</v>
      </c>
      <c r="D79" s="11" t="s">
        <v>321</v>
      </c>
      <c r="E79" s="16" t="str">
        <f aca="false">$A79&amp;"."&amp;$D79&amp;".jpg"</f>
        <v>7898968541542.AP04.jpg</v>
      </c>
      <c r="F79" s="11" t="str">
        <f aca="false">IF(INDEX(PRODUTOS!$I$4:$I$63,MATCH($A79,PRODUTOS!$B$4:$B$63,0))="B",INDEX(MODELOS!$F$4:$F$11,MATCH($D79,MODELOS!$A$4:$A$11,0)),INDEX(MODELOS!$B$4:$B$11,MATCH($D79,MODELOS!$A$4:$A$11,0)))</f>
        <v>Módulo 3 · Benefício 2 de 4</v>
      </c>
      <c r="G79" s="11" t="str">
        <f aca="false">IF(INDEX(PRODUTOS!$F$4:$F$63,MATCH($A79,PRODUTOS!$B$4:$B$63,0))="Ração",IF(INDEX(PRODUTOS!$I$4:$I$63,MATCH($A79,PRODUTOS!$B$4:$B$63,0))="B",INDEX(MODELOS!$G$4:$G$11,MATCH($D79,MODELOS!$A$4:$A$11,0)),INDEX(MODELOS!$C$4:$C$11,MATCH($D79,MODELOS!$A$4:$A$11,0))),IF(INDEX(PRODUTOS!$I$4:$I$63,MATCH($A79,PRODUTOS!$B$4:$B$63,0))="B",INDEX(MODELOS!$H$4:$H$11,MATCH($D79,MODELOS!$A$4:$A$11,0)),INDEX(MODELOS!$D$4:$D$11,MATCH($D79,MODELOS!$A$4:$A$11,0))))</f>
        <v>Foto/ilustração do benefício 2</v>
      </c>
      <c r="H79" s="11" t="str">
        <f aca="false">IF(INDEX(PRODUTOS!$I$4:$I$63,MATCH($A79,PRODUTOS!$B$4:$B$63,0))="B",INDEX(MODELOS!$I$4:$I$11,MATCH($D79,MODELOS!$A$4:$A$11,0)),INDEX(MODELOS!$E$4:$E$11,MATCH($D79,MODELOS!$A$4:$A$11,0)))</f>
        <v>220 × 200</v>
      </c>
      <c r="I79" s="11" t="str">
        <f aca="false">IF($D79="COMP","SIM",IF(INDEX(PRODUTOS!$J$4:$J$63,MATCH($A79,PRODUTOS!$B$4:$B$63,0))&lt;&gt;"","NÃO (usa o A+ do EAN "&amp;INDEX(PRODUTOS!$J$4:$J$63,MATCH($A79,PRODUTOS!$B$4:$B$63,0))&amp;")",IF(AND(INDEX(PRODUTOS!$I$4:$I$63,MATCH($A79,PRODUTOS!$B$4:$B$63,0))="B",$D79="AP07"),"NÃO (modelo B)","SIM")))</f>
        <v>NÃO (usa o A+ do EAN 7898968541566)</v>
      </c>
      <c r="J79" s="13" t="s">
        <v>318</v>
      </c>
      <c r="K79" s="13"/>
    </row>
    <row r="80" customFormat="false" ht="15" hidden="false" customHeight="false" outlineLevel="0" collapsed="false">
      <c r="A80" s="15" t="s">
        <v>81</v>
      </c>
      <c r="B80" s="11" t="str">
        <f aca="false">INDEX(PRODUTOS!$E$4:$E$63,MATCH($A80,PRODUTOS!$B$4:$B$63,0))</f>
        <v>New Dots Ração Seca Premium para Cães Filhotes - 1 kg</v>
      </c>
      <c r="C80" s="11" t="str">
        <f aca="false">INDEX(PRODUTOS!$H$4:$H$63,MATCH($A80,PRODUTOS!$B$4:$B$63,0))</f>
        <v>1 kg</v>
      </c>
      <c r="D80" s="11" t="s">
        <v>322</v>
      </c>
      <c r="E80" s="16" t="str">
        <f aca="false">$A80&amp;"."&amp;$D80&amp;".jpg"</f>
        <v>7898968541542.AP05.jpg</v>
      </c>
      <c r="F80" s="11" t="str">
        <f aca="false">IF(INDEX(PRODUTOS!$I$4:$I$63,MATCH($A80,PRODUTOS!$B$4:$B$63,0))="B",INDEX(MODELOS!$F$4:$F$11,MATCH($D80,MODELOS!$A$4:$A$11,0)),INDEX(MODELOS!$B$4:$B$11,MATCH($D80,MODELOS!$A$4:$A$11,0)))</f>
        <v>Módulo 3 · Benefício 3 de 4</v>
      </c>
      <c r="G80" s="11" t="str">
        <f aca="false">IF(INDEX(PRODUTOS!$F$4:$F$63,MATCH($A80,PRODUTOS!$B$4:$B$63,0))="Ração",IF(INDEX(PRODUTOS!$I$4:$I$63,MATCH($A80,PRODUTOS!$B$4:$B$63,0))="B",INDEX(MODELOS!$G$4:$G$11,MATCH($D80,MODELOS!$A$4:$A$11,0)),INDEX(MODELOS!$C$4:$C$11,MATCH($D80,MODELOS!$A$4:$A$11,0))),IF(INDEX(PRODUTOS!$I$4:$I$63,MATCH($A80,PRODUTOS!$B$4:$B$63,0))="B",INDEX(MODELOS!$H$4:$H$11,MATCH($D80,MODELOS!$A$4:$A$11,0)),INDEX(MODELOS!$D$4:$D$11,MATCH($D80,MODELOS!$A$4:$A$11,0))))</f>
        <v>Foto/ilustração do benefício 3</v>
      </c>
      <c r="H80" s="11" t="str">
        <f aca="false">IF(INDEX(PRODUTOS!$I$4:$I$63,MATCH($A80,PRODUTOS!$B$4:$B$63,0))="B",INDEX(MODELOS!$I$4:$I$11,MATCH($D80,MODELOS!$A$4:$A$11,0)),INDEX(MODELOS!$E$4:$E$11,MATCH($D80,MODELOS!$A$4:$A$11,0)))</f>
        <v>220 × 200</v>
      </c>
      <c r="I80" s="11" t="str">
        <f aca="false">IF($D80="COMP","SIM",IF(INDEX(PRODUTOS!$J$4:$J$63,MATCH($A80,PRODUTOS!$B$4:$B$63,0))&lt;&gt;"","NÃO (usa o A+ do EAN "&amp;INDEX(PRODUTOS!$J$4:$J$63,MATCH($A80,PRODUTOS!$B$4:$B$63,0))&amp;")",IF(AND(INDEX(PRODUTOS!$I$4:$I$63,MATCH($A80,PRODUTOS!$B$4:$B$63,0))="B",$D80="AP07"),"NÃO (modelo B)","SIM")))</f>
        <v>NÃO (usa o A+ do EAN 7898968541566)</v>
      </c>
      <c r="J80" s="13" t="s">
        <v>318</v>
      </c>
      <c r="K80" s="13"/>
    </row>
    <row r="81" customFormat="false" ht="15" hidden="false" customHeight="false" outlineLevel="0" collapsed="false">
      <c r="A81" s="15" t="s">
        <v>81</v>
      </c>
      <c r="B81" s="11" t="str">
        <f aca="false">INDEX(PRODUTOS!$E$4:$E$63,MATCH($A81,PRODUTOS!$B$4:$B$63,0))</f>
        <v>New Dots Ração Seca Premium para Cães Filhotes - 1 kg</v>
      </c>
      <c r="C81" s="11" t="str">
        <f aca="false">INDEX(PRODUTOS!$H$4:$H$63,MATCH($A81,PRODUTOS!$B$4:$B$63,0))</f>
        <v>1 kg</v>
      </c>
      <c r="D81" s="11" t="s">
        <v>323</v>
      </c>
      <c r="E81" s="16" t="str">
        <f aca="false">$A81&amp;"."&amp;$D81&amp;".jpg"</f>
        <v>7898968541542.AP06.jpg</v>
      </c>
      <c r="F81" s="11" t="str">
        <f aca="false">IF(INDEX(PRODUTOS!$I$4:$I$63,MATCH($A81,PRODUTOS!$B$4:$B$63,0))="B",INDEX(MODELOS!$F$4:$F$11,MATCH($D81,MODELOS!$A$4:$A$11,0)),INDEX(MODELOS!$B$4:$B$11,MATCH($D81,MODELOS!$A$4:$A$11,0)))</f>
        <v>Módulo 3 · Benefício 4 de 4</v>
      </c>
      <c r="G81" s="11" t="str">
        <f aca="false">IF(INDEX(PRODUTOS!$F$4:$F$63,MATCH($A81,PRODUTOS!$B$4:$B$63,0))="Ração",IF(INDEX(PRODUTOS!$I$4:$I$63,MATCH($A81,PRODUTOS!$B$4:$B$63,0))="B",INDEX(MODELOS!$G$4:$G$11,MATCH($D81,MODELOS!$A$4:$A$11,0)),INDEX(MODELOS!$C$4:$C$11,MATCH($D81,MODELOS!$A$4:$A$11,0))),IF(INDEX(PRODUTOS!$I$4:$I$63,MATCH($A81,PRODUTOS!$B$4:$B$63,0))="B",INDEX(MODELOS!$H$4:$H$11,MATCH($D81,MODELOS!$A$4:$A$11,0)),INDEX(MODELOS!$D$4:$D$11,MATCH($D81,MODELOS!$A$4:$A$11,0))))</f>
        <v>Foto/ilustração do benefício 4</v>
      </c>
      <c r="H81" s="11" t="str">
        <f aca="false">IF(INDEX(PRODUTOS!$I$4:$I$63,MATCH($A81,PRODUTOS!$B$4:$B$63,0))="B",INDEX(MODELOS!$I$4:$I$11,MATCH($D81,MODELOS!$A$4:$A$11,0)),INDEX(MODELOS!$E$4:$E$11,MATCH($D81,MODELOS!$A$4:$A$11,0)))</f>
        <v>220 × 200</v>
      </c>
      <c r="I81" s="11" t="str">
        <f aca="false">IF($D81="COMP","SIM",IF(INDEX(PRODUTOS!$J$4:$J$63,MATCH($A81,PRODUTOS!$B$4:$B$63,0))&lt;&gt;"","NÃO (usa o A+ do EAN "&amp;INDEX(PRODUTOS!$J$4:$J$63,MATCH($A81,PRODUTOS!$B$4:$B$63,0))&amp;")",IF(AND(INDEX(PRODUTOS!$I$4:$I$63,MATCH($A81,PRODUTOS!$B$4:$B$63,0))="B",$D81="AP07"),"NÃO (modelo B)","SIM")))</f>
        <v>NÃO (usa o A+ do EAN 7898968541566)</v>
      </c>
      <c r="J81" s="13" t="s">
        <v>318</v>
      </c>
      <c r="K81" s="13"/>
    </row>
    <row r="82" customFormat="false" ht="15" hidden="false" customHeight="false" outlineLevel="0" collapsed="false">
      <c r="A82" s="15" t="s">
        <v>81</v>
      </c>
      <c r="B82" s="11" t="str">
        <f aca="false">INDEX(PRODUTOS!$E$4:$E$63,MATCH($A82,PRODUTOS!$B$4:$B$63,0))</f>
        <v>New Dots Ração Seca Premium para Cães Filhotes - 1 kg</v>
      </c>
      <c r="C82" s="11" t="str">
        <f aca="false">INDEX(PRODUTOS!$H$4:$H$63,MATCH($A82,PRODUTOS!$B$4:$B$63,0))</f>
        <v>1 kg</v>
      </c>
      <c r="D82" s="11" t="s">
        <v>324</v>
      </c>
      <c r="E82" s="16" t="str">
        <f aca="false">$A82&amp;"."&amp;$D82&amp;".jpg"</f>
        <v>7898968541542.AP07.jpg</v>
      </c>
      <c r="F82" s="11" t="str">
        <f aca="false">IF(INDEX(PRODUTOS!$I$4:$I$63,MATCH($A82,PRODUTOS!$B$4:$B$63,0))="B",INDEX(MODELOS!$F$4:$F$11,MATCH($D82,MODELOS!$A$4:$A$11,0)),INDEX(MODELOS!$B$4:$B$11,MATCH($D82,MODELOS!$A$4:$A$11,0)))</f>
        <v>Módulo 4 · Especificações</v>
      </c>
      <c r="G82" s="11" t="str">
        <f aca="false">IF(INDEX(PRODUTOS!$F$4:$F$63,MATCH($A82,PRODUTOS!$B$4:$B$63,0))="Ração",IF(INDEX(PRODUTOS!$I$4:$I$63,MATCH($A82,PRODUTOS!$B$4:$B$63,0))="B",INDEX(MODELOS!$G$4:$G$11,MATCH($D82,MODELOS!$A$4:$A$11,0)),INDEX(MODELOS!$C$4:$C$11,MATCH($D82,MODELOS!$A$4:$A$11,0))),IF(INDEX(PRODUTOS!$I$4:$I$63,MATCH($A82,PRODUTOS!$B$4:$B$63,0))="B",INDEX(MODELOS!$H$4:$H$11,MATCH($D82,MODELOS!$A$4:$A$11,0)),INDEX(MODELOS!$D$4:$D$11,MATCH($D82,MODELOS!$A$4:$A$11,0))))</f>
        <v>Grão ou pacote em destaque</v>
      </c>
      <c r="H82" s="11" t="str">
        <f aca="false">IF(INDEX(PRODUTOS!$I$4:$I$63,MATCH($A82,PRODUTOS!$B$4:$B$63,0))="B",INDEX(MODELOS!$I$4:$I$11,MATCH($D82,MODELOS!$A$4:$A$11,0)),INDEX(MODELOS!$E$4:$E$11,MATCH($D82,MODELOS!$A$4:$A$11,0)))</f>
        <v>300 × 300</v>
      </c>
      <c r="I82" s="11" t="str">
        <f aca="false">IF($D82="COMP","SIM",IF(INDEX(PRODUTOS!$J$4:$J$63,MATCH($A82,PRODUTOS!$B$4:$B$63,0))&lt;&gt;"","NÃO (usa o A+ do EAN "&amp;INDEX(PRODUTOS!$J$4:$J$63,MATCH($A82,PRODUTOS!$B$4:$B$63,0))&amp;")",IF(AND(INDEX(PRODUTOS!$I$4:$I$63,MATCH($A82,PRODUTOS!$B$4:$B$63,0))="B",$D82="AP07"),"NÃO (modelo B)","SIM")))</f>
        <v>NÃO (usa o A+ do EAN 7898968541566)</v>
      </c>
      <c r="J82" s="13" t="s">
        <v>318</v>
      </c>
      <c r="K82" s="13"/>
    </row>
    <row r="83" customFormat="false" ht="15" hidden="false" customHeight="false" outlineLevel="0" collapsed="false">
      <c r="A83" s="15" t="s">
        <v>81</v>
      </c>
      <c r="B83" s="11" t="str">
        <f aca="false">INDEX(PRODUTOS!$E$4:$E$63,MATCH($A83,PRODUTOS!$B$4:$B$63,0))</f>
        <v>New Dots Ração Seca Premium para Cães Filhotes - 1 kg</v>
      </c>
      <c r="C83" s="11" t="str">
        <f aca="false">INDEX(PRODUTOS!$H$4:$H$63,MATCH($A83,PRODUTOS!$B$4:$B$63,0))</f>
        <v>1 kg</v>
      </c>
      <c r="D83" s="11" t="s">
        <v>325</v>
      </c>
      <c r="E83" s="16" t="str">
        <f aca="false">$A83&amp;"."&amp;$D83&amp;".jpg"</f>
        <v>7898968541542.COMP.jpg</v>
      </c>
      <c r="F83" s="11" t="str">
        <f aca="false">IF(INDEX(PRODUTOS!$I$4:$I$63,MATCH($A83,PRODUTOS!$B$4:$B$63,0))="B",INDEX(MODELOS!$F$4:$F$11,MATCH($D83,MODELOS!$A$4:$A$11,0)),INDEX(MODELOS!$B$4:$B$11,MATCH($D83,MODELOS!$A$4:$A$11,0)))</f>
        <v>Módulo 5 · Tabela comparativa</v>
      </c>
      <c r="G83" s="11" t="str">
        <f aca="false">IF(INDEX(PRODUTOS!$F$4:$F$63,MATCH($A83,PRODUTOS!$B$4:$B$63,0))="Ração",IF(INDEX(PRODUTOS!$I$4:$I$63,MATCH($A83,PRODUTOS!$B$4:$B$63,0))="B",INDEX(MODELOS!$G$4:$G$11,MATCH($D83,MODELOS!$A$4:$A$11,0)),INDEX(MODELOS!$C$4:$C$11,MATCH($D83,MODELOS!$A$4:$A$11,0))),IF(INDEX(PRODUTOS!$I$4:$I$63,MATCH($A83,PRODUTOS!$B$4:$B$63,0))="B",INDEX(MODELOS!$H$4:$H$11,MATCH($D83,MODELOS!$A$4:$A$11,0)),INDEX(MODELOS!$D$4:$D$11,MATCH($D83,MODELOS!$A$4:$A$11,0))))</f>
        <v>Pacote na vertical, sem fundo colorido</v>
      </c>
      <c r="H83" s="11" t="str">
        <f aca="false">IF(INDEX(PRODUTOS!$I$4:$I$63,MATCH($A83,PRODUTOS!$B$4:$B$63,0))="B",INDEX(MODELOS!$I$4:$I$11,MATCH($D83,MODELOS!$A$4:$A$11,0)),INDEX(MODELOS!$E$4:$E$11,MATCH($D83,MODELOS!$A$4:$A$11,0)))</f>
        <v>150 × 300</v>
      </c>
      <c r="I83" s="11" t="str">
        <f aca="false">IF($D83="COMP","SIM",IF(INDEX(PRODUTOS!$J$4:$J$63,MATCH($A83,PRODUTOS!$B$4:$B$63,0))&lt;&gt;"","NÃO (usa o A+ do EAN "&amp;INDEX(PRODUTOS!$J$4:$J$63,MATCH($A83,PRODUTOS!$B$4:$B$63,0))&amp;")",IF(AND(INDEX(PRODUTOS!$I$4:$I$63,MATCH($A83,PRODUTOS!$B$4:$B$63,0))="B",$D83="AP07"),"NÃO (modelo B)","SIM")))</f>
        <v>SIM</v>
      </c>
      <c r="J83" s="13" t="s">
        <v>318</v>
      </c>
      <c r="K83" s="13"/>
    </row>
    <row r="84" customFormat="false" ht="15" hidden="false" customHeight="false" outlineLevel="0" collapsed="false">
      <c r="A84" s="15" t="s">
        <v>84</v>
      </c>
      <c r="B84" s="11" t="str">
        <f aca="false">INDEX(PRODUTOS!$E$4:$E$63,MATCH($A84,PRODUTOS!$B$4:$B$63,0))</f>
        <v>New Dots Ração Seca Premium para Gatos Adultos - 20 kg</v>
      </c>
      <c r="C84" s="11" t="str">
        <f aca="false">INDEX(PRODUTOS!$H$4:$H$63,MATCH($A84,PRODUTOS!$B$4:$B$63,0))</f>
        <v>20 kg</v>
      </c>
      <c r="D84" s="11" t="s">
        <v>317</v>
      </c>
      <c r="E84" s="16" t="str">
        <f aca="false">$A84&amp;"."&amp;$D84&amp;".jpg"</f>
        <v>7898968541597.AP01.jpg</v>
      </c>
      <c r="F84" s="11" t="str">
        <f aca="false">IF(INDEX(PRODUTOS!$I$4:$I$63,MATCH($A84,PRODUTOS!$B$4:$B$63,0))="B",INDEX(MODELOS!$F$4:$F$11,MATCH($D84,MODELOS!$A$4:$A$11,0)),INDEX(MODELOS!$B$4:$B$11,MATCH($D84,MODELOS!$A$4:$A$11,0)))</f>
        <v>Módulo 1 · Banner</v>
      </c>
      <c r="G84" s="11" t="str">
        <f aca="false">IF(INDEX(PRODUTOS!$F$4:$F$63,MATCH($A84,PRODUTOS!$B$4:$B$63,0))="Ração",IF(INDEX(PRODUTOS!$I$4:$I$63,MATCH($A84,PRODUTOS!$B$4:$B$63,0))="B",INDEX(MODELOS!$G$4:$G$11,MATCH($D84,MODELOS!$A$4:$A$11,0)),INDEX(MODELOS!$C$4:$C$11,MATCH($D84,MODELOS!$A$4:$A$11,0))),IF(INDEX(PRODUTOS!$I$4:$I$63,MATCH($A84,PRODUTOS!$B$4:$B$63,0))="B",INDEX(MODELOS!$H$4:$H$11,MATCH($D84,MODELOS!$A$4:$A$11,0)),INDEX(MODELOS!$D$4:$D$11,MATCH($D84,MODELOS!$A$4:$A$11,0))))</f>
        <v>Embalagem + pet + ingredientes, com o nome da linha</v>
      </c>
      <c r="H84" s="11" t="str">
        <f aca="false">IF(INDEX(PRODUTOS!$I$4:$I$63,MATCH($A84,PRODUTOS!$B$4:$B$63,0))="B",INDEX(MODELOS!$I$4:$I$11,MATCH($D84,MODELOS!$A$4:$A$11,0)),INDEX(MODELOS!$E$4:$E$11,MATCH($D84,MODELOS!$A$4:$A$11,0)))</f>
        <v>970 × 600</v>
      </c>
      <c r="I84" s="11" t="str">
        <f aca="false">IF($D84="COMP","SIM",IF(INDEX(PRODUTOS!$J$4:$J$63,MATCH($A84,PRODUTOS!$B$4:$B$63,0))&lt;&gt;"","NÃO (usa o A+ do EAN "&amp;INDEX(PRODUTOS!$J$4:$J$63,MATCH($A84,PRODUTOS!$B$4:$B$63,0))&amp;")",IF(AND(INDEX(PRODUTOS!$I$4:$I$63,MATCH($A84,PRODUTOS!$B$4:$B$63,0))="B",$D84="AP07"),"NÃO (modelo B)","SIM")))</f>
        <v>SIM</v>
      </c>
      <c r="J84" s="13" t="s">
        <v>318</v>
      </c>
      <c r="K84" s="13"/>
    </row>
    <row r="85" customFormat="false" ht="15" hidden="false" customHeight="false" outlineLevel="0" collapsed="false">
      <c r="A85" s="15" t="s">
        <v>84</v>
      </c>
      <c r="B85" s="11" t="str">
        <f aca="false">INDEX(PRODUTOS!$E$4:$E$63,MATCH($A85,PRODUTOS!$B$4:$B$63,0))</f>
        <v>New Dots Ração Seca Premium para Gatos Adultos - 20 kg</v>
      </c>
      <c r="C85" s="11" t="str">
        <f aca="false">INDEX(PRODUTOS!$H$4:$H$63,MATCH($A85,PRODUTOS!$B$4:$B$63,0))</f>
        <v>20 kg</v>
      </c>
      <c r="D85" s="11" t="s">
        <v>319</v>
      </c>
      <c r="E85" s="16" t="str">
        <f aca="false">$A85&amp;"."&amp;$D85&amp;".jpg"</f>
        <v>7898968541597.AP02.jpg</v>
      </c>
      <c r="F85" s="11" t="str">
        <f aca="false">IF(INDEX(PRODUTOS!$I$4:$I$63,MATCH($A85,PRODUTOS!$B$4:$B$63,0))="B",INDEX(MODELOS!$F$4:$F$11,MATCH($D85,MODELOS!$A$4:$A$11,0)),INDEX(MODELOS!$B$4:$B$11,MATCH($D85,MODELOS!$A$4:$A$11,0)))</f>
        <v>Módulo 2 · Texto sobreposto</v>
      </c>
      <c r="G85" s="11" t="str">
        <f aca="false">IF(INDEX(PRODUTOS!$F$4:$F$63,MATCH($A85,PRODUTOS!$B$4:$B$63,0))="Ração",IF(INDEX(PRODUTOS!$I$4:$I$63,MATCH($A85,PRODUTOS!$B$4:$B$63,0))="B",INDEX(MODELOS!$G$4:$G$11,MATCH($D85,MODELOS!$A$4:$A$11,0)),INDEX(MODELOS!$C$4:$C$11,MATCH($D85,MODELOS!$A$4:$A$11,0))),IF(INDEX(PRODUTOS!$I$4:$I$63,MATCH($A85,PRODUTOS!$B$4:$B$63,0))="B",INDEX(MODELOS!$H$4:$H$11,MATCH($D85,MODELOS!$A$4:$A$11,0)),INDEX(MODELOS!$D$4:$D$11,MATCH($D85,MODELOS!$A$4:$A$11,0))))</f>
        <v>Principal diferencial; deixar o lado direito limpo</v>
      </c>
      <c r="H85" s="11" t="str">
        <f aca="false">IF(INDEX(PRODUTOS!$I$4:$I$63,MATCH($A85,PRODUTOS!$B$4:$B$63,0))="B",INDEX(MODELOS!$I$4:$I$11,MATCH($D85,MODELOS!$A$4:$A$11,0)),INDEX(MODELOS!$E$4:$E$11,MATCH($D85,MODELOS!$A$4:$A$11,0)))</f>
        <v>970 × 300</v>
      </c>
      <c r="I85" s="11" t="str">
        <f aca="false">IF($D85="COMP","SIM",IF(INDEX(PRODUTOS!$J$4:$J$63,MATCH($A85,PRODUTOS!$B$4:$B$63,0))&lt;&gt;"","NÃO (usa o A+ do EAN "&amp;INDEX(PRODUTOS!$J$4:$J$63,MATCH($A85,PRODUTOS!$B$4:$B$63,0))&amp;")",IF(AND(INDEX(PRODUTOS!$I$4:$I$63,MATCH($A85,PRODUTOS!$B$4:$B$63,0))="B",$D85="AP07"),"NÃO (modelo B)","SIM")))</f>
        <v>SIM</v>
      </c>
      <c r="J85" s="13" t="s">
        <v>318</v>
      </c>
      <c r="K85" s="13"/>
    </row>
    <row r="86" customFormat="false" ht="15" hidden="false" customHeight="false" outlineLevel="0" collapsed="false">
      <c r="A86" s="15" t="s">
        <v>84</v>
      </c>
      <c r="B86" s="11" t="str">
        <f aca="false">INDEX(PRODUTOS!$E$4:$E$63,MATCH($A86,PRODUTOS!$B$4:$B$63,0))</f>
        <v>New Dots Ração Seca Premium para Gatos Adultos - 20 kg</v>
      </c>
      <c r="C86" s="11" t="str">
        <f aca="false">INDEX(PRODUTOS!$H$4:$H$63,MATCH($A86,PRODUTOS!$B$4:$B$63,0))</f>
        <v>20 kg</v>
      </c>
      <c r="D86" s="11" t="s">
        <v>320</v>
      </c>
      <c r="E86" s="16" t="str">
        <f aca="false">$A86&amp;"."&amp;$D86&amp;".jpg"</f>
        <v>7898968541597.AP03.jpg</v>
      </c>
      <c r="F86" s="11" t="str">
        <f aca="false">IF(INDEX(PRODUTOS!$I$4:$I$63,MATCH($A86,PRODUTOS!$B$4:$B$63,0))="B",INDEX(MODELOS!$F$4:$F$11,MATCH($D86,MODELOS!$A$4:$A$11,0)),INDEX(MODELOS!$B$4:$B$11,MATCH($D86,MODELOS!$A$4:$A$11,0)))</f>
        <v>Módulo 3 · Benefício 1 de 4</v>
      </c>
      <c r="G86" s="11" t="str">
        <f aca="false">IF(INDEX(PRODUTOS!$F$4:$F$63,MATCH($A86,PRODUTOS!$B$4:$B$63,0))="Ração",IF(INDEX(PRODUTOS!$I$4:$I$63,MATCH($A86,PRODUTOS!$B$4:$B$63,0))="B",INDEX(MODELOS!$G$4:$G$11,MATCH($D86,MODELOS!$A$4:$A$11,0)),INDEX(MODELOS!$C$4:$C$11,MATCH($D86,MODELOS!$A$4:$A$11,0))),IF(INDEX(PRODUTOS!$I$4:$I$63,MATCH($A86,PRODUTOS!$B$4:$B$63,0))="B",INDEX(MODELOS!$H$4:$H$11,MATCH($D86,MODELOS!$A$4:$A$11,0)),INDEX(MODELOS!$D$4:$D$11,MATCH($D86,MODELOS!$A$4:$A$11,0))))</f>
        <v>Foto/ilustração do benefício 1</v>
      </c>
      <c r="H86" s="11" t="str">
        <f aca="false">IF(INDEX(PRODUTOS!$I$4:$I$63,MATCH($A86,PRODUTOS!$B$4:$B$63,0))="B",INDEX(MODELOS!$I$4:$I$11,MATCH($D86,MODELOS!$A$4:$A$11,0)),INDEX(MODELOS!$E$4:$E$11,MATCH($D86,MODELOS!$A$4:$A$11,0)))</f>
        <v>220 × 200</v>
      </c>
      <c r="I86" s="11" t="str">
        <f aca="false">IF($D86="COMP","SIM",IF(INDEX(PRODUTOS!$J$4:$J$63,MATCH($A86,PRODUTOS!$B$4:$B$63,0))&lt;&gt;"","NÃO (usa o A+ do EAN "&amp;INDEX(PRODUTOS!$J$4:$J$63,MATCH($A86,PRODUTOS!$B$4:$B$63,0))&amp;")",IF(AND(INDEX(PRODUTOS!$I$4:$I$63,MATCH($A86,PRODUTOS!$B$4:$B$63,0))="B",$D86="AP07"),"NÃO (modelo B)","SIM")))</f>
        <v>SIM</v>
      </c>
      <c r="J86" s="13" t="s">
        <v>318</v>
      </c>
      <c r="K86" s="13"/>
    </row>
    <row r="87" customFormat="false" ht="15" hidden="false" customHeight="false" outlineLevel="0" collapsed="false">
      <c r="A87" s="15" t="s">
        <v>84</v>
      </c>
      <c r="B87" s="11" t="str">
        <f aca="false">INDEX(PRODUTOS!$E$4:$E$63,MATCH($A87,PRODUTOS!$B$4:$B$63,0))</f>
        <v>New Dots Ração Seca Premium para Gatos Adultos - 20 kg</v>
      </c>
      <c r="C87" s="11" t="str">
        <f aca="false">INDEX(PRODUTOS!$H$4:$H$63,MATCH($A87,PRODUTOS!$B$4:$B$63,0))</f>
        <v>20 kg</v>
      </c>
      <c r="D87" s="11" t="s">
        <v>321</v>
      </c>
      <c r="E87" s="16" t="str">
        <f aca="false">$A87&amp;"."&amp;$D87&amp;".jpg"</f>
        <v>7898968541597.AP04.jpg</v>
      </c>
      <c r="F87" s="11" t="str">
        <f aca="false">IF(INDEX(PRODUTOS!$I$4:$I$63,MATCH($A87,PRODUTOS!$B$4:$B$63,0))="B",INDEX(MODELOS!$F$4:$F$11,MATCH($D87,MODELOS!$A$4:$A$11,0)),INDEX(MODELOS!$B$4:$B$11,MATCH($D87,MODELOS!$A$4:$A$11,0)))</f>
        <v>Módulo 3 · Benefício 2 de 4</v>
      </c>
      <c r="G87" s="11" t="str">
        <f aca="false">IF(INDEX(PRODUTOS!$F$4:$F$63,MATCH($A87,PRODUTOS!$B$4:$B$63,0))="Ração",IF(INDEX(PRODUTOS!$I$4:$I$63,MATCH($A87,PRODUTOS!$B$4:$B$63,0))="B",INDEX(MODELOS!$G$4:$G$11,MATCH($D87,MODELOS!$A$4:$A$11,0)),INDEX(MODELOS!$C$4:$C$11,MATCH($D87,MODELOS!$A$4:$A$11,0))),IF(INDEX(PRODUTOS!$I$4:$I$63,MATCH($A87,PRODUTOS!$B$4:$B$63,0))="B",INDEX(MODELOS!$H$4:$H$11,MATCH($D87,MODELOS!$A$4:$A$11,0)),INDEX(MODELOS!$D$4:$D$11,MATCH($D87,MODELOS!$A$4:$A$11,0))))</f>
        <v>Foto/ilustração do benefício 2</v>
      </c>
      <c r="H87" s="11" t="str">
        <f aca="false">IF(INDEX(PRODUTOS!$I$4:$I$63,MATCH($A87,PRODUTOS!$B$4:$B$63,0))="B",INDEX(MODELOS!$I$4:$I$11,MATCH($D87,MODELOS!$A$4:$A$11,0)),INDEX(MODELOS!$E$4:$E$11,MATCH($D87,MODELOS!$A$4:$A$11,0)))</f>
        <v>220 × 200</v>
      </c>
      <c r="I87" s="11" t="str">
        <f aca="false">IF($D87="COMP","SIM",IF(INDEX(PRODUTOS!$J$4:$J$63,MATCH($A87,PRODUTOS!$B$4:$B$63,0))&lt;&gt;"","NÃO (usa o A+ do EAN "&amp;INDEX(PRODUTOS!$J$4:$J$63,MATCH($A87,PRODUTOS!$B$4:$B$63,0))&amp;")",IF(AND(INDEX(PRODUTOS!$I$4:$I$63,MATCH($A87,PRODUTOS!$B$4:$B$63,0))="B",$D87="AP07"),"NÃO (modelo B)","SIM")))</f>
        <v>SIM</v>
      </c>
      <c r="J87" s="13" t="s">
        <v>318</v>
      </c>
      <c r="K87" s="13"/>
    </row>
    <row r="88" customFormat="false" ht="15" hidden="false" customHeight="false" outlineLevel="0" collapsed="false">
      <c r="A88" s="15" t="s">
        <v>84</v>
      </c>
      <c r="B88" s="11" t="str">
        <f aca="false">INDEX(PRODUTOS!$E$4:$E$63,MATCH($A88,PRODUTOS!$B$4:$B$63,0))</f>
        <v>New Dots Ração Seca Premium para Gatos Adultos - 20 kg</v>
      </c>
      <c r="C88" s="11" t="str">
        <f aca="false">INDEX(PRODUTOS!$H$4:$H$63,MATCH($A88,PRODUTOS!$B$4:$B$63,0))</f>
        <v>20 kg</v>
      </c>
      <c r="D88" s="11" t="s">
        <v>322</v>
      </c>
      <c r="E88" s="16" t="str">
        <f aca="false">$A88&amp;"."&amp;$D88&amp;".jpg"</f>
        <v>7898968541597.AP05.jpg</v>
      </c>
      <c r="F88" s="11" t="str">
        <f aca="false">IF(INDEX(PRODUTOS!$I$4:$I$63,MATCH($A88,PRODUTOS!$B$4:$B$63,0))="B",INDEX(MODELOS!$F$4:$F$11,MATCH($D88,MODELOS!$A$4:$A$11,0)),INDEX(MODELOS!$B$4:$B$11,MATCH($D88,MODELOS!$A$4:$A$11,0)))</f>
        <v>Módulo 3 · Benefício 3 de 4</v>
      </c>
      <c r="G88" s="11" t="str">
        <f aca="false">IF(INDEX(PRODUTOS!$F$4:$F$63,MATCH($A88,PRODUTOS!$B$4:$B$63,0))="Ração",IF(INDEX(PRODUTOS!$I$4:$I$63,MATCH($A88,PRODUTOS!$B$4:$B$63,0))="B",INDEX(MODELOS!$G$4:$G$11,MATCH($D88,MODELOS!$A$4:$A$11,0)),INDEX(MODELOS!$C$4:$C$11,MATCH($D88,MODELOS!$A$4:$A$11,0))),IF(INDEX(PRODUTOS!$I$4:$I$63,MATCH($A88,PRODUTOS!$B$4:$B$63,0))="B",INDEX(MODELOS!$H$4:$H$11,MATCH($D88,MODELOS!$A$4:$A$11,0)),INDEX(MODELOS!$D$4:$D$11,MATCH($D88,MODELOS!$A$4:$A$11,0))))</f>
        <v>Foto/ilustração do benefício 3</v>
      </c>
      <c r="H88" s="11" t="str">
        <f aca="false">IF(INDEX(PRODUTOS!$I$4:$I$63,MATCH($A88,PRODUTOS!$B$4:$B$63,0))="B",INDEX(MODELOS!$I$4:$I$11,MATCH($D88,MODELOS!$A$4:$A$11,0)),INDEX(MODELOS!$E$4:$E$11,MATCH($D88,MODELOS!$A$4:$A$11,0)))</f>
        <v>220 × 200</v>
      </c>
      <c r="I88" s="11" t="str">
        <f aca="false">IF($D88="COMP","SIM",IF(INDEX(PRODUTOS!$J$4:$J$63,MATCH($A88,PRODUTOS!$B$4:$B$63,0))&lt;&gt;"","NÃO (usa o A+ do EAN "&amp;INDEX(PRODUTOS!$J$4:$J$63,MATCH($A88,PRODUTOS!$B$4:$B$63,0))&amp;")",IF(AND(INDEX(PRODUTOS!$I$4:$I$63,MATCH($A88,PRODUTOS!$B$4:$B$63,0))="B",$D88="AP07"),"NÃO (modelo B)","SIM")))</f>
        <v>SIM</v>
      </c>
      <c r="J88" s="13" t="s">
        <v>318</v>
      </c>
      <c r="K88" s="13"/>
    </row>
    <row r="89" customFormat="false" ht="15" hidden="false" customHeight="false" outlineLevel="0" collapsed="false">
      <c r="A89" s="15" t="s">
        <v>84</v>
      </c>
      <c r="B89" s="11" t="str">
        <f aca="false">INDEX(PRODUTOS!$E$4:$E$63,MATCH($A89,PRODUTOS!$B$4:$B$63,0))</f>
        <v>New Dots Ração Seca Premium para Gatos Adultos - 20 kg</v>
      </c>
      <c r="C89" s="11" t="str">
        <f aca="false">INDEX(PRODUTOS!$H$4:$H$63,MATCH($A89,PRODUTOS!$B$4:$B$63,0))</f>
        <v>20 kg</v>
      </c>
      <c r="D89" s="11" t="s">
        <v>323</v>
      </c>
      <c r="E89" s="16" t="str">
        <f aca="false">$A89&amp;"."&amp;$D89&amp;".jpg"</f>
        <v>7898968541597.AP06.jpg</v>
      </c>
      <c r="F89" s="11" t="str">
        <f aca="false">IF(INDEX(PRODUTOS!$I$4:$I$63,MATCH($A89,PRODUTOS!$B$4:$B$63,0))="B",INDEX(MODELOS!$F$4:$F$11,MATCH($D89,MODELOS!$A$4:$A$11,0)),INDEX(MODELOS!$B$4:$B$11,MATCH($D89,MODELOS!$A$4:$A$11,0)))</f>
        <v>Módulo 3 · Benefício 4 de 4</v>
      </c>
      <c r="G89" s="11" t="str">
        <f aca="false">IF(INDEX(PRODUTOS!$F$4:$F$63,MATCH($A89,PRODUTOS!$B$4:$B$63,0))="Ração",IF(INDEX(PRODUTOS!$I$4:$I$63,MATCH($A89,PRODUTOS!$B$4:$B$63,0))="B",INDEX(MODELOS!$G$4:$G$11,MATCH($D89,MODELOS!$A$4:$A$11,0)),INDEX(MODELOS!$C$4:$C$11,MATCH($D89,MODELOS!$A$4:$A$11,0))),IF(INDEX(PRODUTOS!$I$4:$I$63,MATCH($A89,PRODUTOS!$B$4:$B$63,0))="B",INDEX(MODELOS!$H$4:$H$11,MATCH($D89,MODELOS!$A$4:$A$11,0)),INDEX(MODELOS!$D$4:$D$11,MATCH($D89,MODELOS!$A$4:$A$11,0))))</f>
        <v>Foto/ilustração do benefício 4</v>
      </c>
      <c r="H89" s="11" t="str">
        <f aca="false">IF(INDEX(PRODUTOS!$I$4:$I$63,MATCH($A89,PRODUTOS!$B$4:$B$63,0))="B",INDEX(MODELOS!$I$4:$I$11,MATCH($D89,MODELOS!$A$4:$A$11,0)),INDEX(MODELOS!$E$4:$E$11,MATCH($D89,MODELOS!$A$4:$A$11,0)))</f>
        <v>220 × 200</v>
      </c>
      <c r="I89" s="11" t="str">
        <f aca="false">IF($D89="COMP","SIM",IF(INDEX(PRODUTOS!$J$4:$J$63,MATCH($A89,PRODUTOS!$B$4:$B$63,0))&lt;&gt;"","NÃO (usa o A+ do EAN "&amp;INDEX(PRODUTOS!$J$4:$J$63,MATCH($A89,PRODUTOS!$B$4:$B$63,0))&amp;")",IF(AND(INDEX(PRODUTOS!$I$4:$I$63,MATCH($A89,PRODUTOS!$B$4:$B$63,0))="B",$D89="AP07"),"NÃO (modelo B)","SIM")))</f>
        <v>SIM</v>
      </c>
      <c r="J89" s="13" t="s">
        <v>318</v>
      </c>
      <c r="K89" s="13"/>
    </row>
    <row r="90" customFormat="false" ht="15" hidden="false" customHeight="false" outlineLevel="0" collapsed="false">
      <c r="A90" s="15" t="s">
        <v>84</v>
      </c>
      <c r="B90" s="11" t="str">
        <f aca="false">INDEX(PRODUTOS!$E$4:$E$63,MATCH($A90,PRODUTOS!$B$4:$B$63,0))</f>
        <v>New Dots Ração Seca Premium para Gatos Adultos - 20 kg</v>
      </c>
      <c r="C90" s="11" t="str">
        <f aca="false">INDEX(PRODUTOS!$H$4:$H$63,MATCH($A90,PRODUTOS!$B$4:$B$63,0))</f>
        <v>20 kg</v>
      </c>
      <c r="D90" s="11" t="s">
        <v>324</v>
      </c>
      <c r="E90" s="16" t="str">
        <f aca="false">$A90&amp;"."&amp;$D90&amp;".jpg"</f>
        <v>7898968541597.AP07.jpg</v>
      </c>
      <c r="F90" s="11" t="str">
        <f aca="false">IF(INDEX(PRODUTOS!$I$4:$I$63,MATCH($A90,PRODUTOS!$B$4:$B$63,0))="B",INDEX(MODELOS!$F$4:$F$11,MATCH($D90,MODELOS!$A$4:$A$11,0)),INDEX(MODELOS!$B$4:$B$11,MATCH($D90,MODELOS!$A$4:$A$11,0)))</f>
        <v>Módulo 4 · Especificações</v>
      </c>
      <c r="G90" s="11" t="str">
        <f aca="false">IF(INDEX(PRODUTOS!$F$4:$F$63,MATCH($A90,PRODUTOS!$B$4:$B$63,0))="Ração",IF(INDEX(PRODUTOS!$I$4:$I$63,MATCH($A90,PRODUTOS!$B$4:$B$63,0))="B",INDEX(MODELOS!$G$4:$G$11,MATCH($D90,MODELOS!$A$4:$A$11,0)),INDEX(MODELOS!$C$4:$C$11,MATCH($D90,MODELOS!$A$4:$A$11,0))),IF(INDEX(PRODUTOS!$I$4:$I$63,MATCH($A90,PRODUTOS!$B$4:$B$63,0))="B",INDEX(MODELOS!$H$4:$H$11,MATCH($D90,MODELOS!$A$4:$A$11,0)),INDEX(MODELOS!$D$4:$D$11,MATCH($D90,MODELOS!$A$4:$A$11,0))))</f>
        <v>Grão ou pacote em destaque</v>
      </c>
      <c r="H90" s="11" t="str">
        <f aca="false">IF(INDEX(PRODUTOS!$I$4:$I$63,MATCH($A90,PRODUTOS!$B$4:$B$63,0))="B",INDEX(MODELOS!$I$4:$I$11,MATCH($D90,MODELOS!$A$4:$A$11,0)),INDEX(MODELOS!$E$4:$E$11,MATCH($D90,MODELOS!$A$4:$A$11,0)))</f>
        <v>300 × 300</v>
      </c>
      <c r="I90" s="11" t="str">
        <f aca="false">IF($D90="COMP","SIM",IF(INDEX(PRODUTOS!$J$4:$J$63,MATCH($A90,PRODUTOS!$B$4:$B$63,0))&lt;&gt;"","NÃO (usa o A+ do EAN "&amp;INDEX(PRODUTOS!$J$4:$J$63,MATCH($A90,PRODUTOS!$B$4:$B$63,0))&amp;")",IF(AND(INDEX(PRODUTOS!$I$4:$I$63,MATCH($A90,PRODUTOS!$B$4:$B$63,0))="B",$D90="AP07"),"NÃO (modelo B)","SIM")))</f>
        <v>SIM</v>
      </c>
      <c r="J90" s="13" t="s">
        <v>318</v>
      </c>
      <c r="K90" s="13"/>
    </row>
    <row r="91" customFormat="false" ht="15" hidden="false" customHeight="false" outlineLevel="0" collapsed="false">
      <c r="A91" s="15" t="s">
        <v>84</v>
      </c>
      <c r="B91" s="11" t="str">
        <f aca="false">INDEX(PRODUTOS!$E$4:$E$63,MATCH($A91,PRODUTOS!$B$4:$B$63,0))</f>
        <v>New Dots Ração Seca Premium para Gatos Adultos - 20 kg</v>
      </c>
      <c r="C91" s="11" t="str">
        <f aca="false">INDEX(PRODUTOS!$H$4:$H$63,MATCH($A91,PRODUTOS!$B$4:$B$63,0))</f>
        <v>20 kg</v>
      </c>
      <c r="D91" s="11" t="s">
        <v>325</v>
      </c>
      <c r="E91" s="16" t="str">
        <f aca="false">$A91&amp;"."&amp;$D91&amp;".jpg"</f>
        <v>7898968541597.COMP.jpg</v>
      </c>
      <c r="F91" s="11" t="str">
        <f aca="false">IF(INDEX(PRODUTOS!$I$4:$I$63,MATCH($A91,PRODUTOS!$B$4:$B$63,0))="B",INDEX(MODELOS!$F$4:$F$11,MATCH($D91,MODELOS!$A$4:$A$11,0)),INDEX(MODELOS!$B$4:$B$11,MATCH($D91,MODELOS!$A$4:$A$11,0)))</f>
        <v>Módulo 5 · Tabela comparativa</v>
      </c>
      <c r="G91" s="11" t="str">
        <f aca="false">IF(INDEX(PRODUTOS!$F$4:$F$63,MATCH($A91,PRODUTOS!$B$4:$B$63,0))="Ração",IF(INDEX(PRODUTOS!$I$4:$I$63,MATCH($A91,PRODUTOS!$B$4:$B$63,0))="B",INDEX(MODELOS!$G$4:$G$11,MATCH($D91,MODELOS!$A$4:$A$11,0)),INDEX(MODELOS!$C$4:$C$11,MATCH($D91,MODELOS!$A$4:$A$11,0))),IF(INDEX(PRODUTOS!$I$4:$I$63,MATCH($A91,PRODUTOS!$B$4:$B$63,0))="B",INDEX(MODELOS!$H$4:$H$11,MATCH($D91,MODELOS!$A$4:$A$11,0)),INDEX(MODELOS!$D$4:$D$11,MATCH($D91,MODELOS!$A$4:$A$11,0))))</f>
        <v>Pacote na vertical, sem fundo colorido</v>
      </c>
      <c r="H91" s="11" t="str">
        <f aca="false">IF(INDEX(PRODUTOS!$I$4:$I$63,MATCH($A91,PRODUTOS!$B$4:$B$63,0))="B",INDEX(MODELOS!$I$4:$I$11,MATCH($D91,MODELOS!$A$4:$A$11,0)),INDEX(MODELOS!$E$4:$E$11,MATCH($D91,MODELOS!$A$4:$A$11,0)))</f>
        <v>150 × 300</v>
      </c>
      <c r="I91" s="11" t="str">
        <f aca="false">IF($D91="COMP","SIM",IF(INDEX(PRODUTOS!$J$4:$J$63,MATCH($A91,PRODUTOS!$B$4:$B$63,0))&lt;&gt;"","NÃO (usa o A+ do EAN "&amp;INDEX(PRODUTOS!$J$4:$J$63,MATCH($A91,PRODUTOS!$B$4:$B$63,0))&amp;")",IF(AND(INDEX(PRODUTOS!$I$4:$I$63,MATCH($A91,PRODUTOS!$B$4:$B$63,0))="B",$D91="AP07"),"NÃO (modelo B)","SIM")))</f>
        <v>SIM</v>
      </c>
      <c r="J91" s="13" t="s">
        <v>318</v>
      </c>
      <c r="K91" s="13"/>
    </row>
    <row r="92" customFormat="false" ht="15" hidden="false" customHeight="false" outlineLevel="0" collapsed="false">
      <c r="A92" s="15" t="s">
        <v>88</v>
      </c>
      <c r="B92" s="11" t="str">
        <f aca="false">INDEX(PRODUTOS!$E$4:$E$63,MATCH($A92,PRODUTOS!$B$4:$B$63,0))</f>
        <v>New Dots Ração Seca Premium para Gatos Adultos - 1 kg</v>
      </c>
      <c r="C92" s="11" t="str">
        <f aca="false">INDEX(PRODUTOS!$H$4:$H$63,MATCH($A92,PRODUTOS!$B$4:$B$63,0))</f>
        <v>1 kg</v>
      </c>
      <c r="D92" s="11" t="s">
        <v>317</v>
      </c>
      <c r="E92" s="16" t="str">
        <f aca="false">$A92&amp;"."&amp;$D92&amp;".jpg"</f>
        <v>7898968541573.AP01.jpg</v>
      </c>
      <c r="F92" s="11" t="str">
        <f aca="false">IF(INDEX(PRODUTOS!$I$4:$I$63,MATCH($A92,PRODUTOS!$B$4:$B$63,0))="B",INDEX(MODELOS!$F$4:$F$11,MATCH($D92,MODELOS!$A$4:$A$11,0)),INDEX(MODELOS!$B$4:$B$11,MATCH($D92,MODELOS!$A$4:$A$11,0)))</f>
        <v>Módulo 1 · Banner</v>
      </c>
      <c r="G92" s="11" t="str">
        <f aca="false">IF(INDEX(PRODUTOS!$F$4:$F$63,MATCH($A92,PRODUTOS!$B$4:$B$63,0))="Ração",IF(INDEX(PRODUTOS!$I$4:$I$63,MATCH($A92,PRODUTOS!$B$4:$B$63,0))="B",INDEX(MODELOS!$G$4:$G$11,MATCH($D92,MODELOS!$A$4:$A$11,0)),INDEX(MODELOS!$C$4:$C$11,MATCH($D92,MODELOS!$A$4:$A$11,0))),IF(INDEX(PRODUTOS!$I$4:$I$63,MATCH($A92,PRODUTOS!$B$4:$B$63,0))="B",INDEX(MODELOS!$H$4:$H$11,MATCH($D92,MODELOS!$A$4:$A$11,0)),INDEX(MODELOS!$D$4:$D$11,MATCH($D92,MODELOS!$A$4:$A$11,0))))</f>
        <v>Embalagem + pet + ingredientes, com o nome da linha</v>
      </c>
      <c r="H92" s="11" t="str">
        <f aca="false">IF(INDEX(PRODUTOS!$I$4:$I$63,MATCH($A92,PRODUTOS!$B$4:$B$63,0))="B",INDEX(MODELOS!$I$4:$I$11,MATCH($D92,MODELOS!$A$4:$A$11,0)),INDEX(MODELOS!$E$4:$E$11,MATCH($D92,MODELOS!$A$4:$A$11,0)))</f>
        <v>970 × 600</v>
      </c>
      <c r="I92" s="11" t="str">
        <f aca="false">IF($D92="COMP","SIM",IF(INDEX(PRODUTOS!$J$4:$J$63,MATCH($A92,PRODUTOS!$B$4:$B$63,0))&lt;&gt;"","NÃO (usa o A+ do EAN "&amp;INDEX(PRODUTOS!$J$4:$J$63,MATCH($A92,PRODUTOS!$B$4:$B$63,0))&amp;")",IF(AND(INDEX(PRODUTOS!$I$4:$I$63,MATCH($A92,PRODUTOS!$B$4:$B$63,0))="B",$D92="AP07"),"NÃO (modelo B)","SIM")))</f>
        <v>NÃO (usa o A+ do EAN 7898968541597)</v>
      </c>
      <c r="J92" s="13" t="s">
        <v>318</v>
      </c>
      <c r="K92" s="13"/>
    </row>
    <row r="93" customFormat="false" ht="15" hidden="false" customHeight="false" outlineLevel="0" collapsed="false">
      <c r="A93" s="15" t="s">
        <v>88</v>
      </c>
      <c r="B93" s="11" t="str">
        <f aca="false">INDEX(PRODUTOS!$E$4:$E$63,MATCH($A93,PRODUTOS!$B$4:$B$63,0))</f>
        <v>New Dots Ração Seca Premium para Gatos Adultos - 1 kg</v>
      </c>
      <c r="C93" s="11" t="str">
        <f aca="false">INDEX(PRODUTOS!$H$4:$H$63,MATCH($A93,PRODUTOS!$B$4:$B$63,0))</f>
        <v>1 kg</v>
      </c>
      <c r="D93" s="11" t="s">
        <v>319</v>
      </c>
      <c r="E93" s="16" t="str">
        <f aca="false">$A93&amp;"."&amp;$D93&amp;".jpg"</f>
        <v>7898968541573.AP02.jpg</v>
      </c>
      <c r="F93" s="11" t="str">
        <f aca="false">IF(INDEX(PRODUTOS!$I$4:$I$63,MATCH($A93,PRODUTOS!$B$4:$B$63,0))="B",INDEX(MODELOS!$F$4:$F$11,MATCH($D93,MODELOS!$A$4:$A$11,0)),INDEX(MODELOS!$B$4:$B$11,MATCH($D93,MODELOS!$A$4:$A$11,0)))</f>
        <v>Módulo 2 · Texto sobreposto</v>
      </c>
      <c r="G93" s="11" t="str">
        <f aca="false">IF(INDEX(PRODUTOS!$F$4:$F$63,MATCH($A93,PRODUTOS!$B$4:$B$63,0))="Ração",IF(INDEX(PRODUTOS!$I$4:$I$63,MATCH($A93,PRODUTOS!$B$4:$B$63,0))="B",INDEX(MODELOS!$G$4:$G$11,MATCH($D93,MODELOS!$A$4:$A$11,0)),INDEX(MODELOS!$C$4:$C$11,MATCH($D93,MODELOS!$A$4:$A$11,0))),IF(INDEX(PRODUTOS!$I$4:$I$63,MATCH($A93,PRODUTOS!$B$4:$B$63,0))="B",INDEX(MODELOS!$H$4:$H$11,MATCH($D93,MODELOS!$A$4:$A$11,0)),INDEX(MODELOS!$D$4:$D$11,MATCH($D93,MODELOS!$A$4:$A$11,0))))</f>
        <v>Principal diferencial; deixar o lado direito limpo</v>
      </c>
      <c r="H93" s="11" t="str">
        <f aca="false">IF(INDEX(PRODUTOS!$I$4:$I$63,MATCH($A93,PRODUTOS!$B$4:$B$63,0))="B",INDEX(MODELOS!$I$4:$I$11,MATCH($D93,MODELOS!$A$4:$A$11,0)),INDEX(MODELOS!$E$4:$E$11,MATCH($D93,MODELOS!$A$4:$A$11,0)))</f>
        <v>970 × 300</v>
      </c>
      <c r="I93" s="11" t="str">
        <f aca="false">IF($D93="COMP","SIM",IF(INDEX(PRODUTOS!$J$4:$J$63,MATCH($A93,PRODUTOS!$B$4:$B$63,0))&lt;&gt;"","NÃO (usa o A+ do EAN "&amp;INDEX(PRODUTOS!$J$4:$J$63,MATCH($A93,PRODUTOS!$B$4:$B$63,0))&amp;")",IF(AND(INDEX(PRODUTOS!$I$4:$I$63,MATCH($A93,PRODUTOS!$B$4:$B$63,0))="B",$D93="AP07"),"NÃO (modelo B)","SIM")))</f>
        <v>NÃO (usa o A+ do EAN 7898968541597)</v>
      </c>
      <c r="J93" s="13" t="s">
        <v>318</v>
      </c>
      <c r="K93" s="13"/>
    </row>
    <row r="94" customFormat="false" ht="15" hidden="false" customHeight="false" outlineLevel="0" collapsed="false">
      <c r="A94" s="15" t="s">
        <v>88</v>
      </c>
      <c r="B94" s="11" t="str">
        <f aca="false">INDEX(PRODUTOS!$E$4:$E$63,MATCH($A94,PRODUTOS!$B$4:$B$63,0))</f>
        <v>New Dots Ração Seca Premium para Gatos Adultos - 1 kg</v>
      </c>
      <c r="C94" s="11" t="str">
        <f aca="false">INDEX(PRODUTOS!$H$4:$H$63,MATCH($A94,PRODUTOS!$B$4:$B$63,0))</f>
        <v>1 kg</v>
      </c>
      <c r="D94" s="11" t="s">
        <v>320</v>
      </c>
      <c r="E94" s="16" t="str">
        <f aca="false">$A94&amp;"."&amp;$D94&amp;".jpg"</f>
        <v>7898968541573.AP03.jpg</v>
      </c>
      <c r="F94" s="11" t="str">
        <f aca="false">IF(INDEX(PRODUTOS!$I$4:$I$63,MATCH($A94,PRODUTOS!$B$4:$B$63,0))="B",INDEX(MODELOS!$F$4:$F$11,MATCH($D94,MODELOS!$A$4:$A$11,0)),INDEX(MODELOS!$B$4:$B$11,MATCH($D94,MODELOS!$A$4:$A$11,0)))</f>
        <v>Módulo 3 · Benefício 1 de 4</v>
      </c>
      <c r="G94" s="11" t="str">
        <f aca="false">IF(INDEX(PRODUTOS!$F$4:$F$63,MATCH($A94,PRODUTOS!$B$4:$B$63,0))="Ração",IF(INDEX(PRODUTOS!$I$4:$I$63,MATCH($A94,PRODUTOS!$B$4:$B$63,0))="B",INDEX(MODELOS!$G$4:$G$11,MATCH($D94,MODELOS!$A$4:$A$11,0)),INDEX(MODELOS!$C$4:$C$11,MATCH($D94,MODELOS!$A$4:$A$11,0))),IF(INDEX(PRODUTOS!$I$4:$I$63,MATCH($A94,PRODUTOS!$B$4:$B$63,0))="B",INDEX(MODELOS!$H$4:$H$11,MATCH($D94,MODELOS!$A$4:$A$11,0)),INDEX(MODELOS!$D$4:$D$11,MATCH($D94,MODELOS!$A$4:$A$11,0))))</f>
        <v>Foto/ilustração do benefício 1</v>
      </c>
      <c r="H94" s="11" t="str">
        <f aca="false">IF(INDEX(PRODUTOS!$I$4:$I$63,MATCH($A94,PRODUTOS!$B$4:$B$63,0))="B",INDEX(MODELOS!$I$4:$I$11,MATCH($D94,MODELOS!$A$4:$A$11,0)),INDEX(MODELOS!$E$4:$E$11,MATCH($D94,MODELOS!$A$4:$A$11,0)))</f>
        <v>220 × 200</v>
      </c>
      <c r="I94" s="11" t="str">
        <f aca="false">IF($D94="COMP","SIM",IF(INDEX(PRODUTOS!$J$4:$J$63,MATCH($A94,PRODUTOS!$B$4:$B$63,0))&lt;&gt;"","NÃO (usa o A+ do EAN "&amp;INDEX(PRODUTOS!$J$4:$J$63,MATCH($A94,PRODUTOS!$B$4:$B$63,0))&amp;")",IF(AND(INDEX(PRODUTOS!$I$4:$I$63,MATCH($A94,PRODUTOS!$B$4:$B$63,0))="B",$D94="AP07"),"NÃO (modelo B)","SIM")))</f>
        <v>NÃO (usa o A+ do EAN 7898968541597)</v>
      </c>
      <c r="J94" s="13" t="s">
        <v>318</v>
      </c>
      <c r="K94" s="13"/>
    </row>
    <row r="95" customFormat="false" ht="15" hidden="false" customHeight="false" outlineLevel="0" collapsed="false">
      <c r="A95" s="15" t="s">
        <v>88</v>
      </c>
      <c r="B95" s="11" t="str">
        <f aca="false">INDEX(PRODUTOS!$E$4:$E$63,MATCH($A95,PRODUTOS!$B$4:$B$63,0))</f>
        <v>New Dots Ração Seca Premium para Gatos Adultos - 1 kg</v>
      </c>
      <c r="C95" s="11" t="str">
        <f aca="false">INDEX(PRODUTOS!$H$4:$H$63,MATCH($A95,PRODUTOS!$B$4:$B$63,0))</f>
        <v>1 kg</v>
      </c>
      <c r="D95" s="11" t="s">
        <v>321</v>
      </c>
      <c r="E95" s="16" t="str">
        <f aca="false">$A95&amp;"."&amp;$D95&amp;".jpg"</f>
        <v>7898968541573.AP04.jpg</v>
      </c>
      <c r="F95" s="11" t="str">
        <f aca="false">IF(INDEX(PRODUTOS!$I$4:$I$63,MATCH($A95,PRODUTOS!$B$4:$B$63,0))="B",INDEX(MODELOS!$F$4:$F$11,MATCH($D95,MODELOS!$A$4:$A$11,0)),INDEX(MODELOS!$B$4:$B$11,MATCH($D95,MODELOS!$A$4:$A$11,0)))</f>
        <v>Módulo 3 · Benefício 2 de 4</v>
      </c>
      <c r="G95" s="11" t="str">
        <f aca="false">IF(INDEX(PRODUTOS!$F$4:$F$63,MATCH($A95,PRODUTOS!$B$4:$B$63,0))="Ração",IF(INDEX(PRODUTOS!$I$4:$I$63,MATCH($A95,PRODUTOS!$B$4:$B$63,0))="B",INDEX(MODELOS!$G$4:$G$11,MATCH($D95,MODELOS!$A$4:$A$11,0)),INDEX(MODELOS!$C$4:$C$11,MATCH($D95,MODELOS!$A$4:$A$11,0))),IF(INDEX(PRODUTOS!$I$4:$I$63,MATCH($A95,PRODUTOS!$B$4:$B$63,0))="B",INDEX(MODELOS!$H$4:$H$11,MATCH($D95,MODELOS!$A$4:$A$11,0)),INDEX(MODELOS!$D$4:$D$11,MATCH($D95,MODELOS!$A$4:$A$11,0))))</f>
        <v>Foto/ilustração do benefício 2</v>
      </c>
      <c r="H95" s="11" t="str">
        <f aca="false">IF(INDEX(PRODUTOS!$I$4:$I$63,MATCH($A95,PRODUTOS!$B$4:$B$63,0))="B",INDEX(MODELOS!$I$4:$I$11,MATCH($D95,MODELOS!$A$4:$A$11,0)),INDEX(MODELOS!$E$4:$E$11,MATCH($D95,MODELOS!$A$4:$A$11,0)))</f>
        <v>220 × 200</v>
      </c>
      <c r="I95" s="11" t="str">
        <f aca="false">IF($D95="COMP","SIM",IF(INDEX(PRODUTOS!$J$4:$J$63,MATCH($A95,PRODUTOS!$B$4:$B$63,0))&lt;&gt;"","NÃO (usa o A+ do EAN "&amp;INDEX(PRODUTOS!$J$4:$J$63,MATCH($A95,PRODUTOS!$B$4:$B$63,0))&amp;")",IF(AND(INDEX(PRODUTOS!$I$4:$I$63,MATCH($A95,PRODUTOS!$B$4:$B$63,0))="B",$D95="AP07"),"NÃO (modelo B)","SIM")))</f>
        <v>NÃO (usa o A+ do EAN 7898968541597)</v>
      </c>
      <c r="J95" s="13" t="s">
        <v>318</v>
      </c>
      <c r="K95" s="13"/>
    </row>
    <row r="96" customFormat="false" ht="15" hidden="false" customHeight="false" outlineLevel="0" collapsed="false">
      <c r="A96" s="15" t="s">
        <v>88</v>
      </c>
      <c r="B96" s="11" t="str">
        <f aca="false">INDEX(PRODUTOS!$E$4:$E$63,MATCH($A96,PRODUTOS!$B$4:$B$63,0))</f>
        <v>New Dots Ração Seca Premium para Gatos Adultos - 1 kg</v>
      </c>
      <c r="C96" s="11" t="str">
        <f aca="false">INDEX(PRODUTOS!$H$4:$H$63,MATCH($A96,PRODUTOS!$B$4:$B$63,0))</f>
        <v>1 kg</v>
      </c>
      <c r="D96" s="11" t="s">
        <v>322</v>
      </c>
      <c r="E96" s="16" t="str">
        <f aca="false">$A96&amp;"."&amp;$D96&amp;".jpg"</f>
        <v>7898968541573.AP05.jpg</v>
      </c>
      <c r="F96" s="11" t="str">
        <f aca="false">IF(INDEX(PRODUTOS!$I$4:$I$63,MATCH($A96,PRODUTOS!$B$4:$B$63,0))="B",INDEX(MODELOS!$F$4:$F$11,MATCH($D96,MODELOS!$A$4:$A$11,0)),INDEX(MODELOS!$B$4:$B$11,MATCH($D96,MODELOS!$A$4:$A$11,0)))</f>
        <v>Módulo 3 · Benefício 3 de 4</v>
      </c>
      <c r="G96" s="11" t="str">
        <f aca="false">IF(INDEX(PRODUTOS!$F$4:$F$63,MATCH($A96,PRODUTOS!$B$4:$B$63,0))="Ração",IF(INDEX(PRODUTOS!$I$4:$I$63,MATCH($A96,PRODUTOS!$B$4:$B$63,0))="B",INDEX(MODELOS!$G$4:$G$11,MATCH($D96,MODELOS!$A$4:$A$11,0)),INDEX(MODELOS!$C$4:$C$11,MATCH($D96,MODELOS!$A$4:$A$11,0))),IF(INDEX(PRODUTOS!$I$4:$I$63,MATCH($A96,PRODUTOS!$B$4:$B$63,0))="B",INDEX(MODELOS!$H$4:$H$11,MATCH($D96,MODELOS!$A$4:$A$11,0)),INDEX(MODELOS!$D$4:$D$11,MATCH($D96,MODELOS!$A$4:$A$11,0))))</f>
        <v>Foto/ilustração do benefício 3</v>
      </c>
      <c r="H96" s="11" t="str">
        <f aca="false">IF(INDEX(PRODUTOS!$I$4:$I$63,MATCH($A96,PRODUTOS!$B$4:$B$63,0))="B",INDEX(MODELOS!$I$4:$I$11,MATCH($D96,MODELOS!$A$4:$A$11,0)),INDEX(MODELOS!$E$4:$E$11,MATCH($D96,MODELOS!$A$4:$A$11,0)))</f>
        <v>220 × 200</v>
      </c>
      <c r="I96" s="11" t="str">
        <f aca="false">IF($D96="COMP","SIM",IF(INDEX(PRODUTOS!$J$4:$J$63,MATCH($A96,PRODUTOS!$B$4:$B$63,0))&lt;&gt;"","NÃO (usa o A+ do EAN "&amp;INDEX(PRODUTOS!$J$4:$J$63,MATCH($A96,PRODUTOS!$B$4:$B$63,0))&amp;")",IF(AND(INDEX(PRODUTOS!$I$4:$I$63,MATCH($A96,PRODUTOS!$B$4:$B$63,0))="B",$D96="AP07"),"NÃO (modelo B)","SIM")))</f>
        <v>NÃO (usa o A+ do EAN 7898968541597)</v>
      </c>
      <c r="J96" s="13" t="s">
        <v>318</v>
      </c>
      <c r="K96" s="13"/>
    </row>
    <row r="97" customFormat="false" ht="15" hidden="false" customHeight="false" outlineLevel="0" collapsed="false">
      <c r="A97" s="15" t="s">
        <v>88</v>
      </c>
      <c r="B97" s="11" t="str">
        <f aca="false">INDEX(PRODUTOS!$E$4:$E$63,MATCH($A97,PRODUTOS!$B$4:$B$63,0))</f>
        <v>New Dots Ração Seca Premium para Gatos Adultos - 1 kg</v>
      </c>
      <c r="C97" s="11" t="str">
        <f aca="false">INDEX(PRODUTOS!$H$4:$H$63,MATCH($A97,PRODUTOS!$B$4:$B$63,0))</f>
        <v>1 kg</v>
      </c>
      <c r="D97" s="11" t="s">
        <v>323</v>
      </c>
      <c r="E97" s="16" t="str">
        <f aca="false">$A97&amp;"."&amp;$D97&amp;".jpg"</f>
        <v>7898968541573.AP06.jpg</v>
      </c>
      <c r="F97" s="11" t="str">
        <f aca="false">IF(INDEX(PRODUTOS!$I$4:$I$63,MATCH($A97,PRODUTOS!$B$4:$B$63,0))="B",INDEX(MODELOS!$F$4:$F$11,MATCH($D97,MODELOS!$A$4:$A$11,0)),INDEX(MODELOS!$B$4:$B$11,MATCH($D97,MODELOS!$A$4:$A$11,0)))</f>
        <v>Módulo 3 · Benefício 4 de 4</v>
      </c>
      <c r="G97" s="11" t="str">
        <f aca="false">IF(INDEX(PRODUTOS!$F$4:$F$63,MATCH($A97,PRODUTOS!$B$4:$B$63,0))="Ração",IF(INDEX(PRODUTOS!$I$4:$I$63,MATCH($A97,PRODUTOS!$B$4:$B$63,0))="B",INDEX(MODELOS!$G$4:$G$11,MATCH($D97,MODELOS!$A$4:$A$11,0)),INDEX(MODELOS!$C$4:$C$11,MATCH($D97,MODELOS!$A$4:$A$11,0))),IF(INDEX(PRODUTOS!$I$4:$I$63,MATCH($A97,PRODUTOS!$B$4:$B$63,0))="B",INDEX(MODELOS!$H$4:$H$11,MATCH($D97,MODELOS!$A$4:$A$11,0)),INDEX(MODELOS!$D$4:$D$11,MATCH($D97,MODELOS!$A$4:$A$11,0))))</f>
        <v>Foto/ilustração do benefício 4</v>
      </c>
      <c r="H97" s="11" t="str">
        <f aca="false">IF(INDEX(PRODUTOS!$I$4:$I$63,MATCH($A97,PRODUTOS!$B$4:$B$63,0))="B",INDEX(MODELOS!$I$4:$I$11,MATCH($D97,MODELOS!$A$4:$A$11,0)),INDEX(MODELOS!$E$4:$E$11,MATCH($D97,MODELOS!$A$4:$A$11,0)))</f>
        <v>220 × 200</v>
      </c>
      <c r="I97" s="11" t="str">
        <f aca="false">IF($D97="COMP","SIM",IF(INDEX(PRODUTOS!$J$4:$J$63,MATCH($A97,PRODUTOS!$B$4:$B$63,0))&lt;&gt;"","NÃO (usa o A+ do EAN "&amp;INDEX(PRODUTOS!$J$4:$J$63,MATCH($A97,PRODUTOS!$B$4:$B$63,0))&amp;")",IF(AND(INDEX(PRODUTOS!$I$4:$I$63,MATCH($A97,PRODUTOS!$B$4:$B$63,0))="B",$D97="AP07"),"NÃO (modelo B)","SIM")))</f>
        <v>NÃO (usa o A+ do EAN 7898968541597)</v>
      </c>
      <c r="J97" s="13" t="s">
        <v>318</v>
      </c>
      <c r="K97" s="13"/>
    </row>
    <row r="98" customFormat="false" ht="15" hidden="false" customHeight="false" outlineLevel="0" collapsed="false">
      <c r="A98" s="15" t="s">
        <v>88</v>
      </c>
      <c r="B98" s="11" t="str">
        <f aca="false">INDEX(PRODUTOS!$E$4:$E$63,MATCH($A98,PRODUTOS!$B$4:$B$63,0))</f>
        <v>New Dots Ração Seca Premium para Gatos Adultos - 1 kg</v>
      </c>
      <c r="C98" s="11" t="str">
        <f aca="false">INDEX(PRODUTOS!$H$4:$H$63,MATCH($A98,PRODUTOS!$B$4:$B$63,0))</f>
        <v>1 kg</v>
      </c>
      <c r="D98" s="11" t="s">
        <v>324</v>
      </c>
      <c r="E98" s="16" t="str">
        <f aca="false">$A98&amp;"."&amp;$D98&amp;".jpg"</f>
        <v>7898968541573.AP07.jpg</v>
      </c>
      <c r="F98" s="11" t="str">
        <f aca="false">IF(INDEX(PRODUTOS!$I$4:$I$63,MATCH($A98,PRODUTOS!$B$4:$B$63,0))="B",INDEX(MODELOS!$F$4:$F$11,MATCH($D98,MODELOS!$A$4:$A$11,0)),INDEX(MODELOS!$B$4:$B$11,MATCH($D98,MODELOS!$A$4:$A$11,0)))</f>
        <v>Módulo 4 · Especificações</v>
      </c>
      <c r="G98" s="11" t="str">
        <f aca="false">IF(INDEX(PRODUTOS!$F$4:$F$63,MATCH($A98,PRODUTOS!$B$4:$B$63,0))="Ração",IF(INDEX(PRODUTOS!$I$4:$I$63,MATCH($A98,PRODUTOS!$B$4:$B$63,0))="B",INDEX(MODELOS!$G$4:$G$11,MATCH($D98,MODELOS!$A$4:$A$11,0)),INDEX(MODELOS!$C$4:$C$11,MATCH($D98,MODELOS!$A$4:$A$11,0))),IF(INDEX(PRODUTOS!$I$4:$I$63,MATCH($A98,PRODUTOS!$B$4:$B$63,0))="B",INDEX(MODELOS!$H$4:$H$11,MATCH($D98,MODELOS!$A$4:$A$11,0)),INDEX(MODELOS!$D$4:$D$11,MATCH($D98,MODELOS!$A$4:$A$11,0))))</f>
        <v>Grão ou pacote em destaque</v>
      </c>
      <c r="H98" s="11" t="str">
        <f aca="false">IF(INDEX(PRODUTOS!$I$4:$I$63,MATCH($A98,PRODUTOS!$B$4:$B$63,0))="B",INDEX(MODELOS!$I$4:$I$11,MATCH($D98,MODELOS!$A$4:$A$11,0)),INDEX(MODELOS!$E$4:$E$11,MATCH($D98,MODELOS!$A$4:$A$11,0)))</f>
        <v>300 × 300</v>
      </c>
      <c r="I98" s="11" t="str">
        <f aca="false">IF($D98="COMP","SIM",IF(INDEX(PRODUTOS!$J$4:$J$63,MATCH($A98,PRODUTOS!$B$4:$B$63,0))&lt;&gt;"","NÃO (usa o A+ do EAN "&amp;INDEX(PRODUTOS!$J$4:$J$63,MATCH($A98,PRODUTOS!$B$4:$B$63,0))&amp;")",IF(AND(INDEX(PRODUTOS!$I$4:$I$63,MATCH($A98,PRODUTOS!$B$4:$B$63,0))="B",$D98="AP07"),"NÃO (modelo B)","SIM")))</f>
        <v>NÃO (usa o A+ do EAN 7898968541597)</v>
      </c>
      <c r="J98" s="13" t="s">
        <v>318</v>
      </c>
      <c r="K98" s="13"/>
    </row>
    <row r="99" customFormat="false" ht="15" hidden="false" customHeight="false" outlineLevel="0" collapsed="false">
      <c r="A99" s="15" t="s">
        <v>88</v>
      </c>
      <c r="B99" s="11" t="str">
        <f aca="false">INDEX(PRODUTOS!$E$4:$E$63,MATCH($A99,PRODUTOS!$B$4:$B$63,0))</f>
        <v>New Dots Ração Seca Premium para Gatos Adultos - 1 kg</v>
      </c>
      <c r="C99" s="11" t="str">
        <f aca="false">INDEX(PRODUTOS!$H$4:$H$63,MATCH($A99,PRODUTOS!$B$4:$B$63,0))</f>
        <v>1 kg</v>
      </c>
      <c r="D99" s="11" t="s">
        <v>325</v>
      </c>
      <c r="E99" s="16" t="str">
        <f aca="false">$A99&amp;"."&amp;$D99&amp;".jpg"</f>
        <v>7898968541573.COMP.jpg</v>
      </c>
      <c r="F99" s="11" t="str">
        <f aca="false">IF(INDEX(PRODUTOS!$I$4:$I$63,MATCH($A99,PRODUTOS!$B$4:$B$63,0))="B",INDEX(MODELOS!$F$4:$F$11,MATCH($D99,MODELOS!$A$4:$A$11,0)),INDEX(MODELOS!$B$4:$B$11,MATCH($D99,MODELOS!$A$4:$A$11,0)))</f>
        <v>Módulo 5 · Tabela comparativa</v>
      </c>
      <c r="G99" s="11" t="str">
        <f aca="false">IF(INDEX(PRODUTOS!$F$4:$F$63,MATCH($A99,PRODUTOS!$B$4:$B$63,0))="Ração",IF(INDEX(PRODUTOS!$I$4:$I$63,MATCH($A99,PRODUTOS!$B$4:$B$63,0))="B",INDEX(MODELOS!$G$4:$G$11,MATCH($D99,MODELOS!$A$4:$A$11,0)),INDEX(MODELOS!$C$4:$C$11,MATCH($D99,MODELOS!$A$4:$A$11,0))),IF(INDEX(PRODUTOS!$I$4:$I$63,MATCH($A99,PRODUTOS!$B$4:$B$63,0))="B",INDEX(MODELOS!$H$4:$H$11,MATCH($D99,MODELOS!$A$4:$A$11,0)),INDEX(MODELOS!$D$4:$D$11,MATCH($D99,MODELOS!$A$4:$A$11,0))))</f>
        <v>Pacote na vertical, sem fundo colorido</v>
      </c>
      <c r="H99" s="11" t="str">
        <f aca="false">IF(INDEX(PRODUTOS!$I$4:$I$63,MATCH($A99,PRODUTOS!$B$4:$B$63,0))="B",INDEX(MODELOS!$I$4:$I$11,MATCH($D99,MODELOS!$A$4:$A$11,0)),INDEX(MODELOS!$E$4:$E$11,MATCH($D99,MODELOS!$A$4:$A$11,0)))</f>
        <v>150 × 300</v>
      </c>
      <c r="I99" s="11" t="str">
        <f aca="false">IF($D99="COMP","SIM",IF(INDEX(PRODUTOS!$J$4:$J$63,MATCH($A99,PRODUTOS!$B$4:$B$63,0))&lt;&gt;"","NÃO (usa o A+ do EAN "&amp;INDEX(PRODUTOS!$J$4:$J$63,MATCH($A99,PRODUTOS!$B$4:$B$63,0))&amp;")",IF(AND(INDEX(PRODUTOS!$I$4:$I$63,MATCH($A99,PRODUTOS!$B$4:$B$63,0))="B",$D99="AP07"),"NÃO (modelo B)","SIM")))</f>
        <v>SIM</v>
      </c>
      <c r="J99" s="13" t="s">
        <v>318</v>
      </c>
      <c r="K99" s="13"/>
    </row>
    <row r="100" customFormat="false" ht="15" hidden="false" customHeight="false" outlineLevel="0" collapsed="false">
      <c r="A100" s="15" t="s">
        <v>91</v>
      </c>
      <c r="B100" s="11" t="str">
        <f aca="false">INDEX(PRODUTOS!$E$4:$E$63,MATCH($A100,PRODUTOS!$B$4:$B$63,0))</f>
        <v>New Dots Ração Seca Premium para Gatos Adultos Castrados - 20 kg</v>
      </c>
      <c r="C100" s="11" t="str">
        <f aca="false">INDEX(PRODUTOS!$H$4:$H$63,MATCH($A100,PRODUTOS!$B$4:$B$63,0))</f>
        <v>20 kg</v>
      </c>
      <c r="D100" s="11" t="s">
        <v>317</v>
      </c>
      <c r="E100" s="16" t="str">
        <f aca="false">$A100&amp;"."&amp;$D100&amp;".jpg"</f>
        <v>7908591300666.AP01.jpg</v>
      </c>
      <c r="F100" s="11" t="str">
        <f aca="false">IF(INDEX(PRODUTOS!$I$4:$I$63,MATCH($A100,PRODUTOS!$B$4:$B$63,0))="B",INDEX(MODELOS!$F$4:$F$11,MATCH($D100,MODELOS!$A$4:$A$11,0)),INDEX(MODELOS!$B$4:$B$11,MATCH($D100,MODELOS!$A$4:$A$11,0)))</f>
        <v>Módulo 1 · Banner</v>
      </c>
      <c r="G100" s="11" t="str">
        <f aca="false">IF(INDEX(PRODUTOS!$F$4:$F$63,MATCH($A100,PRODUTOS!$B$4:$B$63,0))="Ração",IF(INDEX(PRODUTOS!$I$4:$I$63,MATCH($A100,PRODUTOS!$B$4:$B$63,0))="B",INDEX(MODELOS!$G$4:$G$11,MATCH($D100,MODELOS!$A$4:$A$11,0)),INDEX(MODELOS!$C$4:$C$11,MATCH($D100,MODELOS!$A$4:$A$11,0))),IF(INDEX(PRODUTOS!$I$4:$I$63,MATCH($A100,PRODUTOS!$B$4:$B$63,0))="B",INDEX(MODELOS!$H$4:$H$11,MATCH($D100,MODELOS!$A$4:$A$11,0)),INDEX(MODELOS!$D$4:$D$11,MATCH($D100,MODELOS!$A$4:$A$11,0))))</f>
        <v>Embalagem + pet + ingredientes, com o nome da linha</v>
      </c>
      <c r="H100" s="11" t="str">
        <f aca="false">IF(INDEX(PRODUTOS!$I$4:$I$63,MATCH($A100,PRODUTOS!$B$4:$B$63,0))="B",INDEX(MODELOS!$I$4:$I$11,MATCH($D100,MODELOS!$A$4:$A$11,0)),INDEX(MODELOS!$E$4:$E$11,MATCH($D100,MODELOS!$A$4:$A$11,0)))</f>
        <v>970 × 600</v>
      </c>
      <c r="I100" s="11" t="str">
        <f aca="false">IF($D100="COMP","SIM",IF(INDEX(PRODUTOS!$J$4:$J$63,MATCH($A100,PRODUTOS!$B$4:$B$63,0))&lt;&gt;"","NÃO (usa o A+ do EAN "&amp;INDEX(PRODUTOS!$J$4:$J$63,MATCH($A100,PRODUTOS!$B$4:$B$63,0))&amp;")",IF(AND(INDEX(PRODUTOS!$I$4:$I$63,MATCH($A100,PRODUTOS!$B$4:$B$63,0))="B",$D100="AP07"),"NÃO (modelo B)","SIM")))</f>
        <v>SIM</v>
      </c>
      <c r="J100" s="13" t="s">
        <v>318</v>
      </c>
      <c r="K100" s="13"/>
    </row>
    <row r="101" customFormat="false" ht="15" hidden="false" customHeight="false" outlineLevel="0" collapsed="false">
      <c r="A101" s="15" t="s">
        <v>91</v>
      </c>
      <c r="B101" s="11" t="str">
        <f aca="false">INDEX(PRODUTOS!$E$4:$E$63,MATCH($A101,PRODUTOS!$B$4:$B$63,0))</f>
        <v>New Dots Ração Seca Premium para Gatos Adultos Castrados - 20 kg</v>
      </c>
      <c r="C101" s="11" t="str">
        <f aca="false">INDEX(PRODUTOS!$H$4:$H$63,MATCH($A101,PRODUTOS!$B$4:$B$63,0))</f>
        <v>20 kg</v>
      </c>
      <c r="D101" s="11" t="s">
        <v>319</v>
      </c>
      <c r="E101" s="16" t="str">
        <f aca="false">$A101&amp;"."&amp;$D101&amp;".jpg"</f>
        <v>7908591300666.AP02.jpg</v>
      </c>
      <c r="F101" s="11" t="str">
        <f aca="false">IF(INDEX(PRODUTOS!$I$4:$I$63,MATCH($A101,PRODUTOS!$B$4:$B$63,0))="B",INDEX(MODELOS!$F$4:$F$11,MATCH($D101,MODELOS!$A$4:$A$11,0)),INDEX(MODELOS!$B$4:$B$11,MATCH($D101,MODELOS!$A$4:$A$11,0)))</f>
        <v>Módulo 2 · Texto sobreposto</v>
      </c>
      <c r="G101" s="11" t="str">
        <f aca="false">IF(INDEX(PRODUTOS!$F$4:$F$63,MATCH($A101,PRODUTOS!$B$4:$B$63,0))="Ração",IF(INDEX(PRODUTOS!$I$4:$I$63,MATCH($A101,PRODUTOS!$B$4:$B$63,0))="B",INDEX(MODELOS!$G$4:$G$11,MATCH($D101,MODELOS!$A$4:$A$11,0)),INDEX(MODELOS!$C$4:$C$11,MATCH($D101,MODELOS!$A$4:$A$11,0))),IF(INDEX(PRODUTOS!$I$4:$I$63,MATCH($A101,PRODUTOS!$B$4:$B$63,0))="B",INDEX(MODELOS!$H$4:$H$11,MATCH($D101,MODELOS!$A$4:$A$11,0)),INDEX(MODELOS!$D$4:$D$11,MATCH($D101,MODELOS!$A$4:$A$11,0))))</f>
        <v>Principal diferencial; deixar o lado direito limpo</v>
      </c>
      <c r="H101" s="11" t="str">
        <f aca="false">IF(INDEX(PRODUTOS!$I$4:$I$63,MATCH($A101,PRODUTOS!$B$4:$B$63,0))="B",INDEX(MODELOS!$I$4:$I$11,MATCH($D101,MODELOS!$A$4:$A$11,0)),INDEX(MODELOS!$E$4:$E$11,MATCH($D101,MODELOS!$A$4:$A$11,0)))</f>
        <v>970 × 300</v>
      </c>
      <c r="I101" s="11" t="str">
        <f aca="false">IF($D101="COMP","SIM",IF(INDEX(PRODUTOS!$J$4:$J$63,MATCH($A101,PRODUTOS!$B$4:$B$63,0))&lt;&gt;"","NÃO (usa o A+ do EAN "&amp;INDEX(PRODUTOS!$J$4:$J$63,MATCH($A101,PRODUTOS!$B$4:$B$63,0))&amp;")",IF(AND(INDEX(PRODUTOS!$I$4:$I$63,MATCH($A101,PRODUTOS!$B$4:$B$63,0))="B",$D101="AP07"),"NÃO (modelo B)","SIM")))</f>
        <v>SIM</v>
      </c>
      <c r="J101" s="13" t="s">
        <v>318</v>
      </c>
      <c r="K101" s="13"/>
    </row>
    <row r="102" customFormat="false" ht="15" hidden="false" customHeight="false" outlineLevel="0" collapsed="false">
      <c r="A102" s="15" t="s">
        <v>91</v>
      </c>
      <c r="B102" s="11" t="str">
        <f aca="false">INDEX(PRODUTOS!$E$4:$E$63,MATCH($A102,PRODUTOS!$B$4:$B$63,0))</f>
        <v>New Dots Ração Seca Premium para Gatos Adultos Castrados - 20 kg</v>
      </c>
      <c r="C102" s="11" t="str">
        <f aca="false">INDEX(PRODUTOS!$H$4:$H$63,MATCH($A102,PRODUTOS!$B$4:$B$63,0))</f>
        <v>20 kg</v>
      </c>
      <c r="D102" s="11" t="s">
        <v>320</v>
      </c>
      <c r="E102" s="16" t="str">
        <f aca="false">$A102&amp;"."&amp;$D102&amp;".jpg"</f>
        <v>7908591300666.AP03.jpg</v>
      </c>
      <c r="F102" s="11" t="str">
        <f aca="false">IF(INDEX(PRODUTOS!$I$4:$I$63,MATCH($A102,PRODUTOS!$B$4:$B$63,0))="B",INDEX(MODELOS!$F$4:$F$11,MATCH($D102,MODELOS!$A$4:$A$11,0)),INDEX(MODELOS!$B$4:$B$11,MATCH($D102,MODELOS!$A$4:$A$11,0)))</f>
        <v>Módulo 3 · Benefício 1 de 4</v>
      </c>
      <c r="G102" s="11" t="str">
        <f aca="false">IF(INDEX(PRODUTOS!$F$4:$F$63,MATCH($A102,PRODUTOS!$B$4:$B$63,0))="Ração",IF(INDEX(PRODUTOS!$I$4:$I$63,MATCH($A102,PRODUTOS!$B$4:$B$63,0))="B",INDEX(MODELOS!$G$4:$G$11,MATCH($D102,MODELOS!$A$4:$A$11,0)),INDEX(MODELOS!$C$4:$C$11,MATCH($D102,MODELOS!$A$4:$A$11,0))),IF(INDEX(PRODUTOS!$I$4:$I$63,MATCH($A102,PRODUTOS!$B$4:$B$63,0))="B",INDEX(MODELOS!$H$4:$H$11,MATCH($D102,MODELOS!$A$4:$A$11,0)),INDEX(MODELOS!$D$4:$D$11,MATCH($D102,MODELOS!$A$4:$A$11,0))))</f>
        <v>Foto/ilustração do benefício 1</v>
      </c>
      <c r="H102" s="11" t="str">
        <f aca="false">IF(INDEX(PRODUTOS!$I$4:$I$63,MATCH($A102,PRODUTOS!$B$4:$B$63,0))="B",INDEX(MODELOS!$I$4:$I$11,MATCH($D102,MODELOS!$A$4:$A$11,0)),INDEX(MODELOS!$E$4:$E$11,MATCH($D102,MODELOS!$A$4:$A$11,0)))</f>
        <v>220 × 200</v>
      </c>
      <c r="I102" s="11" t="str">
        <f aca="false">IF($D102="COMP","SIM",IF(INDEX(PRODUTOS!$J$4:$J$63,MATCH($A102,PRODUTOS!$B$4:$B$63,0))&lt;&gt;"","NÃO (usa o A+ do EAN "&amp;INDEX(PRODUTOS!$J$4:$J$63,MATCH($A102,PRODUTOS!$B$4:$B$63,0))&amp;")",IF(AND(INDEX(PRODUTOS!$I$4:$I$63,MATCH($A102,PRODUTOS!$B$4:$B$63,0))="B",$D102="AP07"),"NÃO (modelo B)","SIM")))</f>
        <v>SIM</v>
      </c>
      <c r="J102" s="13" t="s">
        <v>318</v>
      </c>
      <c r="K102" s="13"/>
    </row>
    <row r="103" customFormat="false" ht="15" hidden="false" customHeight="false" outlineLevel="0" collapsed="false">
      <c r="A103" s="15" t="s">
        <v>91</v>
      </c>
      <c r="B103" s="11" t="str">
        <f aca="false">INDEX(PRODUTOS!$E$4:$E$63,MATCH($A103,PRODUTOS!$B$4:$B$63,0))</f>
        <v>New Dots Ração Seca Premium para Gatos Adultos Castrados - 20 kg</v>
      </c>
      <c r="C103" s="11" t="str">
        <f aca="false">INDEX(PRODUTOS!$H$4:$H$63,MATCH($A103,PRODUTOS!$B$4:$B$63,0))</f>
        <v>20 kg</v>
      </c>
      <c r="D103" s="11" t="s">
        <v>321</v>
      </c>
      <c r="E103" s="16" t="str">
        <f aca="false">$A103&amp;"."&amp;$D103&amp;".jpg"</f>
        <v>7908591300666.AP04.jpg</v>
      </c>
      <c r="F103" s="11" t="str">
        <f aca="false">IF(INDEX(PRODUTOS!$I$4:$I$63,MATCH($A103,PRODUTOS!$B$4:$B$63,0))="B",INDEX(MODELOS!$F$4:$F$11,MATCH($D103,MODELOS!$A$4:$A$11,0)),INDEX(MODELOS!$B$4:$B$11,MATCH($D103,MODELOS!$A$4:$A$11,0)))</f>
        <v>Módulo 3 · Benefício 2 de 4</v>
      </c>
      <c r="G103" s="11" t="str">
        <f aca="false">IF(INDEX(PRODUTOS!$F$4:$F$63,MATCH($A103,PRODUTOS!$B$4:$B$63,0))="Ração",IF(INDEX(PRODUTOS!$I$4:$I$63,MATCH($A103,PRODUTOS!$B$4:$B$63,0))="B",INDEX(MODELOS!$G$4:$G$11,MATCH($D103,MODELOS!$A$4:$A$11,0)),INDEX(MODELOS!$C$4:$C$11,MATCH($D103,MODELOS!$A$4:$A$11,0))),IF(INDEX(PRODUTOS!$I$4:$I$63,MATCH($A103,PRODUTOS!$B$4:$B$63,0))="B",INDEX(MODELOS!$H$4:$H$11,MATCH($D103,MODELOS!$A$4:$A$11,0)),INDEX(MODELOS!$D$4:$D$11,MATCH($D103,MODELOS!$A$4:$A$11,0))))</f>
        <v>Foto/ilustração do benefício 2</v>
      </c>
      <c r="H103" s="11" t="str">
        <f aca="false">IF(INDEX(PRODUTOS!$I$4:$I$63,MATCH($A103,PRODUTOS!$B$4:$B$63,0))="B",INDEX(MODELOS!$I$4:$I$11,MATCH($D103,MODELOS!$A$4:$A$11,0)),INDEX(MODELOS!$E$4:$E$11,MATCH($D103,MODELOS!$A$4:$A$11,0)))</f>
        <v>220 × 200</v>
      </c>
      <c r="I103" s="11" t="str">
        <f aca="false">IF($D103="COMP","SIM",IF(INDEX(PRODUTOS!$J$4:$J$63,MATCH($A103,PRODUTOS!$B$4:$B$63,0))&lt;&gt;"","NÃO (usa o A+ do EAN "&amp;INDEX(PRODUTOS!$J$4:$J$63,MATCH($A103,PRODUTOS!$B$4:$B$63,0))&amp;")",IF(AND(INDEX(PRODUTOS!$I$4:$I$63,MATCH($A103,PRODUTOS!$B$4:$B$63,0))="B",$D103="AP07"),"NÃO (modelo B)","SIM")))</f>
        <v>SIM</v>
      </c>
      <c r="J103" s="13" t="s">
        <v>318</v>
      </c>
      <c r="K103" s="13"/>
    </row>
    <row r="104" customFormat="false" ht="15" hidden="false" customHeight="false" outlineLevel="0" collapsed="false">
      <c r="A104" s="15" t="s">
        <v>91</v>
      </c>
      <c r="B104" s="11" t="str">
        <f aca="false">INDEX(PRODUTOS!$E$4:$E$63,MATCH($A104,PRODUTOS!$B$4:$B$63,0))</f>
        <v>New Dots Ração Seca Premium para Gatos Adultos Castrados - 20 kg</v>
      </c>
      <c r="C104" s="11" t="str">
        <f aca="false">INDEX(PRODUTOS!$H$4:$H$63,MATCH($A104,PRODUTOS!$B$4:$B$63,0))</f>
        <v>20 kg</v>
      </c>
      <c r="D104" s="11" t="s">
        <v>322</v>
      </c>
      <c r="E104" s="16" t="str">
        <f aca="false">$A104&amp;"."&amp;$D104&amp;".jpg"</f>
        <v>7908591300666.AP05.jpg</v>
      </c>
      <c r="F104" s="11" t="str">
        <f aca="false">IF(INDEX(PRODUTOS!$I$4:$I$63,MATCH($A104,PRODUTOS!$B$4:$B$63,0))="B",INDEX(MODELOS!$F$4:$F$11,MATCH($D104,MODELOS!$A$4:$A$11,0)),INDEX(MODELOS!$B$4:$B$11,MATCH($D104,MODELOS!$A$4:$A$11,0)))</f>
        <v>Módulo 3 · Benefício 3 de 4</v>
      </c>
      <c r="G104" s="11" t="str">
        <f aca="false">IF(INDEX(PRODUTOS!$F$4:$F$63,MATCH($A104,PRODUTOS!$B$4:$B$63,0))="Ração",IF(INDEX(PRODUTOS!$I$4:$I$63,MATCH($A104,PRODUTOS!$B$4:$B$63,0))="B",INDEX(MODELOS!$G$4:$G$11,MATCH($D104,MODELOS!$A$4:$A$11,0)),INDEX(MODELOS!$C$4:$C$11,MATCH($D104,MODELOS!$A$4:$A$11,0))),IF(INDEX(PRODUTOS!$I$4:$I$63,MATCH($A104,PRODUTOS!$B$4:$B$63,0))="B",INDEX(MODELOS!$H$4:$H$11,MATCH($D104,MODELOS!$A$4:$A$11,0)),INDEX(MODELOS!$D$4:$D$11,MATCH($D104,MODELOS!$A$4:$A$11,0))))</f>
        <v>Foto/ilustração do benefício 3</v>
      </c>
      <c r="H104" s="11" t="str">
        <f aca="false">IF(INDEX(PRODUTOS!$I$4:$I$63,MATCH($A104,PRODUTOS!$B$4:$B$63,0))="B",INDEX(MODELOS!$I$4:$I$11,MATCH($D104,MODELOS!$A$4:$A$11,0)),INDEX(MODELOS!$E$4:$E$11,MATCH($D104,MODELOS!$A$4:$A$11,0)))</f>
        <v>220 × 200</v>
      </c>
      <c r="I104" s="11" t="str">
        <f aca="false">IF($D104="COMP","SIM",IF(INDEX(PRODUTOS!$J$4:$J$63,MATCH($A104,PRODUTOS!$B$4:$B$63,0))&lt;&gt;"","NÃO (usa o A+ do EAN "&amp;INDEX(PRODUTOS!$J$4:$J$63,MATCH($A104,PRODUTOS!$B$4:$B$63,0))&amp;")",IF(AND(INDEX(PRODUTOS!$I$4:$I$63,MATCH($A104,PRODUTOS!$B$4:$B$63,0))="B",$D104="AP07"),"NÃO (modelo B)","SIM")))</f>
        <v>SIM</v>
      </c>
      <c r="J104" s="13" t="s">
        <v>318</v>
      </c>
      <c r="K104" s="13"/>
    </row>
    <row r="105" customFormat="false" ht="15" hidden="false" customHeight="false" outlineLevel="0" collapsed="false">
      <c r="A105" s="15" t="s">
        <v>91</v>
      </c>
      <c r="B105" s="11" t="str">
        <f aca="false">INDEX(PRODUTOS!$E$4:$E$63,MATCH($A105,PRODUTOS!$B$4:$B$63,0))</f>
        <v>New Dots Ração Seca Premium para Gatos Adultos Castrados - 20 kg</v>
      </c>
      <c r="C105" s="11" t="str">
        <f aca="false">INDEX(PRODUTOS!$H$4:$H$63,MATCH($A105,PRODUTOS!$B$4:$B$63,0))</f>
        <v>20 kg</v>
      </c>
      <c r="D105" s="11" t="s">
        <v>323</v>
      </c>
      <c r="E105" s="16" t="str">
        <f aca="false">$A105&amp;"."&amp;$D105&amp;".jpg"</f>
        <v>7908591300666.AP06.jpg</v>
      </c>
      <c r="F105" s="11" t="str">
        <f aca="false">IF(INDEX(PRODUTOS!$I$4:$I$63,MATCH($A105,PRODUTOS!$B$4:$B$63,0))="B",INDEX(MODELOS!$F$4:$F$11,MATCH($D105,MODELOS!$A$4:$A$11,0)),INDEX(MODELOS!$B$4:$B$11,MATCH($D105,MODELOS!$A$4:$A$11,0)))</f>
        <v>Módulo 3 · Benefício 4 de 4</v>
      </c>
      <c r="G105" s="11" t="str">
        <f aca="false">IF(INDEX(PRODUTOS!$F$4:$F$63,MATCH($A105,PRODUTOS!$B$4:$B$63,0))="Ração",IF(INDEX(PRODUTOS!$I$4:$I$63,MATCH($A105,PRODUTOS!$B$4:$B$63,0))="B",INDEX(MODELOS!$G$4:$G$11,MATCH($D105,MODELOS!$A$4:$A$11,0)),INDEX(MODELOS!$C$4:$C$11,MATCH($D105,MODELOS!$A$4:$A$11,0))),IF(INDEX(PRODUTOS!$I$4:$I$63,MATCH($A105,PRODUTOS!$B$4:$B$63,0))="B",INDEX(MODELOS!$H$4:$H$11,MATCH($D105,MODELOS!$A$4:$A$11,0)),INDEX(MODELOS!$D$4:$D$11,MATCH($D105,MODELOS!$A$4:$A$11,0))))</f>
        <v>Foto/ilustração do benefício 4</v>
      </c>
      <c r="H105" s="11" t="str">
        <f aca="false">IF(INDEX(PRODUTOS!$I$4:$I$63,MATCH($A105,PRODUTOS!$B$4:$B$63,0))="B",INDEX(MODELOS!$I$4:$I$11,MATCH($D105,MODELOS!$A$4:$A$11,0)),INDEX(MODELOS!$E$4:$E$11,MATCH($D105,MODELOS!$A$4:$A$11,0)))</f>
        <v>220 × 200</v>
      </c>
      <c r="I105" s="11" t="str">
        <f aca="false">IF($D105="COMP","SIM",IF(INDEX(PRODUTOS!$J$4:$J$63,MATCH($A105,PRODUTOS!$B$4:$B$63,0))&lt;&gt;"","NÃO (usa o A+ do EAN "&amp;INDEX(PRODUTOS!$J$4:$J$63,MATCH($A105,PRODUTOS!$B$4:$B$63,0))&amp;")",IF(AND(INDEX(PRODUTOS!$I$4:$I$63,MATCH($A105,PRODUTOS!$B$4:$B$63,0))="B",$D105="AP07"),"NÃO (modelo B)","SIM")))</f>
        <v>SIM</v>
      </c>
      <c r="J105" s="13" t="s">
        <v>318</v>
      </c>
      <c r="K105" s="13"/>
    </row>
    <row r="106" customFormat="false" ht="15" hidden="false" customHeight="false" outlineLevel="0" collapsed="false">
      <c r="A106" s="15" t="s">
        <v>91</v>
      </c>
      <c r="B106" s="11" t="str">
        <f aca="false">INDEX(PRODUTOS!$E$4:$E$63,MATCH($A106,PRODUTOS!$B$4:$B$63,0))</f>
        <v>New Dots Ração Seca Premium para Gatos Adultos Castrados - 20 kg</v>
      </c>
      <c r="C106" s="11" t="str">
        <f aca="false">INDEX(PRODUTOS!$H$4:$H$63,MATCH($A106,PRODUTOS!$B$4:$B$63,0))</f>
        <v>20 kg</v>
      </c>
      <c r="D106" s="11" t="s">
        <v>324</v>
      </c>
      <c r="E106" s="16" t="str">
        <f aca="false">$A106&amp;"."&amp;$D106&amp;".jpg"</f>
        <v>7908591300666.AP07.jpg</v>
      </c>
      <c r="F106" s="11" t="str">
        <f aca="false">IF(INDEX(PRODUTOS!$I$4:$I$63,MATCH($A106,PRODUTOS!$B$4:$B$63,0))="B",INDEX(MODELOS!$F$4:$F$11,MATCH($D106,MODELOS!$A$4:$A$11,0)),INDEX(MODELOS!$B$4:$B$11,MATCH($D106,MODELOS!$A$4:$A$11,0)))</f>
        <v>Módulo 4 · Especificações</v>
      </c>
      <c r="G106" s="11" t="str">
        <f aca="false">IF(INDEX(PRODUTOS!$F$4:$F$63,MATCH($A106,PRODUTOS!$B$4:$B$63,0))="Ração",IF(INDEX(PRODUTOS!$I$4:$I$63,MATCH($A106,PRODUTOS!$B$4:$B$63,0))="B",INDEX(MODELOS!$G$4:$G$11,MATCH($D106,MODELOS!$A$4:$A$11,0)),INDEX(MODELOS!$C$4:$C$11,MATCH($D106,MODELOS!$A$4:$A$11,0))),IF(INDEX(PRODUTOS!$I$4:$I$63,MATCH($A106,PRODUTOS!$B$4:$B$63,0))="B",INDEX(MODELOS!$H$4:$H$11,MATCH($D106,MODELOS!$A$4:$A$11,0)),INDEX(MODELOS!$D$4:$D$11,MATCH($D106,MODELOS!$A$4:$A$11,0))))</f>
        <v>Grão ou pacote em destaque</v>
      </c>
      <c r="H106" s="11" t="str">
        <f aca="false">IF(INDEX(PRODUTOS!$I$4:$I$63,MATCH($A106,PRODUTOS!$B$4:$B$63,0))="B",INDEX(MODELOS!$I$4:$I$11,MATCH($D106,MODELOS!$A$4:$A$11,0)),INDEX(MODELOS!$E$4:$E$11,MATCH($D106,MODELOS!$A$4:$A$11,0)))</f>
        <v>300 × 300</v>
      </c>
      <c r="I106" s="11" t="str">
        <f aca="false">IF($D106="COMP","SIM",IF(INDEX(PRODUTOS!$J$4:$J$63,MATCH($A106,PRODUTOS!$B$4:$B$63,0))&lt;&gt;"","NÃO (usa o A+ do EAN "&amp;INDEX(PRODUTOS!$J$4:$J$63,MATCH($A106,PRODUTOS!$B$4:$B$63,0))&amp;")",IF(AND(INDEX(PRODUTOS!$I$4:$I$63,MATCH($A106,PRODUTOS!$B$4:$B$63,0))="B",$D106="AP07"),"NÃO (modelo B)","SIM")))</f>
        <v>SIM</v>
      </c>
      <c r="J106" s="13" t="s">
        <v>318</v>
      </c>
      <c r="K106" s="13"/>
    </row>
    <row r="107" customFormat="false" ht="15" hidden="false" customHeight="false" outlineLevel="0" collapsed="false">
      <c r="A107" s="15" t="s">
        <v>91</v>
      </c>
      <c r="B107" s="11" t="str">
        <f aca="false">INDEX(PRODUTOS!$E$4:$E$63,MATCH($A107,PRODUTOS!$B$4:$B$63,0))</f>
        <v>New Dots Ração Seca Premium para Gatos Adultos Castrados - 20 kg</v>
      </c>
      <c r="C107" s="11" t="str">
        <f aca="false">INDEX(PRODUTOS!$H$4:$H$63,MATCH($A107,PRODUTOS!$B$4:$B$63,0))</f>
        <v>20 kg</v>
      </c>
      <c r="D107" s="11" t="s">
        <v>325</v>
      </c>
      <c r="E107" s="16" t="str">
        <f aca="false">$A107&amp;"."&amp;$D107&amp;".jpg"</f>
        <v>7908591300666.COMP.jpg</v>
      </c>
      <c r="F107" s="11" t="str">
        <f aca="false">IF(INDEX(PRODUTOS!$I$4:$I$63,MATCH($A107,PRODUTOS!$B$4:$B$63,0))="B",INDEX(MODELOS!$F$4:$F$11,MATCH($D107,MODELOS!$A$4:$A$11,0)),INDEX(MODELOS!$B$4:$B$11,MATCH($D107,MODELOS!$A$4:$A$11,0)))</f>
        <v>Módulo 5 · Tabela comparativa</v>
      </c>
      <c r="G107" s="11" t="str">
        <f aca="false">IF(INDEX(PRODUTOS!$F$4:$F$63,MATCH($A107,PRODUTOS!$B$4:$B$63,0))="Ração",IF(INDEX(PRODUTOS!$I$4:$I$63,MATCH($A107,PRODUTOS!$B$4:$B$63,0))="B",INDEX(MODELOS!$G$4:$G$11,MATCH($D107,MODELOS!$A$4:$A$11,0)),INDEX(MODELOS!$C$4:$C$11,MATCH($D107,MODELOS!$A$4:$A$11,0))),IF(INDEX(PRODUTOS!$I$4:$I$63,MATCH($A107,PRODUTOS!$B$4:$B$63,0))="B",INDEX(MODELOS!$H$4:$H$11,MATCH($D107,MODELOS!$A$4:$A$11,0)),INDEX(MODELOS!$D$4:$D$11,MATCH($D107,MODELOS!$A$4:$A$11,0))))</f>
        <v>Pacote na vertical, sem fundo colorido</v>
      </c>
      <c r="H107" s="11" t="str">
        <f aca="false">IF(INDEX(PRODUTOS!$I$4:$I$63,MATCH($A107,PRODUTOS!$B$4:$B$63,0))="B",INDEX(MODELOS!$I$4:$I$11,MATCH($D107,MODELOS!$A$4:$A$11,0)),INDEX(MODELOS!$E$4:$E$11,MATCH($D107,MODELOS!$A$4:$A$11,0)))</f>
        <v>150 × 300</v>
      </c>
      <c r="I107" s="11" t="str">
        <f aca="false">IF($D107="COMP","SIM",IF(INDEX(PRODUTOS!$J$4:$J$63,MATCH($A107,PRODUTOS!$B$4:$B$63,0))&lt;&gt;"","NÃO (usa o A+ do EAN "&amp;INDEX(PRODUTOS!$J$4:$J$63,MATCH($A107,PRODUTOS!$B$4:$B$63,0))&amp;")",IF(AND(INDEX(PRODUTOS!$I$4:$I$63,MATCH($A107,PRODUTOS!$B$4:$B$63,0))="B",$D107="AP07"),"NÃO (modelo B)","SIM")))</f>
        <v>SIM</v>
      </c>
      <c r="J107" s="13" t="s">
        <v>318</v>
      </c>
      <c r="K107" s="13"/>
    </row>
    <row r="108" customFormat="false" ht="15" hidden="false" customHeight="false" outlineLevel="0" collapsed="false">
      <c r="A108" s="15" t="s">
        <v>95</v>
      </c>
      <c r="B108" s="11" t="str">
        <f aca="false">INDEX(PRODUTOS!$E$4:$E$63,MATCH($A108,PRODUTOS!$B$4:$B$63,0))</f>
        <v>New Dots Ração Seca Premium para Gatos Adultos Castrados - 11 kg</v>
      </c>
      <c r="C108" s="11" t="str">
        <f aca="false">INDEX(PRODUTOS!$H$4:$H$63,MATCH($A108,PRODUTOS!$B$4:$B$63,0))</f>
        <v>11 kg</v>
      </c>
      <c r="D108" s="11" t="s">
        <v>317</v>
      </c>
      <c r="E108" s="16" t="str">
        <f aca="false">$A108&amp;"."&amp;$D108&amp;".jpg"</f>
        <v>7908591300413.AP01.jpg</v>
      </c>
      <c r="F108" s="11" t="str">
        <f aca="false">IF(INDEX(PRODUTOS!$I$4:$I$63,MATCH($A108,PRODUTOS!$B$4:$B$63,0))="B",INDEX(MODELOS!$F$4:$F$11,MATCH($D108,MODELOS!$A$4:$A$11,0)),INDEX(MODELOS!$B$4:$B$11,MATCH($D108,MODELOS!$A$4:$A$11,0)))</f>
        <v>Módulo 1 · Banner</v>
      </c>
      <c r="G108" s="11" t="str">
        <f aca="false">IF(INDEX(PRODUTOS!$F$4:$F$63,MATCH($A108,PRODUTOS!$B$4:$B$63,0))="Ração",IF(INDEX(PRODUTOS!$I$4:$I$63,MATCH($A108,PRODUTOS!$B$4:$B$63,0))="B",INDEX(MODELOS!$G$4:$G$11,MATCH($D108,MODELOS!$A$4:$A$11,0)),INDEX(MODELOS!$C$4:$C$11,MATCH($D108,MODELOS!$A$4:$A$11,0))),IF(INDEX(PRODUTOS!$I$4:$I$63,MATCH($A108,PRODUTOS!$B$4:$B$63,0))="B",INDEX(MODELOS!$H$4:$H$11,MATCH($D108,MODELOS!$A$4:$A$11,0)),INDEX(MODELOS!$D$4:$D$11,MATCH($D108,MODELOS!$A$4:$A$11,0))))</f>
        <v>Embalagem + pet + ingredientes, com o nome da linha</v>
      </c>
      <c r="H108" s="11" t="str">
        <f aca="false">IF(INDEX(PRODUTOS!$I$4:$I$63,MATCH($A108,PRODUTOS!$B$4:$B$63,0))="B",INDEX(MODELOS!$I$4:$I$11,MATCH($D108,MODELOS!$A$4:$A$11,0)),INDEX(MODELOS!$E$4:$E$11,MATCH($D108,MODELOS!$A$4:$A$11,0)))</f>
        <v>970 × 600</v>
      </c>
      <c r="I108" s="11" t="str">
        <f aca="false">IF($D108="COMP","SIM",IF(INDEX(PRODUTOS!$J$4:$J$63,MATCH($A108,PRODUTOS!$B$4:$B$63,0))&lt;&gt;"","NÃO (usa o A+ do EAN "&amp;INDEX(PRODUTOS!$J$4:$J$63,MATCH($A108,PRODUTOS!$B$4:$B$63,0))&amp;")",IF(AND(INDEX(PRODUTOS!$I$4:$I$63,MATCH($A108,PRODUTOS!$B$4:$B$63,0))="B",$D108="AP07"),"NÃO (modelo B)","SIM")))</f>
        <v>NÃO (usa o A+ do EAN 7908591300666)</v>
      </c>
      <c r="J108" s="13" t="s">
        <v>318</v>
      </c>
      <c r="K108" s="13"/>
    </row>
    <row r="109" customFormat="false" ht="15" hidden="false" customHeight="false" outlineLevel="0" collapsed="false">
      <c r="A109" s="15" t="s">
        <v>95</v>
      </c>
      <c r="B109" s="11" t="str">
        <f aca="false">INDEX(PRODUTOS!$E$4:$E$63,MATCH($A109,PRODUTOS!$B$4:$B$63,0))</f>
        <v>New Dots Ração Seca Premium para Gatos Adultos Castrados - 11 kg</v>
      </c>
      <c r="C109" s="11" t="str">
        <f aca="false">INDEX(PRODUTOS!$H$4:$H$63,MATCH($A109,PRODUTOS!$B$4:$B$63,0))</f>
        <v>11 kg</v>
      </c>
      <c r="D109" s="11" t="s">
        <v>319</v>
      </c>
      <c r="E109" s="16" t="str">
        <f aca="false">$A109&amp;"."&amp;$D109&amp;".jpg"</f>
        <v>7908591300413.AP02.jpg</v>
      </c>
      <c r="F109" s="11" t="str">
        <f aca="false">IF(INDEX(PRODUTOS!$I$4:$I$63,MATCH($A109,PRODUTOS!$B$4:$B$63,0))="B",INDEX(MODELOS!$F$4:$F$11,MATCH($D109,MODELOS!$A$4:$A$11,0)),INDEX(MODELOS!$B$4:$B$11,MATCH($D109,MODELOS!$A$4:$A$11,0)))</f>
        <v>Módulo 2 · Texto sobreposto</v>
      </c>
      <c r="G109" s="11" t="str">
        <f aca="false">IF(INDEX(PRODUTOS!$F$4:$F$63,MATCH($A109,PRODUTOS!$B$4:$B$63,0))="Ração",IF(INDEX(PRODUTOS!$I$4:$I$63,MATCH($A109,PRODUTOS!$B$4:$B$63,0))="B",INDEX(MODELOS!$G$4:$G$11,MATCH($D109,MODELOS!$A$4:$A$11,0)),INDEX(MODELOS!$C$4:$C$11,MATCH($D109,MODELOS!$A$4:$A$11,0))),IF(INDEX(PRODUTOS!$I$4:$I$63,MATCH($A109,PRODUTOS!$B$4:$B$63,0))="B",INDEX(MODELOS!$H$4:$H$11,MATCH($D109,MODELOS!$A$4:$A$11,0)),INDEX(MODELOS!$D$4:$D$11,MATCH($D109,MODELOS!$A$4:$A$11,0))))</f>
        <v>Principal diferencial; deixar o lado direito limpo</v>
      </c>
      <c r="H109" s="11" t="str">
        <f aca="false">IF(INDEX(PRODUTOS!$I$4:$I$63,MATCH($A109,PRODUTOS!$B$4:$B$63,0))="B",INDEX(MODELOS!$I$4:$I$11,MATCH($D109,MODELOS!$A$4:$A$11,0)),INDEX(MODELOS!$E$4:$E$11,MATCH($D109,MODELOS!$A$4:$A$11,0)))</f>
        <v>970 × 300</v>
      </c>
      <c r="I109" s="11" t="str">
        <f aca="false">IF($D109="COMP","SIM",IF(INDEX(PRODUTOS!$J$4:$J$63,MATCH($A109,PRODUTOS!$B$4:$B$63,0))&lt;&gt;"","NÃO (usa o A+ do EAN "&amp;INDEX(PRODUTOS!$J$4:$J$63,MATCH($A109,PRODUTOS!$B$4:$B$63,0))&amp;")",IF(AND(INDEX(PRODUTOS!$I$4:$I$63,MATCH($A109,PRODUTOS!$B$4:$B$63,0))="B",$D109="AP07"),"NÃO (modelo B)","SIM")))</f>
        <v>NÃO (usa o A+ do EAN 7908591300666)</v>
      </c>
      <c r="J109" s="13" t="s">
        <v>318</v>
      </c>
      <c r="K109" s="13"/>
    </row>
    <row r="110" customFormat="false" ht="15" hidden="false" customHeight="false" outlineLevel="0" collapsed="false">
      <c r="A110" s="15" t="s">
        <v>95</v>
      </c>
      <c r="B110" s="11" t="str">
        <f aca="false">INDEX(PRODUTOS!$E$4:$E$63,MATCH($A110,PRODUTOS!$B$4:$B$63,0))</f>
        <v>New Dots Ração Seca Premium para Gatos Adultos Castrados - 11 kg</v>
      </c>
      <c r="C110" s="11" t="str">
        <f aca="false">INDEX(PRODUTOS!$H$4:$H$63,MATCH($A110,PRODUTOS!$B$4:$B$63,0))</f>
        <v>11 kg</v>
      </c>
      <c r="D110" s="11" t="s">
        <v>320</v>
      </c>
      <c r="E110" s="16" t="str">
        <f aca="false">$A110&amp;"."&amp;$D110&amp;".jpg"</f>
        <v>7908591300413.AP03.jpg</v>
      </c>
      <c r="F110" s="11" t="str">
        <f aca="false">IF(INDEX(PRODUTOS!$I$4:$I$63,MATCH($A110,PRODUTOS!$B$4:$B$63,0))="B",INDEX(MODELOS!$F$4:$F$11,MATCH($D110,MODELOS!$A$4:$A$11,0)),INDEX(MODELOS!$B$4:$B$11,MATCH($D110,MODELOS!$A$4:$A$11,0)))</f>
        <v>Módulo 3 · Benefício 1 de 4</v>
      </c>
      <c r="G110" s="11" t="str">
        <f aca="false">IF(INDEX(PRODUTOS!$F$4:$F$63,MATCH($A110,PRODUTOS!$B$4:$B$63,0))="Ração",IF(INDEX(PRODUTOS!$I$4:$I$63,MATCH($A110,PRODUTOS!$B$4:$B$63,0))="B",INDEX(MODELOS!$G$4:$G$11,MATCH($D110,MODELOS!$A$4:$A$11,0)),INDEX(MODELOS!$C$4:$C$11,MATCH($D110,MODELOS!$A$4:$A$11,0))),IF(INDEX(PRODUTOS!$I$4:$I$63,MATCH($A110,PRODUTOS!$B$4:$B$63,0))="B",INDEX(MODELOS!$H$4:$H$11,MATCH($D110,MODELOS!$A$4:$A$11,0)),INDEX(MODELOS!$D$4:$D$11,MATCH($D110,MODELOS!$A$4:$A$11,0))))</f>
        <v>Foto/ilustração do benefício 1</v>
      </c>
      <c r="H110" s="11" t="str">
        <f aca="false">IF(INDEX(PRODUTOS!$I$4:$I$63,MATCH($A110,PRODUTOS!$B$4:$B$63,0))="B",INDEX(MODELOS!$I$4:$I$11,MATCH($D110,MODELOS!$A$4:$A$11,0)),INDEX(MODELOS!$E$4:$E$11,MATCH($D110,MODELOS!$A$4:$A$11,0)))</f>
        <v>220 × 200</v>
      </c>
      <c r="I110" s="11" t="str">
        <f aca="false">IF($D110="COMP","SIM",IF(INDEX(PRODUTOS!$J$4:$J$63,MATCH($A110,PRODUTOS!$B$4:$B$63,0))&lt;&gt;"","NÃO (usa o A+ do EAN "&amp;INDEX(PRODUTOS!$J$4:$J$63,MATCH($A110,PRODUTOS!$B$4:$B$63,0))&amp;")",IF(AND(INDEX(PRODUTOS!$I$4:$I$63,MATCH($A110,PRODUTOS!$B$4:$B$63,0))="B",$D110="AP07"),"NÃO (modelo B)","SIM")))</f>
        <v>NÃO (usa o A+ do EAN 7908591300666)</v>
      </c>
      <c r="J110" s="13" t="s">
        <v>318</v>
      </c>
      <c r="K110" s="13"/>
    </row>
    <row r="111" customFormat="false" ht="15" hidden="false" customHeight="false" outlineLevel="0" collapsed="false">
      <c r="A111" s="15" t="s">
        <v>95</v>
      </c>
      <c r="B111" s="11" t="str">
        <f aca="false">INDEX(PRODUTOS!$E$4:$E$63,MATCH($A111,PRODUTOS!$B$4:$B$63,0))</f>
        <v>New Dots Ração Seca Premium para Gatos Adultos Castrados - 11 kg</v>
      </c>
      <c r="C111" s="11" t="str">
        <f aca="false">INDEX(PRODUTOS!$H$4:$H$63,MATCH($A111,PRODUTOS!$B$4:$B$63,0))</f>
        <v>11 kg</v>
      </c>
      <c r="D111" s="11" t="s">
        <v>321</v>
      </c>
      <c r="E111" s="16" t="str">
        <f aca="false">$A111&amp;"."&amp;$D111&amp;".jpg"</f>
        <v>7908591300413.AP04.jpg</v>
      </c>
      <c r="F111" s="11" t="str">
        <f aca="false">IF(INDEX(PRODUTOS!$I$4:$I$63,MATCH($A111,PRODUTOS!$B$4:$B$63,0))="B",INDEX(MODELOS!$F$4:$F$11,MATCH($D111,MODELOS!$A$4:$A$11,0)),INDEX(MODELOS!$B$4:$B$11,MATCH($D111,MODELOS!$A$4:$A$11,0)))</f>
        <v>Módulo 3 · Benefício 2 de 4</v>
      </c>
      <c r="G111" s="11" t="str">
        <f aca="false">IF(INDEX(PRODUTOS!$F$4:$F$63,MATCH($A111,PRODUTOS!$B$4:$B$63,0))="Ração",IF(INDEX(PRODUTOS!$I$4:$I$63,MATCH($A111,PRODUTOS!$B$4:$B$63,0))="B",INDEX(MODELOS!$G$4:$G$11,MATCH($D111,MODELOS!$A$4:$A$11,0)),INDEX(MODELOS!$C$4:$C$11,MATCH($D111,MODELOS!$A$4:$A$11,0))),IF(INDEX(PRODUTOS!$I$4:$I$63,MATCH($A111,PRODUTOS!$B$4:$B$63,0))="B",INDEX(MODELOS!$H$4:$H$11,MATCH($D111,MODELOS!$A$4:$A$11,0)),INDEX(MODELOS!$D$4:$D$11,MATCH($D111,MODELOS!$A$4:$A$11,0))))</f>
        <v>Foto/ilustração do benefício 2</v>
      </c>
      <c r="H111" s="11" t="str">
        <f aca="false">IF(INDEX(PRODUTOS!$I$4:$I$63,MATCH($A111,PRODUTOS!$B$4:$B$63,0))="B",INDEX(MODELOS!$I$4:$I$11,MATCH($D111,MODELOS!$A$4:$A$11,0)),INDEX(MODELOS!$E$4:$E$11,MATCH($D111,MODELOS!$A$4:$A$11,0)))</f>
        <v>220 × 200</v>
      </c>
      <c r="I111" s="11" t="str">
        <f aca="false">IF($D111="COMP","SIM",IF(INDEX(PRODUTOS!$J$4:$J$63,MATCH($A111,PRODUTOS!$B$4:$B$63,0))&lt;&gt;"","NÃO (usa o A+ do EAN "&amp;INDEX(PRODUTOS!$J$4:$J$63,MATCH($A111,PRODUTOS!$B$4:$B$63,0))&amp;")",IF(AND(INDEX(PRODUTOS!$I$4:$I$63,MATCH($A111,PRODUTOS!$B$4:$B$63,0))="B",$D111="AP07"),"NÃO (modelo B)","SIM")))</f>
        <v>NÃO (usa o A+ do EAN 7908591300666)</v>
      </c>
      <c r="J111" s="13" t="s">
        <v>318</v>
      </c>
      <c r="K111" s="13"/>
    </row>
    <row r="112" customFormat="false" ht="15" hidden="false" customHeight="false" outlineLevel="0" collapsed="false">
      <c r="A112" s="15" t="s">
        <v>95</v>
      </c>
      <c r="B112" s="11" t="str">
        <f aca="false">INDEX(PRODUTOS!$E$4:$E$63,MATCH($A112,PRODUTOS!$B$4:$B$63,0))</f>
        <v>New Dots Ração Seca Premium para Gatos Adultos Castrados - 11 kg</v>
      </c>
      <c r="C112" s="11" t="str">
        <f aca="false">INDEX(PRODUTOS!$H$4:$H$63,MATCH($A112,PRODUTOS!$B$4:$B$63,0))</f>
        <v>11 kg</v>
      </c>
      <c r="D112" s="11" t="s">
        <v>322</v>
      </c>
      <c r="E112" s="16" t="str">
        <f aca="false">$A112&amp;"."&amp;$D112&amp;".jpg"</f>
        <v>7908591300413.AP05.jpg</v>
      </c>
      <c r="F112" s="11" t="str">
        <f aca="false">IF(INDEX(PRODUTOS!$I$4:$I$63,MATCH($A112,PRODUTOS!$B$4:$B$63,0))="B",INDEX(MODELOS!$F$4:$F$11,MATCH($D112,MODELOS!$A$4:$A$11,0)),INDEX(MODELOS!$B$4:$B$11,MATCH($D112,MODELOS!$A$4:$A$11,0)))</f>
        <v>Módulo 3 · Benefício 3 de 4</v>
      </c>
      <c r="G112" s="11" t="str">
        <f aca="false">IF(INDEX(PRODUTOS!$F$4:$F$63,MATCH($A112,PRODUTOS!$B$4:$B$63,0))="Ração",IF(INDEX(PRODUTOS!$I$4:$I$63,MATCH($A112,PRODUTOS!$B$4:$B$63,0))="B",INDEX(MODELOS!$G$4:$G$11,MATCH($D112,MODELOS!$A$4:$A$11,0)),INDEX(MODELOS!$C$4:$C$11,MATCH($D112,MODELOS!$A$4:$A$11,0))),IF(INDEX(PRODUTOS!$I$4:$I$63,MATCH($A112,PRODUTOS!$B$4:$B$63,0))="B",INDEX(MODELOS!$H$4:$H$11,MATCH($D112,MODELOS!$A$4:$A$11,0)),INDEX(MODELOS!$D$4:$D$11,MATCH($D112,MODELOS!$A$4:$A$11,0))))</f>
        <v>Foto/ilustração do benefício 3</v>
      </c>
      <c r="H112" s="11" t="str">
        <f aca="false">IF(INDEX(PRODUTOS!$I$4:$I$63,MATCH($A112,PRODUTOS!$B$4:$B$63,0))="B",INDEX(MODELOS!$I$4:$I$11,MATCH($D112,MODELOS!$A$4:$A$11,0)),INDEX(MODELOS!$E$4:$E$11,MATCH($D112,MODELOS!$A$4:$A$11,0)))</f>
        <v>220 × 200</v>
      </c>
      <c r="I112" s="11" t="str">
        <f aca="false">IF($D112="COMP","SIM",IF(INDEX(PRODUTOS!$J$4:$J$63,MATCH($A112,PRODUTOS!$B$4:$B$63,0))&lt;&gt;"","NÃO (usa o A+ do EAN "&amp;INDEX(PRODUTOS!$J$4:$J$63,MATCH($A112,PRODUTOS!$B$4:$B$63,0))&amp;")",IF(AND(INDEX(PRODUTOS!$I$4:$I$63,MATCH($A112,PRODUTOS!$B$4:$B$63,0))="B",$D112="AP07"),"NÃO (modelo B)","SIM")))</f>
        <v>NÃO (usa o A+ do EAN 7908591300666)</v>
      </c>
      <c r="J112" s="13" t="s">
        <v>318</v>
      </c>
      <c r="K112" s="13"/>
    </row>
    <row r="113" customFormat="false" ht="15" hidden="false" customHeight="false" outlineLevel="0" collapsed="false">
      <c r="A113" s="15" t="s">
        <v>95</v>
      </c>
      <c r="B113" s="11" t="str">
        <f aca="false">INDEX(PRODUTOS!$E$4:$E$63,MATCH($A113,PRODUTOS!$B$4:$B$63,0))</f>
        <v>New Dots Ração Seca Premium para Gatos Adultos Castrados - 11 kg</v>
      </c>
      <c r="C113" s="11" t="str">
        <f aca="false">INDEX(PRODUTOS!$H$4:$H$63,MATCH($A113,PRODUTOS!$B$4:$B$63,0))</f>
        <v>11 kg</v>
      </c>
      <c r="D113" s="11" t="s">
        <v>323</v>
      </c>
      <c r="E113" s="16" t="str">
        <f aca="false">$A113&amp;"."&amp;$D113&amp;".jpg"</f>
        <v>7908591300413.AP06.jpg</v>
      </c>
      <c r="F113" s="11" t="str">
        <f aca="false">IF(INDEX(PRODUTOS!$I$4:$I$63,MATCH($A113,PRODUTOS!$B$4:$B$63,0))="B",INDEX(MODELOS!$F$4:$F$11,MATCH($D113,MODELOS!$A$4:$A$11,0)),INDEX(MODELOS!$B$4:$B$11,MATCH($D113,MODELOS!$A$4:$A$11,0)))</f>
        <v>Módulo 3 · Benefício 4 de 4</v>
      </c>
      <c r="G113" s="11" t="str">
        <f aca="false">IF(INDEX(PRODUTOS!$F$4:$F$63,MATCH($A113,PRODUTOS!$B$4:$B$63,0))="Ração",IF(INDEX(PRODUTOS!$I$4:$I$63,MATCH($A113,PRODUTOS!$B$4:$B$63,0))="B",INDEX(MODELOS!$G$4:$G$11,MATCH($D113,MODELOS!$A$4:$A$11,0)),INDEX(MODELOS!$C$4:$C$11,MATCH($D113,MODELOS!$A$4:$A$11,0))),IF(INDEX(PRODUTOS!$I$4:$I$63,MATCH($A113,PRODUTOS!$B$4:$B$63,0))="B",INDEX(MODELOS!$H$4:$H$11,MATCH($D113,MODELOS!$A$4:$A$11,0)),INDEX(MODELOS!$D$4:$D$11,MATCH($D113,MODELOS!$A$4:$A$11,0))))</f>
        <v>Foto/ilustração do benefício 4</v>
      </c>
      <c r="H113" s="11" t="str">
        <f aca="false">IF(INDEX(PRODUTOS!$I$4:$I$63,MATCH($A113,PRODUTOS!$B$4:$B$63,0))="B",INDEX(MODELOS!$I$4:$I$11,MATCH($D113,MODELOS!$A$4:$A$11,0)),INDEX(MODELOS!$E$4:$E$11,MATCH($D113,MODELOS!$A$4:$A$11,0)))</f>
        <v>220 × 200</v>
      </c>
      <c r="I113" s="11" t="str">
        <f aca="false">IF($D113="COMP","SIM",IF(INDEX(PRODUTOS!$J$4:$J$63,MATCH($A113,PRODUTOS!$B$4:$B$63,0))&lt;&gt;"","NÃO (usa o A+ do EAN "&amp;INDEX(PRODUTOS!$J$4:$J$63,MATCH($A113,PRODUTOS!$B$4:$B$63,0))&amp;")",IF(AND(INDEX(PRODUTOS!$I$4:$I$63,MATCH($A113,PRODUTOS!$B$4:$B$63,0))="B",$D113="AP07"),"NÃO (modelo B)","SIM")))</f>
        <v>NÃO (usa o A+ do EAN 7908591300666)</v>
      </c>
      <c r="J113" s="13" t="s">
        <v>318</v>
      </c>
      <c r="K113" s="13"/>
    </row>
    <row r="114" customFormat="false" ht="15" hidden="false" customHeight="false" outlineLevel="0" collapsed="false">
      <c r="A114" s="15" t="s">
        <v>95</v>
      </c>
      <c r="B114" s="11" t="str">
        <f aca="false">INDEX(PRODUTOS!$E$4:$E$63,MATCH($A114,PRODUTOS!$B$4:$B$63,0))</f>
        <v>New Dots Ração Seca Premium para Gatos Adultos Castrados - 11 kg</v>
      </c>
      <c r="C114" s="11" t="str">
        <f aca="false">INDEX(PRODUTOS!$H$4:$H$63,MATCH($A114,PRODUTOS!$B$4:$B$63,0))</f>
        <v>11 kg</v>
      </c>
      <c r="D114" s="11" t="s">
        <v>324</v>
      </c>
      <c r="E114" s="16" t="str">
        <f aca="false">$A114&amp;"."&amp;$D114&amp;".jpg"</f>
        <v>7908591300413.AP07.jpg</v>
      </c>
      <c r="F114" s="11" t="str">
        <f aca="false">IF(INDEX(PRODUTOS!$I$4:$I$63,MATCH($A114,PRODUTOS!$B$4:$B$63,0))="B",INDEX(MODELOS!$F$4:$F$11,MATCH($D114,MODELOS!$A$4:$A$11,0)),INDEX(MODELOS!$B$4:$B$11,MATCH($D114,MODELOS!$A$4:$A$11,0)))</f>
        <v>Módulo 4 · Especificações</v>
      </c>
      <c r="G114" s="11" t="str">
        <f aca="false">IF(INDEX(PRODUTOS!$F$4:$F$63,MATCH($A114,PRODUTOS!$B$4:$B$63,0))="Ração",IF(INDEX(PRODUTOS!$I$4:$I$63,MATCH($A114,PRODUTOS!$B$4:$B$63,0))="B",INDEX(MODELOS!$G$4:$G$11,MATCH($D114,MODELOS!$A$4:$A$11,0)),INDEX(MODELOS!$C$4:$C$11,MATCH($D114,MODELOS!$A$4:$A$11,0))),IF(INDEX(PRODUTOS!$I$4:$I$63,MATCH($A114,PRODUTOS!$B$4:$B$63,0))="B",INDEX(MODELOS!$H$4:$H$11,MATCH($D114,MODELOS!$A$4:$A$11,0)),INDEX(MODELOS!$D$4:$D$11,MATCH($D114,MODELOS!$A$4:$A$11,0))))</f>
        <v>Grão ou pacote em destaque</v>
      </c>
      <c r="H114" s="11" t="str">
        <f aca="false">IF(INDEX(PRODUTOS!$I$4:$I$63,MATCH($A114,PRODUTOS!$B$4:$B$63,0))="B",INDEX(MODELOS!$I$4:$I$11,MATCH($D114,MODELOS!$A$4:$A$11,0)),INDEX(MODELOS!$E$4:$E$11,MATCH($D114,MODELOS!$A$4:$A$11,0)))</f>
        <v>300 × 300</v>
      </c>
      <c r="I114" s="11" t="str">
        <f aca="false">IF($D114="COMP","SIM",IF(INDEX(PRODUTOS!$J$4:$J$63,MATCH($A114,PRODUTOS!$B$4:$B$63,0))&lt;&gt;"","NÃO (usa o A+ do EAN "&amp;INDEX(PRODUTOS!$J$4:$J$63,MATCH($A114,PRODUTOS!$B$4:$B$63,0))&amp;")",IF(AND(INDEX(PRODUTOS!$I$4:$I$63,MATCH($A114,PRODUTOS!$B$4:$B$63,0))="B",$D114="AP07"),"NÃO (modelo B)","SIM")))</f>
        <v>NÃO (usa o A+ do EAN 7908591300666)</v>
      </c>
      <c r="J114" s="13" t="s">
        <v>318</v>
      </c>
      <c r="K114" s="13"/>
    </row>
    <row r="115" customFormat="false" ht="15" hidden="false" customHeight="false" outlineLevel="0" collapsed="false">
      <c r="A115" s="15" t="s">
        <v>95</v>
      </c>
      <c r="B115" s="11" t="str">
        <f aca="false">INDEX(PRODUTOS!$E$4:$E$63,MATCH($A115,PRODUTOS!$B$4:$B$63,0))</f>
        <v>New Dots Ração Seca Premium para Gatos Adultos Castrados - 11 kg</v>
      </c>
      <c r="C115" s="11" t="str">
        <f aca="false">INDEX(PRODUTOS!$H$4:$H$63,MATCH($A115,PRODUTOS!$B$4:$B$63,0))</f>
        <v>11 kg</v>
      </c>
      <c r="D115" s="11" t="s">
        <v>325</v>
      </c>
      <c r="E115" s="16" t="str">
        <f aca="false">$A115&amp;"."&amp;$D115&amp;".jpg"</f>
        <v>7908591300413.COMP.jpg</v>
      </c>
      <c r="F115" s="11" t="str">
        <f aca="false">IF(INDEX(PRODUTOS!$I$4:$I$63,MATCH($A115,PRODUTOS!$B$4:$B$63,0))="B",INDEX(MODELOS!$F$4:$F$11,MATCH($D115,MODELOS!$A$4:$A$11,0)),INDEX(MODELOS!$B$4:$B$11,MATCH($D115,MODELOS!$A$4:$A$11,0)))</f>
        <v>Módulo 5 · Tabela comparativa</v>
      </c>
      <c r="G115" s="11" t="str">
        <f aca="false">IF(INDEX(PRODUTOS!$F$4:$F$63,MATCH($A115,PRODUTOS!$B$4:$B$63,0))="Ração",IF(INDEX(PRODUTOS!$I$4:$I$63,MATCH($A115,PRODUTOS!$B$4:$B$63,0))="B",INDEX(MODELOS!$G$4:$G$11,MATCH($D115,MODELOS!$A$4:$A$11,0)),INDEX(MODELOS!$C$4:$C$11,MATCH($D115,MODELOS!$A$4:$A$11,0))),IF(INDEX(PRODUTOS!$I$4:$I$63,MATCH($A115,PRODUTOS!$B$4:$B$63,0))="B",INDEX(MODELOS!$H$4:$H$11,MATCH($D115,MODELOS!$A$4:$A$11,0)),INDEX(MODELOS!$D$4:$D$11,MATCH($D115,MODELOS!$A$4:$A$11,0))))</f>
        <v>Pacote na vertical, sem fundo colorido</v>
      </c>
      <c r="H115" s="11" t="str">
        <f aca="false">IF(INDEX(PRODUTOS!$I$4:$I$63,MATCH($A115,PRODUTOS!$B$4:$B$63,0))="B",INDEX(MODELOS!$I$4:$I$11,MATCH($D115,MODELOS!$A$4:$A$11,0)),INDEX(MODELOS!$E$4:$E$11,MATCH($D115,MODELOS!$A$4:$A$11,0)))</f>
        <v>150 × 300</v>
      </c>
      <c r="I115" s="11" t="str">
        <f aca="false">IF($D115="COMP","SIM",IF(INDEX(PRODUTOS!$J$4:$J$63,MATCH($A115,PRODUTOS!$B$4:$B$63,0))&lt;&gt;"","NÃO (usa o A+ do EAN "&amp;INDEX(PRODUTOS!$J$4:$J$63,MATCH($A115,PRODUTOS!$B$4:$B$63,0))&amp;")",IF(AND(INDEX(PRODUTOS!$I$4:$I$63,MATCH($A115,PRODUTOS!$B$4:$B$63,0))="B",$D115="AP07"),"NÃO (modelo B)","SIM")))</f>
        <v>SIM</v>
      </c>
      <c r="J115" s="13" t="s">
        <v>318</v>
      </c>
      <c r="K115" s="13"/>
    </row>
    <row r="116" customFormat="false" ht="15" hidden="false" customHeight="false" outlineLevel="0" collapsed="false">
      <c r="A116" s="15" t="s">
        <v>99</v>
      </c>
      <c r="B116" s="11" t="str">
        <f aca="false">INDEX(PRODUTOS!$E$4:$E$63,MATCH($A116,PRODUTOS!$B$4:$B$63,0))</f>
        <v>New Dots Ração Seca Premium para Gatos Adultos Castrados - 1 kg</v>
      </c>
      <c r="C116" s="11" t="str">
        <f aca="false">INDEX(PRODUTOS!$H$4:$H$63,MATCH($A116,PRODUTOS!$B$4:$B$63,0))</f>
        <v>1 kg</v>
      </c>
      <c r="D116" s="11" t="s">
        <v>317</v>
      </c>
      <c r="E116" s="16" t="str">
        <f aca="false">$A116&amp;"."&amp;$D116&amp;".jpg"</f>
        <v>7908591300406.AP01.jpg</v>
      </c>
      <c r="F116" s="11" t="str">
        <f aca="false">IF(INDEX(PRODUTOS!$I$4:$I$63,MATCH($A116,PRODUTOS!$B$4:$B$63,0))="B",INDEX(MODELOS!$F$4:$F$11,MATCH($D116,MODELOS!$A$4:$A$11,0)),INDEX(MODELOS!$B$4:$B$11,MATCH($D116,MODELOS!$A$4:$A$11,0)))</f>
        <v>Módulo 1 · Banner</v>
      </c>
      <c r="G116" s="11" t="str">
        <f aca="false">IF(INDEX(PRODUTOS!$F$4:$F$63,MATCH($A116,PRODUTOS!$B$4:$B$63,0))="Ração",IF(INDEX(PRODUTOS!$I$4:$I$63,MATCH($A116,PRODUTOS!$B$4:$B$63,0))="B",INDEX(MODELOS!$G$4:$G$11,MATCH($D116,MODELOS!$A$4:$A$11,0)),INDEX(MODELOS!$C$4:$C$11,MATCH($D116,MODELOS!$A$4:$A$11,0))),IF(INDEX(PRODUTOS!$I$4:$I$63,MATCH($A116,PRODUTOS!$B$4:$B$63,0))="B",INDEX(MODELOS!$H$4:$H$11,MATCH($D116,MODELOS!$A$4:$A$11,0)),INDEX(MODELOS!$D$4:$D$11,MATCH($D116,MODELOS!$A$4:$A$11,0))))</f>
        <v>Embalagem + pet + ingredientes, com o nome da linha</v>
      </c>
      <c r="H116" s="11" t="str">
        <f aca="false">IF(INDEX(PRODUTOS!$I$4:$I$63,MATCH($A116,PRODUTOS!$B$4:$B$63,0))="B",INDEX(MODELOS!$I$4:$I$11,MATCH($D116,MODELOS!$A$4:$A$11,0)),INDEX(MODELOS!$E$4:$E$11,MATCH($D116,MODELOS!$A$4:$A$11,0)))</f>
        <v>970 × 600</v>
      </c>
      <c r="I116" s="11" t="str">
        <f aca="false">IF($D116="COMP","SIM",IF(INDEX(PRODUTOS!$J$4:$J$63,MATCH($A116,PRODUTOS!$B$4:$B$63,0))&lt;&gt;"","NÃO (usa o A+ do EAN "&amp;INDEX(PRODUTOS!$J$4:$J$63,MATCH($A116,PRODUTOS!$B$4:$B$63,0))&amp;")",IF(AND(INDEX(PRODUTOS!$I$4:$I$63,MATCH($A116,PRODUTOS!$B$4:$B$63,0))="B",$D116="AP07"),"NÃO (modelo B)","SIM")))</f>
        <v>NÃO (usa o A+ do EAN 7908591300666)</v>
      </c>
      <c r="J116" s="13" t="s">
        <v>318</v>
      </c>
      <c r="K116" s="13"/>
    </row>
    <row r="117" customFormat="false" ht="15" hidden="false" customHeight="false" outlineLevel="0" collapsed="false">
      <c r="A117" s="15" t="s">
        <v>99</v>
      </c>
      <c r="B117" s="11" t="str">
        <f aca="false">INDEX(PRODUTOS!$E$4:$E$63,MATCH($A117,PRODUTOS!$B$4:$B$63,0))</f>
        <v>New Dots Ração Seca Premium para Gatos Adultos Castrados - 1 kg</v>
      </c>
      <c r="C117" s="11" t="str">
        <f aca="false">INDEX(PRODUTOS!$H$4:$H$63,MATCH($A117,PRODUTOS!$B$4:$B$63,0))</f>
        <v>1 kg</v>
      </c>
      <c r="D117" s="11" t="s">
        <v>319</v>
      </c>
      <c r="E117" s="16" t="str">
        <f aca="false">$A117&amp;"."&amp;$D117&amp;".jpg"</f>
        <v>7908591300406.AP02.jpg</v>
      </c>
      <c r="F117" s="11" t="str">
        <f aca="false">IF(INDEX(PRODUTOS!$I$4:$I$63,MATCH($A117,PRODUTOS!$B$4:$B$63,0))="B",INDEX(MODELOS!$F$4:$F$11,MATCH($D117,MODELOS!$A$4:$A$11,0)),INDEX(MODELOS!$B$4:$B$11,MATCH($D117,MODELOS!$A$4:$A$11,0)))</f>
        <v>Módulo 2 · Texto sobreposto</v>
      </c>
      <c r="G117" s="11" t="str">
        <f aca="false">IF(INDEX(PRODUTOS!$F$4:$F$63,MATCH($A117,PRODUTOS!$B$4:$B$63,0))="Ração",IF(INDEX(PRODUTOS!$I$4:$I$63,MATCH($A117,PRODUTOS!$B$4:$B$63,0))="B",INDEX(MODELOS!$G$4:$G$11,MATCH($D117,MODELOS!$A$4:$A$11,0)),INDEX(MODELOS!$C$4:$C$11,MATCH($D117,MODELOS!$A$4:$A$11,0))),IF(INDEX(PRODUTOS!$I$4:$I$63,MATCH($A117,PRODUTOS!$B$4:$B$63,0))="B",INDEX(MODELOS!$H$4:$H$11,MATCH($D117,MODELOS!$A$4:$A$11,0)),INDEX(MODELOS!$D$4:$D$11,MATCH($D117,MODELOS!$A$4:$A$11,0))))</f>
        <v>Principal diferencial; deixar o lado direito limpo</v>
      </c>
      <c r="H117" s="11" t="str">
        <f aca="false">IF(INDEX(PRODUTOS!$I$4:$I$63,MATCH($A117,PRODUTOS!$B$4:$B$63,0))="B",INDEX(MODELOS!$I$4:$I$11,MATCH($D117,MODELOS!$A$4:$A$11,0)),INDEX(MODELOS!$E$4:$E$11,MATCH($D117,MODELOS!$A$4:$A$11,0)))</f>
        <v>970 × 300</v>
      </c>
      <c r="I117" s="11" t="str">
        <f aca="false">IF($D117="COMP","SIM",IF(INDEX(PRODUTOS!$J$4:$J$63,MATCH($A117,PRODUTOS!$B$4:$B$63,0))&lt;&gt;"","NÃO (usa o A+ do EAN "&amp;INDEX(PRODUTOS!$J$4:$J$63,MATCH($A117,PRODUTOS!$B$4:$B$63,0))&amp;")",IF(AND(INDEX(PRODUTOS!$I$4:$I$63,MATCH($A117,PRODUTOS!$B$4:$B$63,0))="B",$D117="AP07"),"NÃO (modelo B)","SIM")))</f>
        <v>NÃO (usa o A+ do EAN 7908591300666)</v>
      </c>
      <c r="J117" s="13" t="s">
        <v>318</v>
      </c>
      <c r="K117" s="13"/>
    </row>
    <row r="118" customFormat="false" ht="15" hidden="false" customHeight="false" outlineLevel="0" collapsed="false">
      <c r="A118" s="15" t="s">
        <v>99</v>
      </c>
      <c r="B118" s="11" t="str">
        <f aca="false">INDEX(PRODUTOS!$E$4:$E$63,MATCH($A118,PRODUTOS!$B$4:$B$63,0))</f>
        <v>New Dots Ração Seca Premium para Gatos Adultos Castrados - 1 kg</v>
      </c>
      <c r="C118" s="11" t="str">
        <f aca="false">INDEX(PRODUTOS!$H$4:$H$63,MATCH($A118,PRODUTOS!$B$4:$B$63,0))</f>
        <v>1 kg</v>
      </c>
      <c r="D118" s="11" t="s">
        <v>320</v>
      </c>
      <c r="E118" s="16" t="str">
        <f aca="false">$A118&amp;"."&amp;$D118&amp;".jpg"</f>
        <v>7908591300406.AP03.jpg</v>
      </c>
      <c r="F118" s="11" t="str">
        <f aca="false">IF(INDEX(PRODUTOS!$I$4:$I$63,MATCH($A118,PRODUTOS!$B$4:$B$63,0))="B",INDEX(MODELOS!$F$4:$F$11,MATCH($D118,MODELOS!$A$4:$A$11,0)),INDEX(MODELOS!$B$4:$B$11,MATCH($D118,MODELOS!$A$4:$A$11,0)))</f>
        <v>Módulo 3 · Benefício 1 de 4</v>
      </c>
      <c r="G118" s="11" t="str">
        <f aca="false">IF(INDEX(PRODUTOS!$F$4:$F$63,MATCH($A118,PRODUTOS!$B$4:$B$63,0))="Ração",IF(INDEX(PRODUTOS!$I$4:$I$63,MATCH($A118,PRODUTOS!$B$4:$B$63,0))="B",INDEX(MODELOS!$G$4:$G$11,MATCH($D118,MODELOS!$A$4:$A$11,0)),INDEX(MODELOS!$C$4:$C$11,MATCH($D118,MODELOS!$A$4:$A$11,0))),IF(INDEX(PRODUTOS!$I$4:$I$63,MATCH($A118,PRODUTOS!$B$4:$B$63,0))="B",INDEX(MODELOS!$H$4:$H$11,MATCH($D118,MODELOS!$A$4:$A$11,0)),INDEX(MODELOS!$D$4:$D$11,MATCH($D118,MODELOS!$A$4:$A$11,0))))</f>
        <v>Foto/ilustração do benefício 1</v>
      </c>
      <c r="H118" s="11" t="str">
        <f aca="false">IF(INDEX(PRODUTOS!$I$4:$I$63,MATCH($A118,PRODUTOS!$B$4:$B$63,0))="B",INDEX(MODELOS!$I$4:$I$11,MATCH($D118,MODELOS!$A$4:$A$11,0)),INDEX(MODELOS!$E$4:$E$11,MATCH($D118,MODELOS!$A$4:$A$11,0)))</f>
        <v>220 × 200</v>
      </c>
      <c r="I118" s="11" t="str">
        <f aca="false">IF($D118="COMP","SIM",IF(INDEX(PRODUTOS!$J$4:$J$63,MATCH($A118,PRODUTOS!$B$4:$B$63,0))&lt;&gt;"","NÃO (usa o A+ do EAN "&amp;INDEX(PRODUTOS!$J$4:$J$63,MATCH($A118,PRODUTOS!$B$4:$B$63,0))&amp;")",IF(AND(INDEX(PRODUTOS!$I$4:$I$63,MATCH($A118,PRODUTOS!$B$4:$B$63,0))="B",$D118="AP07"),"NÃO (modelo B)","SIM")))</f>
        <v>NÃO (usa o A+ do EAN 7908591300666)</v>
      </c>
      <c r="J118" s="13" t="s">
        <v>318</v>
      </c>
      <c r="K118" s="13"/>
    </row>
    <row r="119" customFormat="false" ht="15" hidden="false" customHeight="false" outlineLevel="0" collapsed="false">
      <c r="A119" s="15" t="s">
        <v>99</v>
      </c>
      <c r="B119" s="11" t="str">
        <f aca="false">INDEX(PRODUTOS!$E$4:$E$63,MATCH($A119,PRODUTOS!$B$4:$B$63,0))</f>
        <v>New Dots Ração Seca Premium para Gatos Adultos Castrados - 1 kg</v>
      </c>
      <c r="C119" s="11" t="str">
        <f aca="false">INDEX(PRODUTOS!$H$4:$H$63,MATCH($A119,PRODUTOS!$B$4:$B$63,0))</f>
        <v>1 kg</v>
      </c>
      <c r="D119" s="11" t="s">
        <v>321</v>
      </c>
      <c r="E119" s="16" t="str">
        <f aca="false">$A119&amp;"."&amp;$D119&amp;".jpg"</f>
        <v>7908591300406.AP04.jpg</v>
      </c>
      <c r="F119" s="11" t="str">
        <f aca="false">IF(INDEX(PRODUTOS!$I$4:$I$63,MATCH($A119,PRODUTOS!$B$4:$B$63,0))="B",INDEX(MODELOS!$F$4:$F$11,MATCH($D119,MODELOS!$A$4:$A$11,0)),INDEX(MODELOS!$B$4:$B$11,MATCH($D119,MODELOS!$A$4:$A$11,0)))</f>
        <v>Módulo 3 · Benefício 2 de 4</v>
      </c>
      <c r="G119" s="11" t="str">
        <f aca="false">IF(INDEX(PRODUTOS!$F$4:$F$63,MATCH($A119,PRODUTOS!$B$4:$B$63,0))="Ração",IF(INDEX(PRODUTOS!$I$4:$I$63,MATCH($A119,PRODUTOS!$B$4:$B$63,0))="B",INDEX(MODELOS!$G$4:$G$11,MATCH($D119,MODELOS!$A$4:$A$11,0)),INDEX(MODELOS!$C$4:$C$11,MATCH($D119,MODELOS!$A$4:$A$11,0))),IF(INDEX(PRODUTOS!$I$4:$I$63,MATCH($A119,PRODUTOS!$B$4:$B$63,0))="B",INDEX(MODELOS!$H$4:$H$11,MATCH($D119,MODELOS!$A$4:$A$11,0)),INDEX(MODELOS!$D$4:$D$11,MATCH($D119,MODELOS!$A$4:$A$11,0))))</f>
        <v>Foto/ilustração do benefício 2</v>
      </c>
      <c r="H119" s="11" t="str">
        <f aca="false">IF(INDEX(PRODUTOS!$I$4:$I$63,MATCH($A119,PRODUTOS!$B$4:$B$63,0))="B",INDEX(MODELOS!$I$4:$I$11,MATCH($D119,MODELOS!$A$4:$A$11,0)),INDEX(MODELOS!$E$4:$E$11,MATCH($D119,MODELOS!$A$4:$A$11,0)))</f>
        <v>220 × 200</v>
      </c>
      <c r="I119" s="11" t="str">
        <f aca="false">IF($D119="COMP","SIM",IF(INDEX(PRODUTOS!$J$4:$J$63,MATCH($A119,PRODUTOS!$B$4:$B$63,0))&lt;&gt;"","NÃO (usa o A+ do EAN "&amp;INDEX(PRODUTOS!$J$4:$J$63,MATCH($A119,PRODUTOS!$B$4:$B$63,0))&amp;")",IF(AND(INDEX(PRODUTOS!$I$4:$I$63,MATCH($A119,PRODUTOS!$B$4:$B$63,0))="B",$D119="AP07"),"NÃO (modelo B)","SIM")))</f>
        <v>NÃO (usa o A+ do EAN 7908591300666)</v>
      </c>
      <c r="J119" s="13" t="s">
        <v>318</v>
      </c>
      <c r="K119" s="13"/>
    </row>
    <row r="120" customFormat="false" ht="15" hidden="false" customHeight="false" outlineLevel="0" collapsed="false">
      <c r="A120" s="15" t="s">
        <v>99</v>
      </c>
      <c r="B120" s="11" t="str">
        <f aca="false">INDEX(PRODUTOS!$E$4:$E$63,MATCH($A120,PRODUTOS!$B$4:$B$63,0))</f>
        <v>New Dots Ração Seca Premium para Gatos Adultos Castrados - 1 kg</v>
      </c>
      <c r="C120" s="11" t="str">
        <f aca="false">INDEX(PRODUTOS!$H$4:$H$63,MATCH($A120,PRODUTOS!$B$4:$B$63,0))</f>
        <v>1 kg</v>
      </c>
      <c r="D120" s="11" t="s">
        <v>322</v>
      </c>
      <c r="E120" s="16" t="str">
        <f aca="false">$A120&amp;"."&amp;$D120&amp;".jpg"</f>
        <v>7908591300406.AP05.jpg</v>
      </c>
      <c r="F120" s="11" t="str">
        <f aca="false">IF(INDEX(PRODUTOS!$I$4:$I$63,MATCH($A120,PRODUTOS!$B$4:$B$63,0))="B",INDEX(MODELOS!$F$4:$F$11,MATCH($D120,MODELOS!$A$4:$A$11,0)),INDEX(MODELOS!$B$4:$B$11,MATCH($D120,MODELOS!$A$4:$A$11,0)))</f>
        <v>Módulo 3 · Benefício 3 de 4</v>
      </c>
      <c r="G120" s="11" t="str">
        <f aca="false">IF(INDEX(PRODUTOS!$F$4:$F$63,MATCH($A120,PRODUTOS!$B$4:$B$63,0))="Ração",IF(INDEX(PRODUTOS!$I$4:$I$63,MATCH($A120,PRODUTOS!$B$4:$B$63,0))="B",INDEX(MODELOS!$G$4:$G$11,MATCH($D120,MODELOS!$A$4:$A$11,0)),INDEX(MODELOS!$C$4:$C$11,MATCH($D120,MODELOS!$A$4:$A$11,0))),IF(INDEX(PRODUTOS!$I$4:$I$63,MATCH($A120,PRODUTOS!$B$4:$B$63,0))="B",INDEX(MODELOS!$H$4:$H$11,MATCH($D120,MODELOS!$A$4:$A$11,0)),INDEX(MODELOS!$D$4:$D$11,MATCH($D120,MODELOS!$A$4:$A$11,0))))</f>
        <v>Foto/ilustração do benefício 3</v>
      </c>
      <c r="H120" s="11" t="str">
        <f aca="false">IF(INDEX(PRODUTOS!$I$4:$I$63,MATCH($A120,PRODUTOS!$B$4:$B$63,0))="B",INDEX(MODELOS!$I$4:$I$11,MATCH($D120,MODELOS!$A$4:$A$11,0)),INDEX(MODELOS!$E$4:$E$11,MATCH($D120,MODELOS!$A$4:$A$11,0)))</f>
        <v>220 × 200</v>
      </c>
      <c r="I120" s="11" t="str">
        <f aca="false">IF($D120="COMP","SIM",IF(INDEX(PRODUTOS!$J$4:$J$63,MATCH($A120,PRODUTOS!$B$4:$B$63,0))&lt;&gt;"","NÃO (usa o A+ do EAN "&amp;INDEX(PRODUTOS!$J$4:$J$63,MATCH($A120,PRODUTOS!$B$4:$B$63,0))&amp;")",IF(AND(INDEX(PRODUTOS!$I$4:$I$63,MATCH($A120,PRODUTOS!$B$4:$B$63,0))="B",$D120="AP07"),"NÃO (modelo B)","SIM")))</f>
        <v>NÃO (usa o A+ do EAN 7908591300666)</v>
      </c>
      <c r="J120" s="13" t="s">
        <v>318</v>
      </c>
      <c r="K120" s="13"/>
    </row>
    <row r="121" customFormat="false" ht="15" hidden="false" customHeight="false" outlineLevel="0" collapsed="false">
      <c r="A121" s="15" t="s">
        <v>99</v>
      </c>
      <c r="B121" s="11" t="str">
        <f aca="false">INDEX(PRODUTOS!$E$4:$E$63,MATCH($A121,PRODUTOS!$B$4:$B$63,0))</f>
        <v>New Dots Ração Seca Premium para Gatos Adultos Castrados - 1 kg</v>
      </c>
      <c r="C121" s="11" t="str">
        <f aca="false">INDEX(PRODUTOS!$H$4:$H$63,MATCH($A121,PRODUTOS!$B$4:$B$63,0))</f>
        <v>1 kg</v>
      </c>
      <c r="D121" s="11" t="s">
        <v>323</v>
      </c>
      <c r="E121" s="16" t="str">
        <f aca="false">$A121&amp;"."&amp;$D121&amp;".jpg"</f>
        <v>7908591300406.AP06.jpg</v>
      </c>
      <c r="F121" s="11" t="str">
        <f aca="false">IF(INDEX(PRODUTOS!$I$4:$I$63,MATCH($A121,PRODUTOS!$B$4:$B$63,0))="B",INDEX(MODELOS!$F$4:$F$11,MATCH($D121,MODELOS!$A$4:$A$11,0)),INDEX(MODELOS!$B$4:$B$11,MATCH($D121,MODELOS!$A$4:$A$11,0)))</f>
        <v>Módulo 3 · Benefício 4 de 4</v>
      </c>
      <c r="G121" s="11" t="str">
        <f aca="false">IF(INDEX(PRODUTOS!$F$4:$F$63,MATCH($A121,PRODUTOS!$B$4:$B$63,0))="Ração",IF(INDEX(PRODUTOS!$I$4:$I$63,MATCH($A121,PRODUTOS!$B$4:$B$63,0))="B",INDEX(MODELOS!$G$4:$G$11,MATCH($D121,MODELOS!$A$4:$A$11,0)),INDEX(MODELOS!$C$4:$C$11,MATCH($D121,MODELOS!$A$4:$A$11,0))),IF(INDEX(PRODUTOS!$I$4:$I$63,MATCH($A121,PRODUTOS!$B$4:$B$63,0))="B",INDEX(MODELOS!$H$4:$H$11,MATCH($D121,MODELOS!$A$4:$A$11,0)),INDEX(MODELOS!$D$4:$D$11,MATCH($D121,MODELOS!$A$4:$A$11,0))))</f>
        <v>Foto/ilustração do benefício 4</v>
      </c>
      <c r="H121" s="11" t="str">
        <f aca="false">IF(INDEX(PRODUTOS!$I$4:$I$63,MATCH($A121,PRODUTOS!$B$4:$B$63,0))="B",INDEX(MODELOS!$I$4:$I$11,MATCH($D121,MODELOS!$A$4:$A$11,0)),INDEX(MODELOS!$E$4:$E$11,MATCH($D121,MODELOS!$A$4:$A$11,0)))</f>
        <v>220 × 200</v>
      </c>
      <c r="I121" s="11" t="str">
        <f aca="false">IF($D121="COMP","SIM",IF(INDEX(PRODUTOS!$J$4:$J$63,MATCH($A121,PRODUTOS!$B$4:$B$63,0))&lt;&gt;"","NÃO (usa o A+ do EAN "&amp;INDEX(PRODUTOS!$J$4:$J$63,MATCH($A121,PRODUTOS!$B$4:$B$63,0))&amp;")",IF(AND(INDEX(PRODUTOS!$I$4:$I$63,MATCH($A121,PRODUTOS!$B$4:$B$63,0))="B",$D121="AP07"),"NÃO (modelo B)","SIM")))</f>
        <v>NÃO (usa o A+ do EAN 7908591300666)</v>
      </c>
      <c r="J121" s="13" t="s">
        <v>318</v>
      </c>
      <c r="K121" s="13"/>
    </row>
    <row r="122" customFormat="false" ht="15" hidden="false" customHeight="false" outlineLevel="0" collapsed="false">
      <c r="A122" s="15" t="s">
        <v>99</v>
      </c>
      <c r="B122" s="11" t="str">
        <f aca="false">INDEX(PRODUTOS!$E$4:$E$63,MATCH($A122,PRODUTOS!$B$4:$B$63,0))</f>
        <v>New Dots Ração Seca Premium para Gatos Adultos Castrados - 1 kg</v>
      </c>
      <c r="C122" s="11" t="str">
        <f aca="false">INDEX(PRODUTOS!$H$4:$H$63,MATCH($A122,PRODUTOS!$B$4:$B$63,0))</f>
        <v>1 kg</v>
      </c>
      <c r="D122" s="11" t="s">
        <v>324</v>
      </c>
      <c r="E122" s="16" t="str">
        <f aca="false">$A122&amp;"."&amp;$D122&amp;".jpg"</f>
        <v>7908591300406.AP07.jpg</v>
      </c>
      <c r="F122" s="11" t="str">
        <f aca="false">IF(INDEX(PRODUTOS!$I$4:$I$63,MATCH($A122,PRODUTOS!$B$4:$B$63,0))="B",INDEX(MODELOS!$F$4:$F$11,MATCH($D122,MODELOS!$A$4:$A$11,0)),INDEX(MODELOS!$B$4:$B$11,MATCH($D122,MODELOS!$A$4:$A$11,0)))</f>
        <v>Módulo 4 · Especificações</v>
      </c>
      <c r="G122" s="11" t="str">
        <f aca="false">IF(INDEX(PRODUTOS!$F$4:$F$63,MATCH($A122,PRODUTOS!$B$4:$B$63,0))="Ração",IF(INDEX(PRODUTOS!$I$4:$I$63,MATCH($A122,PRODUTOS!$B$4:$B$63,0))="B",INDEX(MODELOS!$G$4:$G$11,MATCH($D122,MODELOS!$A$4:$A$11,0)),INDEX(MODELOS!$C$4:$C$11,MATCH($D122,MODELOS!$A$4:$A$11,0))),IF(INDEX(PRODUTOS!$I$4:$I$63,MATCH($A122,PRODUTOS!$B$4:$B$63,0))="B",INDEX(MODELOS!$H$4:$H$11,MATCH($D122,MODELOS!$A$4:$A$11,0)),INDEX(MODELOS!$D$4:$D$11,MATCH($D122,MODELOS!$A$4:$A$11,0))))</f>
        <v>Grão ou pacote em destaque</v>
      </c>
      <c r="H122" s="11" t="str">
        <f aca="false">IF(INDEX(PRODUTOS!$I$4:$I$63,MATCH($A122,PRODUTOS!$B$4:$B$63,0))="B",INDEX(MODELOS!$I$4:$I$11,MATCH($D122,MODELOS!$A$4:$A$11,0)),INDEX(MODELOS!$E$4:$E$11,MATCH($D122,MODELOS!$A$4:$A$11,0)))</f>
        <v>300 × 300</v>
      </c>
      <c r="I122" s="11" t="str">
        <f aca="false">IF($D122="COMP","SIM",IF(INDEX(PRODUTOS!$J$4:$J$63,MATCH($A122,PRODUTOS!$B$4:$B$63,0))&lt;&gt;"","NÃO (usa o A+ do EAN "&amp;INDEX(PRODUTOS!$J$4:$J$63,MATCH($A122,PRODUTOS!$B$4:$B$63,0))&amp;")",IF(AND(INDEX(PRODUTOS!$I$4:$I$63,MATCH($A122,PRODUTOS!$B$4:$B$63,0))="B",$D122="AP07"),"NÃO (modelo B)","SIM")))</f>
        <v>NÃO (usa o A+ do EAN 7908591300666)</v>
      </c>
      <c r="J122" s="13" t="s">
        <v>318</v>
      </c>
      <c r="K122" s="13"/>
    </row>
    <row r="123" customFormat="false" ht="15" hidden="false" customHeight="false" outlineLevel="0" collapsed="false">
      <c r="A123" s="15" t="s">
        <v>99</v>
      </c>
      <c r="B123" s="11" t="str">
        <f aca="false">INDEX(PRODUTOS!$E$4:$E$63,MATCH($A123,PRODUTOS!$B$4:$B$63,0))</f>
        <v>New Dots Ração Seca Premium para Gatos Adultos Castrados - 1 kg</v>
      </c>
      <c r="C123" s="11" t="str">
        <f aca="false">INDEX(PRODUTOS!$H$4:$H$63,MATCH($A123,PRODUTOS!$B$4:$B$63,0))</f>
        <v>1 kg</v>
      </c>
      <c r="D123" s="11" t="s">
        <v>325</v>
      </c>
      <c r="E123" s="16" t="str">
        <f aca="false">$A123&amp;"."&amp;$D123&amp;".jpg"</f>
        <v>7908591300406.COMP.jpg</v>
      </c>
      <c r="F123" s="11" t="str">
        <f aca="false">IF(INDEX(PRODUTOS!$I$4:$I$63,MATCH($A123,PRODUTOS!$B$4:$B$63,0))="B",INDEX(MODELOS!$F$4:$F$11,MATCH($D123,MODELOS!$A$4:$A$11,0)),INDEX(MODELOS!$B$4:$B$11,MATCH($D123,MODELOS!$A$4:$A$11,0)))</f>
        <v>Módulo 5 · Tabela comparativa</v>
      </c>
      <c r="G123" s="11" t="str">
        <f aca="false">IF(INDEX(PRODUTOS!$F$4:$F$63,MATCH($A123,PRODUTOS!$B$4:$B$63,0))="Ração",IF(INDEX(PRODUTOS!$I$4:$I$63,MATCH($A123,PRODUTOS!$B$4:$B$63,0))="B",INDEX(MODELOS!$G$4:$G$11,MATCH($D123,MODELOS!$A$4:$A$11,0)),INDEX(MODELOS!$C$4:$C$11,MATCH($D123,MODELOS!$A$4:$A$11,0))),IF(INDEX(PRODUTOS!$I$4:$I$63,MATCH($A123,PRODUTOS!$B$4:$B$63,0))="B",INDEX(MODELOS!$H$4:$H$11,MATCH($D123,MODELOS!$A$4:$A$11,0)),INDEX(MODELOS!$D$4:$D$11,MATCH($D123,MODELOS!$A$4:$A$11,0))))</f>
        <v>Pacote na vertical, sem fundo colorido</v>
      </c>
      <c r="H123" s="11" t="str">
        <f aca="false">IF(INDEX(PRODUTOS!$I$4:$I$63,MATCH($A123,PRODUTOS!$B$4:$B$63,0))="B",INDEX(MODELOS!$I$4:$I$11,MATCH($D123,MODELOS!$A$4:$A$11,0)),INDEX(MODELOS!$E$4:$E$11,MATCH($D123,MODELOS!$A$4:$A$11,0)))</f>
        <v>150 × 300</v>
      </c>
      <c r="I123" s="11" t="str">
        <f aca="false">IF($D123="COMP","SIM",IF(INDEX(PRODUTOS!$J$4:$J$63,MATCH($A123,PRODUTOS!$B$4:$B$63,0))&lt;&gt;"","NÃO (usa o A+ do EAN "&amp;INDEX(PRODUTOS!$J$4:$J$63,MATCH($A123,PRODUTOS!$B$4:$B$63,0))&amp;")",IF(AND(INDEX(PRODUTOS!$I$4:$I$63,MATCH($A123,PRODUTOS!$B$4:$B$63,0))="B",$D123="AP07"),"NÃO (modelo B)","SIM")))</f>
        <v>SIM</v>
      </c>
      <c r="J123" s="13" t="s">
        <v>318</v>
      </c>
      <c r="K123" s="13"/>
    </row>
    <row r="124" customFormat="false" ht="15" hidden="false" customHeight="false" outlineLevel="0" collapsed="false">
      <c r="A124" s="15" t="s">
        <v>102</v>
      </c>
      <c r="B124" s="11" t="str">
        <f aca="false">INDEX(PRODUTOS!$E$4:$E$63,MATCH($A124,PRODUTOS!$B$4:$B$63,0))</f>
        <v>Ração Seca Natural Dots para Cães Adultos - Pacote 15 kg</v>
      </c>
      <c r="C124" s="11" t="str">
        <f aca="false">INDEX(PRODUTOS!$H$4:$H$63,MATCH($A124,PRODUTOS!$B$4:$B$63,0))</f>
        <v>15 kg</v>
      </c>
      <c r="D124" s="11" t="s">
        <v>317</v>
      </c>
      <c r="E124" s="16" t="str">
        <f aca="false">$A124&amp;"."&amp;$D124&amp;".jpg"</f>
        <v>7898968541283.AP01.jpg</v>
      </c>
      <c r="F124" s="11" t="str">
        <f aca="false">IF(INDEX(PRODUTOS!$I$4:$I$63,MATCH($A124,PRODUTOS!$B$4:$B$63,0))="B",INDEX(MODELOS!$F$4:$F$11,MATCH($D124,MODELOS!$A$4:$A$11,0)),INDEX(MODELOS!$B$4:$B$11,MATCH($D124,MODELOS!$A$4:$A$11,0)))</f>
        <v>Módulo 1 · Banner</v>
      </c>
      <c r="G124" s="11" t="str">
        <f aca="false">IF(INDEX(PRODUTOS!$F$4:$F$63,MATCH($A124,PRODUTOS!$B$4:$B$63,0))="Ração",IF(INDEX(PRODUTOS!$I$4:$I$63,MATCH($A124,PRODUTOS!$B$4:$B$63,0))="B",INDEX(MODELOS!$G$4:$G$11,MATCH($D124,MODELOS!$A$4:$A$11,0)),INDEX(MODELOS!$C$4:$C$11,MATCH($D124,MODELOS!$A$4:$A$11,0))),IF(INDEX(PRODUTOS!$I$4:$I$63,MATCH($A124,PRODUTOS!$B$4:$B$63,0))="B",INDEX(MODELOS!$H$4:$H$11,MATCH($D124,MODELOS!$A$4:$A$11,0)),INDEX(MODELOS!$D$4:$D$11,MATCH($D124,MODELOS!$A$4:$A$11,0))))</f>
        <v>Embalagem + pet + ingredientes, com o nome da linha</v>
      </c>
      <c r="H124" s="11" t="str">
        <f aca="false">IF(INDEX(PRODUTOS!$I$4:$I$63,MATCH($A124,PRODUTOS!$B$4:$B$63,0))="B",INDEX(MODELOS!$I$4:$I$11,MATCH($D124,MODELOS!$A$4:$A$11,0)),INDEX(MODELOS!$E$4:$E$11,MATCH($D124,MODELOS!$A$4:$A$11,0)))</f>
        <v>970 × 600</v>
      </c>
      <c r="I124" s="11" t="str">
        <f aca="false">IF($D124="COMP","SIM",IF(INDEX(PRODUTOS!$J$4:$J$63,MATCH($A124,PRODUTOS!$B$4:$B$63,0))&lt;&gt;"","NÃO (usa o A+ do EAN "&amp;INDEX(PRODUTOS!$J$4:$J$63,MATCH($A124,PRODUTOS!$B$4:$B$63,0))&amp;")",IF(AND(INDEX(PRODUTOS!$I$4:$I$63,MATCH($A124,PRODUTOS!$B$4:$B$63,0))="B",$D124="AP07"),"NÃO (modelo B)","SIM")))</f>
        <v>SIM</v>
      </c>
      <c r="J124" s="13" t="s">
        <v>318</v>
      </c>
      <c r="K124" s="13"/>
    </row>
    <row r="125" customFormat="false" ht="15" hidden="false" customHeight="false" outlineLevel="0" collapsed="false">
      <c r="A125" s="15" t="s">
        <v>102</v>
      </c>
      <c r="B125" s="11" t="str">
        <f aca="false">INDEX(PRODUTOS!$E$4:$E$63,MATCH($A125,PRODUTOS!$B$4:$B$63,0))</f>
        <v>Ração Seca Natural Dots para Cães Adultos - Pacote 15 kg</v>
      </c>
      <c r="C125" s="11" t="str">
        <f aca="false">INDEX(PRODUTOS!$H$4:$H$63,MATCH($A125,PRODUTOS!$B$4:$B$63,0))</f>
        <v>15 kg</v>
      </c>
      <c r="D125" s="11" t="s">
        <v>319</v>
      </c>
      <c r="E125" s="16" t="str">
        <f aca="false">$A125&amp;"."&amp;$D125&amp;".jpg"</f>
        <v>7898968541283.AP02.jpg</v>
      </c>
      <c r="F125" s="11" t="str">
        <f aca="false">IF(INDEX(PRODUTOS!$I$4:$I$63,MATCH($A125,PRODUTOS!$B$4:$B$63,0))="B",INDEX(MODELOS!$F$4:$F$11,MATCH($D125,MODELOS!$A$4:$A$11,0)),INDEX(MODELOS!$B$4:$B$11,MATCH($D125,MODELOS!$A$4:$A$11,0)))</f>
        <v>Módulo 2 · Texto sobreposto</v>
      </c>
      <c r="G125" s="11" t="str">
        <f aca="false">IF(INDEX(PRODUTOS!$F$4:$F$63,MATCH($A125,PRODUTOS!$B$4:$B$63,0))="Ração",IF(INDEX(PRODUTOS!$I$4:$I$63,MATCH($A125,PRODUTOS!$B$4:$B$63,0))="B",INDEX(MODELOS!$G$4:$G$11,MATCH($D125,MODELOS!$A$4:$A$11,0)),INDEX(MODELOS!$C$4:$C$11,MATCH($D125,MODELOS!$A$4:$A$11,0))),IF(INDEX(PRODUTOS!$I$4:$I$63,MATCH($A125,PRODUTOS!$B$4:$B$63,0))="B",INDEX(MODELOS!$H$4:$H$11,MATCH($D125,MODELOS!$A$4:$A$11,0)),INDEX(MODELOS!$D$4:$D$11,MATCH($D125,MODELOS!$A$4:$A$11,0))))</f>
        <v>Principal diferencial; deixar o lado direito limpo</v>
      </c>
      <c r="H125" s="11" t="str">
        <f aca="false">IF(INDEX(PRODUTOS!$I$4:$I$63,MATCH($A125,PRODUTOS!$B$4:$B$63,0))="B",INDEX(MODELOS!$I$4:$I$11,MATCH($D125,MODELOS!$A$4:$A$11,0)),INDEX(MODELOS!$E$4:$E$11,MATCH($D125,MODELOS!$A$4:$A$11,0)))</f>
        <v>970 × 300</v>
      </c>
      <c r="I125" s="11" t="str">
        <f aca="false">IF($D125="COMP","SIM",IF(INDEX(PRODUTOS!$J$4:$J$63,MATCH($A125,PRODUTOS!$B$4:$B$63,0))&lt;&gt;"","NÃO (usa o A+ do EAN "&amp;INDEX(PRODUTOS!$J$4:$J$63,MATCH($A125,PRODUTOS!$B$4:$B$63,0))&amp;")",IF(AND(INDEX(PRODUTOS!$I$4:$I$63,MATCH($A125,PRODUTOS!$B$4:$B$63,0))="B",$D125="AP07"),"NÃO (modelo B)","SIM")))</f>
        <v>SIM</v>
      </c>
      <c r="J125" s="13" t="s">
        <v>318</v>
      </c>
      <c r="K125" s="13"/>
    </row>
    <row r="126" customFormat="false" ht="15" hidden="false" customHeight="false" outlineLevel="0" collapsed="false">
      <c r="A126" s="15" t="s">
        <v>102</v>
      </c>
      <c r="B126" s="11" t="str">
        <f aca="false">INDEX(PRODUTOS!$E$4:$E$63,MATCH($A126,PRODUTOS!$B$4:$B$63,0))</f>
        <v>Ração Seca Natural Dots para Cães Adultos - Pacote 15 kg</v>
      </c>
      <c r="C126" s="11" t="str">
        <f aca="false">INDEX(PRODUTOS!$H$4:$H$63,MATCH($A126,PRODUTOS!$B$4:$B$63,0))</f>
        <v>15 kg</v>
      </c>
      <c r="D126" s="11" t="s">
        <v>320</v>
      </c>
      <c r="E126" s="16" t="str">
        <f aca="false">$A126&amp;"."&amp;$D126&amp;".jpg"</f>
        <v>7898968541283.AP03.jpg</v>
      </c>
      <c r="F126" s="11" t="str">
        <f aca="false">IF(INDEX(PRODUTOS!$I$4:$I$63,MATCH($A126,PRODUTOS!$B$4:$B$63,0))="B",INDEX(MODELOS!$F$4:$F$11,MATCH($D126,MODELOS!$A$4:$A$11,0)),INDEX(MODELOS!$B$4:$B$11,MATCH($D126,MODELOS!$A$4:$A$11,0)))</f>
        <v>Módulo 3 · Benefício 1 de 4</v>
      </c>
      <c r="G126" s="11" t="str">
        <f aca="false">IF(INDEX(PRODUTOS!$F$4:$F$63,MATCH($A126,PRODUTOS!$B$4:$B$63,0))="Ração",IF(INDEX(PRODUTOS!$I$4:$I$63,MATCH($A126,PRODUTOS!$B$4:$B$63,0))="B",INDEX(MODELOS!$G$4:$G$11,MATCH($D126,MODELOS!$A$4:$A$11,0)),INDEX(MODELOS!$C$4:$C$11,MATCH($D126,MODELOS!$A$4:$A$11,0))),IF(INDEX(PRODUTOS!$I$4:$I$63,MATCH($A126,PRODUTOS!$B$4:$B$63,0))="B",INDEX(MODELOS!$H$4:$H$11,MATCH($D126,MODELOS!$A$4:$A$11,0)),INDEX(MODELOS!$D$4:$D$11,MATCH($D126,MODELOS!$A$4:$A$11,0))))</f>
        <v>Foto/ilustração do benefício 1</v>
      </c>
      <c r="H126" s="11" t="str">
        <f aca="false">IF(INDEX(PRODUTOS!$I$4:$I$63,MATCH($A126,PRODUTOS!$B$4:$B$63,0))="B",INDEX(MODELOS!$I$4:$I$11,MATCH($D126,MODELOS!$A$4:$A$11,0)),INDEX(MODELOS!$E$4:$E$11,MATCH($D126,MODELOS!$A$4:$A$11,0)))</f>
        <v>220 × 200</v>
      </c>
      <c r="I126" s="11" t="str">
        <f aca="false">IF($D126="COMP","SIM",IF(INDEX(PRODUTOS!$J$4:$J$63,MATCH($A126,PRODUTOS!$B$4:$B$63,0))&lt;&gt;"","NÃO (usa o A+ do EAN "&amp;INDEX(PRODUTOS!$J$4:$J$63,MATCH($A126,PRODUTOS!$B$4:$B$63,0))&amp;")",IF(AND(INDEX(PRODUTOS!$I$4:$I$63,MATCH($A126,PRODUTOS!$B$4:$B$63,0))="B",$D126="AP07"),"NÃO (modelo B)","SIM")))</f>
        <v>SIM</v>
      </c>
      <c r="J126" s="13" t="s">
        <v>318</v>
      </c>
      <c r="K126" s="13"/>
    </row>
    <row r="127" customFormat="false" ht="15" hidden="false" customHeight="false" outlineLevel="0" collapsed="false">
      <c r="A127" s="15" t="s">
        <v>102</v>
      </c>
      <c r="B127" s="11" t="str">
        <f aca="false">INDEX(PRODUTOS!$E$4:$E$63,MATCH($A127,PRODUTOS!$B$4:$B$63,0))</f>
        <v>Ração Seca Natural Dots para Cães Adultos - Pacote 15 kg</v>
      </c>
      <c r="C127" s="11" t="str">
        <f aca="false">INDEX(PRODUTOS!$H$4:$H$63,MATCH($A127,PRODUTOS!$B$4:$B$63,0))</f>
        <v>15 kg</v>
      </c>
      <c r="D127" s="11" t="s">
        <v>321</v>
      </c>
      <c r="E127" s="16" t="str">
        <f aca="false">$A127&amp;"."&amp;$D127&amp;".jpg"</f>
        <v>7898968541283.AP04.jpg</v>
      </c>
      <c r="F127" s="11" t="str">
        <f aca="false">IF(INDEX(PRODUTOS!$I$4:$I$63,MATCH($A127,PRODUTOS!$B$4:$B$63,0))="B",INDEX(MODELOS!$F$4:$F$11,MATCH($D127,MODELOS!$A$4:$A$11,0)),INDEX(MODELOS!$B$4:$B$11,MATCH($D127,MODELOS!$A$4:$A$11,0)))</f>
        <v>Módulo 3 · Benefício 2 de 4</v>
      </c>
      <c r="G127" s="11" t="str">
        <f aca="false">IF(INDEX(PRODUTOS!$F$4:$F$63,MATCH($A127,PRODUTOS!$B$4:$B$63,0))="Ração",IF(INDEX(PRODUTOS!$I$4:$I$63,MATCH($A127,PRODUTOS!$B$4:$B$63,0))="B",INDEX(MODELOS!$G$4:$G$11,MATCH($D127,MODELOS!$A$4:$A$11,0)),INDEX(MODELOS!$C$4:$C$11,MATCH($D127,MODELOS!$A$4:$A$11,0))),IF(INDEX(PRODUTOS!$I$4:$I$63,MATCH($A127,PRODUTOS!$B$4:$B$63,0))="B",INDEX(MODELOS!$H$4:$H$11,MATCH($D127,MODELOS!$A$4:$A$11,0)),INDEX(MODELOS!$D$4:$D$11,MATCH($D127,MODELOS!$A$4:$A$11,0))))</f>
        <v>Foto/ilustração do benefício 2</v>
      </c>
      <c r="H127" s="11" t="str">
        <f aca="false">IF(INDEX(PRODUTOS!$I$4:$I$63,MATCH($A127,PRODUTOS!$B$4:$B$63,0))="B",INDEX(MODELOS!$I$4:$I$11,MATCH($D127,MODELOS!$A$4:$A$11,0)),INDEX(MODELOS!$E$4:$E$11,MATCH($D127,MODELOS!$A$4:$A$11,0)))</f>
        <v>220 × 200</v>
      </c>
      <c r="I127" s="11" t="str">
        <f aca="false">IF($D127="COMP","SIM",IF(INDEX(PRODUTOS!$J$4:$J$63,MATCH($A127,PRODUTOS!$B$4:$B$63,0))&lt;&gt;"","NÃO (usa o A+ do EAN "&amp;INDEX(PRODUTOS!$J$4:$J$63,MATCH($A127,PRODUTOS!$B$4:$B$63,0))&amp;")",IF(AND(INDEX(PRODUTOS!$I$4:$I$63,MATCH($A127,PRODUTOS!$B$4:$B$63,0))="B",$D127="AP07"),"NÃO (modelo B)","SIM")))</f>
        <v>SIM</v>
      </c>
      <c r="J127" s="13" t="s">
        <v>318</v>
      </c>
      <c r="K127" s="13"/>
    </row>
    <row r="128" customFormat="false" ht="15" hidden="false" customHeight="false" outlineLevel="0" collapsed="false">
      <c r="A128" s="15" t="s">
        <v>102</v>
      </c>
      <c r="B128" s="11" t="str">
        <f aca="false">INDEX(PRODUTOS!$E$4:$E$63,MATCH($A128,PRODUTOS!$B$4:$B$63,0))</f>
        <v>Ração Seca Natural Dots para Cães Adultos - Pacote 15 kg</v>
      </c>
      <c r="C128" s="11" t="str">
        <f aca="false">INDEX(PRODUTOS!$H$4:$H$63,MATCH($A128,PRODUTOS!$B$4:$B$63,0))</f>
        <v>15 kg</v>
      </c>
      <c r="D128" s="11" t="s">
        <v>322</v>
      </c>
      <c r="E128" s="16" t="str">
        <f aca="false">$A128&amp;"."&amp;$D128&amp;".jpg"</f>
        <v>7898968541283.AP05.jpg</v>
      </c>
      <c r="F128" s="11" t="str">
        <f aca="false">IF(INDEX(PRODUTOS!$I$4:$I$63,MATCH($A128,PRODUTOS!$B$4:$B$63,0))="B",INDEX(MODELOS!$F$4:$F$11,MATCH($D128,MODELOS!$A$4:$A$11,0)),INDEX(MODELOS!$B$4:$B$11,MATCH($D128,MODELOS!$A$4:$A$11,0)))</f>
        <v>Módulo 3 · Benefício 3 de 4</v>
      </c>
      <c r="G128" s="11" t="str">
        <f aca="false">IF(INDEX(PRODUTOS!$F$4:$F$63,MATCH($A128,PRODUTOS!$B$4:$B$63,0))="Ração",IF(INDEX(PRODUTOS!$I$4:$I$63,MATCH($A128,PRODUTOS!$B$4:$B$63,0))="B",INDEX(MODELOS!$G$4:$G$11,MATCH($D128,MODELOS!$A$4:$A$11,0)),INDEX(MODELOS!$C$4:$C$11,MATCH($D128,MODELOS!$A$4:$A$11,0))),IF(INDEX(PRODUTOS!$I$4:$I$63,MATCH($A128,PRODUTOS!$B$4:$B$63,0))="B",INDEX(MODELOS!$H$4:$H$11,MATCH($D128,MODELOS!$A$4:$A$11,0)),INDEX(MODELOS!$D$4:$D$11,MATCH($D128,MODELOS!$A$4:$A$11,0))))</f>
        <v>Foto/ilustração do benefício 3</v>
      </c>
      <c r="H128" s="11" t="str">
        <f aca="false">IF(INDEX(PRODUTOS!$I$4:$I$63,MATCH($A128,PRODUTOS!$B$4:$B$63,0))="B",INDEX(MODELOS!$I$4:$I$11,MATCH($D128,MODELOS!$A$4:$A$11,0)),INDEX(MODELOS!$E$4:$E$11,MATCH($D128,MODELOS!$A$4:$A$11,0)))</f>
        <v>220 × 200</v>
      </c>
      <c r="I128" s="11" t="str">
        <f aca="false">IF($D128="COMP","SIM",IF(INDEX(PRODUTOS!$J$4:$J$63,MATCH($A128,PRODUTOS!$B$4:$B$63,0))&lt;&gt;"","NÃO (usa o A+ do EAN "&amp;INDEX(PRODUTOS!$J$4:$J$63,MATCH($A128,PRODUTOS!$B$4:$B$63,0))&amp;")",IF(AND(INDEX(PRODUTOS!$I$4:$I$63,MATCH($A128,PRODUTOS!$B$4:$B$63,0))="B",$D128="AP07"),"NÃO (modelo B)","SIM")))</f>
        <v>SIM</v>
      </c>
      <c r="J128" s="13" t="s">
        <v>318</v>
      </c>
      <c r="K128" s="13"/>
    </row>
    <row r="129" customFormat="false" ht="15" hidden="false" customHeight="false" outlineLevel="0" collapsed="false">
      <c r="A129" s="15" t="s">
        <v>102</v>
      </c>
      <c r="B129" s="11" t="str">
        <f aca="false">INDEX(PRODUTOS!$E$4:$E$63,MATCH($A129,PRODUTOS!$B$4:$B$63,0))</f>
        <v>Ração Seca Natural Dots para Cães Adultos - Pacote 15 kg</v>
      </c>
      <c r="C129" s="11" t="str">
        <f aca="false">INDEX(PRODUTOS!$H$4:$H$63,MATCH($A129,PRODUTOS!$B$4:$B$63,0))</f>
        <v>15 kg</v>
      </c>
      <c r="D129" s="11" t="s">
        <v>323</v>
      </c>
      <c r="E129" s="16" t="str">
        <f aca="false">$A129&amp;"."&amp;$D129&amp;".jpg"</f>
        <v>7898968541283.AP06.jpg</v>
      </c>
      <c r="F129" s="11" t="str">
        <f aca="false">IF(INDEX(PRODUTOS!$I$4:$I$63,MATCH($A129,PRODUTOS!$B$4:$B$63,0))="B",INDEX(MODELOS!$F$4:$F$11,MATCH($D129,MODELOS!$A$4:$A$11,0)),INDEX(MODELOS!$B$4:$B$11,MATCH($D129,MODELOS!$A$4:$A$11,0)))</f>
        <v>Módulo 3 · Benefício 4 de 4</v>
      </c>
      <c r="G129" s="11" t="str">
        <f aca="false">IF(INDEX(PRODUTOS!$F$4:$F$63,MATCH($A129,PRODUTOS!$B$4:$B$63,0))="Ração",IF(INDEX(PRODUTOS!$I$4:$I$63,MATCH($A129,PRODUTOS!$B$4:$B$63,0))="B",INDEX(MODELOS!$G$4:$G$11,MATCH($D129,MODELOS!$A$4:$A$11,0)),INDEX(MODELOS!$C$4:$C$11,MATCH($D129,MODELOS!$A$4:$A$11,0))),IF(INDEX(PRODUTOS!$I$4:$I$63,MATCH($A129,PRODUTOS!$B$4:$B$63,0))="B",INDEX(MODELOS!$H$4:$H$11,MATCH($D129,MODELOS!$A$4:$A$11,0)),INDEX(MODELOS!$D$4:$D$11,MATCH($D129,MODELOS!$A$4:$A$11,0))))</f>
        <v>Foto/ilustração do benefício 4</v>
      </c>
      <c r="H129" s="11" t="str">
        <f aca="false">IF(INDEX(PRODUTOS!$I$4:$I$63,MATCH($A129,PRODUTOS!$B$4:$B$63,0))="B",INDEX(MODELOS!$I$4:$I$11,MATCH($D129,MODELOS!$A$4:$A$11,0)),INDEX(MODELOS!$E$4:$E$11,MATCH($D129,MODELOS!$A$4:$A$11,0)))</f>
        <v>220 × 200</v>
      </c>
      <c r="I129" s="11" t="str">
        <f aca="false">IF($D129="COMP","SIM",IF(INDEX(PRODUTOS!$J$4:$J$63,MATCH($A129,PRODUTOS!$B$4:$B$63,0))&lt;&gt;"","NÃO (usa o A+ do EAN "&amp;INDEX(PRODUTOS!$J$4:$J$63,MATCH($A129,PRODUTOS!$B$4:$B$63,0))&amp;")",IF(AND(INDEX(PRODUTOS!$I$4:$I$63,MATCH($A129,PRODUTOS!$B$4:$B$63,0))="B",$D129="AP07"),"NÃO (modelo B)","SIM")))</f>
        <v>SIM</v>
      </c>
      <c r="J129" s="13" t="s">
        <v>318</v>
      </c>
      <c r="K129" s="13"/>
    </row>
    <row r="130" customFormat="false" ht="15" hidden="false" customHeight="false" outlineLevel="0" collapsed="false">
      <c r="A130" s="15" t="s">
        <v>102</v>
      </c>
      <c r="B130" s="11" t="str">
        <f aca="false">INDEX(PRODUTOS!$E$4:$E$63,MATCH($A130,PRODUTOS!$B$4:$B$63,0))</f>
        <v>Ração Seca Natural Dots para Cães Adultos - Pacote 15 kg</v>
      </c>
      <c r="C130" s="11" t="str">
        <f aca="false">INDEX(PRODUTOS!$H$4:$H$63,MATCH($A130,PRODUTOS!$B$4:$B$63,0))</f>
        <v>15 kg</v>
      </c>
      <c r="D130" s="11" t="s">
        <v>324</v>
      </c>
      <c r="E130" s="16" t="str">
        <f aca="false">$A130&amp;"."&amp;$D130&amp;".jpg"</f>
        <v>7898968541283.AP07.jpg</v>
      </c>
      <c r="F130" s="11" t="str">
        <f aca="false">IF(INDEX(PRODUTOS!$I$4:$I$63,MATCH($A130,PRODUTOS!$B$4:$B$63,0))="B",INDEX(MODELOS!$F$4:$F$11,MATCH($D130,MODELOS!$A$4:$A$11,0)),INDEX(MODELOS!$B$4:$B$11,MATCH($D130,MODELOS!$A$4:$A$11,0)))</f>
        <v>Módulo 4 · Especificações</v>
      </c>
      <c r="G130" s="11" t="str">
        <f aca="false">IF(INDEX(PRODUTOS!$F$4:$F$63,MATCH($A130,PRODUTOS!$B$4:$B$63,0))="Ração",IF(INDEX(PRODUTOS!$I$4:$I$63,MATCH($A130,PRODUTOS!$B$4:$B$63,0))="B",INDEX(MODELOS!$G$4:$G$11,MATCH($D130,MODELOS!$A$4:$A$11,0)),INDEX(MODELOS!$C$4:$C$11,MATCH($D130,MODELOS!$A$4:$A$11,0))),IF(INDEX(PRODUTOS!$I$4:$I$63,MATCH($A130,PRODUTOS!$B$4:$B$63,0))="B",INDEX(MODELOS!$H$4:$H$11,MATCH($D130,MODELOS!$A$4:$A$11,0)),INDEX(MODELOS!$D$4:$D$11,MATCH($D130,MODELOS!$A$4:$A$11,0))))</f>
        <v>Grão ou pacote em destaque</v>
      </c>
      <c r="H130" s="11" t="str">
        <f aca="false">IF(INDEX(PRODUTOS!$I$4:$I$63,MATCH($A130,PRODUTOS!$B$4:$B$63,0))="B",INDEX(MODELOS!$I$4:$I$11,MATCH($D130,MODELOS!$A$4:$A$11,0)),INDEX(MODELOS!$E$4:$E$11,MATCH($D130,MODELOS!$A$4:$A$11,0)))</f>
        <v>300 × 300</v>
      </c>
      <c r="I130" s="11" t="str">
        <f aca="false">IF($D130="COMP","SIM",IF(INDEX(PRODUTOS!$J$4:$J$63,MATCH($A130,PRODUTOS!$B$4:$B$63,0))&lt;&gt;"","NÃO (usa o A+ do EAN "&amp;INDEX(PRODUTOS!$J$4:$J$63,MATCH($A130,PRODUTOS!$B$4:$B$63,0))&amp;")",IF(AND(INDEX(PRODUTOS!$I$4:$I$63,MATCH($A130,PRODUTOS!$B$4:$B$63,0))="B",$D130="AP07"),"NÃO (modelo B)","SIM")))</f>
        <v>SIM</v>
      </c>
      <c r="J130" s="13" t="s">
        <v>318</v>
      </c>
      <c r="K130" s="13"/>
    </row>
    <row r="131" customFormat="false" ht="15" hidden="false" customHeight="false" outlineLevel="0" collapsed="false">
      <c r="A131" s="15" t="s">
        <v>102</v>
      </c>
      <c r="B131" s="11" t="str">
        <f aca="false">INDEX(PRODUTOS!$E$4:$E$63,MATCH($A131,PRODUTOS!$B$4:$B$63,0))</f>
        <v>Ração Seca Natural Dots para Cães Adultos - Pacote 15 kg</v>
      </c>
      <c r="C131" s="11" t="str">
        <f aca="false">INDEX(PRODUTOS!$H$4:$H$63,MATCH($A131,PRODUTOS!$B$4:$B$63,0))</f>
        <v>15 kg</v>
      </c>
      <c r="D131" s="11" t="s">
        <v>325</v>
      </c>
      <c r="E131" s="16" t="str">
        <f aca="false">$A131&amp;"."&amp;$D131&amp;".jpg"</f>
        <v>7898968541283.COMP.jpg</v>
      </c>
      <c r="F131" s="11" t="str">
        <f aca="false">IF(INDEX(PRODUTOS!$I$4:$I$63,MATCH($A131,PRODUTOS!$B$4:$B$63,0))="B",INDEX(MODELOS!$F$4:$F$11,MATCH($D131,MODELOS!$A$4:$A$11,0)),INDEX(MODELOS!$B$4:$B$11,MATCH($D131,MODELOS!$A$4:$A$11,0)))</f>
        <v>Módulo 5 · Tabela comparativa</v>
      </c>
      <c r="G131" s="11" t="str">
        <f aca="false">IF(INDEX(PRODUTOS!$F$4:$F$63,MATCH($A131,PRODUTOS!$B$4:$B$63,0))="Ração",IF(INDEX(PRODUTOS!$I$4:$I$63,MATCH($A131,PRODUTOS!$B$4:$B$63,0))="B",INDEX(MODELOS!$G$4:$G$11,MATCH($D131,MODELOS!$A$4:$A$11,0)),INDEX(MODELOS!$C$4:$C$11,MATCH($D131,MODELOS!$A$4:$A$11,0))),IF(INDEX(PRODUTOS!$I$4:$I$63,MATCH($A131,PRODUTOS!$B$4:$B$63,0))="B",INDEX(MODELOS!$H$4:$H$11,MATCH($D131,MODELOS!$A$4:$A$11,0)),INDEX(MODELOS!$D$4:$D$11,MATCH($D131,MODELOS!$A$4:$A$11,0))))</f>
        <v>Pacote na vertical, sem fundo colorido</v>
      </c>
      <c r="H131" s="11" t="str">
        <f aca="false">IF(INDEX(PRODUTOS!$I$4:$I$63,MATCH($A131,PRODUTOS!$B$4:$B$63,0))="B",INDEX(MODELOS!$I$4:$I$11,MATCH($D131,MODELOS!$A$4:$A$11,0)),INDEX(MODELOS!$E$4:$E$11,MATCH($D131,MODELOS!$A$4:$A$11,0)))</f>
        <v>150 × 300</v>
      </c>
      <c r="I131" s="11" t="str">
        <f aca="false">IF($D131="COMP","SIM",IF(INDEX(PRODUTOS!$J$4:$J$63,MATCH($A131,PRODUTOS!$B$4:$B$63,0))&lt;&gt;"","NÃO (usa o A+ do EAN "&amp;INDEX(PRODUTOS!$J$4:$J$63,MATCH($A131,PRODUTOS!$B$4:$B$63,0))&amp;")",IF(AND(INDEX(PRODUTOS!$I$4:$I$63,MATCH($A131,PRODUTOS!$B$4:$B$63,0))="B",$D131="AP07"),"NÃO (modelo B)","SIM")))</f>
        <v>SIM</v>
      </c>
      <c r="J131" s="13" t="s">
        <v>318</v>
      </c>
      <c r="K131" s="13"/>
    </row>
    <row r="132" customFormat="false" ht="15" hidden="false" customHeight="false" outlineLevel="0" collapsed="false">
      <c r="A132" s="15" t="s">
        <v>107</v>
      </c>
      <c r="B132" s="11" t="str">
        <f aca="false">INDEX(PRODUTOS!$E$4:$E$63,MATCH($A132,PRODUTOS!$B$4:$B$63,0))</f>
        <v>Ração Seca Natural Dots para Cães Adultos - Pacote 1 kg</v>
      </c>
      <c r="C132" s="11" t="str">
        <f aca="false">INDEX(PRODUTOS!$H$4:$H$63,MATCH($A132,PRODUTOS!$B$4:$B$63,0))</f>
        <v>1 kg</v>
      </c>
      <c r="D132" s="11" t="s">
        <v>317</v>
      </c>
      <c r="E132" s="16" t="str">
        <f aca="false">$A132&amp;"."&amp;$D132&amp;".jpg"</f>
        <v>7898968541269.AP01.jpg</v>
      </c>
      <c r="F132" s="11" t="str">
        <f aca="false">IF(INDEX(PRODUTOS!$I$4:$I$63,MATCH($A132,PRODUTOS!$B$4:$B$63,0))="B",INDEX(MODELOS!$F$4:$F$11,MATCH($D132,MODELOS!$A$4:$A$11,0)),INDEX(MODELOS!$B$4:$B$11,MATCH($D132,MODELOS!$A$4:$A$11,0)))</f>
        <v>Módulo 1 · Banner</v>
      </c>
      <c r="G132" s="11" t="str">
        <f aca="false">IF(INDEX(PRODUTOS!$F$4:$F$63,MATCH($A132,PRODUTOS!$B$4:$B$63,0))="Ração",IF(INDEX(PRODUTOS!$I$4:$I$63,MATCH($A132,PRODUTOS!$B$4:$B$63,0))="B",INDEX(MODELOS!$G$4:$G$11,MATCH($D132,MODELOS!$A$4:$A$11,0)),INDEX(MODELOS!$C$4:$C$11,MATCH($D132,MODELOS!$A$4:$A$11,0))),IF(INDEX(PRODUTOS!$I$4:$I$63,MATCH($A132,PRODUTOS!$B$4:$B$63,0))="B",INDEX(MODELOS!$H$4:$H$11,MATCH($D132,MODELOS!$A$4:$A$11,0)),INDEX(MODELOS!$D$4:$D$11,MATCH($D132,MODELOS!$A$4:$A$11,0))))</f>
        <v>Embalagem + pet + ingredientes, com o nome da linha</v>
      </c>
      <c r="H132" s="11" t="str">
        <f aca="false">IF(INDEX(PRODUTOS!$I$4:$I$63,MATCH($A132,PRODUTOS!$B$4:$B$63,0))="B",INDEX(MODELOS!$I$4:$I$11,MATCH($D132,MODELOS!$A$4:$A$11,0)),INDEX(MODELOS!$E$4:$E$11,MATCH($D132,MODELOS!$A$4:$A$11,0)))</f>
        <v>970 × 600</v>
      </c>
      <c r="I132" s="11" t="str">
        <f aca="false">IF($D132="COMP","SIM",IF(INDEX(PRODUTOS!$J$4:$J$63,MATCH($A132,PRODUTOS!$B$4:$B$63,0))&lt;&gt;"","NÃO (usa o A+ do EAN "&amp;INDEX(PRODUTOS!$J$4:$J$63,MATCH($A132,PRODUTOS!$B$4:$B$63,0))&amp;")",IF(AND(INDEX(PRODUTOS!$I$4:$I$63,MATCH($A132,PRODUTOS!$B$4:$B$63,0))="B",$D132="AP07"),"NÃO (modelo B)","SIM")))</f>
        <v>NÃO (usa o A+ do EAN 7898968541283)</v>
      </c>
      <c r="J132" s="13" t="s">
        <v>318</v>
      </c>
      <c r="K132" s="13"/>
    </row>
    <row r="133" customFormat="false" ht="15" hidden="false" customHeight="false" outlineLevel="0" collapsed="false">
      <c r="A133" s="15" t="s">
        <v>107</v>
      </c>
      <c r="B133" s="11" t="str">
        <f aca="false">INDEX(PRODUTOS!$E$4:$E$63,MATCH($A133,PRODUTOS!$B$4:$B$63,0))</f>
        <v>Ração Seca Natural Dots para Cães Adultos - Pacote 1 kg</v>
      </c>
      <c r="C133" s="11" t="str">
        <f aca="false">INDEX(PRODUTOS!$H$4:$H$63,MATCH($A133,PRODUTOS!$B$4:$B$63,0))</f>
        <v>1 kg</v>
      </c>
      <c r="D133" s="11" t="s">
        <v>319</v>
      </c>
      <c r="E133" s="16" t="str">
        <f aca="false">$A133&amp;"."&amp;$D133&amp;".jpg"</f>
        <v>7898968541269.AP02.jpg</v>
      </c>
      <c r="F133" s="11" t="str">
        <f aca="false">IF(INDEX(PRODUTOS!$I$4:$I$63,MATCH($A133,PRODUTOS!$B$4:$B$63,0))="B",INDEX(MODELOS!$F$4:$F$11,MATCH($D133,MODELOS!$A$4:$A$11,0)),INDEX(MODELOS!$B$4:$B$11,MATCH($D133,MODELOS!$A$4:$A$11,0)))</f>
        <v>Módulo 2 · Texto sobreposto</v>
      </c>
      <c r="G133" s="11" t="str">
        <f aca="false">IF(INDEX(PRODUTOS!$F$4:$F$63,MATCH($A133,PRODUTOS!$B$4:$B$63,0))="Ração",IF(INDEX(PRODUTOS!$I$4:$I$63,MATCH($A133,PRODUTOS!$B$4:$B$63,0))="B",INDEX(MODELOS!$G$4:$G$11,MATCH($D133,MODELOS!$A$4:$A$11,0)),INDEX(MODELOS!$C$4:$C$11,MATCH($D133,MODELOS!$A$4:$A$11,0))),IF(INDEX(PRODUTOS!$I$4:$I$63,MATCH($A133,PRODUTOS!$B$4:$B$63,0))="B",INDEX(MODELOS!$H$4:$H$11,MATCH($D133,MODELOS!$A$4:$A$11,0)),INDEX(MODELOS!$D$4:$D$11,MATCH($D133,MODELOS!$A$4:$A$11,0))))</f>
        <v>Principal diferencial; deixar o lado direito limpo</v>
      </c>
      <c r="H133" s="11" t="str">
        <f aca="false">IF(INDEX(PRODUTOS!$I$4:$I$63,MATCH($A133,PRODUTOS!$B$4:$B$63,0))="B",INDEX(MODELOS!$I$4:$I$11,MATCH($D133,MODELOS!$A$4:$A$11,0)),INDEX(MODELOS!$E$4:$E$11,MATCH($D133,MODELOS!$A$4:$A$11,0)))</f>
        <v>970 × 300</v>
      </c>
      <c r="I133" s="11" t="str">
        <f aca="false">IF($D133="COMP","SIM",IF(INDEX(PRODUTOS!$J$4:$J$63,MATCH($A133,PRODUTOS!$B$4:$B$63,0))&lt;&gt;"","NÃO (usa o A+ do EAN "&amp;INDEX(PRODUTOS!$J$4:$J$63,MATCH($A133,PRODUTOS!$B$4:$B$63,0))&amp;")",IF(AND(INDEX(PRODUTOS!$I$4:$I$63,MATCH($A133,PRODUTOS!$B$4:$B$63,0))="B",$D133="AP07"),"NÃO (modelo B)","SIM")))</f>
        <v>NÃO (usa o A+ do EAN 7898968541283)</v>
      </c>
      <c r="J133" s="13" t="s">
        <v>318</v>
      </c>
      <c r="K133" s="13"/>
    </row>
    <row r="134" customFormat="false" ht="15" hidden="false" customHeight="false" outlineLevel="0" collapsed="false">
      <c r="A134" s="15" t="s">
        <v>107</v>
      </c>
      <c r="B134" s="11" t="str">
        <f aca="false">INDEX(PRODUTOS!$E$4:$E$63,MATCH($A134,PRODUTOS!$B$4:$B$63,0))</f>
        <v>Ração Seca Natural Dots para Cães Adultos - Pacote 1 kg</v>
      </c>
      <c r="C134" s="11" t="str">
        <f aca="false">INDEX(PRODUTOS!$H$4:$H$63,MATCH($A134,PRODUTOS!$B$4:$B$63,0))</f>
        <v>1 kg</v>
      </c>
      <c r="D134" s="11" t="s">
        <v>320</v>
      </c>
      <c r="E134" s="16" t="str">
        <f aca="false">$A134&amp;"."&amp;$D134&amp;".jpg"</f>
        <v>7898968541269.AP03.jpg</v>
      </c>
      <c r="F134" s="11" t="str">
        <f aca="false">IF(INDEX(PRODUTOS!$I$4:$I$63,MATCH($A134,PRODUTOS!$B$4:$B$63,0))="B",INDEX(MODELOS!$F$4:$F$11,MATCH($D134,MODELOS!$A$4:$A$11,0)),INDEX(MODELOS!$B$4:$B$11,MATCH($D134,MODELOS!$A$4:$A$11,0)))</f>
        <v>Módulo 3 · Benefício 1 de 4</v>
      </c>
      <c r="G134" s="11" t="str">
        <f aca="false">IF(INDEX(PRODUTOS!$F$4:$F$63,MATCH($A134,PRODUTOS!$B$4:$B$63,0))="Ração",IF(INDEX(PRODUTOS!$I$4:$I$63,MATCH($A134,PRODUTOS!$B$4:$B$63,0))="B",INDEX(MODELOS!$G$4:$G$11,MATCH($D134,MODELOS!$A$4:$A$11,0)),INDEX(MODELOS!$C$4:$C$11,MATCH($D134,MODELOS!$A$4:$A$11,0))),IF(INDEX(PRODUTOS!$I$4:$I$63,MATCH($A134,PRODUTOS!$B$4:$B$63,0))="B",INDEX(MODELOS!$H$4:$H$11,MATCH($D134,MODELOS!$A$4:$A$11,0)),INDEX(MODELOS!$D$4:$D$11,MATCH($D134,MODELOS!$A$4:$A$11,0))))</f>
        <v>Foto/ilustração do benefício 1</v>
      </c>
      <c r="H134" s="11" t="str">
        <f aca="false">IF(INDEX(PRODUTOS!$I$4:$I$63,MATCH($A134,PRODUTOS!$B$4:$B$63,0))="B",INDEX(MODELOS!$I$4:$I$11,MATCH($D134,MODELOS!$A$4:$A$11,0)),INDEX(MODELOS!$E$4:$E$11,MATCH($D134,MODELOS!$A$4:$A$11,0)))</f>
        <v>220 × 200</v>
      </c>
      <c r="I134" s="11" t="str">
        <f aca="false">IF($D134="COMP","SIM",IF(INDEX(PRODUTOS!$J$4:$J$63,MATCH($A134,PRODUTOS!$B$4:$B$63,0))&lt;&gt;"","NÃO (usa o A+ do EAN "&amp;INDEX(PRODUTOS!$J$4:$J$63,MATCH($A134,PRODUTOS!$B$4:$B$63,0))&amp;")",IF(AND(INDEX(PRODUTOS!$I$4:$I$63,MATCH($A134,PRODUTOS!$B$4:$B$63,0))="B",$D134="AP07"),"NÃO (modelo B)","SIM")))</f>
        <v>NÃO (usa o A+ do EAN 7898968541283)</v>
      </c>
      <c r="J134" s="13" t="s">
        <v>318</v>
      </c>
      <c r="K134" s="13"/>
    </row>
    <row r="135" customFormat="false" ht="15" hidden="false" customHeight="false" outlineLevel="0" collapsed="false">
      <c r="A135" s="15" t="s">
        <v>107</v>
      </c>
      <c r="B135" s="11" t="str">
        <f aca="false">INDEX(PRODUTOS!$E$4:$E$63,MATCH($A135,PRODUTOS!$B$4:$B$63,0))</f>
        <v>Ração Seca Natural Dots para Cães Adultos - Pacote 1 kg</v>
      </c>
      <c r="C135" s="11" t="str">
        <f aca="false">INDEX(PRODUTOS!$H$4:$H$63,MATCH($A135,PRODUTOS!$B$4:$B$63,0))</f>
        <v>1 kg</v>
      </c>
      <c r="D135" s="11" t="s">
        <v>321</v>
      </c>
      <c r="E135" s="16" t="str">
        <f aca="false">$A135&amp;"."&amp;$D135&amp;".jpg"</f>
        <v>7898968541269.AP04.jpg</v>
      </c>
      <c r="F135" s="11" t="str">
        <f aca="false">IF(INDEX(PRODUTOS!$I$4:$I$63,MATCH($A135,PRODUTOS!$B$4:$B$63,0))="B",INDEX(MODELOS!$F$4:$F$11,MATCH($D135,MODELOS!$A$4:$A$11,0)),INDEX(MODELOS!$B$4:$B$11,MATCH($D135,MODELOS!$A$4:$A$11,0)))</f>
        <v>Módulo 3 · Benefício 2 de 4</v>
      </c>
      <c r="G135" s="11" t="str">
        <f aca="false">IF(INDEX(PRODUTOS!$F$4:$F$63,MATCH($A135,PRODUTOS!$B$4:$B$63,0))="Ração",IF(INDEX(PRODUTOS!$I$4:$I$63,MATCH($A135,PRODUTOS!$B$4:$B$63,0))="B",INDEX(MODELOS!$G$4:$G$11,MATCH($D135,MODELOS!$A$4:$A$11,0)),INDEX(MODELOS!$C$4:$C$11,MATCH($D135,MODELOS!$A$4:$A$11,0))),IF(INDEX(PRODUTOS!$I$4:$I$63,MATCH($A135,PRODUTOS!$B$4:$B$63,0))="B",INDEX(MODELOS!$H$4:$H$11,MATCH($D135,MODELOS!$A$4:$A$11,0)),INDEX(MODELOS!$D$4:$D$11,MATCH($D135,MODELOS!$A$4:$A$11,0))))</f>
        <v>Foto/ilustração do benefício 2</v>
      </c>
      <c r="H135" s="11" t="str">
        <f aca="false">IF(INDEX(PRODUTOS!$I$4:$I$63,MATCH($A135,PRODUTOS!$B$4:$B$63,0))="B",INDEX(MODELOS!$I$4:$I$11,MATCH($D135,MODELOS!$A$4:$A$11,0)),INDEX(MODELOS!$E$4:$E$11,MATCH($D135,MODELOS!$A$4:$A$11,0)))</f>
        <v>220 × 200</v>
      </c>
      <c r="I135" s="11" t="str">
        <f aca="false">IF($D135="COMP","SIM",IF(INDEX(PRODUTOS!$J$4:$J$63,MATCH($A135,PRODUTOS!$B$4:$B$63,0))&lt;&gt;"","NÃO (usa o A+ do EAN "&amp;INDEX(PRODUTOS!$J$4:$J$63,MATCH($A135,PRODUTOS!$B$4:$B$63,0))&amp;")",IF(AND(INDEX(PRODUTOS!$I$4:$I$63,MATCH($A135,PRODUTOS!$B$4:$B$63,0))="B",$D135="AP07"),"NÃO (modelo B)","SIM")))</f>
        <v>NÃO (usa o A+ do EAN 7898968541283)</v>
      </c>
      <c r="J135" s="13" t="s">
        <v>318</v>
      </c>
      <c r="K135" s="13"/>
    </row>
    <row r="136" customFormat="false" ht="15" hidden="false" customHeight="false" outlineLevel="0" collapsed="false">
      <c r="A136" s="15" t="s">
        <v>107</v>
      </c>
      <c r="B136" s="11" t="str">
        <f aca="false">INDEX(PRODUTOS!$E$4:$E$63,MATCH($A136,PRODUTOS!$B$4:$B$63,0))</f>
        <v>Ração Seca Natural Dots para Cães Adultos - Pacote 1 kg</v>
      </c>
      <c r="C136" s="11" t="str">
        <f aca="false">INDEX(PRODUTOS!$H$4:$H$63,MATCH($A136,PRODUTOS!$B$4:$B$63,0))</f>
        <v>1 kg</v>
      </c>
      <c r="D136" s="11" t="s">
        <v>322</v>
      </c>
      <c r="E136" s="16" t="str">
        <f aca="false">$A136&amp;"."&amp;$D136&amp;".jpg"</f>
        <v>7898968541269.AP05.jpg</v>
      </c>
      <c r="F136" s="11" t="str">
        <f aca="false">IF(INDEX(PRODUTOS!$I$4:$I$63,MATCH($A136,PRODUTOS!$B$4:$B$63,0))="B",INDEX(MODELOS!$F$4:$F$11,MATCH($D136,MODELOS!$A$4:$A$11,0)),INDEX(MODELOS!$B$4:$B$11,MATCH($D136,MODELOS!$A$4:$A$11,0)))</f>
        <v>Módulo 3 · Benefício 3 de 4</v>
      </c>
      <c r="G136" s="11" t="str">
        <f aca="false">IF(INDEX(PRODUTOS!$F$4:$F$63,MATCH($A136,PRODUTOS!$B$4:$B$63,0))="Ração",IF(INDEX(PRODUTOS!$I$4:$I$63,MATCH($A136,PRODUTOS!$B$4:$B$63,0))="B",INDEX(MODELOS!$G$4:$G$11,MATCH($D136,MODELOS!$A$4:$A$11,0)),INDEX(MODELOS!$C$4:$C$11,MATCH($D136,MODELOS!$A$4:$A$11,0))),IF(INDEX(PRODUTOS!$I$4:$I$63,MATCH($A136,PRODUTOS!$B$4:$B$63,0))="B",INDEX(MODELOS!$H$4:$H$11,MATCH($D136,MODELOS!$A$4:$A$11,0)),INDEX(MODELOS!$D$4:$D$11,MATCH($D136,MODELOS!$A$4:$A$11,0))))</f>
        <v>Foto/ilustração do benefício 3</v>
      </c>
      <c r="H136" s="11" t="str">
        <f aca="false">IF(INDEX(PRODUTOS!$I$4:$I$63,MATCH($A136,PRODUTOS!$B$4:$B$63,0))="B",INDEX(MODELOS!$I$4:$I$11,MATCH($D136,MODELOS!$A$4:$A$11,0)),INDEX(MODELOS!$E$4:$E$11,MATCH($D136,MODELOS!$A$4:$A$11,0)))</f>
        <v>220 × 200</v>
      </c>
      <c r="I136" s="11" t="str">
        <f aca="false">IF($D136="COMP","SIM",IF(INDEX(PRODUTOS!$J$4:$J$63,MATCH($A136,PRODUTOS!$B$4:$B$63,0))&lt;&gt;"","NÃO (usa o A+ do EAN "&amp;INDEX(PRODUTOS!$J$4:$J$63,MATCH($A136,PRODUTOS!$B$4:$B$63,0))&amp;")",IF(AND(INDEX(PRODUTOS!$I$4:$I$63,MATCH($A136,PRODUTOS!$B$4:$B$63,0))="B",$D136="AP07"),"NÃO (modelo B)","SIM")))</f>
        <v>NÃO (usa o A+ do EAN 7898968541283)</v>
      </c>
      <c r="J136" s="13" t="s">
        <v>318</v>
      </c>
      <c r="K136" s="13"/>
    </row>
    <row r="137" customFormat="false" ht="15" hidden="false" customHeight="false" outlineLevel="0" collapsed="false">
      <c r="A137" s="15" t="s">
        <v>107</v>
      </c>
      <c r="B137" s="11" t="str">
        <f aca="false">INDEX(PRODUTOS!$E$4:$E$63,MATCH($A137,PRODUTOS!$B$4:$B$63,0))</f>
        <v>Ração Seca Natural Dots para Cães Adultos - Pacote 1 kg</v>
      </c>
      <c r="C137" s="11" t="str">
        <f aca="false">INDEX(PRODUTOS!$H$4:$H$63,MATCH($A137,PRODUTOS!$B$4:$B$63,0))</f>
        <v>1 kg</v>
      </c>
      <c r="D137" s="11" t="s">
        <v>323</v>
      </c>
      <c r="E137" s="16" t="str">
        <f aca="false">$A137&amp;"."&amp;$D137&amp;".jpg"</f>
        <v>7898968541269.AP06.jpg</v>
      </c>
      <c r="F137" s="11" t="str">
        <f aca="false">IF(INDEX(PRODUTOS!$I$4:$I$63,MATCH($A137,PRODUTOS!$B$4:$B$63,0))="B",INDEX(MODELOS!$F$4:$F$11,MATCH($D137,MODELOS!$A$4:$A$11,0)),INDEX(MODELOS!$B$4:$B$11,MATCH($D137,MODELOS!$A$4:$A$11,0)))</f>
        <v>Módulo 3 · Benefício 4 de 4</v>
      </c>
      <c r="G137" s="11" t="str">
        <f aca="false">IF(INDEX(PRODUTOS!$F$4:$F$63,MATCH($A137,PRODUTOS!$B$4:$B$63,0))="Ração",IF(INDEX(PRODUTOS!$I$4:$I$63,MATCH($A137,PRODUTOS!$B$4:$B$63,0))="B",INDEX(MODELOS!$G$4:$G$11,MATCH($D137,MODELOS!$A$4:$A$11,0)),INDEX(MODELOS!$C$4:$C$11,MATCH($D137,MODELOS!$A$4:$A$11,0))),IF(INDEX(PRODUTOS!$I$4:$I$63,MATCH($A137,PRODUTOS!$B$4:$B$63,0))="B",INDEX(MODELOS!$H$4:$H$11,MATCH($D137,MODELOS!$A$4:$A$11,0)),INDEX(MODELOS!$D$4:$D$11,MATCH($D137,MODELOS!$A$4:$A$11,0))))</f>
        <v>Foto/ilustração do benefício 4</v>
      </c>
      <c r="H137" s="11" t="str">
        <f aca="false">IF(INDEX(PRODUTOS!$I$4:$I$63,MATCH($A137,PRODUTOS!$B$4:$B$63,0))="B",INDEX(MODELOS!$I$4:$I$11,MATCH($D137,MODELOS!$A$4:$A$11,0)),INDEX(MODELOS!$E$4:$E$11,MATCH($D137,MODELOS!$A$4:$A$11,0)))</f>
        <v>220 × 200</v>
      </c>
      <c r="I137" s="11" t="str">
        <f aca="false">IF($D137="COMP","SIM",IF(INDEX(PRODUTOS!$J$4:$J$63,MATCH($A137,PRODUTOS!$B$4:$B$63,0))&lt;&gt;"","NÃO (usa o A+ do EAN "&amp;INDEX(PRODUTOS!$J$4:$J$63,MATCH($A137,PRODUTOS!$B$4:$B$63,0))&amp;")",IF(AND(INDEX(PRODUTOS!$I$4:$I$63,MATCH($A137,PRODUTOS!$B$4:$B$63,0))="B",$D137="AP07"),"NÃO (modelo B)","SIM")))</f>
        <v>NÃO (usa o A+ do EAN 7898968541283)</v>
      </c>
      <c r="J137" s="13" t="s">
        <v>318</v>
      </c>
      <c r="K137" s="13"/>
    </row>
    <row r="138" customFormat="false" ht="15" hidden="false" customHeight="false" outlineLevel="0" collapsed="false">
      <c r="A138" s="15" t="s">
        <v>107</v>
      </c>
      <c r="B138" s="11" t="str">
        <f aca="false">INDEX(PRODUTOS!$E$4:$E$63,MATCH($A138,PRODUTOS!$B$4:$B$63,0))</f>
        <v>Ração Seca Natural Dots para Cães Adultos - Pacote 1 kg</v>
      </c>
      <c r="C138" s="11" t="str">
        <f aca="false">INDEX(PRODUTOS!$H$4:$H$63,MATCH($A138,PRODUTOS!$B$4:$B$63,0))</f>
        <v>1 kg</v>
      </c>
      <c r="D138" s="11" t="s">
        <v>324</v>
      </c>
      <c r="E138" s="16" t="str">
        <f aca="false">$A138&amp;"."&amp;$D138&amp;".jpg"</f>
        <v>7898968541269.AP07.jpg</v>
      </c>
      <c r="F138" s="11" t="str">
        <f aca="false">IF(INDEX(PRODUTOS!$I$4:$I$63,MATCH($A138,PRODUTOS!$B$4:$B$63,0))="B",INDEX(MODELOS!$F$4:$F$11,MATCH($D138,MODELOS!$A$4:$A$11,0)),INDEX(MODELOS!$B$4:$B$11,MATCH($D138,MODELOS!$A$4:$A$11,0)))</f>
        <v>Módulo 4 · Especificações</v>
      </c>
      <c r="G138" s="11" t="str">
        <f aca="false">IF(INDEX(PRODUTOS!$F$4:$F$63,MATCH($A138,PRODUTOS!$B$4:$B$63,0))="Ração",IF(INDEX(PRODUTOS!$I$4:$I$63,MATCH($A138,PRODUTOS!$B$4:$B$63,0))="B",INDEX(MODELOS!$G$4:$G$11,MATCH($D138,MODELOS!$A$4:$A$11,0)),INDEX(MODELOS!$C$4:$C$11,MATCH($D138,MODELOS!$A$4:$A$11,0))),IF(INDEX(PRODUTOS!$I$4:$I$63,MATCH($A138,PRODUTOS!$B$4:$B$63,0))="B",INDEX(MODELOS!$H$4:$H$11,MATCH($D138,MODELOS!$A$4:$A$11,0)),INDEX(MODELOS!$D$4:$D$11,MATCH($D138,MODELOS!$A$4:$A$11,0))))</f>
        <v>Grão ou pacote em destaque</v>
      </c>
      <c r="H138" s="11" t="str">
        <f aca="false">IF(INDEX(PRODUTOS!$I$4:$I$63,MATCH($A138,PRODUTOS!$B$4:$B$63,0))="B",INDEX(MODELOS!$I$4:$I$11,MATCH($D138,MODELOS!$A$4:$A$11,0)),INDEX(MODELOS!$E$4:$E$11,MATCH($D138,MODELOS!$A$4:$A$11,0)))</f>
        <v>300 × 300</v>
      </c>
      <c r="I138" s="11" t="str">
        <f aca="false">IF($D138="COMP","SIM",IF(INDEX(PRODUTOS!$J$4:$J$63,MATCH($A138,PRODUTOS!$B$4:$B$63,0))&lt;&gt;"","NÃO (usa o A+ do EAN "&amp;INDEX(PRODUTOS!$J$4:$J$63,MATCH($A138,PRODUTOS!$B$4:$B$63,0))&amp;")",IF(AND(INDEX(PRODUTOS!$I$4:$I$63,MATCH($A138,PRODUTOS!$B$4:$B$63,0))="B",$D138="AP07"),"NÃO (modelo B)","SIM")))</f>
        <v>NÃO (usa o A+ do EAN 7898968541283)</v>
      </c>
      <c r="J138" s="13" t="s">
        <v>318</v>
      </c>
      <c r="K138" s="13"/>
    </row>
    <row r="139" customFormat="false" ht="15" hidden="false" customHeight="false" outlineLevel="0" collapsed="false">
      <c r="A139" s="15" t="s">
        <v>107</v>
      </c>
      <c r="B139" s="11" t="str">
        <f aca="false">INDEX(PRODUTOS!$E$4:$E$63,MATCH($A139,PRODUTOS!$B$4:$B$63,0))</f>
        <v>Ração Seca Natural Dots para Cães Adultos - Pacote 1 kg</v>
      </c>
      <c r="C139" s="11" t="str">
        <f aca="false">INDEX(PRODUTOS!$H$4:$H$63,MATCH($A139,PRODUTOS!$B$4:$B$63,0))</f>
        <v>1 kg</v>
      </c>
      <c r="D139" s="11" t="s">
        <v>325</v>
      </c>
      <c r="E139" s="16" t="str">
        <f aca="false">$A139&amp;"."&amp;$D139&amp;".jpg"</f>
        <v>7898968541269.COMP.jpg</v>
      </c>
      <c r="F139" s="11" t="str">
        <f aca="false">IF(INDEX(PRODUTOS!$I$4:$I$63,MATCH($A139,PRODUTOS!$B$4:$B$63,0))="B",INDEX(MODELOS!$F$4:$F$11,MATCH($D139,MODELOS!$A$4:$A$11,0)),INDEX(MODELOS!$B$4:$B$11,MATCH($D139,MODELOS!$A$4:$A$11,0)))</f>
        <v>Módulo 5 · Tabela comparativa</v>
      </c>
      <c r="G139" s="11" t="str">
        <f aca="false">IF(INDEX(PRODUTOS!$F$4:$F$63,MATCH($A139,PRODUTOS!$B$4:$B$63,0))="Ração",IF(INDEX(PRODUTOS!$I$4:$I$63,MATCH($A139,PRODUTOS!$B$4:$B$63,0))="B",INDEX(MODELOS!$G$4:$G$11,MATCH($D139,MODELOS!$A$4:$A$11,0)),INDEX(MODELOS!$C$4:$C$11,MATCH($D139,MODELOS!$A$4:$A$11,0))),IF(INDEX(PRODUTOS!$I$4:$I$63,MATCH($A139,PRODUTOS!$B$4:$B$63,0))="B",INDEX(MODELOS!$H$4:$H$11,MATCH($D139,MODELOS!$A$4:$A$11,0)),INDEX(MODELOS!$D$4:$D$11,MATCH($D139,MODELOS!$A$4:$A$11,0))))</f>
        <v>Pacote na vertical, sem fundo colorido</v>
      </c>
      <c r="H139" s="11" t="str">
        <f aca="false">IF(INDEX(PRODUTOS!$I$4:$I$63,MATCH($A139,PRODUTOS!$B$4:$B$63,0))="B",INDEX(MODELOS!$I$4:$I$11,MATCH($D139,MODELOS!$A$4:$A$11,0)),INDEX(MODELOS!$E$4:$E$11,MATCH($D139,MODELOS!$A$4:$A$11,0)))</f>
        <v>150 × 300</v>
      </c>
      <c r="I139" s="11" t="str">
        <f aca="false">IF($D139="COMP","SIM",IF(INDEX(PRODUTOS!$J$4:$J$63,MATCH($A139,PRODUTOS!$B$4:$B$63,0))&lt;&gt;"","NÃO (usa o A+ do EAN "&amp;INDEX(PRODUTOS!$J$4:$J$63,MATCH($A139,PRODUTOS!$B$4:$B$63,0))&amp;")",IF(AND(INDEX(PRODUTOS!$I$4:$I$63,MATCH($A139,PRODUTOS!$B$4:$B$63,0))="B",$D139="AP07"),"NÃO (modelo B)","SIM")))</f>
        <v>SIM</v>
      </c>
      <c r="J139" s="13" t="s">
        <v>318</v>
      </c>
      <c r="K139" s="13"/>
    </row>
    <row r="140" customFormat="false" ht="15" hidden="false" customHeight="false" outlineLevel="0" collapsed="false">
      <c r="A140" s="15" t="s">
        <v>111</v>
      </c>
      <c r="B140" s="11" t="str">
        <f aca="false">INDEX(PRODUTOS!$E$4:$E$63,MATCH($A140,PRODUTOS!$B$4:$B$63,0))</f>
        <v>Ração Seca Natural Dots para Cães Filhotes - Pacote 15 kg</v>
      </c>
      <c r="C140" s="11" t="str">
        <f aca="false">INDEX(PRODUTOS!$H$4:$H$63,MATCH($A140,PRODUTOS!$B$4:$B$63,0))</f>
        <v>15 kg</v>
      </c>
      <c r="D140" s="11" t="s">
        <v>317</v>
      </c>
      <c r="E140" s="16" t="str">
        <f aca="false">$A140&amp;"."&amp;$D140&amp;".jpg"</f>
        <v>7898968541313.AP01.jpg</v>
      </c>
      <c r="F140" s="11" t="str">
        <f aca="false">IF(INDEX(PRODUTOS!$I$4:$I$63,MATCH($A140,PRODUTOS!$B$4:$B$63,0))="B",INDEX(MODELOS!$F$4:$F$11,MATCH($D140,MODELOS!$A$4:$A$11,0)),INDEX(MODELOS!$B$4:$B$11,MATCH($D140,MODELOS!$A$4:$A$11,0)))</f>
        <v>Módulo 1 · Banner</v>
      </c>
      <c r="G140" s="11" t="str">
        <f aca="false">IF(INDEX(PRODUTOS!$F$4:$F$63,MATCH($A140,PRODUTOS!$B$4:$B$63,0))="Ração",IF(INDEX(PRODUTOS!$I$4:$I$63,MATCH($A140,PRODUTOS!$B$4:$B$63,0))="B",INDEX(MODELOS!$G$4:$G$11,MATCH($D140,MODELOS!$A$4:$A$11,0)),INDEX(MODELOS!$C$4:$C$11,MATCH($D140,MODELOS!$A$4:$A$11,0))),IF(INDEX(PRODUTOS!$I$4:$I$63,MATCH($A140,PRODUTOS!$B$4:$B$63,0))="B",INDEX(MODELOS!$H$4:$H$11,MATCH($D140,MODELOS!$A$4:$A$11,0)),INDEX(MODELOS!$D$4:$D$11,MATCH($D140,MODELOS!$A$4:$A$11,0))))</f>
        <v>Embalagem + pet + ingredientes, com o nome da linha</v>
      </c>
      <c r="H140" s="11" t="str">
        <f aca="false">IF(INDEX(PRODUTOS!$I$4:$I$63,MATCH($A140,PRODUTOS!$B$4:$B$63,0))="B",INDEX(MODELOS!$I$4:$I$11,MATCH($D140,MODELOS!$A$4:$A$11,0)),INDEX(MODELOS!$E$4:$E$11,MATCH($D140,MODELOS!$A$4:$A$11,0)))</f>
        <v>970 × 600</v>
      </c>
      <c r="I140" s="11" t="str">
        <f aca="false">IF($D140="COMP","SIM",IF(INDEX(PRODUTOS!$J$4:$J$63,MATCH($A140,PRODUTOS!$B$4:$B$63,0))&lt;&gt;"","NÃO (usa o A+ do EAN "&amp;INDEX(PRODUTOS!$J$4:$J$63,MATCH($A140,PRODUTOS!$B$4:$B$63,0))&amp;")",IF(AND(INDEX(PRODUTOS!$I$4:$I$63,MATCH($A140,PRODUTOS!$B$4:$B$63,0))="B",$D140="AP07"),"NÃO (modelo B)","SIM")))</f>
        <v>SIM</v>
      </c>
      <c r="J140" s="13" t="s">
        <v>318</v>
      </c>
      <c r="K140" s="13"/>
    </row>
    <row r="141" customFormat="false" ht="15" hidden="false" customHeight="false" outlineLevel="0" collapsed="false">
      <c r="A141" s="15" t="s">
        <v>111</v>
      </c>
      <c r="B141" s="11" t="str">
        <f aca="false">INDEX(PRODUTOS!$E$4:$E$63,MATCH($A141,PRODUTOS!$B$4:$B$63,0))</f>
        <v>Ração Seca Natural Dots para Cães Filhotes - Pacote 15 kg</v>
      </c>
      <c r="C141" s="11" t="str">
        <f aca="false">INDEX(PRODUTOS!$H$4:$H$63,MATCH($A141,PRODUTOS!$B$4:$B$63,0))</f>
        <v>15 kg</v>
      </c>
      <c r="D141" s="11" t="s">
        <v>319</v>
      </c>
      <c r="E141" s="16" t="str">
        <f aca="false">$A141&amp;"."&amp;$D141&amp;".jpg"</f>
        <v>7898968541313.AP02.jpg</v>
      </c>
      <c r="F141" s="11" t="str">
        <f aca="false">IF(INDEX(PRODUTOS!$I$4:$I$63,MATCH($A141,PRODUTOS!$B$4:$B$63,0))="B",INDEX(MODELOS!$F$4:$F$11,MATCH($D141,MODELOS!$A$4:$A$11,0)),INDEX(MODELOS!$B$4:$B$11,MATCH($D141,MODELOS!$A$4:$A$11,0)))</f>
        <v>Módulo 2 · Texto sobreposto</v>
      </c>
      <c r="G141" s="11" t="str">
        <f aca="false">IF(INDEX(PRODUTOS!$F$4:$F$63,MATCH($A141,PRODUTOS!$B$4:$B$63,0))="Ração",IF(INDEX(PRODUTOS!$I$4:$I$63,MATCH($A141,PRODUTOS!$B$4:$B$63,0))="B",INDEX(MODELOS!$G$4:$G$11,MATCH($D141,MODELOS!$A$4:$A$11,0)),INDEX(MODELOS!$C$4:$C$11,MATCH($D141,MODELOS!$A$4:$A$11,0))),IF(INDEX(PRODUTOS!$I$4:$I$63,MATCH($A141,PRODUTOS!$B$4:$B$63,0))="B",INDEX(MODELOS!$H$4:$H$11,MATCH($D141,MODELOS!$A$4:$A$11,0)),INDEX(MODELOS!$D$4:$D$11,MATCH($D141,MODELOS!$A$4:$A$11,0))))</f>
        <v>Principal diferencial; deixar o lado direito limpo</v>
      </c>
      <c r="H141" s="11" t="str">
        <f aca="false">IF(INDEX(PRODUTOS!$I$4:$I$63,MATCH($A141,PRODUTOS!$B$4:$B$63,0))="B",INDEX(MODELOS!$I$4:$I$11,MATCH($D141,MODELOS!$A$4:$A$11,0)),INDEX(MODELOS!$E$4:$E$11,MATCH($D141,MODELOS!$A$4:$A$11,0)))</f>
        <v>970 × 300</v>
      </c>
      <c r="I141" s="11" t="str">
        <f aca="false">IF($D141="COMP","SIM",IF(INDEX(PRODUTOS!$J$4:$J$63,MATCH($A141,PRODUTOS!$B$4:$B$63,0))&lt;&gt;"","NÃO (usa o A+ do EAN "&amp;INDEX(PRODUTOS!$J$4:$J$63,MATCH($A141,PRODUTOS!$B$4:$B$63,0))&amp;")",IF(AND(INDEX(PRODUTOS!$I$4:$I$63,MATCH($A141,PRODUTOS!$B$4:$B$63,0))="B",$D141="AP07"),"NÃO (modelo B)","SIM")))</f>
        <v>SIM</v>
      </c>
      <c r="J141" s="13" t="s">
        <v>318</v>
      </c>
      <c r="K141" s="13"/>
    </row>
    <row r="142" customFormat="false" ht="15" hidden="false" customHeight="false" outlineLevel="0" collapsed="false">
      <c r="A142" s="15" t="s">
        <v>111</v>
      </c>
      <c r="B142" s="11" t="str">
        <f aca="false">INDEX(PRODUTOS!$E$4:$E$63,MATCH($A142,PRODUTOS!$B$4:$B$63,0))</f>
        <v>Ração Seca Natural Dots para Cães Filhotes - Pacote 15 kg</v>
      </c>
      <c r="C142" s="11" t="str">
        <f aca="false">INDEX(PRODUTOS!$H$4:$H$63,MATCH($A142,PRODUTOS!$B$4:$B$63,0))</f>
        <v>15 kg</v>
      </c>
      <c r="D142" s="11" t="s">
        <v>320</v>
      </c>
      <c r="E142" s="16" t="str">
        <f aca="false">$A142&amp;"."&amp;$D142&amp;".jpg"</f>
        <v>7898968541313.AP03.jpg</v>
      </c>
      <c r="F142" s="11" t="str">
        <f aca="false">IF(INDEX(PRODUTOS!$I$4:$I$63,MATCH($A142,PRODUTOS!$B$4:$B$63,0))="B",INDEX(MODELOS!$F$4:$F$11,MATCH($D142,MODELOS!$A$4:$A$11,0)),INDEX(MODELOS!$B$4:$B$11,MATCH($D142,MODELOS!$A$4:$A$11,0)))</f>
        <v>Módulo 3 · Benefício 1 de 4</v>
      </c>
      <c r="G142" s="11" t="str">
        <f aca="false">IF(INDEX(PRODUTOS!$F$4:$F$63,MATCH($A142,PRODUTOS!$B$4:$B$63,0))="Ração",IF(INDEX(PRODUTOS!$I$4:$I$63,MATCH($A142,PRODUTOS!$B$4:$B$63,0))="B",INDEX(MODELOS!$G$4:$G$11,MATCH($D142,MODELOS!$A$4:$A$11,0)),INDEX(MODELOS!$C$4:$C$11,MATCH($D142,MODELOS!$A$4:$A$11,0))),IF(INDEX(PRODUTOS!$I$4:$I$63,MATCH($A142,PRODUTOS!$B$4:$B$63,0))="B",INDEX(MODELOS!$H$4:$H$11,MATCH($D142,MODELOS!$A$4:$A$11,0)),INDEX(MODELOS!$D$4:$D$11,MATCH($D142,MODELOS!$A$4:$A$11,0))))</f>
        <v>Foto/ilustração do benefício 1</v>
      </c>
      <c r="H142" s="11" t="str">
        <f aca="false">IF(INDEX(PRODUTOS!$I$4:$I$63,MATCH($A142,PRODUTOS!$B$4:$B$63,0))="B",INDEX(MODELOS!$I$4:$I$11,MATCH($D142,MODELOS!$A$4:$A$11,0)),INDEX(MODELOS!$E$4:$E$11,MATCH($D142,MODELOS!$A$4:$A$11,0)))</f>
        <v>220 × 200</v>
      </c>
      <c r="I142" s="11" t="str">
        <f aca="false">IF($D142="COMP","SIM",IF(INDEX(PRODUTOS!$J$4:$J$63,MATCH($A142,PRODUTOS!$B$4:$B$63,0))&lt;&gt;"","NÃO (usa o A+ do EAN "&amp;INDEX(PRODUTOS!$J$4:$J$63,MATCH($A142,PRODUTOS!$B$4:$B$63,0))&amp;")",IF(AND(INDEX(PRODUTOS!$I$4:$I$63,MATCH($A142,PRODUTOS!$B$4:$B$63,0))="B",$D142="AP07"),"NÃO (modelo B)","SIM")))</f>
        <v>SIM</v>
      </c>
      <c r="J142" s="13" t="s">
        <v>318</v>
      </c>
      <c r="K142" s="13"/>
    </row>
    <row r="143" customFormat="false" ht="15" hidden="false" customHeight="false" outlineLevel="0" collapsed="false">
      <c r="A143" s="15" t="s">
        <v>111</v>
      </c>
      <c r="B143" s="11" t="str">
        <f aca="false">INDEX(PRODUTOS!$E$4:$E$63,MATCH($A143,PRODUTOS!$B$4:$B$63,0))</f>
        <v>Ração Seca Natural Dots para Cães Filhotes - Pacote 15 kg</v>
      </c>
      <c r="C143" s="11" t="str">
        <f aca="false">INDEX(PRODUTOS!$H$4:$H$63,MATCH($A143,PRODUTOS!$B$4:$B$63,0))</f>
        <v>15 kg</v>
      </c>
      <c r="D143" s="11" t="s">
        <v>321</v>
      </c>
      <c r="E143" s="16" t="str">
        <f aca="false">$A143&amp;"."&amp;$D143&amp;".jpg"</f>
        <v>7898968541313.AP04.jpg</v>
      </c>
      <c r="F143" s="11" t="str">
        <f aca="false">IF(INDEX(PRODUTOS!$I$4:$I$63,MATCH($A143,PRODUTOS!$B$4:$B$63,0))="B",INDEX(MODELOS!$F$4:$F$11,MATCH($D143,MODELOS!$A$4:$A$11,0)),INDEX(MODELOS!$B$4:$B$11,MATCH($D143,MODELOS!$A$4:$A$11,0)))</f>
        <v>Módulo 3 · Benefício 2 de 4</v>
      </c>
      <c r="G143" s="11" t="str">
        <f aca="false">IF(INDEX(PRODUTOS!$F$4:$F$63,MATCH($A143,PRODUTOS!$B$4:$B$63,0))="Ração",IF(INDEX(PRODUTOS!$I$4:$I$63,MATCH($A143,PRODUTOS!$B$4:$B$63,0))="B",INDEX(MODELOS!$G$4:$G$11,MATCH($D143,MODELOS!$A$4:$A$11,0)),INDEX(MODELOS!$C$4:$C$11,MATCH($D143,MODELOS!$A$4:$A$11,0))),IF(INDEX(PRODUTOS!$I$4:$I$63,MATCH($A143,PRODUTOS!$B$4:$B$63,0))="B",INDEX(MODELOS!$H$4:$H$11,MATCH($D143,MODELOS!$A$4:$A$11,0)),INDEX(MODELOS!$D$4:$D$11,MATCH($D143,MODELOS!$A$4:$A$11,0))))</f>
        <v>Foto/ilustração do benefício 2</v>
      </c>
      <c r="H143" s="11" t="str">
        <f aca="false">IF(INDEX(PRODUTOS!$I$4:$I$63,MATCH($A143,PRODUTOS!$B$4:$B$63,0))="B",INDEX(MODELOS!$I$4:$I$11,MATCH($D143,MODELOS!$A$4:$A$11,0)),INDEX(MODELOS!$E$4:$E$11,MATCH($D143,MODELOS!$A$4:$A$11,0)))</f>
        <v>220 × 200</v>
      </c>
      <c r="I143" s="11" t="str">
        <f aca="false">IF($D143="COMP","SIM",IF(INDEX(PRODUTOS!$J$4:$J$63,MATCH($A143,PRODUTOS!$B$4:$B$63,0))&lt;&gt;"","NÃO (usa o A+ do EAN "&amp;INDEX(PRODUTOS!$J$4:$J$63,MATCH($A143,PRODUTOS!$B$4:$B$63,0))&amp;")",IF(AND(INDEX(PRODUTOS!$I$4:$I$63,MATCH($A143,PRODUTOS!$B$4:$B$63,0))="B",$D143="AP07"),"NÃO (modelo B)","SIM")))</f>
        <v>SIM</v>
      </c>
      <c r="J143" s="13" t="s">
        <v>318</v>
      </c>
      <c r="K143" s="13"/>
    </row>
    <row r="144" customFormat="false" ht="15" hidden="false" customHeight="false" outlineLevel="0" collapsed="false">
      <c r="A144" s="15" t="s">
        <v>111</v>
      </c>
      <c r="B144" s="11" t="str">
        <f aca="false">INDEX(PRODUTOS!$E$4:$E$63,MATCH($A144,PRODUTOS!$B$4:$B$63,0))</f>
        <v>Ração Seca Natural Dots para Cães Filhotes - Pacote 15 kg</v>
      </c>
      <c r="C144" s="11" t="str">
        <f aca="false">INDEX(PRODUTOS!$H$4:$H$63,MATCH($A144,PRODUTOS!$B$4:$B$63,0))</f>
        <v>15 kg</v>
      </c>
      <c r="D144" s="11" t="s">
        <v>322</v>
      </c>
      <c r="E144" s="16" t="str">
        <f aca="false">$A144&amp;"."&amp;$D144&amp;".jpg"</f>
        <v>7898968541313.AP05.jpg</v>
      </c>
      <c r="F144" s="11" t="str">
        <f aca="false">IF(INDEX(PRODUTOS!$I$4:$I$63,MATCH($A144,PRODUTOS!$B$4:$B$63,0))="B",INDEX(MODELOS!$F$4:$F$11,MATCH($D144,MODELOS!$A$4:$A$11,0)),INDEX(MODELOS!$B$4:$B$11,MATCH($D144,MODELOS!$A$4:$A$11,0)))</f>
        <v>Módulo 3 · Benefício 3 de 4</v>
      </c>
      <c r="G144" s="11" t="str">
        <f aca="false">IF(INDEX(PRODUTOS!$F$4:$F$63,MATCH($A144,PRODUTOS!$B$4:$B$63,0))="Ração",IF(INDEX(PRODUTOS!$I$4:$I$63,MATCH($A144,PRODUTOS!$B$4:$B$63,0))="B",INDEX(MODELOS!$G$4:$G$11,MATCH($D144,MODELOS!$A$4:$A$11,0)),INDEX(MODELOS!$C$4:$C$11,MATCH($D144,MODELOS!$A$4:$A$11,0))),IF(INDEX(PRODUTOS!$I$4:$I$63,MATCH($A144,PRODUTOS!$B$4:$B$63,0))="B",INDEX(MODELOS!$H$4:$H$11,MATCH($D144,MODELOS!$A$4:$A$11,0)),INDEX(MODELOS!$D$4:$D$11,MATCH($D144,MODELOS!$A$4:$A$11,0))))</f>
        <v>Foto/ilustração do benefício 3</v>
      </c>
      <c r="H144" s="11" t="str">
        <f aca="false">IF(INDEX(PRODUTOS!$I$4:$I$63,MATCH($A144,PRODUTOS!$B$4:$B$63,0))="B",INDEX(MODELOS!$I$4:$I$11,MATCH($D144,MODELOS!$A$4:$A$11,0)),INDEX(MODELOS!$E$4:$E$11,MATCH($D144,MODELOS!$A$4:$A$11,0)))</f>
        <v>220 × 200</v>
      </c>
      <c r="I144" s="11" t="str">
        <f aca="false">IF($D144="COMP","SIM",IF(INDEX(PRODUTOS!$J$4:$J$63,MATCH($A144,PRODUTOS!$B$4:$B$63,0))&lt;&gt;"","NÃO (usa o A+ do EAN "&amp;INDEX(PRODUTOS!$J$4:$J$63,MATCH($A144,PRODUTOS!$B$4:$B$63,0))&amp;")",IF(AND(INDEX(PRODUTOS!$I$4:$I$63,MATCH($A144,PRODUTOS!$B$4:$B$63,0))="B",$D144="AP07"),"NÃO (modelo B)","SIM")))</f>
        <v>SIM</v>
      </c>
      <c r="J144" s="13" t="s">
        <v>318</v>
      </c>
      <c r="K144" s="13"/>
    </row>
    <row r="145" customFormat="false" ht="15" hidden="false" customHeight="false" outlineLevel="0" collapsed="false">
      <c r="A145" s="15" t="s">
        <v>111</v>
      </c>
      <c r="B145" s="11" t="str">
        <f aca="false">INDEX(PRODUTOS!$E$4:$E$63,MATCH($A145,PRODUTOS!$B$4:$B$63,0))</f>
        <v>Ração Seca Natural Dots para Cães Filhotes - Pacote 15 kg</v>
      </c>
      <c r="C145" s="11" t="str">
        <f aca="false">INDEX(PRODUTOS!$H$4:$H$63,MATCH($A145,PRODUTOS!$B$4:$B$63,0))</f>
        <v>15 kg</v>
      </c>
      <c r="D145" s="11" t="s">
        <v>323</v>
      </c>
      <c r="E145" s="16" t="str">
        <f aca="false">$A145&amp;"."&amp;$D145&amp;".jpg"</f>
        <v>7898968541313.AP06.jpg</v>
      </c>
      <c r="F145" s="11" t="str">
        <f aca="false">IF(INDEX(PRODUTOS!$I$4:$I$63,MATCH($A145,PRODUTOS!$B$4:$B$63,0))="B",INDEX(MODELOS!$F$4:$F$11,MATCH($D145,MODELOS!$A$4:$A$11,0)),INDEX(MODELOS!$B$4:$B$11,MATCH($D145,MODELOS!$A$4:$A$11,0)))</f>
        <v>Módulo 3 · Benefício 4 de 4</v>
      </c>
      <c r="G145" s="11" t="str">
        <f aca="false">IF(INDEX(PRODUTOS!$F$4:$F$63,MATCH($A145,PRODUTOS!$B$4:$B$63,0))="Ração",IF(INDEX(PRODUTOS!$I$4:$I$63,MATCH($A145,PRODUTOS!$B$4:$B$63,0))="B",INDEX(MODELOS!$G$4:$G$11,MATCH($D145,MODELOS!$A$4:$A$11,0)),INDEX(MODELOS!$C$4:$C$11,MATCH($D145,MODELOS!$A$4:$A$11,0))),IF(INDEX(PRODUTOS!$I$4:$I$63,MATCH($A145,PRODUTOS!$B$4:$B$63,0))="B",INDEX(MODELOS!$H$4:$H$11,MATCH($D145,MODELOS!$A$4:$A$11,0)),INDEX(MODELOS!$D$4:$D$11,MATCH($D145,MODELOS!$A$4:$A$11,0))))</f>
        <v>Foto/ilustração do benefício 4</v>
      </c>
      <c r="H145" s="11" t="str">
        <f aca="false">IF(INDEX(PRODUTOS!$I$4:$I$63,MATCH($A145,PRODUTOS!$B$4:$B$63,0))="B",INDEX(MODELOS!$I$4:$I$11,MATCH($D145,MODELOS!$A$4:$A$11,0)),INDEX(MODELOS!$E$4:$E$11,MATCH($D145,MODELOS!$A$4:$A$11,0)))</f>
        <v>220 × 200</v>
      </c>
      <c r="I145" s="11" t="str">
        <f aca="false">IF($D145="COMP","SIM",IF(INDEX(PRODUTOS!$J$4:$J$63,MATCH($A145,PRODUTOS!$B$4:$B$63,0))&lt;&gt;"","NÃO (usa o A+ do EAN "&amp;INDEX(PRODUTOS!$J$4:$J$63,MATCH($A145,PRODUTOS!$B$4:$B$63,0))&amp;")",IF(AND(INDEX(PRODUTOS!$I$4:$I$63,MATCH($A145,PRODUTOS!$B$4:$B$63,0))="B",$D145="AP07"),"NÃO (modelo B)","SIM")))</f>
        <v>SIM</v>
      </c>
      <c r="J145" s="13" t="s">
        <v>318</v>
      </c>
      <c r="K145" s="13"/>
    </row>
    <row r="146" customFormat="false" ht="15" hidden="false" customHeight="false" outlineLevel="0" collapsed="false">
      <c r="A146" s="15" t="s">
        <v>111</v>
      </c>
      <c r="B146" s="11" t="str">
        <f aca="false">INDEX(PRODUTOS!$E$4:$E$63,MATCH($A146,PRODUTOS!$B$4:$B$63,0))</f>
        <v>Ração Seca Natural Dots para Cães Filhotes - Pacote 15 kg</v>
      </c>
      <c r="C146" s="11" t="str">
        <f aca="false">INDEX(PRODUTOS!$H$4:$H$63,MATCH($A146,PRODUTOS!$B$4:$B$63,0))</f>
        <v>15 kg</v>
      </c>
      <c r="D146" s="11" t="s">
        <v>324</v>
      </c>
      <c r="E146" s="16" t="str">
        <f aca="false">$A146&amp;"."&amp;$D146&amp;".jpg"</f>
        <v>7898968541313.AP07.jpg</v>
      </c>
      <c r="F146" s="11" t="str">
        <f aca="false">IF(INDEX(PRODUTOS!$I$4:$I$63,MATCH($A146,PRODUTOS!$B$4:$B$63,0))="B",INDEX(MODELOS!$F$4:$F$11,MATCH($D146,MODELOS!$A$4:$A$11,0)),INDEX(MODELOS!$B$4:$B$11,MATCH($D146,MODELOS!$A$4:$A$11,0)))</f>
        <v>Módulo 4 · Especificações</v>
      </c>
      <c r="G146" s="11" t="str">
        <f aca="false">IF(INDEX(PRODUTOS!$F$4:$F$63,MATCH($A146,PRODUTOS!$B$4:$B$63,0))="Ração",IF(INDEX(PRODUTOS!$I$4:$I$63,MATCH($A146,PRODUTOS!$B$4:$B$63,0))="B",INDEX(MODELOS!$G$4:$G$11,MATCH($D146,MODELOS!$A$4:$A$11,0)),INDEX(MODELOS!$C$4:$C$11,MATCH($D146,MODELOS!$A$4:$A$11,0))),IF(INDEX(PRODUTOS!$I$4:$I$63,MATCH($A146,PRODUTOS!$B$4:$B$63,0))="B",INDEX(MODELOS!$H$4:$H$11,MATCH($D146,MODELOS!$A$4:$A$11,0)),INDEX(MODELOS!$D$4:$D$11,MATCH($D146,MODELOS!$A$4:$A$11,0))))</f>
        <v>Grão ou pacote em destaque</v>
      </c>
      <c r="H146" s="11" t="str">
        <f aca="false">IF(INDEX(PRODUTOS!$I$4:$I$63,MATCH($A146,PRODUTOS!$B$4:$B$63,0))="B",INDEX(MODELOS!$I$4:$I$11,MATCH($D146,MODELOS!$A$4:$A$11,0)),INDEX(MODELOS!$E$4:$E$11,MATCH($D146,MODELOS!$A$4:$A$11,0)))</f>
        <v>300 × 300</v>
      </c>
      <c r="I146" s="11" t="str">
        <f aca="false">IF($D146="COMP","SIM",IF(INDEX(PRODUTOS!$J$4:$J$63,MATCH($A146,PRODUTOS!$B$4:$B$63,0))&lt;&gt;"","NÃO (usa o A+ do EAN "&amp;INDEX(PRODUTOS!$J$4:$J$63,MATCH($A146,PRODUTOS!$B$4:$B$63,0))&amp;")",IF(AND(INDEX(PRODUTOS!$I$4:$I$63,MATCH($A146,PRODUTOS!$B$4:$B$63,0))="B",$D146="AP07"),"NÃO (modelo B)","SIM")))</f>
        <v>SIM</v>
      </c>
      <c r="J146" s="13" t="s">
        <v>318</v>
      </c>
      <c r="K146" s="13"/>
    </row>
    <row r="147" customFormat="false" ht="15" hidden="false" customHeight="false" outlineLevel="0" collapsed="false">
      <c r="A147" s="15" t="s">
        <v>111</v>
      </c>
      <c r="B147" s="11" t="str">
        <f aca="false">INDEX(PRODUTOS!$E$4:$E$63,MATCH($A147,PRODUTOS!$B$4:$B$63,0))</f>
        <v>Ração Seca Natural Dots para Cães Filhotes - Pacote 15 kg</v>
      </c>
      <c r="C147" s="11" t="str">
        <f aca="false">INDEX(PRODUTOS!$H$4:$H$63,MATCH($A147,PRODUTOS!$B$4:$B$63,0))</f>
        <v>15 kg</v>
      </c>
      <c r="D147" s="11" t="s">
        <v>325</v>
      </c>
      <c r="E147" s="16" t="str">
        <f aca="false">$A147&amp;"."&amp;$D147&amp;".jpg"</f>
        <v>7898968541313.COMP.jpg</v>
      </c>
      <c r="F147" s="11" t="str">
        <f aca="false">IF(INDEX(PRODUTOS!$I$4:$I$63,MATCH($A147,PRODUTOS!$B$4:$B$63,0))="B",INDEX(MODELOS!$F$4:$F$11,MATCH($D147,MODELOS!$A$4:$A$11,0)),INDEX(MODELOS!$B$4:$B$11,MATCH($D147,MODELOS!$A$4:$A$11,0)))</f>
        <v>Módulo 5 · Tabela comparativa</v>
      </c>
      <c r="G147" s="11" t="str">
        <f aca="false">IF(INDEX(PRODUTOS!$F$4:$F$63,MATCH($A147,PRODUTOS!$B$4:$B$63,0))="Ração",IF(INDEX(PRODUTOS!$I$4:$I$63,MATCH($A147,PRODUTOS!$B$4:$B$63,0))="B",INDEX(MODELOS!$G$4:$G$11,MATCH($D147,MODELOS!$A$4:$A$11,0)),INDEX(MODELOS!$C$4:$C$11,MATCH($D147,MODELOS!$A$4:$A$11,0))),IF(INDEX(PRODUTOS!$I$4:$I$63,MATCH($A147,PRODUTOS!$B$4:$B$63,0))="B",INDEX(MODELOS!$H$4:$H$11,MATCH($D147,MODELOS!$A$4:$A$11,0)),INDEX(MODELOS!$D$4:$D$11,MATCH($D147,MODELOS!$A$4:$A$11,0))))</f>
        <v>Pacote na vertical, sem fundo colorido</v>
      </c>
      <c r="H147" s="11" t="str">
        <f aca="false">IF(INDEX(PRODUTOS!$I$4:$I$63,MATCH($A147,PRODUTOS!$B$4:$B$63,0))="B",INDEX(MODELOS!$I$4:$I$11,MATCH($D147,MODELOS!$A$4:$A$11,0)),INDEX(MODELOS!$E$4:$E$11,MATCH($D147,MODELOS!$A$4:$A$11,0)))</f>
        <v>150 × 300</v>
      </c>
      <c r="I147" s="11" t="str">
        <f aca="false">IF($D147="COMP","SIM",IF(INDEX(PRODUTOS!$J$4:$J$63,MATCH($A147,PRODUTOS!$B$4:$B$63,0))&lt;&gt;"","NÃO (usa o A+ do EAN "&amp;INDEX(PRODUTOS!$J$4:$J$63,MATCH($A147,PRODUTOS!$B$4:$B$63,0))&amp;")",IF(AND(INDEX(PRODUTOS!$I$4:$I$63,MATCH($A147,PRODUTOS!$B$4:$B$63,0))="B",$D147="AP07"),"NÃO (modelo B)","SIM")))</f>
        <v>SIM</v>
      </c>
      <c r="J147" s="13" t="s">
        <v>318</v>
      </c>
      <c r="K147" s="13"/>
    </row>
    <row r="148" customFormat="false" ht="15" hidden="false" customHeight="false" outlineLevel="0" collapsed="false">
      <c r="A148" s="15" t="s">
        <v>116</v>
      </c>
      <c r="B148" s="11" t="str">
        <f aca="false">INDEX(PRODUTOS!$E$4:$E$63,MATCH($A148,PRODUTOS!$B$4:$B$63,0))</f>
        <v>Ração Seca Natural Dots para Cães Filhotes - Pacote 1 kg</v>
      </c>
      <c r="C148" s="11" t="str">
        <f aca="false">INDEX(PRODUTOS!$H$4:$H$63,MATCH($A148,PRODUTOS!$B$4:$B$63,0))</f>
        <v>1 kg</v>
      </c>
      <c r="D148" s="11" t="s">
        <v>317</v>
      </c>
      <c r="E148" s="16" t="str">
        <f aca="false">$A148&amp;"."&amp;$D148&amp;".jpg"</f>
        <v>7898968541290.AP01.jpg</v>
      </c>
      <c r="F148" s="11" t="str">
        <f aca="false">IF(INDEX(PRODUTOS!$I$4:$I$63,MATCH($A148,PRODUTOS!$B$4:$B$63,0))="B",INDEX(MODELOS!$F$4:$F$11,MATCH($D148,MODELOS!$A$4:$A$11,0)),INDEX(MODELOS!$B$4:$B$11,MATCH($D148,MODELOS!$A$4:$A$11,0)))</f>
        <v>Módulo 1 · Banner</v>
      </c>
      <c r="G148" s="11" t="str">
        <f aca="false">IF(INDEX(PRODUTOS!$F$4:$F$63,MATCH($A148,PRODUTOS!$B$4:$B$63,0))="Ração",IF(INDEX(PRODUTOS!$I$4:$I$63,MATCH($A148,PRODUTOS!$B$4:$B$63,0))="B",INDEX(MODELOS!$G$4:$G$11,MATCH($D148,MODELOS!$A$4:$A$11,0)),INDEX(MODELOS!$C$4:$C$11,MATCH($D148,MODELOS!$A$4:$A$11,0))),IF(INDEX(PRODUTOS!$I$4:$I$63,MATCH($A148,PRODUTOS!$B$4:$B$63,0))="B",INDEX(MODELOS!$H$4:$H$11,MATCH($D148,MODELOS!$A$4:$A$11,0)),INDEX(MODELOS!$D$4:$D$11,MATCH($D148,MODELOS!$A$4:$A$11,0))))</f>
        <v>Embalagem + pet + ingredientes, com o nome da linha</v>
      </c>
      <c r="H148" s="11" t="str">
        <f aca="false">IF(INDEX(PRODUTOS!$I$4:$I$63,MATCH($A148,PRODUTOS!$B$4:$B$63,0))="B",INDEX(MODELOS!$I$4:$I$11,MATCH($D148,MODELOS!$A$4:$A$11,0)),INDEX(MODELOS!$E$4:$E$11,MATCH($D148,MODELOS!$A$4:$A$11,0)))</f>
        <v>970 × 600</v>
      </c>
      <c r="I148" s="11" t="str">
        <f aca="false">IF($D148="COMP","SIM",IF(INDEX(PRODUTOS!$J$4:$J$63,MATCH($A148,PRODUTOS!$B$4:$B$63,0))&lt;&gt;"","NÃO (usa o A+ do EAN "&amp;INDEX(PRODUTOS!$J$4:$J$63,MATCH($A148,PRODUTOS!$B$4:$B$63,0))&amp;")",IF(AND(INDEX(PRODUTOS!$I$4:$I$63,MATCH($A148,PRODUTOS!$B$4:$B$63,0))="B",$D148="AP07"),"NÃO (modelo B)","SIM")))</f>
        <v>NÃO (usa o A+ do EAN 7898968541313)</v>
      </c>
      <c r="J148" s="13" t="s">
        <v>318</v>
      </c>
      <c r="K148" s="13"/>
    </row>
    <row r="149" customFormat="false" ht="15" hidden="false" customHeight="false" outlineLevel="0" collapsed="false">
      <c r="A149" s="15" t="s">
        <v>116</v>
      </c>
      <c r="B149" s="11" t="str">
        <f aca="false">INDEX(PRODUTOS!$E$4:$E$63,MATCH($A149,PRODUTOS!$B$4:$B$63,0))</f>
        <v>Ração Seca Natural Dots para Cães Filhotes - Pacote 1 kg</v>
      </c>
      <c r="C149" s="11" t="str">
        <f aca="false">INDEX(PRODUTOS!$H$4:$H$63,MATCH($A149,PRODUTOS!$B$4:$B$63,0))</f>
        <v>1 kg</v>
      </c>
      <c r="D149" s="11" t="s">
        <v>319</v>
      </c>
      <c r="E149" s="16" t="str">
        <f aca="false">$A149&amp;"."&amp;$D149&amp;".jpg"</f>
        <v>7898968541290.AP02.jpg</v>
      </c>
      <c r="F149" s="11" t="str">
        <f aca="false">IF(INDEX(PRODUTOS!$I$4:$I$63,MATCH($A149,PRODUTOS!$B$4:$B$63,0))="B",INDEX(MODELOS!$F$4:$F$11,MATCH($D149,MODELOS!$A$4:$A$11,0)),INDEX(MODELOS!$B$4:$B$11,MATCH($D149,MODELOS!$A$4:$A$11,0)))</f>
        <v>Módulo 2 · Texto sobreposto</v>
      </c>
      <c r="G149" s="11" t="str">
        <f aca="false">IF(INDEX(PRODUTOS!$F$4:$F$63,MATCH($A149,PRODUTOS!$B$4:$B$63,0))="Ração",IF(INDEX(PRODUTOS!$I$4:$I$63,MATCH($A149,PRODUTOS!$B$4:$B$63,0))="B",INDEX(MODELOS!$G$4:$G$11,MATCH($D149,MODELOS!$A$4:$A$11,0)),INDEX(MODELOS!$C$4:$C$11,MATCH($D149,MODELOS!$A$4:$A$11,0))),IF(INDEX(PRODUTOS!$I$4:$I$63,MATCH($A149,PRODUTOS!$B$4:$B$63,0))="B",INDEX(MODELOS!$H$4:$H$11,MATCH($D149,MODELOS!$A$4:$A$11,0)),INDEX(MODELOS!$D$4:$D$11,MATCH($D149,MODELOS!$A$4:$A$11,0))))</f>
        <v>Principal diferencial; deixar o lado direito limpo</v>
      </c>
      <c r="H149" s="11" t="str">
        <f aca="false">IF(INDEX(PRODUTOS!$I$4:$I$63,MATCH($A149,PRODUTOS!$B$4:$B$63,0))="B",INDEX(MODELOS!$I$4:$I$11,MATCH($D149,MODELOS!$A$4:$A$11,0)),INDEX(MODELOS!$E$4:$E$11,MATCH($D149,MODELOS!$A$4:$A$11,0)))</f>
        <v>970 × 300</v>
      </c>
      <c r="I149" s="11" t="str">
        <f aca="false">IF($D149="COMP","SIM",IF(INDEX(PRODUTOS!$J$4:$J$63,MATCH($A149,PRODUTOS!$B$4:$B$63,0))&lt;&gt;"","NÃO (usa o A+ do EAN "&amp;INDEX(PRODUTOS!$J$4:$J$63,MATCH($A149,PRODUTOS!$B$4:$B$63,0))&amp;")",IF(AND(INDEX(PRODUTOS!$I$4:$I$63,MATCH($A149,PRODUTOS!$B$4:$B$63,0))="B",$D149="AP07"),"NÃO (modelo B)","SIM")))</f>
        <v>NÃO (usa o A+ do EAN 7898968541313)</v>
      </c>
      <c r="J149" s="13" t="s">
        <v>318</v>
      </c>
      <c r="K149" s="13"/>
    </row>
    <row r="150" customFormat="false" ht="15" hidden="false" customHeight="false" outlineLevel="0" collapsed="false">
      <c r="A150" s="15" t="s">
        <v>116</v>
      </c>
      <c r="B150" s="11" t="str">
        <f aca="false">INDEX(PRODUTOS!$E$4:$E$63,MATCH($A150,PRODUTOS!$B$4:$B$63,0))</f>
        <v>Ração Seca Natural Dots para Cães Filhotes - Pacote 1 kg</v>
      </c>
      <c r="C150" s="11" t="str">
        <f aca="false">INDEX(PRODUTOS!$H$4:$H$63,MATCH($A150,PRODUTOS!$B$4:$B$63,0))</f>
        <v>1 kg</v>
      </c>
      <c r="D150" s="11" t="s">
        <v>320</v>
      </c>
      <c r="E150" s="16" t="str">
        <f aca="false">$A150&amp;"."&amp;$D150&amp;".jpg"</f>
        <v>7898968541290.AP03.jpg</v>
      </c>
      <c r="F150" s="11" t="str">
        <f aca="false">IF(INDEX(PRODUTOS!$I$4:$I$63,MATCH($A150,PRODUTOS!$B$4:$B$63,0))="B",INDEX(MODELOS!$F$4:$F$11,MATCH($D150,MODELOS!$A$4:$A$11,0)),INDEX(MODELOS!$B$4:$B$11,MATCH($D150,MODELOS!$A$4:$A$11,0)))</f>
        <v>Módulo 3 · Benefício 1 de 4</v>
      </c>
      <c r="G150" s="11" t="str">
        <f aca="false">IF(INDEX(PRODUTOS!$F$4:$F$63,MATCH($A150,PRODUTOS!$B$4:$B$63,0))="Ração",IF(INDEX(PRODUTOS!$I$4:$I$63,MATCH($A150,PRODUTOS!$B$4:$B$63,0))="B",INDEX(MODELOS!$G$4:$G$11,MATCH($D150,MODELOS!$A$4:$A$11,0)),INDEX(MODELOS!$C$4:$C$11,MATCH($D150,MODELOS!$A$4:$A$11,0))),IF(INDEX(PRODUTOS!$I$4:$I$63,MATCH($A150,PRODUTOS!$B$4:$B$63,0))="B",INDEX(MODELOS!$H$4:$H$11,MATCH($D150,MODELOS!$A$4:$A$11,0)),INDEX(MODELOS!$D$4:$D$11,MATCH($D150,MODELOS!$A$4:$A$11,0))))</f>
        <v>Foto/ilustração do benefício 1</v>
      </c>
      <c r="H150" s="11" t="str">
        <f aca="false">IF(INDEX(PRODUTOS!$I$4:$I$63,MATCH($A150,PRODUTOS!$B$4:$B$63,0))="B",INDEX(MODELOS!$I$4:$I$11,MATCH($D150,MODELOS!$A$4:$A$11,0)),INDEX(MODELOS!$E$4:$E$11,MATCH($D150,MODELOS!$A$4:$A$11,0)))</f>
        <v>220 × 200</v>
      </c>
      <c r="I150" s="11" t="str">
        <f aca="false">IF($D150="COMP","SIM",IF(INDEX(PRODUTOS!$J$4:$J$63,MATCH($A150,PRODUTOS!$B$4:$B$63,0))&lt;&gt;"","NÃO (usa o A+ do EAN "&amp;INDEX(PRODUTOS!$J$4:$J$63,MATCH($A150,PRODUTOS!$B$4:$B$63,0))&amp;")",IF(AND(INDEX(PRODUTOS!$I$4:$I$63,MATCH($A150,PRODUTOS!$B$4:$B$63,0))="B",$D150="AP07"),"NÃO (modelo B)","SIM")))</f>
        <v>NÃO (usa o A+ do EAN 7898968541313)</v>
      </c>
      <c r="J150" s="13" t="s">
        <v>318</v>
      </c>
      <c r="K150" s="13"/>
    </row>
    <row r="151" customFormat="false" ht="15" hidden="false" customHeight="false" outlineLevel="0" collapsed="false">
      <c r="A151" s="15" t="s">
        <v>116</v>
      </c>
      <c r="B151" s="11" t="str">
        <f aca="false">INDEX(PRODUTOS!$E$4:$E$63,MATCH($A151,PRODUTOS!$B$4:$B$63,0))</f>
        <v>Ração Seca Natural Dots para Cães Filhotes - Pacote 1 kg</v>
      </c>
      <c r="C151" s="11" t="str">
        <f aca="false">INDEX(PRODUTOS!$H$4:$H$63,MATCH($A151,PRODUTOS!$B$4:$B$63,0))</f>
        <v>1 kg</v>
      </c>
      <c r="D151" s="11" t="s">
        <v>321</v>
      </c>
      <c r="E151" s="16" t="str">
        <f aca="false">$A151&amp;"."&amp;$D151&amp;".jpg"</f>
        <v>7898968541290.AP04.jpg</v>
      </c>
      <c r="F151" s="11" t="str">
        <f aca="false">IF(INDEX(PRODUTOS!$I$4:$I$63,MATCH($A151,PRODUTOS!$B$4:$B$63,0))="B",INDEX(MODELOS!$F$4:$F$11,MATCH($D151,MODELOS!$A$4:$A$11,0)),INDEX(MODELOS!$B$4:$B$11,MATCH($D151,MODELOS!$A$4:$A$11,0)))</f>
        <v>Módulo 3 · Benefício 2 de 4</v>
      </c>
      <c r="G151" s="11" t="str">
        <f aca="false">IF(INDEX(PRODUTOS!$F$4:$F$63,MATCH($A151,PRODUTOS!$B$4:$B$63,0))="Ração",IF(INDEX(PRODUTOS!$I$4:$I$63,MATCH($A151,PRODUTOS!$B$4:$B$63,0))="B",INDEX(MODELOS!$G$4:$G$11,MATCH($D151,MODELOS!$A$4:$A$11,0)),INDEX(MODELOS!$C$4:$C$11,MATCH($D151,MODELOS!$A$4:$A$11,0))),IF(INDEX(PRODUTOS!$I$4:$I$63,MATCH($A151,PRODUTOS!$B$4:$B$63,0))="B",INDEX(MODELOS!$H$4:$H$11,MATCH($D151,MODELOS!$A$4:$A$11,0)),INDEX(MODELOS!$D$4:$D$11,MATCH($D151,MODELOS!$A$4:$A$11,0))))</f>
        <v>Foto/ilustração do benefício 2</v>
      </c>
      <c r="H151" s="11" t="str">
        <f aca="false">IF(INDEX(PRODUTOS!$I$4:$I$63,MATCH($A151,PRODUTOS!$B$4:$B$63,0))="B",INDEX(MODELOS!$I$4:$I$11,MATCH($D151,MODELOS!$A$4:$A$11,0)),INDEX(MODELOS!$E$4:$E$11,MATCH($D151,MODELOS!$A$4:$A$11,0)))</f>
        <v>220 × 200</v>
      </c>
      <c r="I151" s="11" t="str">
        <f aca="false">IF($D151="COMP","SIM",IF(INDEX(PRODUTOS!$J$4:$J$63,MATCH($A151,PRODUTOS!$B$4:$B$63,0))&lt;&gt;"","NÃO (usa o A+ do EAN "&amp;INDEX(PRODUTOS!$J$4:$J$63,MATCH($A151,PRODUTOS!$B$4:$B$63,0))&amp;")",IF(AND(INDEX(PRODUTOS!$I$4:$I$63,MATCH($A151,PRODUTOS!$B$4:$B$63,0))="B",$D151="AP07"),"NÃO (modelo B)","SIM")))</f>
        <v>NÃO (usa o A+ do EAN 7898968541313)</v>
      </c>
      <c r="J151" s="13" t="s">
        <v>318</v>
      </c>
      <c r="K151" s="13"/>
    </row>
    <row r="152" customFormat="false" ht="15" hidden="false" customHeight="false" outlineLevel="0" collapsed="false">
      <c r="A152" s="15" t="s">
        <v>116</v>
      </c>
      <c r="B152" s="11" t="str">
        <f aca="false">INDEX(PRODUTOS!$E$4:$E$63,MATCH($A152,PRODUTOS!$B$4:$B$63,0))</f>
        <v>Ração Seca Natural Dots para Cães Filhotes - Pacote 1 kg</v>
      </c>
      <c r="C152" s="11" t="str">
        <f aca="false">INDEX(PRODUTOS!$H$4:$H$63,MATCH($A152,PRODUTOS!$B$4:$B$63,0))</f>
        <v>1 kg</v>
      </c>
      <c r="D152" s="11" t="s">
        <v>322</v>
      </c>
      <c r="E152" s="16" t="str">
        <f aca="false">$A152&amp;"."&amp;$D152&amp;".jpg"</f>
        <v>7898968541290.AP05.jpg</v>
      </c>
      <c r="F152" s="11" t="str">
        <f aca="false">IF(INDEX(PRODUTOS!$I$4:$I$63,MATCH($A152,PRODUTOS!$B$4:$B$63,0))="B",INDEX(MODELOS!$F$4:$F$11,MATCH($D152,MODELOS!$A$4:$A$11,0)),INDEX(MODELOS!$B$4:$B$11,MATCH($D152,MODELOS!$A$4:$A$11,0)))</f>
        <v>Módulo 3 · Benefício 3 de 4</v>
      </c>
      <c r="G152" s="11" t="str">
        <f aca="false">IF(INDEX(PRODUTOS!$F$4:$F$63,MATCH($A152,PRODUTOS!$B$4:$B$63,0))="Ração",IF(INDEX(PRODUTOS!$I$4:$I$63,MATCH($A152,PRODUTOS!$B$4:$B$63,0))="B",INDEX(MODELOS!$G$4:$G$11,MATCH($D152,MODELOS!$A$4:$A$11,0)),INDEX(MODELOS!$C$4:$C$11,MATCH($D152,MODELOS!$A$4:$A$11,0))),IF(INDEX(PRODUTOS!$I$4:$I$63,MATCH($A152,PRODUTOS!$B$4:$B$63,0))="B",INDEX(MODELOS!$H$4:$H$11,MATCH($D152,MODELOS!$A$4:$A$11,0)),INDEX(MODELOS!$D$4:$D$11,MATCH($D152,MODELOS!$A$4:$A$11,0))))</f>
        <v>Foto/ilustração do benefício 3</v>
      </c>
      <c r="H152" s="11" t="str">
        <f aca="false">IF(INDEX(PRODUTOS!$I$4:$I$63,MATCH($A152,PRODUTOS!$B$4:$B$63,0))="B",INDEX(MODELOS!$I$4:$I$11,MATCH($D152,MODELOS!$A$4:$A$11,0)),INDEX(MODELOS!$E$4:$E$11,MATCH($D152,MODELOS!$A$4:$A$11,0)))</f>
        <v>220 × 200</v>
      </c>
      <c r="I152" s="11" t="str">
        <f aca="false">IF($D152="COMP","SIM",IF(INDEX(PRODUTOS!$J$4:$J$63,MATCH($A152,PRODUTOS!$B$4:$B$63,0))&lt;&gt;"","NÃO (usa o A+ do EAN "&amp;INDEX(PRODUTOS!$J$4:$J$63,MATCH($A152,PRODUTOS!$B$4:$B$63,0))&amp;")",IF(AND(INDEX(PRODUTOS!$I$4:$I$63,MATCH($A152,PRODUTOS!$B$4:$B$63,0))="B",$D152="AP07"),"NÃO (modelo B)","SIM")))</f>
        <v>NÃO (usa o A+ do EAN 7898968541313)</v>
      </c>
      <c r="J152" s="13" t="s">
        <v>318</v>
      </c>
      <c r="K152" s="13"/>
    </row>
    <row r="153" customFormat="false" ht="15" hidden="false" customHeight="false" outlineLevel="0" collapsed="false">
      <c r="A153" s="15" t="s">
        <v>116</v>
      </c>
      <c r="B153" s="11" t="str">
        <f aca="false">INDEX(PRODUTOS!$E$4:$E$63,MATCH($A153,PRODUTOS!$B$4:$B$63,0))</f>
        <v>Ração Seca Natural Dots para Cães Filhotes - Pacote 1 kg</v>
      </c>
      <c r="C153" s="11" t="str">
        <f aca="false">INDEX(PRODUTOS!$H$4:$H$63,MATCH($A153,PRODUTOS!$B$4:$B$63,0))</f>
        <v>1 kg</v>
      </c>
      <c r="D153" s="11" t="s">
        <v>323</v>
      </c>
      <c r="E153" s="16" t="str">
        <f aca="false">$A153&amp;"."&amp;$D153&amp;".jpg"</f>
        <v>7898968541290.AP06.jpg</v>
      </c>
      <c r="F153" s="11" t="str">
        <f aca="false">IF(INDEX(PRODUTOS!$I$4:$I$63,MATCH($A153,PRODUTOS!$B$4:$B$63,0))="B",INDEX(MODELOS!$F$4:$F$11,MATCH($D153,MODELOS!$A$4:$A$11,0)),INDEX(MODELOS!$B$4:$B$11,MATCH($D153,MODELOS!$A$4:$A$11,0)))</f>
        <v>Módulo 3 · Benefício 4 de 4</v>
      </c>
      <c r="G153" s="11" t="str">
        <f aca="false">IF(INDEX(PRODUTOS!$F$4:$F$63,MATCH($A153,PRODUTOS!$B$4:$B$63,0))="Ração",IF(INDEX(PRODUTOS!$I$4:$I$63,MATCH($A153,PRODUTOS!$B$4:$B$63,0))="B",INDEX(MODELOS!$G$4:$G$11,MATCH($D153,MODELOS!$A$4:$A$11,0)),INDEX(MODELOS!$C$4:$C$11,MATCH($D153,MODELOS!$A$4:$A$11,0))),IF(INDEX(PRODUTOS!$I$4:$I$63,MATCH($A153,PRODUTOS!$B$4:$B$63,0))="B",INDEX(MODELOS!$H$4:$H$11,MATCH($D153,MODELOS!$A$4:$A$11,0)),INDEX(MODELOS!$D$4:$D$11,MATCH($D153,MODELOS!$A$4:$A$11,0))))</f>
        <v>Foto/ilustração do benefício 4</v>
      </c>
      <c r="H153" s="11" t="str">
        <f aca="false">IF(INDEX(PRODUTOS!$I$4:$I$63,MATCH($A153,PRODUTOS!$B$4:$B$63,0))="B",INDEX(MODELOS!$I$4:$I$11,MATCH($D153,MODELOS!$A$4:$A$11,0)),INDEX(MODELOS!$E$4:$E$11,MATCH($D153,MODELOS!$A$4:$A$11,0)))</f>
        <v>220 × 200</v>
      </c>
      <c r="I153" s="11" t="str">
        <f aca="false">IF($D153="COMP","SIM",IF(INDEX(PRODUTOS!$J$4:$J$63,MATCH($A153,PRODUTOS!$B$4:$B$63,0))&lt;&gt;"","NÃO (usa o A+ do EAN "&amp;INDEX(PRODUTOS!$J$4:$J$63,MATCH($A153,PRODUTOS!$B$4:$B$63,0))&amp;")",IF(AND(INDEX(PRODUTOS!$I$4:$I$63,MATCH($A153,PRODUTOS!$B$4:$B$63,0))="B",$D153="AP07"),"NÃO (modelo B)","SIM")))</f>
        <v>NÃO (usa o A+ do EAN 7898968541313)</v>
      </c>
      <c r="J153" s="13" t="s">
        <v>318</v>
      </c>
      <c r="K153" s="13"/>
    </row>
    <row r="154" customFormat="false" ht="15" hidden="false" customHeight="false" outlineLevel="0" collapsed="false">
      <c r="A154" s="15" t="s">
        <v>116</v>
      </c>
      <c r="B154" s="11" t="str">
        <f aca="false">INDEX(PRODUTOS!$E$4:$E$63,MATCH($A154,PRODUTOS!$B$4:$B$63,0))</f>
        <v>Ração Seca Natural Dots para Cães Filhotes - Pacote 1 kg</v>
      </c>
      <c r="C154" s="11" t="str">
        <f aca="false">INDEX(PRODUTOS!$H$4:$H$63,MATCH($A154,PRODUTOS!$B$4:$B$63,0))</f>
        <v>1 kg</v>
      </c>
      <c r="D154" s="11" t="s">
        <v>324</v>
      </c>
      <c r="E154" s="16" t="str">
        <f aca="false">$A154&amp;"."&amp;$D154&amp;".jpg"</f>
        <v>7898968541290.AP07.jpg</v>
      </c>
      <c r="F154" s="11" t="str">
        <f aca="false">IF(INDEX(PRODUTOS!$I$4:$I$63,MATCH($A154,PRODUTOS!$B$4:$B$63,0))="B",INDEX(MODELOS!$F$4:$F$11,MATCH($D154,MODELOS!$A$4:$A$11,0)),INDEX(MODELOS!$B$4:$B$11,MATCH($D154,MODELOS!$A$4:$A$11,0)))</f>
        <v>Módulo 4 · Especificações</v>
      </c>
      <c r="G154" s="11" t="str">
        <f aca="false">IF(INDEX(PRODUTOS!$F$4:$F$63,MATCH($A154,PRODUTOS!$B$4:$B$63,0))="Ração",IF(INDEX(PRODUTOS!$I$4:$I$63,MATCH($A154,PRODUTOS!$B$4:$B$63,0))="B",INDEX(MODELOS!$G$4:$G$11,MATCH($D154,MODELOS!$A$4:$A$11,0)),INDEX(MODELOS!$C$4:$C$11,MATCH($D154,MODELOS!$A$4:$A$11,0))),IF(INDEX(PRODUTOS!$I$4:$I$63,MATCH($A154,PRODUTOS!$B$4:$B$63,0))="B",INDEX(MODELOS!$H$4:$H$11,MATCH($D154,MODELOS!$A$4:$A$11,0)),INDEX(MODELOS!$D$4:$D$11,MATCH($D154,MODELOS!$A$4:$A$11,0))))</f>
        <v>Grão ou pacote em destaque</v>
      </c>
      <c r="H154" s="11" t="str">
        <f aca="false">IF(INDEX(PRODUTOS!$I$4:$I$63,MATCH($A154,PRODUTOS!$B$4:$B$63,0))="B",INDEX(MODELOS!$I$4:$I$11,MATCH($D154,MODELOS!$A$4:$A$11,0)),INDEX(MODELOS!$E$4:$E$11,MATCH($D154,MODELOS!$A$4:$A$11,0)))</f>
        <v>300 × 300</v>
      </c>
      <c r="I154" s="11" t="str">
        <f aca="false">IF($D154="COMP","SIM",IF(INDEX(PRODUTOS!$J$4:$J$63,MATCH($A154,PRODUTOS!$B$4:$B$63,0))&lt;&gt;"","NÃO (usa o A+ do EAN "&amp;INDEX(PRODUTOS!$J$4:$J$63,MATCH($A154,PRODUTOS!$B$4:$B$63,0))&amp;")",IF(AND(INDEX(PRODUTOS!$I$4:$I$63,MATCH($A154,PRODUTOS!$B$4:$B$63,0))="B",$D154="AP07"),"NÃO (modelo B)","SIM")))</f>
        <v>NÃO (usa o A+ do EAN 7898968541313)</v>
      </c>
      <c r="J154" s="13" t="s">
        <v>318</v>
      </c>
      <c r="K154" s="13"/>
    </row>
    <row r="155" customFormat="false" ht="15" hidden="false" customHeight="false" outlineLevel="0" collapsed="false">
      <c r="A155" s="15" t="s">
        <v>116</v>
      </c>
      <c r="B155" s="11" t="str">
        <f aca="false">INDEX(PRODUTOS!$E$4:$E$63,MATCH($A155,PRODUTOS!$B$4:$B$63,0))</f>
        <v>Ração Seca Natural Dots para Cães Filhotes - Pacote 1 kg</v>
      </c>
      <c r="C155" s="11" t="str">
        <f aca="false">INDEX(PRODUTOS!$H$4:$H$63,MATCH($A155,PRODUTOS!$B$4:$B$63,0))</f>
        <v>1 kg</v>
      </c>
      <c r="D155" s="11" t="s">
        <v>325</v>
      </c>
      <c r="E155" s="16" t="str">
        <f aca="false">$A155&amp;"."&amp;$D155&amp;".jpg"</f>
        <v>7898968541290.COMP.jpg</v>
      </c>
      <c r="F155" s="11" t="str">
        <f aca="false">IF(INDEX(PRODUTOS!$I$4:$I$63,MATCH($A155,PRODUTOS!$B$4:$B$63,0))="B",INDEX(MODELOS!$F$4:$F$11,MATCH($D155,MODELOS!$A$4:$A$11,0)),INDEX(MODELOS!$B$4:$B$11,MATCH($D155,MODELOS!$A$4:$A$11,0)))</f>
        <v>Módulo 5 · Tabela comparativa</v>
      </c>
      <c r="G155" s="11" t="str">
        <f aca="false">IF(INDEX(PRODUTOS!$F$4:$F$63,MATCH($A155,PRODUTOS!$B$4:$B$63,0))="Ração",IF(INDEX(PRODUTOS!$I$4:$I$63,MATCH($A155,PRODUTOS!$B$4:$B$63,0))="B",INDEX(MODELOS!$G$4:$G$11,MATCH($D155,MODELOS!$A$4:$A$11,0)),INDEX(MODELOS!$C$4:$C$11,MATCH($D155,MODELOS!$A$4:$A$11,0))),IF(INDEX(PRODUTOS!$I$4:$I$63,MATCH($A155,PRODUTOS!$B$4:$B$63,0))="B",INDEX(MODELOS!$H$4:$H$11,MATCH($D155,MODELOS!$A$4:$A$11,0)),INDEX(MODELOS!$D$4:$D$11,MATCH($D155,MODELOS!$A$4:$A$11,0))))</f>
        <v>Pacote na vertical, sem fundo colorido</v>
      </c>
      <c r="H155" s="11" t="str">
        <f aca="false">IF(INDEX(PRODUTOS!$I$4:$I$63,MATCH($A155,PRODUTOS!$B$4:$B$63,0))="B",INDEX(MODELOS!$I$4:$I$11,MATCH($D155,MODELOS!$A$4:$A$11,0)),INDEX(MODELOS!$E$4:$E$11,MATCH($D155,MODELOS!$A$4:$A$11,0)))</f>
        <v>150 × 300</v>
      </c>
      <c r="I155" s="11" t="str">
        <f aca="false">IF($D155="COMP","SIM",IF(INDEX(PRODUTOS!$J$4:$J$63,MATCH($A155,PRODUTOS!$B$4:$B$63,0))&lt;&gt;"","NÃO (usa o A+ do EAN "&amp;INDEX(PRODUTOS!$J$4:$J$63,MATCH($A155,PRODUTOS!$B$4:$B$63,0))&amp;")",IF(AND(INDEX(PRODUTOS!$I$4:$I$63,MATCH($A155,PRODUTOS!$B$4:$B$63,0))="B",$D155="AP07"),"NÃO (modelo B)","SIM")))</f>
        <v>SIM</v>
      </c>
      <c r="J155" s="13" t="s">
        <v>318</v>
      </c>
      <c r="K155" s="13"/>
    </row>
    <row r="156" customFormat="false" ht="15" hidden="false" customHeight="false" outlineLevel="0" collapsed="false">
      <c r="A156" s="15" t="s">
        <v>120</v>
      </c>
      <c r="B156" s="11" t="str">
        <f aca="false">INDEX(PRODUTOS!$E$4:$E$63,MATCH($A156,PRODUTOS!$B$4:$B$63,0))</f>
        <v>Ração Seca Natural Dots para Cães Sênior - Pacote 15 kg</v>
      </c>
      <c r="C156" s="11" t="str">
        <f aca="false">INDEX(PRODUTOS!$H$4:$H$63,MATCH($A156,PRODUTOS!$B$4:$B$63,0))</f>
        <v>15 kg</v>
      </c>
      <c r="D156" s="11" t="s">
        <v>317</v>
      </c>
      <c r="E156" s="16" t="str">
        <f aca="false">$A156&amp;"."&amp;$D156&amp;".jpg"</f>
        <v>7898968541276.AP01.jpg</v>
      </c>
      <c r="F156" s="11" t="str">
        <f aca="false">IF(INDEX(PRODUTOS!$I$4:$I$63,MATCH($A156,PRODUTOS!$B$4:$B$63,0))="B",INDEX(MODELOS!$F$4:$F$11,MATCH($D156,MODELOS!$A$4:$A$11,0)),INDEX(MODELOS!$B$4:$B$11,MATCH($D156,MODELOS!$A$4:$A$11,0)))</f>
        <v>Módulo 1 · Banner</v>
      </c>
      <c r="G156" s="11" t="str">
        <f aca="false">IF(INDEX(PRODUTOS!$F$4:$F$63,MATCH($A156,PRODUTOS!$B$4:$B$63,0))="Ração",IF(INDEX(PRODUTOS!$I$4:$I$63,MATCH($A156,PRODUTOS!$B$4:$B$63,0))="B",INDEX(MODELOS!$G$4:$G$11,MATCH($D156,MODELOS!$A$4:$A$11,0)),INDEX(MODELOS!$C$4:$C$11,MATCH($D156,MODELOS!$A$4:$A$11,0))),IF(INDEX(PRODUTOS!$I$4:$I$63,MATCH($A156,PRODUTOS!$B$4:$B$63,0))="B",INDEX(MODELOS!$H$4:$H$11,MATCH($D156,MODELOS!$A$4:$A$11,0)),INDEX(MODELOS!$D$4:$D$11,MATCH($D156,MODELOS!$A$4:$A$11,0))))</f>
        <v>Embalagem + pet + ingredientes, com o nome da linha</v>
      </c>
      <c r="H156" s="11" t="str">
        <f aca="false">IF(INDEX(PRODUTOS!$I$4:$I$63,MATCH($A156,PRODUTOS!$B$4:$B$63,0))="B",INDEX(MODELOS!$I$4:$I$11,MATCH($D156,MODELOS!$A$4:$A$11,0)),INDEX(MODELOS!$E$4:$E$11,MATCH($D156,MODELOS!$A$4:$A$11,0)))</f>
        <v>970 × 600</v>
      </c>
      <c r="I156" s="11" t="str">
        <f aca="false">IF($D156="COMP","SIM",IF(INDEX(PRODUTOS!$J$4:$J$63,MATCH($A156,PRODUTOS!$B$4:$B$63,0))&lt;&gt;"","NÃO (usa o A+ do EAN "&amp;INDEX(PRODUTOS!$J$4:$J$63,MATCH($A156,PRODUTOS!$B$4:$B$63,0))&amp;")",IF(AND(INDEX(PRODUTOS!$I$4:$I$63,MATCH($A156,PRODUTOS!$B$4:$B$63,0))="B",$D156="AP07"),"NÃO (modelo B)","SIM")))</f>
        <v>SIM</v>
      </c>
      <c r="J156" s="13" t="s">
        <v>318</v>
      </c>
      <c r="K156" s="13"/>
    </row>
    <row r="157" customFormat="false" ht="15" hidden="false" customHeight="false" outlineLevel="0" collapsed="false">
      <c r="A157" s="15" t="s">
        <v>120</v>
      </c>
      <c r="B157" s="11" t="str">
        <f aca="false">INDEX(PRODUTOS!$E$4:$E$63,MATCH($A157,PRODUTOS!$B$4:$B$63,0))</f>
        <v>Ração Seca Natural Dots para Cães Sênior - Pacote 15 kg</v>
      </c>
      <c r="C157" s="11" t="str">
        <f aca="false">INDEX(PRODUTOS!$H$4:$H$63,MATCH($A157,PRODUTOS!$B$4:$B$63,0))</f>
        <v>15 kg</v>
      </c>
      <c r="D157" s="11" t="s">
        <v>319</v>
      </c>
      <c r="E157" s="16" t="str">
        <f aca="false">$A157&amp;"."&amp;$D157&amp;".jpg"</f>
        <v>7898968541276.AP02.jpg</v>
      </c>
      <c r="F157" s="11" t="str">
        <f aca="false">IF(INDEX(PRODUTOS!$I$4:$I$63,MATCH($A157,PRODUTOS!$B$4:$B$63,0))="B",INDEX(MODELOS!$F$4:$F$11,MATCH($D157,MODELOS!$A$4:$A$11,0)),INDEX(MODELOS!$B$4:$B$11,MATCH($D157,MODELOS!$A$4:$A$11,0)))</f>
        <v>Módulo 2 · Texto sobreposto</v>
      </c>
      <c r="G157" s="11" t="str">
        <f aca="false">IF(INDEX(PRODUTOS!$F$4:$F$63,MATCH($A157,PRODUTOS!$B$4:$B$63,0))="Ração",IF(INDEX(PRODUTOS!$I$4:$I$63,MATCH($A157,PRODUTOS!$B$4:$B$63,0))="B",INDEX(MODELOS!$G$4:$G$11,MATCH($D157,MODELOS!$A$4:$A$11,0)),INDEX(MODELOS!$C$4:$C$11,MATCH($D157,MODELOS!$A$4:$A$11,0))),IF(INDEX(PRODUTOS!$I$4:$I$63,MATCH($A157,PRODUTOS!$B$4:$B$63,0))="B",INDEX(MODELOS!$H$4:$H$11,MATCH($D157,MODELOS!$A$4:$A$11,0)),INDEX(MODELOS!$D$4:$D$11,MATCH($D157,MODELOS!$A$4:$A$11,0))))</f>
        <v>Principal diferencial; deixar o lado direito limpo</v>
      </c>
      <c r="H157" s="11" t="str">
        <f aca="false">IF(INDEX(PRODUTOS!$I$4:$I$63,MATCH($A157,PRODUTOS!$B$4:$B$63,0))="B",INDEX(MODELOS!$I$4:$I$11,MATCH($D157,MODELOS!$A$4:$A$11,0)),INDEX(MODELOS!$E$4:$E$11,MATCH($D157,MODELOS!$A$4:$A$11,0)))</f>
        <v>970 × 300</v>
      </c>
      <c r="I157" s="11" t="str">
        <f aca="false">IF($D157="COMP","SIM",IF(INDEX(PRODUTOS!$J$4:$J$63,MATCH($A157,PRODUTOS!$B$4:$B$63,0))&lt;&gt;"","NÃO (usa o A+ do EAN "&amp;INDEX(PRODUTOS!$J$4:$J$63,MATCH($A157,PRODUTOS!$B$4:$B$63,0))&amp;")",IF(AND(INDEX(PRODUTOS!$I$4:$I$63,MATCH($A157,PRODUTOS!$B$4:$B$63,0))="B",$D157="AP07"),"NÃO (modelo B)","SIM")))</f>
        <v>SIM</v>
      </c>
      <c r="J157" s="13" t="s">
        <v>318</v>
      </c>
      <c r="K157" s="13"/>
    </row>
    <row r="158" customFormat="false" ht="15" hidden="false" customHeight="false" outlineLevel="0" collapsed="false">
      <c r="A158" s="15" t="s">
        <v>120</v>
      </c>
      <c r="B158" s="11" t="str">
        <f aca="false">INDEX(PRODUTOS!$E$4:$E$63,MATCH($A158,PRODUTOS!$B$4:$B$63,0))</f>
        <v>Ração Seca Natural Dots para Cães Sênior - Pacote 15 kg</v>
      </c>
      <c r="C158" s="11" t="str">
        <f aca="false">INDEX(PRODUTOS!$H$4:$H$63,MATCH($A158,PRODUTOS!$B$4:$B$63,0))</f>
        <v>15 kg</v>
      </c>
      <c r="D158" s="11" t="s">
        <v>320</v>
      </c>
      <c r="E158" s="16" t="str">
        <f aca="false">$A158&amp;"."&amp;$D158&amp;".jpg"</f>
        <v>7898968541276.AP03.jpg</v>
      </c>
      <c r="F158" s="11" t="str">
        <f aca="false">IF(INDEX(PRODUTOS!$I$4:$I$63,MATCH($A158,PRODUTOS!$B$4:$B$63,0))="B",INDEX(MODELOS!$F$4:$F$11,MATCH($D158,MODELOS!$A$4:$A$11,0)),INDEX(MODELOS!$B$4:$B$11,MATCH($D158,MODELOS!$A$4:$A$11,0)))</f>
        <v>Módulo 3 · Benefício 1 de 4</v>
      </c>
      <c r="G158" s="11" t="str">
        <f aca="false">IF(INDEX(PRODUTOS!$F$4:$F$63,MATCH($A158,PRODUTOS!$B$4:$B$63,0))="Ração",IF(INDEX(PRODUTOS!$I$4:$I$63,MATCH($A158,PRODUTOS!$B$4:$B$63,0))="B",INDEX(MODELOS!$G$4:$G$11,MATCH($D158,MODELOS!$A$4:$A$11,0)),INDEX(MODELOS!$C$4:$C$11,MATCH($D158,MODELOS!$A$4:$A$11,0))),IF(INDEX(PRODUTOS!$I$4:$I$63,MATCH($A158,PRODUTOS!$B$4:$B$63,0))="B",INDEX(MODELOS!$H$4:$H$11,MATCH($D158,MODELOS!$A$4:$A$11,0)),INDEX(MODELOS!$D$4:$D$11,MATCH($D158,MODELOS!$A$4:$A$11,0))))</f>
        <v>Foto/ilustração do benefício 1</v>
      </c>
      <c r="H158" s="11" t="str">
        <f aca="false">IF(INDEX(PRODUTOS!$I$4:$I$63,MATCH($A158,PRODUTOS!$B$4:$B$63,0))="B",INDEX(MODELOS!$I$4:$I$11,MATCH($D158,MODELOS!$A$4:$A$11,0)),INDEX(MODELOS!$E$4:$E$11,MATCH($D158,MODELOS!$A$4:$A$11,0)))</f>
        <v>220 × 200</v>
      </c>
      <c r="I158" s="11" t="str">
        <f aca="false">IF($D158="COMP","SIM",IF(INDEX(PRODUTOS!$J$4:$J$63,MATCH($A158,PRODUTOS!$B$4:$B$63,0))&lt;&gt;"","NÃO (usa o A+ do EAN "&amp;INDEX(PRODUTOS!$J$4:$J$63,MATCH($A158,PRODUTOS!$B$4:$B$63,0))&amp;")",IF(AND(INDEX(PRODUTOS!$I$4:$I$63,MATCH($A158,PRODUTOS!$B$4:$B$63,0))="B",$D158="AP07"),"NÃO (modelo B)","SIM")))</f>
        <v>SIM</v>
      </c>
      <c r="J158" s="13" t="s">
        <v>318</v>
      </c>
      <c r="K158" s="13"/>
    </row>
    <row r="159" customFormat="false" ht="15" hidden="false" customHeight="false" outlineLevel="0" collapsed="false">
      <c r="A159" s="15" t="s">
        <v>120</v>
      </c>
      <c r="B159" s="11" t="str">
        <f aca="false">INDEX(PRODUTOS!$E$4:$E$63,MATCH($A159,PRODUTOS!$B$4:$B$63,0))</f>
        <v>Ração Seca Natural Dots para Cães Sênior - Pacote 15 kg</v>
      </c>
      <c r="C159" s="11" t="str">
        <f aca="false">INDEX(PRODUTOS!$H$4:$H$63,MATCH($A159,PRODUTOS!$B$4:$B$63,0))</f>
        <v>15 kg</v>
      </c>
      <c r="D159" s="11" t="s">
        <v>321</v>
      </c>
      <c r="E159" s="16" t="str">
        <f aca="false">$A159&amp;"."&amp;$D159&amp;".jpg"</f>
        <v>7898968541276.AP04.jpg</v>
      </c>
      <c r="F159" s="11" t="str">
        <f aca="false">IF(INDEX(PRODUTOS!$I$4:$I$63,MATCH($A159,PRODUTOS!$B$4:$B$63,0))="B",INDEX(MODELOS!$F$4:$F$11,MATCH($D159,MODELOS!$A$4:$A$11,0)),INDEX(MODELOS!$B$4:$B$11,MATCH($D159,MODELOS!$A$4:$A$11,0)))</f>
        <v>Módulo 3 · Benefício 2 de 4</v>
      </c>
      <c r="G159" s="11" t="str">
        <f aca="false">IF(INDEX(PRODUTOS!$F$4:$F$63,MATCH($A159,PRODUTOS!$B$4:$B$63,0))="Ração",IF(INDEX(PRODUTOS!$I$4:$I$63,MATCH($A159,PRODUTOS!$B$4:$B$63,0))="B",INDEX(MODELOS!$G$4:$G$11,MATCH($D159,MODELOS!$A$4:$A$11,0)),INDEX(MODELOS!$C$4:$C$11,MATCH($D159,MODELOS!$A$4:$A$11,0))),IF(INDEX(PRODUTOS!$I$4:$I$63,MATCH($A159,PRODUTOS!$B$4:$B$63,0))="B",INDEX(MODELOS!$H$4:$H$11,MATCH($D159,MODELOS!$A$4:$A$11,0)),INDEX(MODELOS!$D$4:$D$11,MATCH($D159,MODELOS!$A$4:$A$11,0))))</f>
        <v>Foto/ilustração do benefício 2</v>
      </c>
      <c r="H159" s="11" t="str">
        <f aca="false">IF(INDEX(PRODUTOS!$I$4:$I$63,MATCH($A159,PRODUTOS!$B$4:$B$63,0))="B",INDEX(MODELOS!$I$4:$I$11,MATCH($D159,MODELOS!$A$4:$A$11,0)),INDEX(MODELOS!$E$4:$E$11,MATCH($D159,MODELOS!$A$4:$A$11,0)))</f>
        <v>220 × 200</v>
      </c>
      <c r="I159" s="11" t="str">
        <f aca="false">IF($D159="COMP","SIM",IF(INDEX(PRODUTOS!$J$4:$J$63,MATCH($A159,PRODUTOS!$B$4:$B$63,0))&lt;&gt;"","NÃO (usa o A+ do EAN "&amp;INDEX(PRODUTOS!$J$4:$J$63,MATCH($A159,PRODUTOS!$B$4:$B$63,0))&amp;")",IF(AND(INDEX(PRODUTOS!$I$4:$I$63,MATCH($A159,PRODUTOS!$B$4:$B$63,0))="B",$D159="AP07"),"NÃO (modelo B)","SIM")))</f>
        <v>SIM</v>
      </c>
      <c r="J159" s="13" t="s">
        <v>318</v>
      </c>
      <c r="K159" s="13"/>
    </row>
    <row r="160" customFormat="false" ht="15" hidden="false" customHeight="false" outlineLevel="0" collapsed="false">
      <c r="A160" s="15" t="s">
        <v>120</v>
      </c>
      <c r="B160" s="11" t="str">
        <f aca="false">INDEX(PRODUTOS!$E$4:$E$63,MATCH($A160,PRODUTOS!$B$4:$B$63,0))</f>
        <v>Ração Seca Natural Dots para Cães Sênior - Pacote 15 kg</v>
      </c>
      <c r="C160" s="11" t="str">
        <f aca="false">INDEX(PRODUTOS!$H$4:$H$63,MATCH($A160,PRODUTOS!$B$4:$B$63,0))</f>
        <v>15 kg</v>
      </c>
      <c r="D160" s="11" t="s">
        <v>322</v>
      </c>
      <c r="E160" s="16" t="str">
        <f aca="false">$A160&amp;"."&amp;$D160&amp;".jpg"</f>
        <v>7898968541276.AP05.jpg</v>
      </c>
      <c r="F160" s="11" t="str">
        <f aca="false">IF(INDEX(PRODUTOS!$I$4:$I$63,MATCH($A160,PRODUTOS!$B$4:$B$63,0))="B",INDEX(MODELOS!$F$4:$F$11,MATCH($D160,MODELOS!$A$4:$A$11,0)),INDEX(MODELOS!$B$4:$B$11,MATCH($D160,MODELOS!$A$4:$A$11,0)))</f>
        <v>Módulo 3 · Benefício 3 de 4</v>
      </c>
      <c r="G160" s="11" t="str">
        <f aca="false">IF(INDEX(PRODUTOS!$F$4:$F$63,MATCH($A160,PRODUTOS!$B$4:$B$63,0))="Ração",IF(INDEX(PRODUTOS!$I$4:$I$63,MATCH($A160,PRODUTOS!$B$4:$B$63,0))="B",INDEX(MODELOS!$G$4:$G$11,MATCH($D160,MODELOS!$A$4:$A$11,0)),INDEX(MODELOS!$C$4:$C$11,MATCH($D160,MODELOS!$A$4:$A$11,0))),IF(INDEX(PRODUTOS!$I$4:$I$63,MATCH($A160,PRODUTOS!$B$4:$B$63,0))="B",INDEX(MODELOS!$H$4:$H$11,MATCH($D160,MODELOS!$A$4:$A$11,0)),INDEX(MODELOS!$D$4:$D$11,MATCH($D160,MODELOS!$A$4:$A$11,0))))</f>
        <v>Foto/ilustração do benefício 3</v>
      </c>
      <c r="H160" s="11" t="str">
        <f aca="false">IF(INDEX(PRODUTOS!$I$4:$I$63,MATCH($A160,PRODUTOS!$B$4:$B$63,0))="B",INDEX(MODELOS!$I$4:$I$11,MATCH($D160,MODELOS!$A$4:$A$11,0)),INDEX(MODELOS!$E$4:$E$11,MATCH($D160,MODELOS!$A$4:$A$11,0)))</f>
        <v>220 × 200</v>
      </c>
      <c r="I160" s="11" t="str">
        <f aca="false">IF($D160="COMP","SIM",IF(INDEX(PRODUTOS!$J$4:$J$63,MATCH($A160,PRODUTOS!$B$4:$B$63,0))&lt;&gt;"","NÃO (usa o A+ do EAN "&amp;INDEX(PRODUTOS!$J$4:$J$63,MATCH($A160,PRODUTOS!$B$4:$B$63,0))&amp;")",IF(AND(INDEX(PRODUTOS!$I$4:$I$63,MATCH($A160,PRODUTOS!$B$4:$B$63,0))="B",$D160="AP07"),"NÃO (modelo B)","SIM")))</f>
        <v>SIM</v>
      </c>
      <c r="J160" s="13" t="s">
        <v>318</v>
      </c>
      <c r="K160" s="13"/>
    </row>
    <row r="161" customFormat="false" ht="15" hidden="false" customHeight="false" outlineLevel="0" collapsed="false">
      <c r="A161" s="15" t="s">
        <v>120</v>
      </c>
      <c r="B161" s="11" t="str">
        <f aca="false">INDEX(PRODUTOS!$E$4:$E$63,MATCH($A161,PRODUTOS!$B$4:$B$63,0))</f>
        <v>Ração Seca Natural Dots para Cães Sênior - Pacote 15 kg</v>
      </c>
      <c r="C161" s="11" t="str">
        <f aca="false">INDEX(PRODUTOS!$H$4:$H$63,MATCH($A161,PRODUTOS!$B$4:$B$63,0))</f>
        <v>15 kg</v>
      </c>
      <c r="D161" s="11" t="s">
        <v>323</v>
      </c>
      <c r="E161" s="16" t="str">
        <f aca="false">$A161&amp;"."&amp;$D161&amp;".jpg"</f>
        <v>7898968541276.AP06.jpg</v>
      </c>
      <c r="F161" s="11" t="str">
        <f aca="false">IF(INDEX(PRODUTOS!$I$4:$I$63,MATCH($A161,PRODUTOS!$B$4:$B$63,0))="B",INDEX(MODELOS!$F$4:$F$11,MATCH($D161,MODELOS!$A$4:$A$11,0)),INDEX(MODELOS!$B$4:$B$11,MATCH($D161,MODELOS!$A$4:$A$11,0)))</f>
        <v>Módulo 3 · Benefício 4 de 4</v>
      </c>
      <c r="G161" s="11" t="str">
        <f aca="false">IF(INDEX(PRODUTOS!$F$4:$F$63,MATCH($A161,PRODUTOS!$B$4:$B$63,0))="Ração",IF(INDEX(PRODUTOS!$I$4:$I$63,MATCH($A161,PRODUTOS!$B$4:$B$63,0))="B",INDEX(MODELOS!$G$4:$G$11,MATCH($D161,MODELOS!$A$4:$A$11,0)),INDEX(MODELOS!$C$4:$C$11,MATCH($D161,MODELOS!$A$4:$A$11,0))),IF(INDEX(PRODUTOS!$I$4:$I$63,MATCH($A161,PRODUTOS!$B$4:$B$63,0))="B",INDEX(MODELOS!$H$4:$H$11,MATCH($D161,MODELOS!$A$4:$A$11,0)),INDEX(MODELOS!$D$4:$D$11,MATCH($D161,MODELOS!$A$4:$A$11,0))))</f>
        <v>Foto/ilustração do benefício 4</v>
      </c>
      <c r="H161" s="11" t="str">
        <f aca="false">IF(INDEX(PRODUTOS!$I$4:$I$63,MATCH($A161,PRODUTOS!$B$4:$B$63,0))="B",INDEX(MODELOS!$I$4:$I$11,MATCH($D161,MODELOS!$A$4:$A$11,0)),INDEX(MODELOS!$E$4:$E$11,MATCH($D161,MODELOS!$A$4:$A$11,0)))</f>
        <v>220 × 200</v>
      </c>
      <c r="I161" s="11" t="str">
        <f aca="false">IF($D161="COMP","SIM",IF(INDEX(PRODUTOS!$J$4:$J$63,MATCH($A161,PRODUTOS!$B$4:$B$63,0))&lt;&gt;"","NÃO (usa o A+ do EAN "&amp;INDEX(PRODUTOS!$J$4:$J$63,MATCH($A161,PRODUTOS!$B$4:$B$63,0))&amp;")",IF(AND(INDEX(PRODUTOS!$I$4:$I$63,MATCH($A161,PRODUTOS!$B$4:$B$63,0))="B",$D161="AP07"),"NÃO (modelo B)","SIM")))</f>
        <v>SIM</v>
      </c>
      <c r="J161" s="13" t="s">
        <v>318</v>
      </c>
      <c r="K161" s="13"/>
    </row>
    <row r="162" customFormat="false" ht="15" hidden="false" customHeight="false" outlineLevel="0" collapsed="false">
      <c r="A162" s="15" t="s">
        <v>120</v>
      </c>
      <c r="B162" s="11" t="str">
        <f aca="false">INDEX(PRODUTOS!$E$4:$E$63,MATCH($A162,PRODUTOS!$B$4:$B$63,0))</f>
        <v>Ração Seca Natural Dots para Cães Sênior - Pacote 15 kg</v>
      </c>
      <c r="C162" s="11" t="str">
        <f aca="false">INDEX(PRODUTOS!$H$4:$H$63,MATCH($A162,PRODUTOS!$B$4:$B$63,0))</f>
        <v>15 kg</v>
      </c>
      <c r="D162" s="11" t="s">
        <v>324</v>
      </c>
      <c r="E162" s="16" t="str">
        <f aca="false">$A162&amp;"."&amp;$D162&amp;".jpg"</f>
        <v>7898968541276.AP07.jpg</v>
      </c>
      <c r="F162" s="11" t="str">
        <f aca="false">IF(INDEX(PRODUTOS!$I$4:$I$63,MATCH($A162,PRODUTOS!$B$4:$B$63,0))="B",INDEX(MODELOS!$F$4:$F$11,MATCH($D162,MODELOS!$A$4:$A$11,0)),INDEX(MODELOS!$B$4:$B$11,MATCH($D162,MODELOS!$A$4:$A$11,0)))</f>
        <v>Módulo 4 · Especificações</v>
      </c>
      <c r="G162" s="11" t="str">
        <f aca="false">IF(INDEX(PRODUTOS!$F$4:$F$63,MATCH($A162,PRODUTOS!$B$4:$B$63,0))="Ração",IF(INDEX(PRODUTOS!$I$4:$I$63,MATCH($A162,PRODUTOS!$B$4:$B$63,0))="B",INDEX(MODELOS!$G$4:$G$11,MATCH($D162,MODELOS!$A$4:$A$11,0)),INDEX(MODELOS!$C$4:$C$11,MATCH($D162,MODELOS!$A$4:$A$11,0))),IF(INDEX(PRODUTOS!$I$4:$I$63,MATCH($A162,PRODUTOS!$B$4:$B$63,0))="B",INDEX(MODELOS!$H$4:$H$11,MATCH($D162,MODELOS!$A$4:$A$11,0)),INDEX(MODELOS!$D$4:$D$11,MATCH($D162,MODELOS!$A$4:$A$11,0))))</f>
        <v>Grão ou pacote em destaque</v>
      </c>
      <c r="H162" s="11" t="str">
        <f aca="false">IF(INDEX(PRODUTOS!$I$4:$I$63,MATCH($A162,PRODUTOS!$B$4:$B$63,0))="B",INDEX(MODELOS!$I$4:$I$11,MATCH($D162,MODELOS!$A$4:$A$11,0)),INDEX(MODELOS!$E$4:$E$11,MATCH($D162,MODELOS!$A$4:$A$11,0)))</f>
        <v>300 × 300</v>
      </c>
      <c r="I162" s="11" t="str">
        <f aca="false">IF($D162="COMP","SIM",IF(INDEX(PRODUTOS!$J$4:$J$63,MATCH($A162,PRODUTOS!$B$4:$B$63,0))&lt;&gt;"","NÃO (usa o A+ do EAN "&amp;INDEX(PRODUTOS!$J$4:$J$63,MATCH($A162,PRODUTOS!$B$4:$B$63,0))&amp;")",IF(AND(INDEX(PRODUTOS!$I$4:$I$63,MATCH($A162,PRODUTOS!$B$4:$B$63,0))="B",$D162="AP07"),"NÃO (modelo B)","SIM")))</f>
        <v>SIM</v>
      </c>
      <c r="J162" s="13" t="s">
        <v>318</v>
      </c>
      <c r="K162" s="13"/>
    </row>
    <row r="163" customFormat="false" ht="15" hidden="false" customHeight="false" outlineLevel="0" collapsed="false">
      <c r="A163" s="15" t="s">
        <v>120</v>
      </c>
      <c r="B163" s="11" t="str">
        <f aca="false">INDEX(PRODUTOS!$E$4:$E$63,MATCH($A163,PRODUTOS!$B$4:$B$63,0))</f>
        <v>Ração Seca Natural Dots para Cães Sênior - Pacote 15 kg</v>
      </c>
      <c r="C163" s="11" t="str">
        <f aca="false">INDEX(PRODUTOS!$H$4:$H$63,MATCH($A163,PRODUTOS!$B$4:$B$63,0))</f>
        <v>15 kg</v>
      </c>
      <c r="D163" s="11" t="s">
        <v>325</v>
      </c>
      <c r="E163" s="16" t="str">
        <f aca="false">$A163&amp;"."&amp;$D163&amp;".jpg"</f>
        <v>7898968541276.COMP.jpg</v>
      </c>
      <c r="F163" s="11" t="str">
        <f aca="false">IF(INDEX(PRODUTOS!$I$4:$I$63,MATCH($A163,PRODUTOS!$B$4:$B$63,0))="B",INDEX(MODELOS!$F$4:$F$11,MATCH($D163,MODELOS!$A$4:$A$11,0)),INDEX(MODELOS!$B$4:$B$11,MATCH($D163,MODELOS!$A$4:$A$11,0)))</f>
        <v>Módulo 5 · Tabela comparativa</v>
      </c>
      <c r="G163" s="11" t="str">
        <f aca="false">IF(INDEX(PRODUTOS!$F$4:$F$63,MATCH($A163,PRODUTOS!$B$4:$B$63,0))="Ração",IF(INDEX(PRODUTOS!$I$4:$I$63,MATCH($A163,PRODUTOS!$B$4:$B$63,0))="B",INDEX(MODELOS!$G$4:$G$11,MATCH($D163,MODELOS!$A$4:$A$11,0)),INDEX(MODELOS!$C$4:$C$11,MATCH($D163,MODELOS!$A$4:$A$11,0))),IF(INDEX(PRODUTOS!$I$4:$I$63,MATCH($A163,PRODUTOS!$B$4:$B$63,0))="B",INDEX(MODELOS!$H$4:$H$11,MATCH($D163,MODELOS!$A$4:$A$11,0)),INDEX(MODELOS!$D$4:$D$11,MATCH($D163,MODELOS!$A$4:$A$11,0))))</f>
        <v>Pacote na vertical, sem fundo colorido</v>
      </c>
      <c r="H163" s="11" t="str">
        <f aca="false">IF(INDEX(PRODUTOS!$I$4:$I$63,MATCH($A163,PRODUTOS!$B$4:$B$63,0))="B",INDEX(MODELOS!$I$4:$I$11,MATCH($D163,MODELOS!$A$4:$A$11,0)),INDEX(MODELOS!$E$4:$E$11,MATCH($D163,MODELOS!$A$4:$A$11,0)))</f>
        <v>150 × 300</v>
      </c>
      <c r="I163" s="11" t="str">
        <f aca="false">IF($D163="COMP","SIM",IF(INDEX(PRODUTOS!$J$4:$J$63,MATCH($A163,PRODUTOS!$B$4:$B$63,0))&lt;&gt;"","NÃO (usa o A+ do EAN "&amp;INDEX(PRODUTOS!$J$4:$J$63,MATCH($A163,PRODUTOS!$B$4:$B$63,0))&amp;")",IF(AND(INDEX(PRODUTOS!$I$4:$I$63,MATCH($A163,PRODUTOS!$B$4:$B$63,0))="B",$D163="AP07"),"NÃO (modelo B)","SIM")))</f>
        <v>SIM</v>
      </c>
      <c r="J163" s="13" t="s">
        <v>318</v>
      </c>
      <c r="K163" s="13"/>
    </row>
    <row r="164" customFormat="false" ht="15" hidden="false" customHeight="false" outlineLevel="0" collapsed="false">
      <c r="A164" s="15" t="s">
        <v>125</v>
      </c>
      <c r="B164" s="11" t="str">
        <f aca="false">INDEX(PRODUTOS!$E$4:$E$63,MATCH($A164,PRODUTOS!$B$4:$B$63,0))</f>
        <v>Ração Seca Natural Dots para Cães Sênior - Pacote 1 kg</v>
      </c>
      <c r="C164" s="11" t="str">
        <f aca="false">INDEX(PRODUTOS!$H$4:$H$63,MATCH($A164,PRODUTOS!$B$4:$B$63,0))</f>
        <v>1 kg</v>
      </c>
      <c r="D164" s="11" t="s">
        <v>317</v>
      </c>
      <c r="E164" s="16" t="str">
        <f aca="false">$A164&amp;"."&amp;$D164&amp;".jpg"</f>
        <v>7908591300154.AP01.jpg</v>
      </c>
      <c r="F164" s="11" t="str">
        <f aca="false">IF(INDEX(PRODUTOS!$I$4:$I$63,MATCH($A164,PRODUTOS!$B$4:$B$63,0))="B",INDEX(MODELOS!$F$4:$F$11,MATCH($D164,MODELOS!$A$4:$A$11,0)),INDEX(MODELOS!$B$4:$B$11,MATCH($D164,MODELOS!$A$4:$A$11,0)))</f>
        <v>Módulo 1 · Banner</v>
      </c>
      <c r="G164" s="11" t="str">
        <f aca="false">IF(INDEX(PRODUTOS!$F$4:$F$63,MATCH($A164,PRODUTOS!$B$4:$B$63,0))="Ração",IF(INDEX(PRODUTOS!$I$4:$I$63,MATCH($A164,PRODUTOS!$B$4:$B$63,0))="B",INDEX(MODELOS!$G$4:$G$11,MATCH($D164,MODELOS!$A$4:$A$11,0)),INDEX(MODELOS!$C$4:$C$11,MATCH($D164,MODELOS!$A$4:$A$11,0))),IF(INDEX(PRODUTOS!$I$4:$I$63,MATCH($A164,PRODUTOS!$B$4:$B$63,0))="B",INDEX(MODELOS!$H$4:$H$11,MATCH($D164,MODELOS!$A$4:$A$11,0)),INDEX(MODELOS!$D$4:$D$11,MATCH($D164,MODELOS!$A$4:$A$11,0))))</f>
        <v>Embalagem + pet + ingredientes, com o nome da linha</v>
      </c>
      <c r="H164" s="11" t="str">
        <f aca="false">IF(INDEX(PRODUTOS!$I$4:$I$63,MATCH($A164,PRODUTOS!$B$4:$B$63,0))="B",INDEX(MODELOS!$I$4:$I$11,MATCH($D164,MODELOS!$A$4:$A$11,0)),INDEX(MODELOS!$E$4:$E$11,MATCH($D164,MODELOS!$A$4:$A$11,0)))</f>
        <v>970 × 600</v>
      </c>
      <c r="I164" s="11" t="str">
        <f aca="false">IF($D164="COMP","SIM",IF(INDEX(PRODUTOS!$J$4:$J$63,MATCH($A164,PRODUTOS!$B$4:$B$63,0))&lt;&gt;"","NÃO (usa o A+ do EAN "&amp;INDEX(PRODUTOS!$J$4:$J$63,MATCH($A164,PRODUTOS!$B$4:$B$63,0))&amp;")",IF(AND(INDEX(PRODUTOS!$I$4:$I$63,MATCH($A164,PRODUTOS!$B$4:$B$63,0))="B",$D164="AP07"),"NÃO (modelo B)","SIM")))</f>
        <v>NÃO (usa o A+ do EAN 7898968541276)</v>
      </c>
      <c r="J164" s="13" t="s">
        <v>318</v>
      </c>
      <c r="K164" s="13"/>
    </row>
    <row r="165" customFormat="false" ht="15" hidden="false" customHeight="false" outlineLevel="0" collapsed="false">
      <c r="A165" s="15" t="s">
        <v>125</v>
      </c>
      <c r="B165" s="11" t="str">
        <f aca="false">INDEX(PRODUTOS!$E$4:$E$63,MATCH($A165,PRODUTOS!$B$4:$B$63,0))</f>
        <v>Ração Seca Natural Dots para Cães Sênior - Pacote 1 kg</v>
      </c>
      <c r="C165" s="11" t="str">
        <f aca="false">INDEX(PRODUTOS!$H$4:$H$63,MATCH($A165,PRODUTOS!$B$4:$B$63,0))</f>
        <v>1 kg</v>
      </c>
      <c r="D165" s="11" t="s">
        <v>319</v>
      </c>
      <c r="E165" s="16" t="str">
        <f aca="false">$A165&amp;"."&amp;$D165&amp;".jpg"</f>
        <v>7908591300154.AP02.jpg</v>
      </c>
      <c r="F165" s="11" t="str">
        <f aca="false">IF(INDEX(PRODUTOS!$I$4:$I$63,MATCH($A165,PRODUTOS!$B$4:$B$63,0))="B",INDEX(MODELOS!$F$4:$F$11,MATCH($D165,MODELOS!$A$4:$A$11,0)),INDEX(MODELOS!$B$4:$B$11,MATCH($D165,MODELOS!$A$4:$A$11,0)))</f>
        <v>Módulo 2 · Texto sobreposto</v>
      </c>
      <c r="G165" s="11" t="str">
        <f aca="false">IF(INDEX(PRODUTOS!$F$4:$F$63,MATCH($A165,PRODUTOS!$B$4:$B$63,0))="Ração",IF(INDEX(PRODUTOS!$I$4:$I$63,MATCH($A165,PRODUTOS!$B$4:$B$63,0))="B",INDEX(MODELOS!$G$4:$G$11,MATCH($D165,MODELOS!$A$4:$A$11,0)),INDEX(MODELOS!$C$4:$C$11,MATCH($D165,MODELOS!$A$4:$A$11,0))),IF(INDEX(PRODUTOS!$I$4:$I$63,MATCH($A165,PRODUTOS!$B$4:$B$63,0))="B",INDEX(MODELOS!$H$4:$H$11,MATCH($D165,MODELOS!$A$4:$A$11,0)),INDEX(MODELOS!$D$4:$D$11,MATCH($D165,MODELOS!$A$4:$A$11,0))))</f>
        <v>Principal diferencial; deixar o lado direito limpo</v>
      </c>
      <c r="H165" s="11" t="str">
        <f aca="false">IF(INDEX(PRODUTOS!$I$4:$I$63,MATCH($A165,PRODUTOS!$B$4:$B$63,0))="B",INDEX(MODELOS!$I$4:$I$11,MATCH($D165,MODELOS!$A$4:$A$11,0)),INDEX(MODELOS!$E$4:$E$11,MATCH($D165,MODELOS!$A$4:$A$11,0)))</f>
        <v>970 × 300</v>
      </c>
      <c r="I165" s="11" t="str">
        <f aca="false">IF($D165="COMP","SIM",IF(INDEX(PRODUTOS!$J$4:$J$63,MATCH($A165,PRODUTOS!$B$4:$B$63,0))&lt;&gt;"","NÃO (usa o A+ do EAN "&amp;INDEX(PRODUTOS!$J$4:$J$63,MATCH($A165,PRODUTOS!$B$4:$B$63,0))&amp;")",IF(AND(INDEX(PRODUTOS!$I$4:$I$63,MATCH($A165,PRODUTOS!$B$4:$B$63,0))="B",$D165="AP07"),"NÃO (modelo B)","SIM")))</f>
        <v>NÃO (usa o A+ do EAN 7898968541276)</v>
      </c>
      <c r="J165" s="13" t="s">
        <v>318</v>
      </c>
      <c r="K165" s="13"/>
    </row>
    <row r="166" customFormat="false" ht="15" hidden="false" customHeight="false" outlineLevel="0" collapsed="false">
      <c r="A166" s="15" t="s">
        <v>125</v>
      </c>
      <c r="B166" s="11" t="str">
        <f aca="false">INDEX(PRODUTOS!$E$4:$E$63,MATCH($A166,PRODUTOS!$B$4:$B$63,0))</f>
        <v>Ração Seca Natural Dots para Cães Sênior - Pacote 1 kg</v>
      </c>
      <c r="C166" s="11" t="str">
        <f aca="false">INDEX(PRODUTOS!$H$4:$H$63,MATCH($A166,PRODUTOS!$B$4:$B$63,0))</f>
        <v>1 kg</v>
      </c>
      <c r="D166" s="11" t="s">
        <v>320</v>
      </c>
      <c r="E166" s="16" t="str">
        <f aca="false">$A166&amp;"."&amp;$D166&amp;".jpg"</f>
        <v>7908591300154.AP03.jpg</v>
      </c>
      <c r="F166" s="11" t="str">
        <f aca="false">IF(INDEX(PRODUTOS!$I$4:$I$63,MATCH($A166,PRODUTOS!$B$4:$B$63,0))="B",INDEX(MODELOS!$F$4:$F$11,MATCH($D166,MODELOS!$A$4:$A$11,0)),INDEX(MODELOS!$B$4:$B$11,MATCH($D166,MODELOS!$A$4:$A$11,0)))</f>
        <v>Módulo 3 · Benefício 1 de 4</v>
      </c>
      <c r="G166" s="11" t="str">
        <f aca="false">IF(INDEX(PRODUTOS!$F$4:$F$63,MATCH($A166,PRODUTOS!$B$4:$B$63,0))="Ração",IF(INDEX(PRODUTOS!$I$4:$I$63,MATCH($A166,PRODUTOS!$B$4:$B$63,0))="B",INDEX(MODELOS!$G$4:$G$11,MATCH($D166,MODELOS!$A$4:$A$11,0)),INDEX(MODELOS!$C$4:$C$11,MATCH($D166,MODELOS!$A$4:$A$11,0))),IF(INDEX(PRODUTOS!$I$4:$I$63,MATCH($A166,PRODUTOS!$B$4:$B$63,0))="B",INDEX(MODELOS!$H$4:$H$11,MATCH($D166,MODELOS!$A$4:$A$11,0)),INDEX(MODELOS!$D$4:$D$11,MATCH($D166,MODELOS!$A$4:$A$11,0))))</f>
        <v>Foto/ilustração do benefício 1</v>
      </c>
      <c r="H166" s="11" t="str">
        <f aca="false">IF(INDEX(PRODUTOS!$I$4:$I$63,MATCH($A166,PRODUTOS!$B$4:$B$63,0))="B",INDEX(MODELOS!$I$4:$I$11,MATCH($D166,MODELOS!$A$4:$A$11,0)),INDEX(MODELOS!$E$4:$E$11,MATCH($D166,MODELOS!$A$4:$A$11,0)))</f>
        <v>220 × 200</v>
      </c>
      <c r="I166" s="11" t="str">
        <f aca="false">IF($D166="COMP","SIM",IF(INDEX(PRODUTOS!$J$4:$J$63,MATCH($A166,PRODUTOS!$B$4:$B$63,0))&lt;&gt;"","NÃO (usa o A+ do EAN "&amp;INDEX(PRODUTOS!$J$4:$J$63,MATCH($A166,PRODUTOS!$B$4:$B$63,0))&amp;")",IF(AND(INDEX(PRODUTOS!$I$4:$I$63,MATCH($A166,PRODUTOS!$B$4:$B$63,0))="B",$D166="AP07"),"NÃO (modelo B)","SIM")))</f>
        <v>NÃO (usa o A+ do EAN 7898968541276)</v>
      </c>
      <c r="J166" s="13" t="s">
        <v>318</v>
      </c>
      <c r="K166" s="13"/>
    </row>
    <row r="167" customFormat="false" ht="15" hidden="false" customHeight="false" outlineLevel="0" collapsed="false">
      <c r="A167" s="15" t="s">
        <v>125</v>
      </c>
      <c r="B167" s="11" t="str">
        <f aca="false">INDEX(PRODUTOS!$E$4:$E$63,MATCH($A167,PRODUTOS!$B$4:$B$63,0))</f>
        <v>Ração Seca Natural Dots para Cães Sênior - Pacote 1 kg</v>
      </c>
      <c r="C167" s="11" t="str">
        <f aca="false">INDEX(PRODUTOS!$H$4:$H$63,MATCH($A167,PRODUTOS!$B$4:$B$63,0))</f>
        <v>1 kg</v>
      </c>
      <c r="D167" s="11" t="s">
        <v>321</v>
      </c>
      <c r="E167" s="16" t="str">
        <f aca="false">$A167&amp;"."&amp;$D167&amp;".jpg"</f>
        <v>7908591300154.AP04.jpg</v>
      </c>
      <c r="F167" s="11" t="str">
        <f aca="false">IF(INDEX(PRODUTOS!$I$4:$I$63,MATCH($A167,PRODUTOS!$B$4:$B$63,0))="B",INDEX(MODELOS!$F$4:$F$11,MATCH($D167,MODELOS!$A$4:$A$11,0)),INDEX(MODELOS!$B$4:$B$11,MATCH($D167,MODELOS!$A$4:$A$11,0)))</f>
        <v>Módulo 3 · Benefício 2 de 4</v>
      </c>
      <c r="G167" s="11" t="str">
        <f aca="false">IF(INDEX(PRODUTOS!$F$4:$F$63,MATCH($A167,PRODUTOS!$B$4:$B$63,0))="Ração",IF(INDEX(PRODUTOS!$I$4:$I$63,MATCH($A167,PRODUTOS!$B$4:$B$63,0))="B",INDEX(MODELOS!$G$4:$G$11,MATCH($D167,MODELOS!$A$4:$A$11,0)),INDEX(MODELOS!$C$4:$C$11,MATCH($D167,MODELOS!$A$4:$A$11,0))),IF(INDEX(PRODUTOS!$I$4:$I$63,MATCH($A167,PRODUTOS!$B$4:$B$63,0))="B",INDEX(MODELOS!$H$4:$H$11,MATCH($D167,MODELOS!$A$4:$A$11,0)),INDEX(MODELOS!$D$4:$D$11,MATCH($D167,MODELOS!$A$4:$A$11,0))))</f>
        <v>Foto/ilustração do benefício 2</v>
      </c>
      <c r="H167" s="11" t="str">
        <f aca="false">IF(INDEX(PRODUTOS!$I$4:$I$63,MATCH($A167,PRODUTOS!$B$4:$B$63,0))="B",INDEX(MODELOS!$I$4:$I$11,MATCH($D167,MODELOS!$A$4:$A$11,0)),INDEX(MODELOS!$E$4:$E$11,MATCH($D167,MODELOS!$A$4:$A$11,0)))</f>
        <v>220 × 200</v>
      </c>
      <c r="I167" s="11" t="str">
        <f aca="false">IF($D167="COMP","SIM",IF(INDEX(PRODUTOS!$J$4:$J$63,MATCH($A167,PRODUTOS!$B$4:$B$63,0))&lt;&gt;"","NÃO (usa o A+ do EAN "&amp;INDEX(PRODUTOS!$J$4:$J$63,MATCH($A167,PRODUTOS!$B$4:$B$63,0))&amp;")",IF(AND(INDEX(PRODUTOS!$I$4:$I$63,MATCH($A167,PRODUTOS!$B$4:$B$63,0))="B",$D167="AP07"),"NÃO (modelo B)","SIM")))</f>
        <v>NÃO (usa o A+ do EAN 7898968541276)</v>
      </c>
      <c r="J167" s="13" t="s">
        <v>318</v>
      </c>
      <c r="K167" s="13"/>
    </row>
    <row r="168" customFormat="false" ht="15" hidden="false" customHeight="false" outlineLevel="0" collapsed="false">
      <c r="A168" s="15" t="s">
        <v>125</v>
      </c>
      <c r="B168" s="11" t="str">
        <f aca="false">INDEX(PRODUTOS!$E$4:$E$63,MATCH($A168,PRODUTOS!$B$4:$B$63,0))</f>
        <v>Ração Seca Natural Dots para Cães Sênior - Pacote 1 kg</v>
      </c>
      <c r="C168" s="11" t="str">
        <f aca="false">INDEX(PRODUTOS!$H$4:$H$63,MATCH($A168,PRODUTOS!$B$4:$B$63,0))</f>
        <v>1 kg</v>
      </c>
      <c r="D168" s="11" t="s">
        <v>322</v>
      </c>
      <c r="E168" s="16" t="str">
        <f aca="false">$A168&amp;"."&amp;$D168&amp;".jpg"</f>
        <v>7908591300154.AP05.jpg</v>
      </c>
      <c r="F168" s="11" t="str">
        <f aca="false">IF(INDEX(PRODUTOS!$I$4:$I$63,MATCH($A168,PRODUTOS!$B$4:$B$63,0))="B",INDEX(MODELOS!$F$4:$F$11,MATCH($D168,MODELOS!$A$4:$A$11,0)),INDEX(MODELOS!$B$4:$B$11,MATCH($D168,MODELOS!$A$4:$A$11,0)))</f>
        <v>Módulo 3 · Benefício 3 de 4</v>
      </c>
      <c r="G168" s="11" t="str">
        <f aca="false">IF(INDEX(PRODUTOS!$F$4:$F$63,MATCH($A168,PRODUTOS!$B$4:$B$63,0))="Ração",IF(INDEX(PRODUTOS!$I$4:$I$63,MATCH($A168,PRODUTOS!$B$4:$B$63,0))="B",INDEX(MODELOS!$G$4:$G$11,MATCH($D168,MODELOS!$A$4:$A$11,0)),INDEX(MODELOS!$C$4:$C$11,MATCH($D168,MODELOS!$A$4:$A$11,0))),IF(INDEX(PRODUTOS!$I$4:$I$63,MATCH($A168,PRODUTOS!$B$4:$B$63,0))="B",INDEX(MODELOS!$H$4:$H$11,MATCH($D168,MODELOS!$A$4:$A$11,0)),INDEX(MODELOS!$D$4:$D$11,MATCH($D168,MODELOS!$A$4:$A$11,0))))</f>
        <v>Foto/ilustração do benefício 3</v>
      </c>
      <c r="H168" s="11" t="str">
        <f aca="false">IF(INDEX(PRODUTOS!$I$4:$I$63,MATCH($A168,PRODUTOS!$B$4:$B$63,0))="B",INDEX(MODELOS!$I$4:$I$11,MATCH($D168,MODELOS!$A$4:$A$11,0)),INDEX(MODELOS!$E$4:$E$11,MATCH($D168,MODELOS!$A$4:$A$11,0)))</f>
        <v>220 × 200</v>
      </c>
      <c r="I168" s="11" t="str">
        <f aca="false">IF($D168="COMP","SIM",IF(INDEX(PRODUTOS!$J$4:$J$63,MATCH($A168,PRODUTOS!$B$4:$B$63,0))&lt;&gt;"","NÃO (usa o A+ do EAN "&amp;INDEX(PRODUTOS!$J$4:$J$63,MATCH($A168,PRODUTOS!$B$4:$B$63,0))&amp;")",IF(AND(INDEX(PRODUTOS!$I$4:$I$63,MATCH($A168,PRODUTOS!$B$4:$B$63,0))="B",$D168="AP07"),"NÃO (modelo B)","SIM")))</f>
        <v>NÃO (usa o A+ do EAN 7898968541276)</v>
      </c>
      <c r="J168" s="13" t="s">
        <v>318</v>
      </c>
      <c r="K168" s="13"/>
    </row>
    <row r="169" customFormat="false" ht="15" hidden="false" customHeight="false" outlineLevel="0" collapsed="false">
      <c r="A169" s="15" t="s">
        <v>125</v>
      </c>
      <c r="B169" s="11" t="str">
        <f aca="false">INDEX(PRODUTOS!$E$4:$E$63,MATCH($A169,PRODUTOS!$B$4:$B$63,0))</f>
        <v>Ração Seca Natural Dots para Cães Sênior - Pacote 1 kg</v>
      </c>
      <c r="C169" s="11" t="str">
        <f aca="false">INDEX(PRODUTOS!$H$4:$H$63,MATCH($A169,PRODUTOS!$B$4:$B$63,0))</f>
        <v>1 kg</v>
      </c>
      <c r="D169" s="11" t="s">
        <v>323</v>
      </c>
      <c r="E169" s="16" t="str">
        <f aca="false">$A169&amp;"."&amp;$D169&amp;".jpg"</f>
        <v>7908591300154.AP06.jpg</v>
      </c>
      <c r="F169" s="11" t="str">
        <f aca="false">IF(INDEX(PRODUTOS!$I$4:$I$63,MATCH($A169,PRODUTOS!$B$4:$B$63,0))="B",INDEX(MODELOS!$F$4:$F$11,MATCH($D169,MODELOS!$A$4:$A$11,0)),INDEX(MODELOS!$B$4:$B$11,MATCH($D169,MODELOS!$A$4:$A$11,0)))</f>
        <v>Módulo 3 · Benefício 4 de 4</v>
      </c>
      <c r="G169" s="11" t="str">
        <f aca="false">IF(INDEX(PRODUTOS!$F$4:$F$63,MATCH($A169,PRODUTOS!$B$4:$B$63,0))="Ração",IF(INDEX(PRODUTOS!$I$4:$I$63,MATCH($A169,PRODUTOS!$B$4:$B$63,0))="B",INDEX(MODELOS!$G$4:$G$11,MATCH($D169,MODELOS!$A$4:$A$11,0)),INDEX(MODELOS!$C$4:$C$11,MATCH($D169,MODELOS!$A$4:$A$11,0))),IF(INDEX(PRODUTOS!$I$4:$I$63,MATCH($A169,PRODUTOS!$B$4:$B$63,0))="B",INDEX(MODELOS!$H$4:$H$11,MATCH($D169,MODELOS!$A$4:$A$11,0)),INDEX(MODELOS!$D$4:$D$11,MATCH($D169,MODELOS!$A$4:$A$11,0))))</f>
        <v>Foto/ilustração do benefício 4</v>
      </c>
      <c r="H169" s="11" t="str">
        <f aca="false">IF(INDEX(PRODUTOS!$I$4:$I$63,MATCH($A169,PRODUTOS!$B$4:$B$63,0))="B",INDEX(MODELOS!$I$4:$I$11,MATCH($D169,MODELOS!$A$4:$A$11,0)),INDEX(MODELOS!$E$4:$E$11,MATCH($D169,MODELOS!$A$4:$A$11,0)))</f>
        <v>220 × 200</v>
      </c>
      <c r="I169" s="11" t="str">
        <f aca="false">IF($D169="COMP","SIM",IF(INDEX(PRODUTOS!$J$4:$J$63,MATCH($A169,PRODUTOS!$B$4:$B$63,0))&lt;&gt;"","NÃO (usa o A+ do EAN "&amp;INDEX(PRODUTOS!$J$4:$J$63,MATCH($A169,PRODUTOS!$B$4:$B$63,0))&amp;")",IF(AND(INDEX(PRODUTOS!$I$4:$I$63,MATCH($A169,PRODUTOS!$B$4:$B$63,0))="B",$D169="AP07"),"NÃO (modelo B)","SIM")))</f>
        <v>NÃO (usa o A+ do EAN 7898968541276)</v>
      </c>
      <c r="J169" s="13" t="s">
        <v>318</v>
      </c>
      <c r="K169" s="13"/>
    </row>
    <row r="170" customFormat="false" ht="15" hidden="false" customHeight="false" outlineLevel="0" collapsed="false">
      <c r="A170" s="15" t="s">
        <v>125</v>
      </c>
      <c r="B170" s="11" t="str">
        <f aca="false">INDEX(PRODUTOS!$E$4:$E$63,MATCH($A170,PRODUTOS!$B$4:$B$63,0))</f>
        <v>Ração Seca Natural Dots para Cães Sênior - Pacote 1 kg</v>
      </c>
      <c r="C170" s="11" t="str">
        <f aca="false">INDEX(PRODUTOS!$H$4:$H$63,MATCH($A170,PRODUTOS!$B$4:$B$63,0))</f>
        <v>1 kg</v>
      </c>
      <c r="D170" s="11" t="s">
        <v>324</v>
      </c>
      <c r="E170" s="16" t="str">
        <f aca="false">$A170&amp;"."&amp;$D170&amp;".jpg"</f>
        <v>7908591300154.AP07.jpg</v>
      </c>
      <c r="F170" s="11" t="str">
        <f aca="false">IF(INDEX(PRODUTOS!$I$4:$I$63,MATCH($A170,PRODUTOS!$B$4:$B$63,0))="B",INDEX(MODELOS!$F$4:$F$11,MATCH($D170,MODELOS!$A$4:$A$11,0)),INDEX(MODELOS!$B$4:$B$11,MATCH($D170,MODELOS!$A$4:$A$11,0)))</f>
        <v>Módulo 4 · Especificações</v>
      </c>
      <c r="G170" s="11" t="str">
        <f aca="false">IF(INDEX(PRODUTOS!$F$4:$F$63,MATCH($A170,PRODUTOS!$B$4:$B$63,0))="Ração",IF(INDEX(PRODUTOS!$I$4:$I$63,MATCH($A170,PRODUTOS!$B$4:$B$63,0))="B",INDEX(MODELOS!$G$4:$G$11,MATCH($D170,MODELOS!$A$4:$A$11,0)),INDEX(MODELOS!$C$4:$C$11,MATCH($D170,MODELOS!$A$4:$A$11,0))),IF(INDEX(PRODUTOS!$I$4:$I$63,MATCH($A170,PRODUTOS!$B$4:$B$63,0))="B",INDEX(MODELOS!$H$4:$H$11,MATCH($D170,MODELOS!$A$4:$A$11,0)),INDEX(MODELOS!$D$4:$D$11,MATCH($D170,MODELOS!$A$4:$A$11,0))))</f>
        <v>Grão ou pacote em destaque</v>
      </c>
      <c r="H170" s="11" t="str">
        <f aca="false">IF(INDEX(PRODUTOS!$I$4:$I$63,MATCH($A170,PRODUTOS!$B$4:$B$63,0))="B",INDEX(MODELOS!$I$4:$I$11,MATCH($D170,MODELOS!$A$4:$A$11,0)),INDEX(MODELOS!$E$4:$E$11,MATCH($D170,MODELOS!$A$4:$A$11,0)))</f>
        <v>300 × 300</v>
      </c>
      <c r="I170" s="11" t="str">
        <f aca="false">IF($D170="COMP","SIM",IF(INDEX(PRODUTOS!$J$4:$J$63,MATCH($A170,PRODUTOS!$B$4:$B$63,0))&lt;&gt;"","NÃO (usa o A+ do EAN "&amp;INDEX(PRODUTOS!$J$4:$J$63,MATCH($A170,PRODUTOS!$B$4:$B$63,0))&amp;")",IF(AND(INDEX(PRODUTOS!$I$4:$I$63,MATCH($A170,PRODUTOS!$B$4:$B$63,0))="B",$D170="AP07"),"NÃO (modelo B)","SIM")))</f>
        <v>NÃO (usa o A+ do EAN 7898968541276)</v>
      </c>
      <c r="J170" s="13" t="s">
        <v>318</v>
      </c>
      <c r="K170" s="13"/>
    </row>
    <row r="171" customFormat="false" ht="15" hidden="false" customHeight="false" outlineLevel="0" collapsed="false">
      <c r="A171" s="15" t="s">
        <v>125</v>
      </c>
      <c r="B171" s="11" t="str">
        <f aca="false">INDEX(PRODUTOS!$E$4:$E$63,MATCH($A171,PRODUTOS!$B$4:$B$63,0))</f>
        <v>Ração Seca Natural Dots para Cães Sênior - Pacote 1 kg</v>
      </c>
      <c r="C171" s="11" t="str">
        <f aca="false">INDEX(PRODUTOS!$H$4:$H$63,MATCH($A171,PRODUTOS!$B$4:$B$63,0))</f>
        <v>1 kg</v>
      </c>
      <c r="D171" s="11" t="s">
        <v>325</v>
      </c>
      <c r="E171" s="16" t="str">
        <f aca="false">$A171&amp;"."&amp;$D171&amp;".jpg"</f>
        <v>7908591300154.COMP.jpg</v>
      </c>
      <c r="F171" s="11" t="str">
        <f aca="false">IF(INDEX(PRODUTOS!$I$4:$I$63,MATCH($A171,PRODUTOS!$B$4:$B$63,0))="B",INDEX(MODELOS!$F$4:$F$11,MATCH($D171,MODELOS!$A$4:$A$11,0)),INDEX(MODELOS!$B$4:$B$11,MATCH($D171,MODELOS!$A$4:$A$11,0)))</f>
        <v>Módulo 5 · Tabela comparativa</v>
      </c>
      <c r="G171" s="11" t="str">
        <f aca="false">IF(INDEX(PRODUTOS!$F$4:$F$63,MATCH($A171,PRODUTOS!$B$4:$B$63,0))="Ração",IF(INDEX(PRODUTOS!$I$4:$I$63,MATCH($A171,PRODUTOS!$B$4:$B$63,0))="B",INDEX(MODELOS!$G$4:$G$11,MATCH($D171,MODELOS!$A$4:$A$11,0)),INDEX(MODELOS!$C$4:$C$11,MATCH($D171,MODELOS!$A$4:$A$11,0))),IF(INDEX(PRODUTOS!$I$4:$I$63,MATCH($A171,PRODUTOS!$B$4:$B$63,0))="B",INDEX(MODELOS!$H$4:$H$11,MATCH($D171,MODELOS!$A$4:$A$11,0)),INDEX(MODELOS!$D$4:$D$11,MATCH($D171,MODELOS!$A$4:$A$11,0))))</f>
        <v>Pacote na vertical, sem fundo colorido</v>
      </c>
      <c r="H171" s="11" t="str">
        <f aca="false">IF(INDEX(PRODUTOS!$I$4:$I$63,MATCH($A171,PRODUTOS!$B$4:$B$63,0))="B",INDEX(MODELOS!$I$4:$I$11,MATCH($D171,MODELOS!$A$4:$A$11,0)),INDEX(MODELOS!$E$4:$E$11,MATCH($D171,MODELOS!$A$4:$A$11,0)))</f>
        <v>150 × 300</v>
      </c>
      <c r="I171" s="11" t="str">
        <f aca="false">IF($D171="COMP","SIM",IF(INDEX(PRODUTOS!$J$4:$J$63,MATCH($A171,PRODUTOS!$B$4:$B$63,0))&lt;&gt;"","NÃO (usa o A+ do EAN "&amp;INDEX(PRODUTOS!$J$4:$J$63,MATCH($A171,PRODUTOS!$B$4:$B$63,0))&amp;")",IF(AND(INDEX(PRODUTOS!$I$4:$I$63,MATCH($A171,PRODUTOS!$B$4:$B$63,0))="B",$D171="AP07"),"NÃO (modelo B)","SIM")))</f>
        <v>SIM</v>
      </c>
      <c r="J171" s="13" t="s">
        <v>318</v>
      </c>
      <c r="K171" s="13"/>
    </row>
    <row r="172" customFormat="false" ht="15" hidden="false" customHeight="false" outlineLevel="0" collapsed="false">
      <c r="A172" s="15" t="s">
        <v>129</v>
      </c>
      <c r="B172" s="11" t="str">
        <f aca="false">INDEX(PRODUTOS!$E$4:$E$63,MATCH($A172,PRODUTOS!$B$4:$B$63,0))</f>
        <v>Ração Seca Natural Dots para Cães de Raças Pequenas - Pacote 15 kg</v>
      </c>
      <c r="C172" s="11" t="str">
        <f aca="false">INDEX(PRODUTOS!$H$4:$H$63,MATCH($A172,PRODUTOS!$B$4:$B$63,0))</f>
        <v>15 kg</v>
      </c>
      <c r="D172" s="11" t="s">
        <v>317</v>
      </c>
      <c r="E172" s="16" t="str">
        <f aca="false">$A172&amp;"."&amp;$D172&amp;".jpg"</f>
        <v>7898968541344.AP01.jpg</v>
      </c>
      <c r="F172" s="11" t="str">
        <f aca="false">IF(INDEX(PRODUTOS!$I$4:$I$63,MATCH($A172,PRODUTOS!$B$4:$B$63,0))="B",INDEX(MODELOS!$F$4:$F$11,MATCH($D172,MODELOS!$A$4:$A$11,0)),INDEX(MODELOS!$B$4:$B$11,MATCH($D172,MODELOS!$A$4:$A$11,0)))</f>
        <v>Módulo 1 · Banner</v>
      </c>
      <c r="G172" s="11" t="str">
        <f aca="false">IF(INDEX(PRODUTOS!$F$4:$F$63,MATCH($A172,PRODUTOS!$B$4:$B$63,0))="Ração",IF(INDEX(PRODUTOS!$I$4:$I$63,MATCH($A172,PRODUTOS!$B$4:$B$63,0))="B",INDEX(MODELOS!$G$4:$G$11,MATCH($D172,MODELOS!$A$4:$A$11,0)),INDEX(MODELOS!$C$4:$C$11,MATCH($D172,MODELOS!$A$4:$A$11,0))),IF(INDEX(PRODUTOS!$I$4:$I$63,MATCH($A172,PRODUTOS!$B$4:$B$63,0))="B",INDEX(MODELOS!$H$4:$H$11,MATCH($D172,MODELOS!$A$4:$A$11,0)),INDEX(MODELOS!$D$4:$D$11,MATCH($D172,MODELOS!$A$4:$A$11,0))))</f>
        <v>Embalagem + pet + ingredientes, com o nome da linha</v>
      </c>
      <c r="H172" s="11" t="str">
        <f aca="false">IF(INDEX(PRODUTOS!$I$4:$I$63,MATCH($A172,PRODUTOS!$B$4:$B$63,0))="B",INDEX(MODELOS!$I$4:$I$11,MATCH($D172,MODELOS!$A$4:$A$11,0)),INDEX(MODELOS!$E$4:$E$11,MATCH($D172,MODELOS!$A$4:$A$11,0)))</f>
        <v>970 × 600</v>
      </c>
      <c r="I172" s="11" t="str">
        <f aca="false">IF($D172="COMP","SIM",IF(INDEX(PRODUTOS!$J$4:$J$63,MATCH($A172,PRODUTOS!$B$4:$B$63,0))&lt;&gt;"","NÃO (usa o A+ do EAN "&amp;INDEX(PRODUTOS!$J$4:$J$63,MATCH($A172,PRODUTOS!$B$4:$B$63,0))&amp;")",IF(AND(INDEX(PRODUTOS!$I$4:$I$63,MATCH($A172,PRODUTOS!$B$4:$B$63,0))="B",$D172="AP07"),"NÃO (modelo B)","SIM")))</f>
        <v>SIM</v>
      </c>
      <c r="J172" s="13" t="s">
        <v>318</v>
      </c>
      <c r="K172" s="13"/>
    </row>
    <row r="173" customFormat="false" ht="15" hidden="false" customHeight="false" outlineLevel="0" collapsed="false">
      <c r="A173" s="15" t="s">
        <v>129</v>
      </c>
      <c r="B173" s="11" t="str">
        <f aca="false">INDEX(PRODUTOS!$E$4:$E$63,MATCH($A173,PRODUTOS!$B$4:$B$63,0))</f>
        <v>Ração Seca Natural Dots para Cães de Raças Pequenas - Pacote 15 kg</v>
      </c>
      <c r="C173" s="11" t="str">
        <f aca="false">INDEX(PRODUTOS!$H$4:$H$63,MATCH($A173,PRODUTOS!$B$4:$B$63,0))</f>
        <v>15 kg</v>
      </c>
      <c r="D173" s="11" t="s">
        <v>319</v>
      </c>
      <c r="E173" s="16" t="str">
        <f aca="false">$A173&amp;"."&amp;$D173&amp;".jpg"</f>
        <v>7898968541344.AP02.jpg</v>
      </c>
      <c r="F173" s="11" t="str">
        <f aca="false">IF(INDEX(PRODUTOS!$I$4:$I$63,MATCH($A173,PRODUTOS!$B$4:$B$63,0))="B",INDEX(MODELOS!$F$4:$F$11,MATCH($D173,MODELOS!$A$4:$A$11,0)),INDEX(MODELOS!$B$4:$B$11,MATCH($D173,MODELOS!$A$4:$A$11,0)))</f>
        <v>Módulo 2 · Texto sobreposto</v>
      </c>
      <c r="G173" s="11" t="str">
        <f aca="false">IF(INDEX(PRODUTOS!$F$4:$F$63,MATCH($A173,PRODUTOS!$B$4:$B$63,0))="Ração",IF(INDEX(PRODUTOS!$I$4:$I$63,MATCH($A173,PRODUTOS!$B$4:$B$63,0))="B",INDEX(MODELOS!$G$4:$G$11,MATCH($D173,MODELOS!$A$4:$A$11,0)),INDEX(MODELOS!$C$4:$C$11,MATCH($D173,MODELOS!$A$4:$A$11,0))),IF(INDEX(PRODUTOS!$I$4:$I$63,MATCH($A173,PRODUTOS!$B$4:$B$63,0))="B",INDEX(MODELOS!$H$4:$H$11,MATCH($D173,MODELOS!$A$4:$A$11,0)),INDEX(MODELOS!$D$4:$D$11,MATCH($D173,MODELOS!$A$4:$A$11,0))))</f>
        <v>Principal diferencial; deixar o lado direito limpo</v>
      </c>
      <c r="H173" s="11" t="str">
        <f aca="false">IF(INDEX(PRODUTOS!$I$4:$I$63,MATCH($A173,PRODUTOS!$B$4:$B$63,0))="B",INDEX(MODELOS!$I$4:$I$11,MATCH($D173,MODELOS!$A$4:$A$11,0)),INDEX(MODELOS!$E$4:$E$11,MATCH($D173,MODELOS!$A$4:$A$11,0)))</f>
        <v>970 × 300</v>
      </c>
      <c r="I173" s="11" t="str">
        <f aca="false">IF($D173="COMP","SIM",IF(INDEX(PRODUTOS!$J$4:$J$63,MATCH($A173,PRODUTOS!$B$4:$B$63,0))&lt;&gt;"","NÃO (usa o A+ do EAN "&amp;INDEX(PRODUTOS!$J$4:$J$63,MATCH($A173,PRODUTOS!$B$4:$B$63,0))&amp;")",IF(AND(INDEX(PRODUTOS!$I$4:$I$63,MATCH($A173,PRODUTOS!$B$4:$B$63,0))="B",$D173="AP07"),"NÃO (modelo B)","SIM")))</f>
        <v>SIM</v>
      </c>
      <c r="J173" s="13" t="s">
        <v>318</v>
      </c>
      <c r="K173" s="13"/>
    </row>
    <row r="174" customFormat="false" ht="15" hidden="false" customHeight="false" outlineLevel="0" collapsed="false">
      <c r="A174" s="15" t="s">
        <v>129</v>
      </c>
      <c r="B174" s="11" t="str">
        <f aca="false">INDEX(PRODUTOS!$E$4:$E$63,MATCH($A174,PRODUTOS!$B$4:$B$63,0))</f>
        <v>Ração Seca Natural Dots para Cães de Raças Pequenas - Pacote 15 kg</v>
      </c>
      <c r="C174" s="11" t="str">
        <f aca="false">INDEX(PRODUTOS!$H$4:$H$63,MATCH($A174,PRODUTOS!$B$4:$B$63,0))</f>
        <v>15 kg</v>
      </c>
      <c r="D174" s="11" t="s">
        <v>320</v>
      </c>
      <c r="E174" s="16" t="str">
        <f aca="false">$A174&amp;"."&amp;$D174&amp;".jpg"</f>
        <v>7898968541344.AP03.jpg</v>
      </c>
      <c r="F174" s="11" t="str">
        <f aca="false">IF(INDEX(PRODUTOS!$I$4:$I$63,MATCH($A174,PRODUTOS!$B$4:$B$63,0))="B",INDEX(MODELOS!$F$4:$F$11,MATCH($D174,MODELOS!$A$4:$A$11,0)),INDEX(MODELOS!$B$4:$B$11,MATCH($D174,MODELOS!$A$4:$A$11,0)))</f>
        <v>Módulo 3 · Benefício 1 de 4</v>
      </c>
      <c r="G174" s="11" t="str">
        <f aca="false">IF(INDEX(PRODUTOS!$F$4:$F$63,MATCH($A174,PRODUTOS!$B$4:$B$63,0))="Ração",IF(INDEX(PRODUTOS!$I$4:$I$63,MATCH($A174,PRODUTOS!$B$4:$B$63,0))="B",INDEX(MODELOS!$G$4:$G$11,MATCH($D174,MODELOS!$A$4:$A$11,0)),INDEX(MODELOS!$C$4:$C$11,MATCH($D174,MODELOS!$A$4:$A$11,0))),IF(INDEX(PRODUTOS!$I$4:$I$63,MATCH($A174,PRODUTOS!$B$4:$B$63,0))="B",INDEX(MODELOS!$H$4:$H$11,MATCH($D174,MODELOS!$A$4:$A$11,0)),INDEX(MODELOS!$D$4:$D$11,MATCH($D174,MODELOS!$A$4:$A$11,0))))</f>
        <v>Foto/ilustração do benefício 1</v>
      </c>
      <c r="H174" s="11" t="str">
        <f aca="false">IF(INDEX(PRODUTOS!$I$4:$I$63,MATCH($A174,PRODUTOS!$B$4:$B$63,0))="B",INDEX(MODELOS!$I$4:$I$11,MATCH($D174,MODELOS!$A$4:$A$11,0)),INDEX(MODELOS!$E$4:$E$11,MATCH($D174,MODELOS!$A$4:$A$11,0)))</f>
        <v>220 × 200</v>
      </c>
      <c r="I174" s="11" t="str">
        <f aca="false">IF($D174="COMP","SIM",IF(INDEX(PRODUTOS!$J$4:$J$63,MATCH($A174,PRODUTOS!$B$4:$B$63,0))&lt;&gt;"","NÃO (usa o A+ do EAN "&amp;INDEX(PRODUTOS!$J$4:$J$63,MATCH($A174,PRODUTOS!$B$4:$B$63,0))&amp;")",IF(AND(INDEX(PRODUTOS!$I$4:$I$63,MATCH($A174,PRODUTOS!$B$4:$B$63,0))="B",$D174="AP07"),"NÃO (modelo B)","SIM")))</f>
        <v>SIM</v>
      </c>
      <c r="J174" s="13" t="s">
        <v>318</v>
      </c>
      <c r="K174" s="13"/>
    </row>
    <row r="175" customFormat="false" ht="15" hidden="false" customHeight="false" outlineLevel="0" collapsed="false">
      <c r="A175" s="15" t="s">
        <v>129</v>
      </c>
      <c r="B175" s="11" t="str">
        <f aca="false">INDEX(PRODUTOS!$E$4:$E$63,MATCH($A175,PRODUTOS!$B$4:$B$63,0))</f>
        <v>Ração Seca Natural Dots para Cães de Raças Pequenas - Pacote 15 kg</v>
      </c>
      <c r="C175" s="11" t="str">
        <f aca="false">INDEX(PRODUTOS!$H$4:$H$63,MATCH($A175,PRODUTOS!$B$4:$B$63,0))</f>
        <v>15 kg</v>
      </c>
      <c r="D175" s="11" t="s">
        <v>321</v>
      </c>
      <c r="E175" s="16" t="str">
        <f aca="false">$A175&amp;"."&amp;$D175&amp;".jpg"</f>
        <v>7898968541344.AP04.jpg</v>
      </c>
      <c r="F175" s="11" t="str">
        <f aca="false">IF(INDEX(PRODUTOS!$I$4:$I$63,MATCH($A175,PRODUTOS!$B$4:$B$63,0))="B",INDEX(MODELOS!$F$4:$F$11,MATCH($D175,MODELOS!$A$4:$A$11,0)),INDEX(MODELOS!$B$4:$B$11,MATCH($D175,MODELOS!$A$4:$A$11,0)))</f>
        <v>Módulo 3 · Benefício 2 de 4</v>
      </c>
      <c r="G175" s="11" t="str">
        <f aca="false">IF(INDEX(PRODUTOS!$F$4:$F$63,MATCH($A175,PRODUTOS!$B$4:$B$63,0))="Ração",IF(INDEX(PRODUTOS!$I$4:$I$63,MATCH($A175,PRODUTOS!$B$4:$B$63,0))="B",INDEX(MODELOS!$G$4:$G$11,MATCH($D175,MODELOS!$A$4:$A$11,0)),INDEX(MODELOS!$C$4:$C$11,MATCH($D175,MODELOS!$A$4:$A$11,0))),IF(INDEX(PRODUTOS!$I$4:$I$63,MATCH($A175,PRODUTOS!$B$4:$B$63,0))="B",INDEX(MODELOS!$H$4:$H$11,MATCH($D175,MODELOS!$A$4:$A$11,0)),INDEX(MODELOS!$D$4:$D$11,MATCH($D175,MODELOS!$A$4:$A$11,0))))</f>
        <v>Foto/ilustração do benefício 2</v>
      </c>
      <c r="H175" s="11" t="str">
        <f aca="false">IF(INDEX(PRODUTOS!$I$4:$I$63,MATCH($A175,PRODUTOS!$B$4:$B$63,0))="B",INDEX(MODELOS!$I$4:$I$11,MATCH($D175,MODELOS!$A$4:$A$11,0)),INDEX(MODELOS!$E$4:$E$11,MATCH($D175,MODELOS!$A$4:$A$11,0)))</f>
        <v>220 × 200</v>
      </c>
      <c r="I175" s="11" t="str">
        <f aca="false">IF($D175="COMP","SIM",IF(INDEX(PRODUTOS!$J$4:$J$63,MATCH($A175,PRODUTOS!$B$4:$B$63,0))&lt;&gt;"","NÃO (usa o A+ do EAN "&amp;INDEX(PRODUTOS!$J$4:$J$63,MATCH($A175,PRODUTOS!$B$4:$B$63,0))&amp;")",IF(AND(INDEX(PRODUTOS!$I$4:$I$63,MATCH($A175,PRODUTOS!$B$4:$B$63,0))="B",$D175="AP07"),"NÃO (modelo B)","SIM")))</f>
        <v>SIM</v>
      </c>
      <c r="J175" s="13" t="s">
        <v>318</v>
      </c>
      <c r="K175" s="13"/>
    </row>
    <row r="176" customFormat="false" ht="15" hidden="false" customHeight="false" outlineLevel="0" collapsed="false">
      <c r="A176" s="15" t="s">
        <v>129</v>
      </c>
      <c r="B176" s="11" t="str">
        <f aca="false">INDEX(PRODUTOS!$E$4:$E$63,MATCH($A176,PRODUTOS!$B$4:$B$63,0))</f>
        <v>Ração Seca Natural Dots para Cães de Raças Pequenas - Pacote 15 kg</v>
      </c>
      <c r="C176" s="11" t="str">
        <f aca="false">INDEX(PRODUTOS!$H$4:$H$63,MATCH($A176,PRODUTOS!$B$4:$B$63,0))</f>
        <v>15 kg</v>
      </c>
      <c r="D176" s="11" t="s">
        <v>322</v>
      </c>
      <c r="E176" s="16" t="str">
        <f aca="false">$A176&amp;"."&amp;$D176&amp;".jpg"</f>
        <v>7898968541344.AP05.jpg</v>
      </c>
      <c r="F176" s="11" t="str">
        <f aca="false">IF(INDEX(PRODUTOS!$I$4:$I$63,MATCH($A176,PRODUTOS!$B$4:$B$63,0))="B",INDEX(MODELOS!$F$4:$F$11,MATCH($D176,MODELOS!$A$4:$A$11,0)),INDEX(MODELOS!$B$4:$B$11,MATCH($D176,MODELOS!$A$4:$A$11,0)))</f>
        <v>Módulo 3 · Benefício 3 de 4</v>
      </c>
      <c r="G176" s="11" t="str">
        <f aca="false">IF(INDEX(PRODUTOS!$F$4:$F$63,MATCH($A176,PRODUTOS!$B$4:$B$63,0))="Ração",IF(INDEX(PRODUTOS!$I$4:$I$63,MATCH($A176,PRODUTOS!$B$4:$B$63,0))="B",INDEX(MODELOS!$G$4:$G$11,MATCH($D176,MODELOS!$A$4:$A$11,0)),INDEX(MODELOS!$C$4:$C$11,MATCH($D176,MODELOS!$A$4:$A$11,0))),IF(INDEX(PRODUTOS!$I$4:$I$63,MATCH($A176,PRODUTOS!$B$4:$B$63,0))="B",INDEX(MODELOS!$H$4:$H$11,MATCH($D176,MODELOS!$A$4:$A$11,0)),INDEX(MODELOS!$D$4:$D$11,MATCH($D176,MODELOS!$A$4:$A$11,0))))</f>
        <v>Foto/ilustração do benefício 3</v>
      </c>
      <c r="H176" s="11" t="str">
        <f aca="false">IF(INDEX(PRODUTOS!$I$4:$I$63,MATCH($A176,PRODUTOS!$B$4:$B$63,0))="B",INDEX(MODELOS!$I$4:$I$11,MATCH($D176,MODELOS!$A$4:$A$11,0)),INDEX(MODELOS!$E$4:$E$11,MATCH($D176,MODELOS!$A$4:$A$11,0)))</f>
        <v>220 × 200</v>
      </c>
      <c r="I176" s="11" t="str">
        <f aca="false">IF($D176="COMP","SIM",IF(INDEX(PRODUTOS!$J$4:$J$63,MATCH($A176,PRODUTOS!$B$4:$B$63,0))&lt;&gt;"","NÃO (usa o A+ do EAN "&amp;INDEX(PRODUTOS!$J$4:$J$63,MATCH($A176,PRODUTOS!$B$4:$B$63,0))&amp;")",IF(AND(INDEX(PRODUTOS!$I$4:$I$63,MATCH($A176,PRODUTOS!$B$4:$B$63,0))="B",$D176="AP07"),"NÃO (modelo B)","SIM")))</f>
        <v>SIM</v>
      </c>
      <c r="J176" s="13" t="s">
        <v>318</v>
      </c>
      <c r="K176" s="13"/>
    </row>
    <row r="177" customFormat="false" ht="15" hidden="false" customHeight="false" outlineLevel="0" collapsed="false">
      <c r="A177" s="15" t="s">
        <v>129</v>
      </c>
      <c r="B177" s="11" t="str">
        <f aca="false">INDEX(PRODUTOS!$E$4:$E$63,MATCH($A177,PRODUTOS!$B$4:$B$63,0))</f>
        <v>Ração Seca Natural Dots para Cães de Raças Pequenas - Pacote 15 kg</v>
      </c>
      <c r="C177" s="11" t="str">
        <f aca="false">INDEX(PRODUTOS!$H$4:$H$63,MATCH($A177,PRODUTOS!$B$4:$B$63,0))</f>
        <v>15 kg</v>
      </c>
      <c r="D177" s="11" t="s">
        <v>323</v>
      </c>
      <c r="E177" s="16" t="str">
        <f aca="false">$A177&amp;"."&amp;$D177&amp;".jpg"</f>
        <v>7898968541344.AP06.jpg</v>
      </c>
      <c r="F177" s="11" t="str">
        <f aca="false">IF(INDEX(PRODUTOS!$I$4:$I$63,MATCH($A177,PRODUTOS!$B$4:$B$63,0))="B",INDEX(MODELOS!$F$4:$F$11,MATCH($D177,MODELOS!$A$4:$A$11,0)),INDEX(MODELOS!$B$4:$B$11,MATCH($D177,MODELOS!$A$4:$A$11,0)))</f>
        <v>Módulo 3 · Benefício 4 de 4</v>
      </c>
      <c r="G177" s="11" t="str">
        <f aca="false">IF(INDEX(PRODUTOS!$F$4:$F$63,MATCH($A177,PRODUTOS!$B$4:$B$63,0))="Ração",IF(INDEX(PRODUTOS!$I$4:$I$63,MATCH($A177,PRODUTOS!$B$4:$B$63,0))="B",INDEX(MODELOS!$G$4:$G$11,MATCH($D177,MODELOS!$A$4:$A$11,0)),INDEX(MODELOS!$C$4:$C$11,MATCH($D177,MODELOS!$A$4:$A$11,0))),IF(INDEX(PRODUTOS!$I$4:$I$63,MATCH($A177,PRODUTOS!$B$4:$B$63,0))="B",INDEX(MODELOS!$H$4:$H$11,MATCH($D177,MODELOS!$A$4:$A$11,0)),INDEX(MODELOS!$D$4:$D$11,MATCH($D177,MODELOS!$A$4:$A$11,0))))</f>
        <v>Foto/ilustração do benefício 4</v>
      </c>
      <c r="H177" s="11" t="str">
        <f aca="false">IF(INDEX(PRODUTOS!$I$4:$I$63,MATCH($A177,PRODUTOS!$B$4:$B$63,0))="B",INDEX(MODELOS!$I$4:$I$11,MATCH($D177,MODELOS!$A$4:$A$11,0)),INDEX(MODELOS!$E$4:$E$11,MATCH($D177,MODELOS!$A$4:$A$11,0)))</f>
        <v>220 × 200</v>
      </c>
      <c r="I177" s="11" t="str">
        <f aca="false">IF($D177="COMP","SIM",IF(INDEX(PRODUTOS!$J$4:$J$63,MATCH($A177,PRODUTOS!$B$4:$B$63,0))&lt;&gt;"","NÃO (usa o A+ do EAN "&amp;INDEX(PRODUTOS!$J$4:$J$63,MATCH($A177,PRODUTOS!$B$4:$B$63,0))&amp;")",IF(AND(INDEX(PRODUTOS!$I$4:$I$63,MATCH($A177,PRODUTOS!$B$4:$B$63,0))="B",$D177="AP07"),"NÃO (modelo B)","SIM")))</f>
        <v>SIM</v>
      </c>
      <c r="J177" s="13" t="s">
        <v>318</v>
      </c>
      <c r="K177" s="13"/>
    </row>
    <row r="178" customFormat="false" ht="15" hidden="false" customHeight="false" outlineLevel="0" collapsed="false">
      <c r="A178" s="15" t="s">
        <v>129</v>
      </c>
      <c r="B178" s="11" t="str">
        <f aca="false">INDEX(PRODUTOS!$E$4:$E$63,MATCH($A178,PRODUTOS!$B$4:$B$63,0))</f>
        <v>Ração Seca Natural Dots para Cães de Raças Pequenas - Pacote 15 kg</v>
      </c>
      <c r="C178" s="11" t="str">
        <f aca="false">INDEX(PRODUTOS!$H$4:$H$63,MATCH($A178,PRODUTOS!$B$4:$B$63,0))</f>
        <v>15 kg</v>
      </c>
      <c r="D178" s="11" t="s">
        <v>324</v>
      </c>
      <c r="E178" s="16" t="str">
        <f aca="false">$A178&amp;"."&amp;$D178&amp;".jpg"</f>
        <v>7898968541344.AP07.jpg</v>
      </c>
      <c r="F178" s="11" t="str">
        <f aca="false">IF(INDEX(PRODUTOS!$I$4:$I$63,MATCH($A178,PRODUTOS!$B$4:$B$63,0))="B",INDEX(MODELOS!$F$4:$F$11,MATCH($D178,MODELOS!$A$4:$A$11,0)),INDEX(MODELOS!$B$4:$B$11,MATCH($D178,MODELOS!$A$4:$A$11,0)))</f>
        <v>Módulo 4 · Especificações</v>
      </c>
      <c r="G178" s="11" t="str">
        <f aca="false">IF(INDEX(PRODUTOS!$F$4:$F$63,MATCH($A178,PRODUTOS!$B$4:$B$63,0))="Ração",IF(INDEX(PRODUTOS!$I$4:$I$63,MATCH($A178,PRODUTOS!$B$4:$B$63,0))="B",INDEX(MODELOS!$G$4:$G$11,MATCH($D178,MODELOS!$A$4:$A$11,0)),INDEX(MODELOS!$C$4:$C$11,MATCH($D178,MODELOS!$A$4:$A$11,0))),IF(INDEX(PRODUTOS!$I$4:$I$63,MATCH($A178,PRODUTOS!$B$4:$B$63,0))="B",INDEX(MODELOS!$H$4:$H$11,MATCH($D178,MODELOS!$A$4:$A$11,0)),INDEX(MODELOS!$D$4:$D$11,MATCH($D178,MODELOS!$A$4:$A$11,0))))</f>
        <v>Grão ou pacote em destaque</v>
      </c>
      <c r="H178" s="11" t="str">
        <f aca="false">IF(INDEX(PRODUTOS!$I$4:$I$63,MATCH($A178,PRODUTOS!$B$4:$B$63,0))="B",INDEX(MODELOS!$I$4:$I$11,MATCH($D178,MODELOS!$A$4:$A$11,0)),INDEX(MODELOS!$E$4:$E$11,MATCH($D178,MODELOS!$A$4:$A$11,0)))</f>
        <v>300 × 300</v>
      </c>
      <c r="I178" s="11" t="str">
        <f aca="false">IF($D178="COMP","SIM",IF(INDEX(PRODUTOS!$J$4:$J$63,MATCH($A178,PRODUTOS!$B$4:$B$63,0))&lt;&gt;"","NÃO (usa o A+ do EAN "&amp;INDEX(PRODUTOS!$J$4:$J$63,MATCH($A178,PRODUTOS!$B$4:$B$63,0))&amp;")",IF(AND(INDEX(PRODUTOS!$I$4:$I$63,MATCH($A178,PRODUTOS!$B$4:$B$63,0))="B",$D178="AP07"),"NÃO (modelo B)","SIM")))</f>
        <v>SIM</v>
      </c>
      <c r="J178" s="13" t="s">
        <v>318</v>
      </c>
      <c r="K178" s="13"/>
    </row>
    <row r="179" customFormat="false" ht="15" hidden="false" customHeight="false" outlineLevel="0" collapsed="false">
      <c r="A179" s="15" t="s">
        <v>129</v>
      </c>
      <c r="B179" s="11" t="str">
        <f aca="false">INDEX(PRODUTOS!$E$4:$E$63,MATCH($A179,PRODUTOS!$B$4:$B$63,0))</f>
        <v>Ração Seca Natural Dots para Cães de Raças Pequenas - Pacote 15 kg</v>
      </c>
      <c r="C179" s="11" t="str">
        <f aca="false">INDEX(PRODUTOS!$H$4:$H$63,MATCH($A179,PRODUTOS!$B$4:$B$63,0))</f>
        <v>15 kg</v>
      </c>
      <c r="D179" s="11" t="s">
        <v>325</v>
      </c>
      <c r="E179" s="16" t="str">
        <f aca="false">$A179&amp;"."&amp;$D179&amp;".jpg"</f>
        <v>7898968541344.COMP.jpg</v>
      </c>
      <c r="F179" s="11" t="str">
        <f aca="false">IF(INDEX(PRODUTOS!$I$4:$I$63,MATCH($A179,PRODUTOS!$B$4:$B$63,0))="B",INDEX(MODELOS!$F$4:$F$11,MATCH($D179,MODELOS!$A$4:$A$11,0)),INDEX(MODELOS!$B$4:$B$11,MATCH($D179,MODELOS!$A$4:$A$11,0)))</f>
        <v>Módulo 5 · Tabela comparativa</v>
      </c>
      <c r="G179" s="11" t="str">
        <f aca="false">IF(INDEX(PRODUTOS!$F$4:$F$63,MATCH($A179,PRODUTOS!$B$4:$B$63,0))="Ração",IF(INDEX(PRODUTOS!$I$4:$I$63,MATCH($A179,PRODUTOS!$B$4:$B$63,0))="B",INDEX(MODELOS!$G$4:$G$11,MATCH($D179,MODELOS!$A$4:$A$11,0)),INDEX(MODELOS!$C$4:$C$11,MATCH($D179,MODELOS!$A$4:$A$11,0))),IF(INDEX(PRODUTOS!$I$4:$I$63,MATCH($A179,PRODUTOS!$B$4:$B$63,0))="B",INDEX(MODELOS!$H$4:$H$11,MATCH($D179,MODELOS!$A$4:$A$11,0)),INDEX(MODELOS!$D$4:$D$11,MATCH($D179,MODELOS!$A$4:$A$11,0))))</f>
        <v>Pacote na vertical, sem fundo colorido</v>
      </c>
      <c r="H179" s="11" t="str">
        <f aca="false">IF(INDEX(PRODUTOS!$I$4:$I$63,MATCH($A179,PRODUTOS!$B$4:$B$63,0))="B",INDEX(MODELOS!$I$4:$I$11,MATCH($D179,MODELOS!$A$4:$A$11,0)),INDEX(MODELOS!$E$4:$E$11,MATCH($D179,MODELOS!$A$4:$A$11,0)))</f>
        <v>150 × 300</v>
      </c>
      <c r="I179" s="11" t="str">
        <f aca="false">IF($D179="COMP","SIM",IF(INDEX(PRODUTOS!$J$4:$J$63,MATCH($A179,PRODUTOS!$B$4:$B$63,0))&lt;&gt;"","NÃO (usa o A+ do EAN "&amp;INDEX(PRODUTOS!$J$4:$J$63,MATCH($A179,PRODUTOS!$B$4:$B$63,0))&amp;")",IF(AND(INDEX(PRODUTOS!$I$4:$I$63,MATCH($A179,PRODUTOS!$B$4:$B$63,0))="B",$D179="AP07"),"NÃO (modelo B)","SIM")))</f>
        <v>SIM</v>
      </c>
      <c r="J179" s="13" t="s">
        <v>318</v>
      </c>
      <c r="K179" s="13"/>
    </row>
    <row r="180" customFormat="false" ht="15" hidden="false" customHeight="false" outlineLevel="0" collapsed="false">
      <c r="A180" s="15" t="s">
        <v>134</v>
      </c>
      <c r="B180" s="11" t="str">
        <f aca="false">INDEX(PRODUTOS!$E$4:$E$63,MATCH($A180,PRODUTOS!$B$4:$B$63,0))</f>
        <v>Ração Seca Natural Dots para Cães de Raças Pequenas - Pacote 1 kg</v>
      </c>
      <c r="C180" s="11" t="str">
        <f aca="false">INDEX(PRODUTOS!$H$4:$H$63,MATCH($A180,PRODUTOS!$B$4:$B$63,0))</f>
        <v>1 kg</v>
      </c>
      <c r="D180" s="11" t="s">
        <v>317</v>
      </c>
      <c r="E180" s="16" t="str">
        <f aca="false">$A180&amp;"."&amp;$D180&amp;".jpg"</f>
        <v>7898968541320.AP01.jpg</v>
      </c>
      <c r="F180" s="11" t="str">
        <f aca="false">IF(INDEX(PRODUTOS!$I$4:$I$63,MATCH($A180,PRODUTOS!$B$4:$B$63,0))="B",INDEX(MODELOS!$F$4:$F$11,MATCH($D180,MODELOS!$A$4:$A$11,0)),INDEX(MODELOS!$B$4:$B$11,MATCH($D180,MODELOS!$A$4:$A$11,0)))</f>
        <v>Módulo 1 · Banner</v>
      </c>
      <c r="G180" s="11" t="str">
        <f aca="false">IF(INDEX(PRODUTOS!$F$4:$F$63,MATCH($A180,PRODUTOS!$B$4:$B$63,0))="Ração",IF(INDEX(PRODUTOS!$I$4:$I$63,MATCH($A180,PRODUTOS!$B$4:$B$63,0))="B",INDEX(MODELOS!$G$4:$G$11,MATCH($D180,MODELOS!$A$4:$A$11,0)),INDEX(MODELOS!$C$4:$C$11,MATCH($D180,MODELOS!$A$4:$A$11,0))),IF(INDEX(PRODUTOS!$I$4:$I$63,MATCH($A180,PRODUTOS!$B$4:$B$63,0))="B",INDEX(MODELOS!$H$4:$H$11,MATCH($D180,MODELOS!$A$4:$A$11,0)),INDEX(MODELOS!$D$4:$D$11,MATCH($D180,MODELOS!$A$4:$A$11,0))))</f>
        <v>Embalagem + pet + ingredientes, com o nome da linha</v>
      </c>
      <c r="H180" s="11" t="str">
        <f aca="false">IF(INDEX(PRODUTOS!$I$4:$I$63,MATCH($A180,PRODUTOS!$B$4:$B$63,0))="B",INDEX(MODELOS!$I$4:$I$11,MATCH($D180,MODELOS!$A$4:$A$11,0)),INDEX(MODELOS!$E$4:$E$11,MATCH($D180,MODELOS!$A$4:$A$11,0)))</f>
        <v>970 × 600</v>
      </c>
      <c r="I180" s="11" t="str">
        <f aca="false">IF($D180="COMP","SIM",IF(INDEX(PRODUTOS!$J$4:$J$63,MATCH($A180,PRODUTOS!$B$4:$B$63,0))&lt;&gt;"","NÃO (usa o A+ do EAN "&amp;INDEX(PRODUTOS!$J$4:$J$63,MATCH($A180,PRODUTOS!$B$4:$B$63,0))&amp;")",IF(AND(INDEX(PRODUTOS!$I$4:$I$63,MATCH($A180,PRODUTOS!$B$4:$B$63,0))="B",$D180="AP07"),"NÃO (modelo B)","SIM")))</f>
        <v>NÃO (usa o A+ do EAN 7898968541344)</v>
      </c>
      <c r="J180" s="13" t="s">
        <v>318</v>
      </c>
      <c r="K180" s="13"/>
    </row>
    <row r="181" customFormat="false" ht="15" hidden="false" customHeight="false" outlineLevel="0" collapsed="false">
      <c r="A181" s="15" t="s">
        <v>134</v>
      </c>
      <c r="B181" s="11" t="str">
        <f aca="false">INDEX(PRODUTOS!$E$4:$E$63,MATCH($A181,PRODUTOS!$B$4:$B$63,0))</f>
        <v>Ração Seca Natural Dots para Cães de Raças Pequenas - Pacote 1 kg</v>
      </c>
      <c r="C181" s="11" t="str">
        <f aca="false">INDEX(PRODUTOS!$H$4:$H$63,MATCH($A181,PRODUTOS!$B$4:$B$63,0))</f>
        <v>1 kg</v>
      </c>
      <c r="D181" s="11" t="s">
        <v>319</v>
      </c>
      <c r="E181" s="16" t="str">
        <f aca="false">$A181&amp;"."&amp;$D181&amp;".jpg"</f>
        <v>7898968541320.AP02.jpg</v>
      </c>
      <c r="F181" s="11" t="str">
        <f aca="false">IF(INDEX(PRODUTOS!$I$4:$I$63,MATCH($A181,PRODUTOS!$B$4:$B$63,0))="B",INDEX(MODELOS!$F$4:$F$11,MATCH($D181,MODELOS!$A$4:$A$11,0)),INDEX(MODELOS!$B$4:$B$11,MATCH($D181,MODELOS!$A$4:$A$11,0)))</f>
        <v>Módulo 2 · Texto sobreposto</v>
      </c>
      <c r="G181" s="11" t="str">
        <f aca="false">IF(INDEX(PRODUTOS!$F$4:$F$63,MATCH($A181,PRODUTOS!$B$4:$B$63,0))="Ração",IF(INDEX(PRODUTOS!$I$4:$I$63,MATCH($A181,PRODUTOS!$B$4:$B$63,0))="B",INDEX(MODELOS!$G$4:$G$11,MATCH($D181,MODELOS!$A$4:$A$11,0)),INDEX(MODELOS!$C$4:$C$11,MATCH($D181,MODELOS!$A$4:$A$11,0))),IF(INDEX(PRODUTOS!$I$4:$I$63,MATCH($A181,PRODUTOS!$B$4:$B$63,0))="B",INDEX(MODELOS!$H$4:$H$11,MATCH($D181,MODELOS!$A$4:$A$11,0)),INDEX(MODELOS!$D$4:$D$11,MATCH($D181,MODELOS!$A$4:$A$11,0))))</f>
        <v>Principal diferencial; deixar o lado direito limpo</v>
      </c>
      <c r="H181" s="11" t="str">
        <f aca="false">IF(INDEX(PRODUTOS!$I$4:$I$63,MATCH($A181,PRODUTOS!$B$4:$B$63,0))="B",INDEX(MODELOS!$I$4:$I$11,MATCH($D181,MODELOS!$A$4:$A$11,0)),INDEX(MODELOS!$E$4:$E$11,MATCH($D181,MODELOS!$A$4:$A$11,0)))</f>
        <v>970 × 300</v>
      </c>
      <c r="I181" s="11" t="str">
        <f aca="false">IF($D181="COMP","SIM",IF(INDEX(PRODUTOS!$J$4:$J$63,MATCH($A181,PRODUTOS!$B$4:$B$63,0))&lt;&gt;"","NÃO (usa o A+ do EAN "&amp;INDEX(PRODUTOS!$J$4:$J$63,MATCH($A181,PRODUTOS!$B$4:$B$63,0))&amp;")",IF(AND(INDEX(PRODUTOS!$I$4:$I$63,MATCH($A181,PRODUTOS!$B$4:$B$63,0))="B",$D181="AP07"),"NÃO (modelo B)","SIM")))</f>
        <v>NÃO (usa o A+ do EAN 7898968541344)</v>
      </c>
      <c r="J181" s="13" t="s">
        <v>318</v>
      </c>
      <c r="K181" s="13"/>
    </row>
    <row r="182" customFormat="false" ht="15" hidden="false" customHeight="false" outlineLevel="0" collapsed="false">
      <c r="A182" s="15" t="s">
        <v>134</v>
      </c>
      <c r="B182" s="11" t="str">
        <f aca="false">INDEX(PRODUTOS!$E$4:$E$63,MATCH($A182,PRODUTOS!$B$4:$B$63,0))</f>
        <v>Ração Seca Natural Dots para Cães de Raças Pequenas - Pacote 1 kg</v>
      </c>
      <c r="C182" s="11" t="str">
        <f aca="false">INDEX(PRODUTOS!$H$4:$H$63,MATCH($A182,PRODUTOS!$B$4:$B$63,0))</f>
        <v>1 kg</v>
      </c>
      <c r="D182" s="11" t="s">
        <v>320</v>
      </c>
      <c r="E182" s="16" t="str">
        <f aca="false">$A182&amp;"."&amp;$D182&amp;".jpg"</f>
        <v>7898968541320.AP03.jpg</v>
      </c>
      <c r="F182" s="11" t="str">
        <f aca="false">IF(INDEX(PRODUTOS!$I$4:$I$63,MATCH($A182,PRODUTOS!$B$4:$B$63,0))="B",INDEX(MODELOS!$F$4:$F$11,MATCH($D182,MODELOS!$A$4:$A$11,0)),INDEX(MODELOS!$B$4:$B$11,MATCH($D182,MODELOS!$A$4:$A$11,0)))</f>
        <v>Módulo 3 · Benefício 1 de 4</v>
      </c>
      <c r="G182" s="11" t="str">
        <f aca="false">IF(INDEX(PRODUTOS!$F$4:$F$63,MATCH($A182,PRODUTOS!$B$4:$B$63,0))="Ração",IF(INDEX(PRODUTOS!$I$4:$I$63,MATCH($A182,PRODUTOS!$B$4:$B$63,0))="B",INDEX(MODELOS!$G$4:$G$11,MATCH($D182,MODELOS!$A$4:$A$11,0)),INDEX(MODELOS!$C$4:$C$11,MATCH($D182,MODELOS!$A$4:$A$11,0))),IF(INDEX(PRODUTOS!$I$4:$I$63,MATCH($A182,PRODUTOS!$B$4:$B$63,0))="B",INDEX(MODELOS!$H$4:$H$11,MATCH($D182,MODELOS!$A$4:$A$11,0)),INDEX(MODELOS!$D$4:$D$11,MATCH($D182,MODELOS!$A$4:$A$11,0))))</f>
        <v>Foto/ilustração do benefício 1</v>
      </c>
      <c r="H182" s="11" t="str">
        <f aca="false">IF(INDEX(PRODUTOS!$I$4:$I$63,MATCH($A182,PRODUTOS!$B$4:$B$63,0))="B",INDEX(MODELOS!$I$4:$I$11,MATCH($D182,MODELOS!$A$4:$A$11,0)),INDEX(MODELOS!$E$4:$E$11,MATCH($D182,MODELOS!$A$4:$A$11,0)))</f>
        <v>220 × 200</v>
      </c>
      <c r="I182" s="11" t="str">
        <f aca="false">IF($D182="COMP","SIM",IF(INDEX(PRODUTOS!$J$4:$J$63,MATCH($A182,PRODUTOS!$B$4:$B$63,0))&lt;&gt;"","NÃO (usa o A+ do EAN "&amp;INDEX(PRODUTOS!$J$4:$J$63,MATCH($A182,PRODUTOS!$B$4:$B$63,0))&amp;")",IF(AND(INDEX(PRODUTOS!$I$4:$I$63,MATCH($A182,PRODUTOS!$B$4:$B$63,0))="B",$D182="AP07"),"NÃO (modelo B)","SIM")))</f>
        <v>NÃO (usa o A+ do EAN 7898968541344)</v>
      </c>
      <c r="J182" s="13" t="s">
        <v>318</v>
      </c>
      <c r="K182" s="13"/>
    </row>
    <row r="183" customFormat="false" ht="15" hidden="false" customHeight="false" outlineLevel="0" collapsed="false">
      <c r="A183" s="15" t="s">
        <v>134</v>
      </c>
      <c r="B183" s="11" t="str">
        <f aca="false">INDEX(PRODUTOS!$E$4:$E$63,MATCH($A183,PRODUTOS!$B$4:$B$63,0))</f>
        <v>Ração Seca Natural Dots para Cães de Raças Pequenas - Pacote 1 kg</v>
      </c>
      <c r="C183" s="11" t="str">
        <f aca="false">INDEX(PRODUTOS!$H$4:$H$63,MATCH($A183,PRODUTOS!$B$4:$B$63,0))</f>
        <v>1 kg</v>
      </c>
      <c r="D183" s="11" t="s">
        <v>321</v>
      </c>
      <c r="E183" s="16" t="str">
        <f aca="false">$A183&amp;"."&amp;$D183&amp;".jpg"</f>
        <v>7898968541320.AP04.jpg</v>
      </c>
      <c r="F183" s="11" t="str">
        <f aca="false">IF(INDEX(PRODUTOS!$I$4:$I$63,MATCH($A183,PRODUTOS!$B$4:$B$63,0))="B",INDEX(MODELOS!$F$4:$F$11,MATCH($D183,MODELOS!$A$4:$A$11,0)),INDEX(MODELOS!$B$4:$B$11,MATCH($D183,MODELOS!$A$4:$A$11,0)))</f>
        <v>Módulo 3 · Benefício 2 de 4</v>
      </c>
      <c r="G183" s="11" t="str">
        <f aca="false">IF(INDEX(PRODUTOS!$F$4:$F$63,MATCH($A183,PRODUTOS!$B$4:$B$63,0))="Ração",IF(INDEX(PRODUTOS!$I$4:$I$63,MATCH($A183,PRODUTOS!$B$4:$B$63,0))="B",INDEX(MODELOS!$G$4:$G$11,MATCH($D183,MODELOS!$A$4:$A$11,0)),INDEX(MODELOS!$C$4:$C$11,MATCH($D183,MODELOS!$A$4:$A$11,0))),IF(INDEX(PRODUTOS!$I$4:$I$63,MATCH($A183,PRODUTOS!$B$4:$B$63,0))="B",INDEX(MODELOS!$H$4:$H$11,MATCH($D183,MODELOS!$A$4:$A$11,0)),INDEX(MODELOS!$D$4:$D$11,MATCH($D183,MODELOS!$A$4:$A$11,0))))</f>
        <v>Foto/ilustração do benefício 2</v>
      </c>
      <c r="H183" s="11" t="str">
        <f aca="false">IF(INDEX(PRODUTOS!$I$4:$I$63,MATCH($A183,PRODUTOS!$B$4:$B$63,0))="B",INDEX(MODELOS!$I$4:$I$11,MATCH($D183,MODELOS!$A$4:$A$11,0)),INDEX(MODELOS!$E$4:$E$11,MATCH($D183,MODELOS!$A$4:$A$11,0)))</f>
        <v>220 × 200</v>
      </c>
      <c r="I183" s="11" t="str">
        <f aca="false">IF($D183="COMP","SIM",IF(INDEX(PRODUTOS!$J$4:$J$63,MATCH($A183,PRODUTOS!$B$4:$B$63,0))&lt;&gt;"","NÃO (usa o A+ do EAN "&amp;INDEX(PRODUTOS!$J$4:$J$63,MATCH($A183,PRODUTOS!$B$4:$B$63,0))&amp;")",IF(AND(INDEX(PRODUTOS!$I$4:$I$63,MATCH($A183,PRODUTOS!$B$4:$B$63,0))="B",$D183="AP07"),"NÃO (modelo B)","SIM")))</f>
        <v>NÃO (usa o A+ do EAN 7898968541344)</v>
      </c>
      <c r="J183" s="13" t="s">
        <v>318</v>
      </c>
      <c r="K183" s="13"/>
    </row>
    <row r="184" customFormat="false" ht="15" hidden="false" customHeight="false" outlineLevel="0" collapsed="false">
      <c r="A184" s="15" t="s">
        <v>134</v>
      </c>
      <c r="B184" s="11" t="str">
        <f aca="false">INDEX(PRODUTOS!$E$4:$E$63,MATCH($A184,PRODUTOS!$B$4:$B$63,0))</f>
        <v>Ração Seca Natural Dots para Cães de Raças Pequenas - Pacote 1 kg</v>
      </c>
      <c r="C184" s="11" t="str">
        <f aca="false">INDEX(PRODUTOS!$H$4:$H$63,MATCH($A184,PRODUTOS!$B$4:$B$63,0))</f>
        <v>1 kg</v>
      </c>
      <c r="D184" s="11" t="s">
        <v>322</v>
      </c>
      <c r="E184" s="16" t="str">
        <f aca="false">$A184&amp;"."&amp;$D184&amp;".jpg"</f>
        <v>7898968541320.AP05.jpg</v>
      </c>
      <c r="F184" s="11" t="str">
        <f aca="false">IF(INDEX(PRODUTOS!$I$4:$I$63,MATCH($A184,PRODUTOS!$B$4:$B$63,0))="B",INDEX(MODELOS!$F$4:$F$11,MATCH($D184,MODELOS!$A$4:$A$11,0)),INDEX(MODELOS!$B$4:$B$11,MATCH($D184,MODELOS!$A$4:$A$11,0)))</f>
        <v>Módulo 3 · Benefício 3 de 4</v>
      </c>
      <c r="G184" s="11" t="str">
        <f aca="false">IF(INDEX(PRODUTOS!$F$4:$F$63,MATCH($A184,PRODUTOS!$B$4:$B$63,0))="Ração",IF(INDEX(PRODUTOS!$I$4:$I$63,MATCH($A184,PRODUTOS!$B$4:$B$63,0))="B",INDEX(MODELOS!$G$4:$G$11,MATCH($D184,MODELOS!$A$4:$A$11,0)),INDEX(MODELOS!$C$4:$C$11,MATCH($D184,MODELOS!$A$4:$A$11,0))),IF(INDEX(PRODUTOS!$I$4:$I$63,MATCH($A184,PRODUTOS!$B$4:$B$63,0))="B",INDEX(MODELOS!$H$4:$H$11,MATCH($D184,MODELOS!$A$4:$A$11,0)),INDEX(MODELOS!$D$4:$D$11,MATCH($D184,MODELOS!$A$4:$A$11,0))))</f>
        <v>Foto/ilustração do benefício 3</v>
      </c>
      <c r="H184" s="11" t="str">
        <f aca="false">IF(INDEX(PRODUTOS!$I$4:$I$63,MATCH($A184,PRODUTOS!$B$4:$B$63,0))="B",INDEX(MODELOS!$I$4:$I$11,MATCH($D184,MODELOS!$A$4:$A$11,0)),INDEX(MODELOS!$E$4:$E$11,MATCH($D184,MODELOS!$A$4:$A$11,0)))</f>
        <v>220 × 200</v>
      </c>
      <c r="I184" s="11" t="str">
        <f aca="false">IF($D184="COMP","SIM",IF(INDEX(PRODUTOS!$J$4:$J$63,MATCH($A184,PRODUTOS!$B$4:$B$63,0))&lt;&gt;"","NÃO (usa o A+ do EAN "&amp;INDEX(PRODUTOS!$J$4:$J$63,MATCH($A184,PRODUTOS!$B$4:$B$63,0))&amp;")",IF(AND(INDEX(PRODUTOS!$I$4:$I$63,MATCH($A184,PRODUTOS!$B$4:$B$63,0))="B",$D184="AP07"),"NÃO (modelo B)","SIM")))</f>
        <v>NÃO (usa o A+ do EAN 7898968541344)</v>
      </c>
      <c r="J184" s="13" t="s">
        <v>318</v>
      </c>
      <c r="K184" s="13"/>
    </row>
    <row r="185" customFormat="false" ht="15" hidden="false" customHeight="false" outlineLevel="0" collapsed="false">
      <c r="A185" s="15" t="s">
        <v>134</v>
      </c>
      <c r="B185" s="11" t="str">
        <f aca="false">INDEX(PRODUTOS!$E$4:$E$63,MATCH($A185,PRODUTOS!$B$4:$B$63,0))</f>
        <v>Ração Seca Natural Dots para Cães de Raças Pequenas - Pacote 1 kg</v>
      </c>
      <c r="C185" s="11" t="str">
        <f aca="false">INDEX(PRODUTOS!$H$4:$H$63,MATCH($A185,PRODUTOS!$B$4:$B$63,0))</f>
        <v>1 kg</v>
      </c>
      <c r="D185" s="11" t="s">
        <v>323</v>
      </c>
      <c r="E185" s="16" t="str">
        <f aca="false">$A185&amp;"."&amp;$D185&amp;".jpg"</f>
        <v>7898968541320.AP06.jpg</v>
      </c>
      <c r="F185" s="11" t="str">
        <f aca="false">IF(INDEX(PRODUTOS!$I$4:$I$63,MATCH($A185,PRODUTOS!$B$4:$B$63,0))="B",INDEX(MODELOS!$F$4:$F$11,MATCH($D185,MODELOS!$A$4:$A$11,0)),INDEX(MODELOS!$B$4:$B$11,MATCH($D185,MODELOS!$A$4:$A$11,0)))</f>
        <v>Módulo 3 · Benefício 4 de 4</v>
      </c>
      <c r="G185" s="11" t="str">
        <f aca="false">IF(INDEX(PRODUTOS!$F$4:$F$63,MATCH($A185,PRODUTOS!$B$4:$B$63,0))="Ração",IF(INDEX(PRODUTOS!$I$4:$I$63,MATCH($A185,PRODUTOS!$B$4:$B$63,0))="B",INDEX(MODELOS!$G$4:$G$11,MATCH($D185,MODELOS!$A$4:$A$11,0)),INDEX(MODELOS!$C$4:$C$11,MATCH($D185,MODELOS!$A$4:$A$11,0))),IF(INDEX(PRODUTOS!$I$4:$I$63,MATCH($A185,PRODUTOS!$B$4:$B$63,0))="B",INDEX(MODELOS!$H$4:$H$11,MATCH($D185,MODELOS!$A$4:$A$11,0)),INDEX(MODELOS!$D$4:$D$11,MATCH($D185,MODELOS!$A$4:$A$11,0))))</f>
        <v>Foto/ilustração do benefício 4</v>
      </c>
      <c r="H185" s="11" t="str">
        <f aca="false">IF(INDEX(PRODUTOS!$I$4:$I$63,MATCH($A185,PRODUTOS!$B$4:$B$63,0))="B",INDEX(MODELOS!$I$4:$I$11,MATCH($D185,MODELOS!$A$4:$A$11,0)),INDEX(MODELOS!$E$4:$E$11,MATCH($D185,MODELOS!$A$4:$A$11,0)))</f>
        <v>220 × 200</v>
      </c>
      <c r="I185" s="11" t="str">
        <f aca="false">IF($D185="COMP","SIM",IF(INDEX(PRODUTOS!$J$4:$J$63,MATCH($A185,PRODUTOS!$B$4:$B$63,0))&lt;&gt;"","NÃO (usa o A+ do EAN "&amp;INDEX(PRODUTOS!$J$4:$J$63,MATCH($A185,PRODUTOS!$B$4:$B$63,0))&amp;")",IF(AND(INDEX(PRODUTOS!$I$4:$I$63,MATCH($A185,PRODUTOS!$B$4:$B$63,0))="B",$D185="AP07"),"NÃO (modelo B)","SIM")))</f>
        <v>NÃO (usa o A+ do EAN 7898968541344)</v>
      </c>
      <c r="J185" s="13" t="s">
        <v>318</v>
      </c>
      <c r="K185" s="13"/>
    </row>
    <row r="186" customFormat="false" ht="15" hidden="false" customHeight="false" outlineLevel="0" collapsed="false">
      <c r="A186" s="15" t="s">
        <v>134</v>
      </c>
      <c r="B186" s="11" t="str">
        <f aca="false">INDEX(PRODUTOS!$E$4:$E$63,MATCH($A186,PRODUTOS!$B$4:$B$63,0))</f>
        <v>Ração Seca Natural Dots para Cães de Raças Pequenas - Pacote 1 kg</v>
      </c>
      <c r="C186" s="11" t="str">
        <f aca="false">INDEX(PRODUTOS!$H$4:$H$63,MATCH($A186,PRODUTOS!$B$4:$B$63,0))</f>
        <v>1 kg</v>
      </c>
      <c r="D186" s="11" t="s">
        <v>324</v>
      </c>
      <c r="E186" s="16" t="str">
        <f aca="false">$A186&amp;"."&amp;$D186&amp;".jpg"</f>
        <v>7898968541320.AP07.jpg</v>
      </c>
      <c r="F186" s="11" t="str">
        <f aca="false">IF(INDEX(PRODUTOS!$I$4:$I$63,MATCH($A186,PRODUTOS!$B$4:$B$63,0))="B",INDEX(MODELOS!$F$4:$F$11,MATCH($D186,MODELOS!$A$4:$A$11,0)),INDEX(MODELOS!$B$4:$B$11,MATCH($D186,MODELOS!$A$4:$A$11,0)))</f>
        <v>Módulo 4 · Especificações</v>
      </c>
      <c r="G186" s="11" t="str">
        <f aca="false">IF(INDEX(PRODUTOS!$F$4:$F$63,MATCH($A186,PRODUTOS!$B$4:$B$63,0))="Ração",IF(INDEX(PRODUTOS!$I$4:$I$63,MATCH($A186,PRODUTOS!$B$4:$B$63,0))="B",INDEX(MODELOS!$G$4:$G$11,MATCH($D186,MODELOS!$A$4:$A$11,0)),INDEX(MODELOS!$C$4:$C$11,MATCH($D186,MODELOS!$A$4:$A$11,0))),IF(INDEX(PRODUTOS!$I$4:$I$63,MATCH($A186,PRODUTOS!$B$4:$B$63,0))="B",INDEX(MODELOS!$H$4:$H$11,MATCH($D186,MODELOS!$A$4:$A$11,0)),INDEX(MODELOS!$D$4:$D$11,MATCH($D186,MODELOS!$A$4:$A$11,0))))</f>
        <v>Grão ou pacote em destaque</v>
      </c>
      <c r="H186" s="11" t="str">
        <f aca="false">IF(INDEX(PRODUTOS!$I$4:$I$63,MATCH($A186,PRODUTOS!$B$4:$B$63,0))="B",INDEX(MODELOS!$I$4:$I$11,MATCH($D186,MODELOS!$A$4:$A$11,0)),INDEX(MODELOS!$E$4:$E$11,MATCH($D186,MODELOS!$A$4:$A$11,0)))</f>
        <v>300 × 300</v>
      </c>
      <c r="I186" s="11" t="str">
        <f aca="false">IF($D186="COMP","SIM",IF(INDEX(PRODUTOS!$J$4:$J$63,MATCH($A186,PRODUTOS!$B$4:$B$63,0))&lt;&gt;"","NÃO (usa o A+ do EAN "&amp;INDEX(PRODUTOS!$J$4:$J$63,MATCH($A186,PRODUTOS!$B$4:$B$63,0))&amp;")",IF(AND(INDEX(PRODUTOS!$I$4:$I$63,MATCH($A186,PRODUTOS!$B$4:$B$63,0))="B",$D186="AP07"),"NÃO (modelo B)","SIM")))</f>
        <v>NÃO (usa o A+ do EAN 7898968541344)</v>
      </c>
      <c r="J186" s="13" t="s">
        <v>318</v>
      </c>
      <c r="K186" s="13"/>
    </row>
    <row r="187" customFormat="false" ht="15" hidden="false" customHeight="false" outlineLevel="0" collapsed="false">
      <c r="A187" s="15" t="s">
        <v>134</v>
      </c>
      <c r="B187" s="11" t="str">
        <f aca="false">INDEX(PRODUTOS!$E$4:$E$63,MATCH($A187,PRODUTOS!$B$4:$B$63,0))</f>
        <v>Ração Seca Natural Dots para Cães de Raças Pequenas - Pacote 1 kg</v>
      </c>
      <c r="C187" s="11" t="str">
        <f aca="false">INDEX(PRODUTOS!$H$4:$H$63,MATCH($A187,PRODUTOS!$B$4:$B$63,0))</f>
        <v>1 kg</v>
      </c>
      <c r="D187" s="11" t="s">
        <v>325</v>
      </c>
      <c r="E187" s="16" t="str">
        <f aca="false">$A187&amp;"."&amp;$D187&amp;".jpg"</f>
        <v>7898968541320.COMP.jpg</v>
      </c>
      <c r="F187" s="11" t="str">
        <f aca="false">IF(INDEX(PRODUTOS!$I$4:$I$63,MATCH($A187,PRODUTOS!$B$4:$B$63,0))="B",INDEX(MODELOS!$F$4:$F$11,MATCH($D187,MODELOS!$A$4:$A$11,0)),INDEX(MODELOS!$B$4:$B$11,MATCH($D187,MODELOS!$A$4:$A$11,0)))</f>
        <v>Módulo 5 · Tabela comparativa</v>
      </c>
      <c r="G187" s="11" t="str">
        <f aca="false">IF(INDEX(PRODUTOS!$F$4:$F$63,MATCH($A187,PRODUTOS!$B$4:$B$63,0))="Ração",IF(INDEX(PRODUTOS!$I$4:$I$63,MATCH($A187,PRODUTOS!$B$4:$B$63,0))="B",INDEX(MODELOS!$G$4:$G$11,MATCH($D187,MODELOS!$A$4:$A$11,0)),INDEX(MODELOS!$C$4:$C$11,MATCH($D187,MODELOS!$A$4:$A$11,0))),IF(INDEX(PRODUTOS!$I$4:$I$63,MATCH($A187,PRODUTOS!$B$4:$B$63,0))="B",INDEX(MODELOS!$H$4:$H$11,MATCH($D187,MODELOS!$A$4:$A$11,0)),INDEX(MODELOS!$D$4:$D$11,MATCH($D187,MODELOS!$A$4:$A$11,0))))</f>
        <v>Pacote na vertical, sem fundo colorido</v>
      </c>
      <c r="H187" s="11" t="str">
        <f aca="false">IF(INDEX(PRODUTOS!$I$4:$I$63,MATCH($A187,PRODUTOS!$B$4:$B$63,0))="B",INDEX(MODELOS!$I$4:$I$11,MATCH($D187,MODELOS!$A$4:$A$11,0)),INDEX(MODELOS!$E$4:$E$11,MATCH($D187,MODELOS!$A$4:$A$11,0)))</f>
        <v>150 × 300</v>
      </c>
      <c r="I187" s="11" t="str">
        <f aca="false">IF($D187="COMP","SIM",IF(INDEX(PRODUTOS!$J$4:$J$63,MATCH($A187,PRODUTOS!$B$4:$B$63,0))&lt;&gt;"","NÃO (usa o A+ do EAN "&amp;INDEX(PRODUTOS!$J$4:$J$63,MATCH($A187,PRODUTOS!$B$4:$B$63,0))&amp;")",IF(AND(INDEX(PRODUTOS!$I$4:$I$63,MATCH($A187,PRODUTOS!$B$4:$B$63,0))="B",$D187="AP07"),"NÃO (modelo B)","SIM")))</f>
        <v>SIM</v>
      </c>
      <c r="J187" s="13" t="s">
        <v>318</v>
      </c>
      <c r="K187" s="13"/>
    </row>
    <row r="188" customFormat="false" ht="15" hidden="false" customHeight="false" outlineLevel="0" collapsed="false">
      <c r="A188" s="15" t="s">
        <v>138</v>
      </c>
      <c r="B188" s="11" t="str">
        <f aca="false">INDEX(PRODUTOS!$E$4:$E$63,MATCH($A188,PRODUTOS!$B$4:$B$63,0))</f>
        <v>Ração Seca Natural Dots para Gatos Adultos - Pacote 11 kg</v>
      </c>
      <c r="C188" s="11" t="str">
        <f aca="false">INDEX(PRODUTOS!$H$4:$H$63,MATCH($A188,PRODUTOS!$B$4:$B$63,0))</f>
        <v>11 kg</v>
      </c>
      <c r="D188" s="11" t="s">
        <v>317</v>
      </c>
      <c r="E188" s="16" t="str">
        <f aca="false">$A188&amp;"."&amp;$D188&amp;".jpg"</f>
        <v>7898968541382.AP01.jpg</v>
      </c>
      <c r="F188" s="11" t="str">
        <f aca="false">IF(INDEX(PRODUTOS!$I$4:$I$63,MATCH($A188,PRODUTOS!$B$4:$B$63,0))="B",INDEX(MODELOS!$F$4:$F$11,MATCH($D188,MODELOS!$A$4:$A$11,0)),INDEX(MODELOS!$B$4:$B$11,MATCH($D188,MODELOS!$A$4:$A$11,0)))</f>
        <v>Módulo 1 · Banner</v>
      </c>
      <c r="G188" s="11" t="str">
        <f aca="false">IF(INDEX(PRODUTOS!$F$4:$F$63,MATCH($A188,PRODUTOS!$B$4:$B$63,0))="Ração",IF(INDEX(PRODUTOS!$I$4:$I$63,MATCH($A188,PRODUTOS!$B$4:$B$63,0))="B",INDEX(MODELOS!$G$4:$G$11,MATCH($D188,MODELOS!$A$4:$A$11,0)),INDEX(MODELOS!$C$4:$C$11,MATCH($D188,MODELOS!$A$4:$A$11,0))),IF(INDEX(PRODUTOS!$I$4:$I$63,MATCH($A188,PRODUTOS!$B$4:$B$63,0))="B",INDEX(MODELOS!$H$4:$H$11,MATCH($D188,MODELOS!$A$4:$A$11,0)),INDEX(MODELOS!$D$4:$D$11,MATCH($D188,MODELOS!$A$4:$A$11,0))))</f>
        <v>Embalagem + pet + ingredientes, com o nome da linha</v>
      </c>
      <c r="H188" s="11" t="str">
        <f aca="false">IF(INDEX(PRODUTOS!$I$4:$I$63,MATCH($A188,PRODUTOS!$B$4:$B$63,0))="B",INDEX(MODELOS!$I$4:$I$11,MATCH($D188,MODELOS!$A$4:$A$11,0)),INDEX(MODELOS!$E$4:$E$11,MATCH($D188,MODELOS!$A$4:$A$11,0)))</f>
        <v>970 × 600</v>
      </c>
      <c r="I188" s="11" t="str">
        <f aca="false">IF($D188="COMP","SIM",IF(INDEX(PRODUTOS!$J$4:$J$63,MATCH($A188,PRODUTOS!$B$4:$B$63,0))&lt;&gt;"","NÃO (usa o A+ do EAN "&amp;INDEX(PRODUTOS!$J$4:$J$63,MATCH($A188,PRODUTOS!$B$4:$B$63,0))&amp;")",IF(AND(INDEX(PRODUTOS!$I$4:$I$63,MATCH($A188,PRODUTOS!$B$4:$B$63,0))="B",$D188="AP07"),"NÃO (modelo B)","SIM")))</f>
        <v>SIM</v>
      </c>
      <c r="J188" s="13" t="s">
        <v>318</v>
      </c>
      <c r="K188" s="13"/>
    </row>
    <row r="189" customFormat="false" ht="15" hidden="false" customHeight="false" outlineLevel="0" collapsed="false">
      <c r="A189" s="15" t="s">
        <v>138</v>
      </c>
      <c r="B189" s="11" t="str">
        <f aca="false">INDEX(PRODUTOS!$E$4:$E$63,MATCH($A189,PRODUTOS!$B$4:$B$63,0))</f>
        <v>Ração Seca Natural Dots para Gatos Adultos - Pacote 11 kg</v>
      </c>
      <c r="C189" s="11" t="str">
        <f aca="false">INDEX(PRODUTOS!$H$4:$H$63,MATCH($A189,PRODUTOS!$B$4:$B$63,0))</f>
        <v>11 kg</v>
      </c>
      <c r="D189" s="11" t="s">
        <v>319</v>
      </c>
      <c r="E189" s="16" t="str">
        <f aca="false">$A189&amp;"."&amp;$D189&amp;".jpg"</f>
        <v>7898968541382.AP02.jpg</v>
      </c>
      <c r="F189" s="11" t="str">
        <f aca="false">IF(INDEX(PRODUTOS!$I$4:$I$63,MATCH($A189,PRODUTOS!$B$4:$B$63,0))="B",INDEX(MODELOS!$F$4:$F$11,MATCH($D189,MODELOS!$A$4:$A$11,0)),INDEX(MODELOS!$B$4:$B$11,MATCH($D189,MODELOS!$A$4:$A$11,0)))</f>
        <v>Módulo 2 · Texto sobreposto</v>
      </c>
      <c r="G189" s="11" t="str">
        <f aca="false">IF(INDEX(PRODUTOS!$F$4:$F$63,MATCH($A189,PRODUTOS!$B$4:$B$63,0))="Ração",IF(INDEX(PRODUTOS!$I$4:$I$63,MATCH($A189,PRODUTOS!$B$4:$B$63,0))="B",INDEX(MODELOS!$G$4:$G$11,MATCH($D189,MODELOS!$A$4:$A$11,0)),INDEX(MODELOS!$C$4:$C$11,MATCH($D189,MODELOS!$A$4:$A$11,0))),IF(INDEX(PRODUTOS!$I$4:$I$63,MATCH($A189,PRODUTOS!$B$4:$B$63,0))="B",INDEX(MODELOS!$H$4:$H$11,MATCH($D189,MODELOS!$A$4:$A$11,0)),INDEX(MODELOS!$D$4:$D$11,MATCH($D189,MODELOS!$A$4:$A$11,0))))</f>
        <v>Principal diferencial; deixar o lado direito limpo</v>
      </c>
      <c r="H189" s="11" t="str">
        <f aca="false">IF(INDEX(PRODUTOS!$I$4:$I$63,MATCH($A189,PRODUTOS!$B$4:$B$63,0))="B",INDEX(MODELOS!$I$4:$I$11,MATCH($D189,MODELOS!$A$4:$A$11,0)),INDEX(MODELOS!$E$4:$E$11,MATCH($D189,MODELOS!$A$4:$A$11,0)))</f>
        <v>970 × 300</v>
      </c>
      <c r="I189" s="11" t="str">
        <f aca="false">IF($D189="COMP","SIM",IF(INDEX(PRODUTOS!$J$4:$J$63,MATCH($A189,PRODUTOS!$B$4:$B$63,0))&lt;&gt;"","NÃO (usa o A+ do EAN "&amp;INDEX(PRODUTOS!$J$4:$J$63,MATCH($A189,PRODUTOS!$B$4:$B$63,0))&amp;")",IF(AND(INDEX(PRODUTOS!$I$4:$I$63,MATCH($A189,PRODUTOS!$B$4:$B$63,0))="B",$D189="AP07"),"NÃO (modelo B)","SIM")))</f>
        <v>SIM</v>
      </c>
      <c r="J189" s="13" t="s">
        <v>318</v>
      </c>
      <c r="K189" s="13"/>
    </row>
    <row r="190" customFormat="false" ht="15" hidden="false" customHeight="false" outlineLevel="0" collapsed="false">
      <c r="A190" s="15" t="s">
        <v>138</v>
      </c>
      <c r="B190" s="11" t="str">
        <f aca="false">INDEX(PRODUTOS!$E$4:$E$63,MATCH($A190,PRODUTOS!$B$4:$B$63,0))</f>
        <v>Ração Seca Natural Dots para Gatos Adultos - Pacote 11 kg</v>
      </c>
      <c r="C190" s="11" t="str">
        <f aca="false">INDEX(PRODUTOS!$H$4:$H$63,MATCH($A190,PRODUTOS!$B$4:$B$63,0))</f>
        <v>11 kg</v>
      </c>
      <c r="D190" s="11" t="s">
        <v>320</v>
      </c>
      <c r="E190" s="16" t="str">
        <f aca="false">$A190&amp;"."&amp;$D190&amp;".jpg"</f>
        <v>7898968541382.AP03.jpg</v>
      </c>
      <c r="F190" s="11" t="str">
        <f aca="false">IF(INDEX(PRODUTOS!$I$4:$I$63,MATCH($A190,PRODUTOS!$B$4:$B$63,0))="B",INDEX(MODELOS!$F$4:$F$11,MATCH($D190,MODELOS!$A$4:$A$11,0)),INDEX(MODELOS!$B$4:$B$11,MATCH($D190,MODELOS!$A$4:$A$11,0)))</f>
        <v>Módulo 3 · Benefício 1 de 4</v>
      </c>
      <c r="G190" s="11" t="str">
        <f aca="false">IF(INDEX(PRODUTOS!$F$4:$F$63,MATCH($A190,PRODUTOS!$B$4:$B$63,0))="Ração",IF(INDEX(PRODUTOS!$I$4:$I$63,MATCH($A190,PRODUTOS!$B$4:$B$63,0))="B",INDEX(MODELOS!$G$4:$G$11,MATCH($D190,MODELOS!$A$4:$A$11,0)),INDEX(MODELOS!$C$4:$C$11,MATCH($D190,MODELOS!$A$4:$A$11,0))),IF(INDEX(PRODUTOS!$I$4:$I$63,MATCH($A190,PRODUTOS!$B$4:$B$63,0))="B",INDEX(MODELOS!$H$4:$H$11,MATCH($D190,MODELOS!$A$4:$A$11,0)),INDEX(MODELOS!$D$4:$D$11,MATCH($D190,MODELOS!$A$4:$A$11,0))))</f>
        <v>Foto/ilustração do benefício 1</v>
      </c>
      <c r="H190" s="11" t="str">
        <f aca="false">IF(INDEX(PRODUTOS!$I$4:$I$63,MATCH($A190,PRODUTOS!$B$4:$B$63,0))="B",INDEX(MODELOS!$I$4:$I$11,MATCH($D190,MODELOS!$A$4:$A$11,0)),INDEX(MODELOS!$E$4:$E$11,MATCH($D190,MODELOS!$A$4:$A$11,0)))</f>
        <v>220 × 200</v>
      </c>
      <c r="I190" s="11" t="str">
        <f aca="false">IF($D190="COMP","SIM",IF(INDEX(PRODUTOS!$J$4:$J$63,MATCH($A190,PRODUTOS!$B$4:$B$63,0))&lt;&gt;"","NÃO (usa o A+ do EAN "&amp;INDEX(PRODUTOS!$J$4:$J$63,MATCH($A190,PRODUTOS!$B$4:$B$63,0))&amp;")",IF(AND(INDEX(PRODUTOS!$I$4:$I$63,MATCH($A190,PRODUTOS!$B$4:$B$63,0))="B",$D190="AP07"),"NÃO (modelo B)","SIM")))</f>
        <v>SIM</v>
      </c>
      <c r="J190" s="13" t="s">
        <v>318</v>
      </c>
      <c r="K190" s="13"/>
    </row>
    <row r="191" customFormat="false" ht="15" hidden="false" customHeight="false" outlineLevel="0" collapsed="false">
      <c r="A191" s="15" t="s">
        <v>138</v>
      </c>
      <c r="B191" s="11" t="str">
        <f aca="false">INDEX(PRODUTOS!$E$4:$E$63,MATCH($A191,PRODUTOS!$B$4:$B$63,0))</f>
        <v>Ração Seca Natural Dots para Gatos Adultos - Pacote 11 kg</v>
      </c>
      <c r="C191" s="11" t="str">
        <f aca="false">INDEX(PRODUTOS!$H$4:$H$63,MATCH($A191,PRODUTOS!$B$4:$B$63,0))</f>
        <v>11 kg</v>
      </c>
      <c r="D191" s="11" t="s">
        <v>321</v>
      </c>
      <c r="E191" s="16" t="str">
        <f aca="false">$A191&amp;"."&amp;$D191&amp;".jpg"</f>
        <v>7898968541382.AP04.jpg</v>
      </c>
      <c r="F191" s="11" t="str">
        <f aca="false">IF(INDEX(PRODUTOS!$I$4:$I$63,MATCH($A191,PRODUTOS!$B$4:$B$63,0))="B",INDEX(MODELOS!$F$4:$F$11,MATCH($D191,MODELOS!$A$4:$A$11,0)),INDEX(MODELOS!$B$4:$B$11,MATCH($D191,MODELOS!$A$4:$A$11,0)))</f>
        <v>Módulo 3 · Benefício 2 de 4</v>
      </c>
      <c r="G191" s="11" t="str">
        <f aca="false">IF(INDEX(PRODUTOS!$F$4:$F$63,MATCH($A191,PRODUTOS!$B$4:$B$63,0))="Ração",IF(INDEX(PRODUTOS!$I$4:$I$63,MATCH($A191,PRODUTOS!$B$4:$B$63,0))="B",INDEX(MODELOS!$G$4:$G$11,MATCH($D191,MODELOS!$A$4:$A$11,0)),INDEX(MODELOS!$C$4:$C$11,MATCH($D191,MODELOS!$A$4:$A$11,0))),IF(INDEX(PRODUTOS!$I$4:$I$63,MATCH($A191,PRODUTOS!$B$4:$B$63,0))="B",INDEX(MODELOS!$H$4:$H$11,MATCH($D191,MODELOS!$A$4:$A$11,0)),INDEX(MODELOS!$D$4:$D$11,MATCH($D191,MODELOS!$A$4:$A$11,0))))</f>
        <v>Foto/ilustração do benefício 2</v>
      </c>
      <c r="H191" s="11" t="str">
        <f aca="false">IF(INDEX(PRODUTOS!$I$4:$I$63,MATCH($A191,PRODUTOS!$B$4:$B$63,0))="B",INDEX(MODELOS!$I$4:$I$11,MATCH($D191,MODELOS!$A$4:$A$11,0)),INDEX(MODELOS!$E$4:$E$11,MATCH($D191,MODELOS!$A$4:$A$11,0)))</f>
        <v>220 × 200</v>
      </c>
      <c r="I191" s="11" t="str">
        <f aca="false">IF($D191="COMP","SIM",IF(INDEX(PRODUTOS!$J$4:$J$63,MATCH($A191,PRODUTOS!$B$4:$B$63,0))&lt;&gt;"","NÃO (usa o A+ do EAN "&amp;INDEX(PRODUTOS!$J$4:$J$63,MATCH($A191,PRODUTOS!$B$4:$B$63,0))&amp;")",IF(AND(INDEX(PRODUTOS!$I$4:$I$63,MATCH($A191,PRODUTOS!$B$4:$B$63,0))="B",$D191="AP07"),"NÃO (modelo B)","SIM")))</f>
        <v>SIM</v>
      </c>
      <c r="J191" s="13" t="s">
        <v>318</v>
      </c>
      <c r="K191" s="13"/>
    </row>
    <row r="192" customFormat="false" ht="15" hidden="false" customHeight="false" outlineLevel="0" collapsed="false">
      <c r="A192" s="15" t="s">
        <v>138</v>
      </c>
      <c r="B192" s="11" t="str">
        <f aca="false">INDEX(PRODUTOS!$E$4:$E$63,MATCH($A192,PRODUTOS!$B$4:$B$63,0))</f>
        <v>Ração Seca Natural Dots para Gatos Adultos - Pacote 11 kg</v>
      </c>
      <c r="C192" s="11" t="str">
        <f aca="false">INDEX(PRODUTOS!$H$4:$H$63,MATCH($A192,PRODUTOS!$B$4:$B$63,0))</f>
        <v>11 kg</v>
      </c>
      <c r="D192" s="11" t="s">
        <v>322</v>
      </c>
      <c r="E192" s="16" t="str">
        <f aca="false">$A192&amp;"."&amp;$D192&amp;".jpg"</f>
        <v>7898968541382.AP05.jpg</v>
      </c>
      <c r="F192" s="11" t="str">
        <f aca="false">IF(INDEX(PRODUTOS!$I$4:$I$63,MATCH($A192,PRODUTOS!$B$4:$B$63,0))="B",INDEX(MODELOS!$F$4:$F$11,MATCH($D192,MODELOS!$A$4:$A$11,0)),INDEX(MODELOS!$B$4:$B$11,MATCH($D192,MODELOS!$A$4:$A$11,0)))</f>
        <v>Módulo 3 · Benefício 3 de 4</v>
      </c>
      <c r="G192" s="11" t="str">
        <f aca="false">IF(INDEX(PRODUTOS!$F$4:$F$63,MATCH($A192,PRODUTOS!$B$4:$B$63,0))="Ração",IF(INDEX(PRODUTOS!$I$4:$I$63,MATCH($A192,PRODUTOS!$B$4:$B$63,0))="B",INDEX(MODELOS!$G$4:$G$11,MATCH($D192,MODELOS!$A$4:$A$11,0)),INDEX(MODELOS!$C$4:$C$11,MATCH($D192,MODELOS!$A$4:$A$11,0))),IF(INDEX(PRODUTOS!$I$4:$I$63,MATCH($A192,PRODUTOS!$B$4:$B$63,0))="B",INDEX(MODELOS!$H$4:$H$11,MATCH($D192,MODELOS!$A$4:$A$11,0)),INDEX(MODELOS!$D$4:$D$11,MATCH($D192,MODELOS!$A$4:$A$11,0))))</f>
        <v>Foto/ilustração do benefício 3</v>
      </c>
      <c r="H192" s="11" t="str">
        <f aca="false">IF(INDEX(PRODUTOS!$I$4:$I$63,MATCH($A192,PRODUTOS!$B$4:$B$63,0))="B",INDEX(MODELOS!$I$4:$I$11,MATCH($D192,MODELOS!$A$4:$A$11,0)),INDEX(MODELOS!$E$4:$E$11,MATCH($D192,MODELOS!$A$4:$A$11,0)))</f>
        <v>220 × 200</v>
      </c>
      <c r="I192" s="11" t="str">
        <f aca="false">IF($D192="COMP","SIM",IF(INDEX(PRODUTOS!$J$4:$J$63,MATCH($A192,PRODUTOS!$B$4:$B$63,0))&lt;&gt;"","NÃO (usa o A+ do EAN "&amp;INDEX(PRODUTOS!$J$4:$J$63,MATCH($A192,PRODUTOS!$B$4:$B$63,0))&amp;")",IF(AND(INDEX(PRODUTOS!$I$4:$I$63,MATCH($A192,PRODUTOS!$B$4:$B$63,0))="B",$D192="AP07"),"NÃO (modelo B)","SIM")))</f>
        <v>SIM</v>
      </c>
      <c r="J192" s="13" t="s">
        <v>318</v>
      </c>
      <c r="K192" s="13"/>
    </row>
    <row r="193" customFormat="false" ht="15" hidden="false" customHeight="false" outlineLevel="0" collapsed="false">
      <c r="A193" s="15" t="s">
        <v>138</v>
      </c>
      <c r="B193" s="11" t="str">
        <f aca="false">INDEX(PRODUTOS!$E$4:$E$63,MATCH($A193,PRODUTOS!$B$4:$B$63,0))</f>
        <v>Ração Seca Natural Dots para Gatos Adultos - Pacote 11 kg</v>
      </c>
      <c r="C193" s="11" t="str">
        <f aca="false">INDEX(PRODUTOS!$H$4:$H$63,MATCH($A193,PRODUTOS!$B$4:$B$63,0))</f>
        <v>11 kg</v>
      </c>
      <c r="D193" s="11" t="s">
        <v>323</v>
      </c>
      <c r="E193" s="16" t="str">
        <f aca="false">$A193&amp;"."&amp;$D193&amp;".jpg"</f>
        <v>7898968541382.AP06.jpg</v>
      </c>
      <c r="F193" s="11" t="str">
        <f aca="false">IF(INDEX(PRODUTOS!$I$4:$I$63,MATCH($A193,PRODUTOS!$B$4:$B$63,0))="B",INDEX(MODELOS!$F$4:$F$11,MATCH($D193,MODELOS!$A$4:$A$11,0)),INDEX(MODELOS!$B$4:$B$11,MATCH($D193,MODELOS!$A$4:$A$11,0)))</f>
        <v>Módulo 3 · Benefício 4 de 4</v>
      </c>
      <c r="G193" s="11" t="str">
        <f aca="false">IF(INDEX(PRODUTOS!$F$4:$F$63,MATCH($A193,PRODUTOS!$B$4:$B$63,0))="Ração",IF(INDEX(PRODUTOS!$I$4:$I$63,MATCH($A193,PRODUTOS!$B$4:$B$63,0))="B",INDEX(MODELOS!$G$4:$G$11,MATCH($D193,MODELOS!$A$4:$A$11,0)),INDEX(MODELOS!$C$4:$C$11,MATCH($D193,MODELOS!$A$4:$A$11,0))),IF(INDEX(PRODUTOS!$I$4:$I$63,MATCH($A193,PRODUTOS!$B$4:$B$63,0))="B",INDEX(MODELOS!$H$4:$H$11,MATCH($D193,MODELOS!$A$4:$A$11,0)),INDEX(MODELOS!$D$4:$D$11,MATCH($D193,MODELOS!$A$4:$A$11,0))))</f>
        <v>Foto/ilustração do benefício 4</v>
      </c>
      <c r="H193" s="11" t="str">
        <f aca="false">IF(INDEX(PRODUTOS!$I$4:$I$63,MATCH($A193,PRODUTOS!$B$4:$B$63,0))="B",INDEX(MODELOS!$I$4:$I$11,MATCH($D193,MODELOS!$A$4:$A$11,0)),INDEX(MODELOS!$E$4:$E$11,MATCH($D193,MODELOS!$A$4:$A$11,0)))</f>
        <v>220 × 200</v>
      </c>
      <c r="I193" s="11" t="str">
        <f aca="false">IF($D193="COMP","SIM",IF(INDEX(PRODUTOS!$J$4:$J$63,MATCH($A193,PRODUTOS!$B$4:$B$63,0))&lt;&gt;"","NÃO (usa o A+ do EAN "&amp;INDEX(PRODUTOS!$J$4:$J$63,MATCH($A193,PRODUTOS!$B$4:$B$63,0))&amp;")",IF(AND(INDEX(PRODUTOS!$I$4:$I$63,MATCH($A193,PRODUTOS!$B$4:$B$63,0))="B",$D193="AP07"),"NÃO (modelo B)","SIM")))</f>
        <v>SIM</v>
      </c>
      <c r="J193" s="13" t="s">
        <v>318</v>
      </c>
      <c r="K193" s="13"/>
    </row>
    <row r="194" customFormat="false" ht="15" hidden="false" customHeight="false" outlineLevel="0" collapsed="false">
      <c r="A194" s="15" t="s">
        <v>138</v>
      </c>
      <c r="B194" s="11" t="str">
        <f aca="false">INDEX(PRODUTOS!$E$4:$E$63,MATCH($A194,PRODUTOS!$B$4:$B$63,0))</f>
        <v>Ração Seca Natural Dots para Gatos Adultos - Pacote 11 kg</v>
      </c>
      <c r="C194" s="11" t="str">
        <f aca="false">INDEX(PRODUTOS!$H$4:$H$63,MATCH($A194,PRODUTOS!$B$4:$B$63,0))</f>
        <v>11 kg</v>
      </c>
      <c r="D194" s="11" t="s">
        <v>324</v>
      </c>
      <c r="E194" s="16" t="str">
        <f aca="false">$A194&amp;"."&amp;$D194&amp;".jpg"</f>
        <v>7898968541382.AP07.jpg</v>
      </c>
      <c r="F194" s="11" t="str">
        <f aca="false">IF(INDEX(PRODUTOS!$I$4:$I$63,MATCH($A194,PRODUTOS!$B$4:$B$63,0))="B",INDEX(MODELOS!$F$4:$F$11,MATCH($D194,MODELOS!$A$4:$A$11,0)),INDEX(MODELOS!$B$4:$B$11,MATCH($D194,MODELOS!$A$4:$A$11,0)))</f>
        <v>Módulo 4 · Especificações</v>
      </c>
      <c r="G194" s="11" t="str">
        <f aca="false">IF(INDEX(PRODUTOS!$F$4:$F$63,MATCH($A194,PRODUTOS!$B$4:$B$63,0))="Ração",IF(INDEX(PRODUTOS!$I$4:$I$63,MATCH($A194,PRODUTOS!$B$4:$B$63,0))="B",INDEX(MODELOS!$G$4:$G$11,MATCH($D194,MODELOS!$A$4:$A$11,0)),INDEX(MODELOS!$C$4:$C$11,MATCH($D194,MODELOS!$A$4:$A$11,0))),IF(INDEX(PRODUTOS!$I$4:$I$63,MATCH($A194,PRODUTOS!$B$4:$B$63,0))="B",INDEX(MODELOS!$H$4:$H$11,MATCH($D194,MODELOS!$A$4:$A$11,0)),INDEX(MODELOS!$D$4:$D$11,MATCH($D194,MODELOS!$A$4:$A$11,0))))</f>
        <v>Grão ou pacote em destaque</v>
      </c>
      <c r="H194" s="11" t="str">
        <f aca="false">IF(INDEX(PRODUTOS!$I$4:$I$63,MATCH($A194,PRODUTOS!$B$4:$B$63,0))="B",INDEX(MODELOS!$I$4:$I$11,MATCH($D194,MODELOS!$A$4:$A$11,0)),INDEX(MODELOS!$E$4:$E$11,MATCH($D194,MODELOS!$A$4:$A$11,0)))</f>
        <v>300 × 300</v>
      </c>
      <c r="I194" s="11" t="str">
        <f aca="false">IF($D194="COMP","SIM",IF(INDEX(PRODUTOS!$J$4:$J$63,MATCH($A194,PRODUTOS!$B$4:$B$63,0))&lt;&gt;"","NÃO (usa o A+ do EAN "&amp;INDEX(PRODUTOS!$J$4:$J$63,MATCH($A194,PRODUTOS!$B$4:$B$63,0))&amp;")",IF(AND(INDEX(PRODUTOS!$I$4:$I$63,MATCH($A194,PRODUTOS!$B$4:$B$63,0))="B",$D194="AP07"),"NÃO (modelo B)","SIM")))</f>
        <v>SIM</v>
      </c>
      <c r="J194" s="13" t="s">
        <v>318</v>
      </c>
      <c r="K194" s="13"/>
    </row>
    <row r="195" customFormat="false" ht="15" hidden="false" customHeight="false" outlineLevel="0" collapsed="false">
      <c r="A195" s="15" t="s">
        <v>138</v>
      </c>
      <c r="B195" s="11" t="str">
        <f aca="false">INDEX(PRODUTOS!$E$4:$E$63,MATCH($A195,PRODUTOS!$B$4:$B$63,0))</f>
        <v>Ração Seca Natural Dots para Gatos Adultos - Pacote 11 kg</v>
      </c>
      <c r="C195" s="11" t="str">
        <f aca="false">INDEX(PRODUTOS!$H$4:$H$63,MATCH($A195,PRODUTOS!$B$4:$B$63,0))</f>
        <v>11 kg</v>
      </c>
      <c r="D195" s="11" t="s">
        <v>325</v>
      </c>
      <c r="E195" s="16" t="str">
        <f aca="false">$A195&amp;"."&amp;$D195&amp;".jpg"</f>
        <v>7898968541382.COMP.jpg</v>
      </c>
      <c r="F195" s="11" t="str">
        <f aca="false">IF(INDEX(PRODUTOS!$I$4:$I$63,MATCH($A195,PRODUTOS!$B$4:$B$63,0))="B",INDEX(MODELOS!$F$4:$F$11,MATCH($D195,MODELOS!$A$4:$A$11,0)),INDEX(MODELOS!$B$4:$B$11,MATCH($D195,MODELOS!$A$4:$A$11,0)))</f>
        <v>Módulo 5 · Tabela comparativa</v>
      </c>
      <c r="G195" s="11" t="str">
        <f aca="false">IF(INDEX(PRODUTOS!$F$4:$F$63,MATCH($A195,PRODUTOS!$B$4:$B$63,0))="Ração",IF(INDEX(PRODUTOS!$I$4:$I$63,MATCH($A195,PRODUTOS!$B$4:$B$63,0))="B",INDEX(MODELOS!$G$4:$G$11,MATCH($D195,MODELOS!$A$4:$A$11,0)),INDEX(MODELOS!$C$4:$C$11,MATCH($D195,MODELOS!$A$4:$A$11,0))),IF(INDEX(PRODUTOS!$I$4:$I$63,MATCH($A195,PRODUTOS!$B$4:$B$63,0))="B",INDEX(MODELOS!$H$4:$H$11,MATCH($D195,MODELOS!$A$4:$A$11,0)),INDEX(MODELOS!$D$4:$D$11,MATCH($D195,MODELOS!$A$4:$A$11,0))))</f>
        <v>Pacote na vertical, sem fundo colorido</v>
      </c>
      <c r="H195" s="11" t="str">
        <f aca="false">IF(INDEX(PRODUTOS!$I$4:$I$63,MATCH($A195,PRODUTOS!$B$4:$B$63,0))="B",INDEX(MODELOS!$I$4:$I$11,MATCH($D195,MODELOS!$A$4:$A$11,0)),INDEX(MODELOS!$E$4:$E$11,MATCH($D195,MODELOS!$A$4:$A$11,0)))</f>
        <v>150 × 300</v>
      </c>
      <c r="I195" s="11" t="str">
        <f aca="false">IF($D195="COMP","SIM",IF(INDEX(PRODUTOS!$J$4:$J$63,MATCH($A195,PRODUTOS!$B$4:$B$63,0))&lt;&gt;"","NÃO (usa o A+ do EAN "&amp;INDEX(PRODUTOS!$J$4:$J$63,MATCH($A195,PRODUTOS!$B$4:$B$63,0))&amp;")",IF(AND(INDEX(PRODUTOS!$I$4:$I$63,MATCH($A195,PRODUTOS!$B$4:$B$63,0))="B",$D195="AP07"),"NÃO (modelo B)","SIM")))</f>
        <v>SIM</v>
      </c>
      <c r="J195" s="13" t="s">
        <v>318</v>
      </c>
      <c r="K195" s="13"/>
    </row>
    <row r="196" customFormat="false" ht="15" hidden="false" customHeight="false" outlineLevel="0" collapsed="false">
      <c r="A196" s="15" t="s">
        <v>143</v>
      </c>
      <c r="B196" s="11" t="str">
        <f aca="false">INDEX(PRODUTOS!$E$4:$E$63,MATCH($A196,PRODUTOS!$B$4:$B$63,0))</f>
        <v>Ração Seca Natural Dots para Gatos Adultos - Pacote 1 kg</v>
      </c>
      <c r="C196" s="11" t="str">
        <f aca="false">INDEX(PRODUTOS!$H$4:$H$63,MATCH($A196,PRODUTOS!$B$4:$B$63,0))</f>
        <v>1 kg</v>
      </c>
      <c r="D196" s="11" t="s">
        <v>317</v>
      </c>
      <c r="E196" s="16" t="str">
        <f aca="false">$A196&amp;"."&amp;$D196&amp;".jpg"</f>
        <v>7898968541368.AP01.jpg</v>
      </c>
      <c r="F196" s="11" t="str">
        <f aca="false">IF(INDEX(PRODUTOS!$I$4:$I$63,MATCH($A196,PRODUTOS!$B$4:$B$63,0))="B",INDEX(MODELOS!$F$4:$F$11,MATCH($D196,MODELOS!$A$4:$A$11,0)),INDEX(MODELOS!$B$4:$B$11,MATCH($D196,MODELOS!$A$4:$A$11,0)))</f>
        <v>Módulo 1 · Banner</v>
      </c>
      <c r="G196" s="11" t="str">
        <f aca="false">IF(INDEX(PRODUTOS!$F$4:$F$63,MATCH($A196,PRODUTOS!$B$4:$B$63,0))="Ração",IF(INDEX(PRODUTOS!$I$4:$I$63,MATCH($A196,PRODUTOS!$B$4:$B$63,0))="B",INDEX(MODELOS!$G$4:$G$11,MATCH($D196,MODELOS!$A$4:$A$11,0)),INDEX(MODELOS!$C$4:$C$11,MATCH($D196,MODELOS!$A$4:$A$11,0))),IF(INDEX(PRODUTOS!$I$4:$I$63,MATCH($A196,PRODUTOS!$B$4:$B$63,0))="B",INDEX(MODELOS!$H$4:$H$11,MATCH($D196,MODELOS!$A$4:$A$11,0)),INDEX(MODELOS!$D$4:$D$11,MATCH($D196,MODELOS!$A$4:$A$11,0))))</f>
        <v>Embalagem + pet + ingredientes, com o nome da linha</v>
      </c>
      <c r="H196" s="11" t="str">
        <f aca="false">IF(INDEX(PRODUTOS!$I$4:$I$63,MATCH($A196,PRODUTOS!$B$4:$B$63,0))="B",INDEX(MODELOS!$I$4:$I$11,MATCH($D196,MODELOS!$A$4:$A$11,0)),INDEX(MODELOS!$E$4:$E$11,MATCH($D196,MODELOS!$A$4:$A$11,0)))</f>
        <v>970 × 600</v>
      </c>
      <c r="I196" s="11" t="str">
        <f aca="false">IF($D196="COMP","SIM",IF(INDEX(PRODUTOS!$J$4:$J$63,MATCH($A196,PRODUTOS!$B$4:$B$63,0))&lt;&gt;"","NÃO (usa o A+ do EAN "&amp;INDEX(PRODUTOS!$J$4:$J$63,MATCH($A196,PRODUTOS!$B$4:$B$63,0))&amp;")",IF(AND(INDEX(PRODUTOS!$I$4:$I$63,MATCH($A196,PRODUTOS!$B$4:$B$63,0))="B",$D196="AP07"),"NÃO (modelo B)","SIM")))</f>
        <v>NÃO (usa o A+ do EAN 7898968541382)</v>
      </c>
      <c r="J196" s="13" t="s">
        <v>318</v>
      </c>
      <c r="K196" s="13"/>
    </row>
    <row r="197" customFormat="false" ht="15" hidden="false" customHeight="false" outlineLevel="0" collapsed="false">
      <c r="A197" s="15" t="s">
        <v>143</v>
      </c>
      <c r="B197" s="11" t="str">
        <f aca="false">INDEX(PRODUTOS!$E$4:$E$63,MATCH($A197,PRODUTOS!$B$4:$B$63,0))</f>
        <v>Ração Seca Natural Dots para Gatos Adultos - Pacote 1 kg</v>
      </c>
      <c r="C197" s="11" t="str">
        <f aca="false">INDEX(PRODUTOS!$H$4:$H$63,MATCH($A197,PRODUTOS!$B$4:$B$63,0))</f>
        <v>1 kg</v>
      </c>
      <c r="D197" s="11" t="s">
        <v>319</v>
      </c>
      <c r="E197" s="16" t="str">
        <f aca="false">$A197&amp;"."&amp;$D197&amp;".jpg"</f>
        <v>7898968541368.AP02.jpg</v>
      </c>
      <c r="F197" s="11" t="str">
        <f aca="false">IF(INDEX(PRODUTOS!$I$4:$I$63,MATCH($A197,PRODUTOS!$B$4:$B$63,0))="B",INDEX(MODELOS!$F$4:$F$11,MATCH($D197,MODELOS!$A$4:$A$11,0)),INDEX(MODELOS!$B$4:$B$11,MATCH($D197,MODELOS!$A$4:$A$11,0)))</f>
        <v>Módulo 2 · Texto sobreposto</v>
      </c>
      <c r="G197" s="11" t="str">
        <f aca="false">IF(INDEX(PRODUTOS!$F$4:$F$63,MATCH($A197,PRODUTOS!$B$4:$B$63,0))="Ração",IF(INDEX(PRODUTOS!$I$4:$I$63,MATCH($A197,PRODUTOS!$B$4:$B$63,0))="B",INDEX(MODELOS!$G$4:$G$11,MATCH($D197,MODELOS!$A$4:$A$11,0)),INDEX(MODELOS!$C$4:$C$11,MATCH($D197,MODELOS!$A$4:$A$11,0))),IF(INDEX(PRODUTOS!$I$4:$I$63,MATCH($A197,PRODUTOS!$B$4:$B$63,0))="B",INDEX(MODELOS!$H$4:$H$11,MATCH($D197,MODELOS!$A$4:$A$11,0)),INDEX(MODELOS!$D$4:$D$11,MATCH($D197,MODELOS!$A$4:$A$11,0))))</f>
        <v>Principal diferencial; deixar o lado direito limpo</v>
      </c>
      <c r="H197" s="11" t="str">
        <f aca="false">IF(INDEX(PRODUTOS!$I$4:$I$63,MATCH($A197,PRODUTOS!$B$4:$B$63,0))="B",INDEX(MODELOS!$I$4:$I$11,MATCH($D197,MODELOS!$A$4:$A$11,0)),INDEX(MODELOS!$E$4:$E$11,MATCH($D197,MODELOS!$A$4:$A$11,0)))</f>
        <v>970 × 300</v>
      </c>
      <c r="I197" s="11" t="str">
        <f aca="false">IF($D197="COMP","SIM",IF(INDEX(PRODUTOS!$J$4:$J$63,MATCH($A197,PRODUTOS!$B$4:$B$63,0))&lt;&gt;"","NÃO (usa o A+ do EAN "&amp;INDEX(PRODUTOS!$J$4:$J$63,MATCH($A197,PRODUTOS!$B$4:$B$63,0))&amp;")",IF(AND(INDEX(PRODUTOS!$I$4:$I$63,MATCH($A197,PRODUTOS!$B$4:$B$63,0))="B",$D197="AP07"),"NÃO (modelo B)","SIM")))</f>
        <v>NÃO (usa o A+ do EAN 7898968541382)</v>
      </c>
      <c r="J197" s="13" t="s">
        <v>318</v>
      </c>
      <c r="K197" s="13"/>
    </row>
    <row r="198" customFormat="false" ht="15" hidden="false" customHeight="false" outlineLevel="0" collapsed="false">
      <c r="A198" s="15" t="s">
        <v>143</v>
      </c>
      <c r="B198" s="11" t="str">
        <f aca="false">INDEX(PRODUTOS!$E$4:$E$63,MATCH($A198,PRODUTOS!$B$4:$B$63,0))</f>
        <v>Ração Seca Natural Dots para Gatos Adultos - Pacote 1 kg</v>
      </c>
      <c r="C198" s="11" t="str">
        <f aca="false">INDEX(PRODUTOS!$H$4:$H$63,MATCH($A198,PRODUTOS!$B$4:$B$63,0))</f>
        <v>1 kg</v>
      </c>
      <c r="D198" s="11" t="s">
        <v>320</v>
      </c>
      <c r="E198" s="16" t="str">
        <f aca="false">$A198&amp;"."&amp;$D198&amp;".jpg"</f>
        <v>7898968541368.AP03.jpg</v>
      </c>
      <c r="F198" s="11" t="str">
        <f aca="false">IF(INDEX(PRODUTOS!$I$4:$I$63,MATCH($A198,PRODUTOS!$B$4:$B$63,0))="B",INDEX(MODELOS!$F$4:$F$11,MATCH($D198,MODELOS!$A$4:$A$11,0)),INDEX(MODELOS!$B$4:$B$11,MATCH($D198,MODELOS!$A$4:$A$11,0)))</f>
        <v>Módulo 3 · Benefício 1 de 4</v>
      </c>
      <c r="G198" s="11" t="str">
        <f aca="false">IF(INDEX(PRODUTOS!$F$4:$F$63,MATCH($A198,PRODUTOS!$B$4:$B$63,0))="Ração",IF(INDEX(PRODUTOS!$I$4:$I$63,MATCH($A198,PRODUTOS!$B$4:$B$63,0))="B",INDEX(MODELOS!$G$4:$G$11,MATCH($D198,MODELOS!$A$4:$A$11,0)),INDEX(MODELOS!$C$4:$C$11,MATCH($D198,MODELOS!$A$4:$A$11,0))),IF(INDEX(PRODUTOS!$I$4:$I$63,MATCH($A198,PRODUTOS!$B$4:$B$63,0))="B",INDEX(MODELOS!$H$4:$H$11,MATCH($D198,MODELOS!$A$4:$A$11,0)),INDEX(MODELOS!$D$4:$D$11,MATCH($D198,MODELOS!$A$4:$A$11,0))))</f>
        <v>Foto/ilustração do benefício 1</v>
      </c>
      <c r="H198" s="11" t="str">
        <f aca="false">IF(INDEX(PRODUTOS!$I$4:$I$63,MATCH($A198,PRODUTOS!$B$4:$B$63,0))="B",INDEX(MODELOS!$I$4:$I$11,MATCH($D198,MODELOS!$A$4:$A$11,0)),INDEX(MODELOS!$E$4:$E$11,MATCH($D198,MODELOS!$A$4:$A$11,0)))</f>
        <v>220 × 200</v>
      </c>
      <c r="I198" s="11" t="str">
        <f aca="false">IF($D198="COMP","SIM",IF(INDEX(PRODUTOS!$J$4:$J$63,MATCH($A198,PRODUTOS!$B$4:$B$63,0))&lt;&gt;"","NÃO (usa o A+ do EAN "&amp;INDEX(PRODUTOS!$J$4:$J$63,MATCH($A198,PRODUTOS!$B$4:$B$63,0))&amp;")",IF(AND(INDEX(PRODUTOS!$I$4:$I$63,MATCH($A198,PRODUTOS!$B$4:$B$63,0))="B",$D198="AP07"),"NÃO (modelo B)","SIM")))</f>
        <v>NÃO (usa o A+ do EAN 7898968541382)</v>
      </c>
      <c r="J198" s="13" t="s">
        <v>318</v>
      </c>
      <c r="K198" s="13"/>
    </row>
    <row r="199" customFormat="false" ht="15" hidden="false" customHeight="false" outlineLevel="0" collapsed="false">
      <c r="A199" s="15" t="s">
        <v>143</v>
      </c>
      <c r="B199" s="11" t="str">
        <f aca="false">INDEX(PRODUTOS!$E$4:$E$63,MATCH($A199,PRODUTOS!$B$4:$B$63,0))</f>
        <v>Ração Seca Natural Dots para Gatos Adultos - Pacote 1 kg</v>
      </c>
      <c r="C199" s="11" t="str">
        <f aca="false">INDEX(PRODUTOS!$H$4:$H$63,MATCH($A199,PRODUTOS!$B$4:$B$63,0))</f>
        <v>1 kg</v>
      </c>
      <c r="D199" s="11" t="s">
        <v>321</v>
      </c>
      <c r="E199" s="16" t="str">
        <f aca="false">$A199&amp;"."&amp;$D199&amp;".jpg"</f>
        <v>7898968541368.AP04.jpg</v>
      </c>
      <c r="F199" s="11" t="str">
        <f aca="false">IF(INDEX(PRODUTOS!$I$4:$I$63,MATCH($A199,PRODUTOS!$B$4:$B$63,0))="B",INDEX(MODELOS!$F$4:$F$11,MATCH($D199,MODELOS!$A$4:$A$11,0)),INDEX(MODELOS!$B$4:$B$11,MATCH($D199,MODELOS!$A$4:$A$11,0)))</f>
        <v>Módulo 3 · Benefício 2 de 4</v>
      </c>
      <c r="G199" s="11" t="str">
        <f aca="false">IF(INDEX(PRODUTOS!$F$4:$F$63,MATCH($A199,PRODUTOS!$B$4:$B$63,0))="Ração",IF(INDEX(PRODUTOS!$I$4:$I$63,MATCH($A199,PRODUTOS!$B$4:$B$63,0))="B",INDEX(MODELOS!$G$4:$G$11,MATCH($D199,MODELOS!$A$4:$A$11,0)),INDEX(MODELOS!$C$4:$C$11,MATCH($D199,MODELOS!$A$4:$A$11,0))),IF(INDEX(PRODUTOS!$I$4:$I$63,MATCH($A199,PRODUTOS!$B$4:$B$63,0))="B",INDEX(MODELOS!$H$4:$H$11,MATCH($D199,MODELOS!$A$4:$A$11,0)),INDEX(MODELOS!$D$4:$D$11,MATCH($D199,MODELOS!$A$4:$A$11,0))))</f>
        <v>Foto/ilustração do benefício 2</v>
      </c>
      <c r="H199" s="11" t="str">
        <f aca="false">IF(INDEX(PRODUTOS!$I$4:$I$63,MATCH($A199,PRODUTOS!$B$4:$B$63,0))="B",INDEX(MODELOS!$I$4:$I$11,MATCH($D199,MODELOS!$A$4:$A$11,0)),INDEX(MODELOS!$E$4:$E$11,MATCH($D199,MODELOS!$A$4:$A$11,0)))</f>
        <v>220 × 200</v>
      </c>
      <c r="I199" s="11" t="str">
        <f aca="false">IF($D199="COMP","SIM",IF(INDEX(PRODUTOS!$J$4:$J$63,MATCH($A199,PRODUTOS!$B$4:$B$63,0))&lt;&gt;"","NÃO (usa o A+ do EAN "&amp;INDEX(PRODUTOS!$J$4:$J$63,MATCH($A199,PRODUTOS!$B$4:$B$63,0))&amp;")",IF(AND(INDEX(PRODUTOS!$I$4:$I$63,MATCH($A199,PRODUTOS!$B$4:$B$63,0))="B",$D199="AP07"),"NÃO (modelo B)","SIM")))</f>
        <v>NÃO (usa o A+ do EAN 7898968541382)</v>
      </c>
      <c r="J199" s="13" t="s">
        <v>318</v>
      </c>
      <c r="K199" s="13"/>
    </row>
    <row r="200" customFormat="false" ht="15" hidden="false" customHeight="false" outlineLevel="0" collapsed="false">
      <c r="A200" s="15" t="s">
        <v>143</v>
      </c>
      <c r="B200" s="11" t="str">
        <f aca="false">INDEX(PRODUTOS!$E$4:$E$63,MATCH($A200,PRODUTOS!$B$4:$B$63,0))</f>
        <v>Ração Seca Natural Dots para Gatos Adultos - Pacote 1 kg</v>
      </c>
      <c r="C200" s="11" t="str">
        <f aca="false">INDEX(PRODUTOS!$H$4:$H$63,MATCH($A200,PRODUTOS!$B$4:$B$63,0))</f>
        <v>1 kg</v>
      </c>
      <c r="D200" s="11" t="s">
        <v>322</v>
      </c>
      <c r="E200" s="16" t="str">
        <f aca="false">$A200&amp;"."&amp;$D200&amp;".jpg"</f>
        <v>7898968541368.AP05.jpg</v>
      </c>
      <c r="F200" s="11" t="str">
        <f aca="false">IF(INDEX(PRODUTOS!$I$4:$I$63,MATCH($A200,PRODUTOS!$B$4:$B$63,0))="B",INDEX(MODELOS!$F$4:$F$11,MATCH($D200,MODELOS!$A$4:$A$11,0)),INDEX(MODELOS!$B$4:$B$11,MATCH($D200,MODELOS!$A$4:$A$11,0)))</f>
        <v>Módulo 3 · Benefício 3 de 4</v>
      </c>
      <c r="G200" s="11" t="str">
        <f aca="false">IF(INDEX(PRODUTOS!$F$4:$F$63,MATCH($A200,PRODUTOS!$B$4:$B$63,0))="Ração",IF(INDEX(PRODUTOS!$I$4:$I$63,MATCH($A200,PRODUTOS!$B$4:$B$63,0))="B",INDEX(MODELOS!$G$4:$G$11,MATCH($D200,MODELOS!$A$4:$A$11,0)),INDEX(MODELOS!$C$4:$C$11,MATCH($D200,MODELOS!$A$4:$A$11,0))),IF(INDEX(PRODUTOS!$I$4:$I$63,MATCH($A200,PRODUTOS!$B$4:$B$63,0))="B",INDEX(MODELOS!$H$4:$H$11,MATCH($D200,MODELOS!$A$4:$A$11,0)),INDEX(MODELOS!$D$4:$D$11,MATCH($D200,MODELOS!$A$4:$A$11,0))))</f>
        <v>Foto/ilustração do benefício 3</v>
      </c>
      <c r="H200" s="11" t="str">
        <f aca="false">IF(INDEX(PRODUTOS!$I$4:$I$63,MATCH($A200,PRODUTOS!$B$4:$B$63,0))="B",INDEX(MODELOS!$I$4:$I$11,MATCH($D200,MODELOS!$A$4:$A$11,0)),INDEX(MODELOS!$E$4:$E$11,MATCH($D200,MODELOS!$A$4:$A$11,0)))</f>
        <v>220 × 200</v>
      </c>
      <c r="I200" s="11" t="str">
        <f aca="false">IF($D200="COMP","SIM",IF(INDEX(PRODUTOS!$J$4:$J$63,MATCH($A200,PRODUTOS!$B$4:$B$63,0))&lt;&gt;"","NÃO (usa o A+ do EAN "&amp;INDEX(PRODUTOS!$J$4:$J$63,MATCH($A200,PRODUTOS!$B$4:$B$63,0))&amp;")",IF(AND(INDEX(PRODUTOS!$I$4:$I$63,MATCH($A200,PRODUTOS!$B$4:$B$63,0))="B",$D200="AP07"),"NÃO (modelo B)","SIM")))</f>
        <v>NÃO (usa o A+ do EAN 7898968541382)</v>
      </c>
      <c r="J200" s="13" t="s">
        <v>318</v>
      </c>
      <c r="K200" s="13"/>
    </row>
    <row r="201" customFormat="false" ht="15" hidden="false" customHeight="false" outlineLevel="0" collapsed="false">
      <c r="A201" s="15" t="s">
        <v>143</v>
      </c>
      <c r="B201" s="11" t="str">
        <f aca="false">INDEX(PRODUTOS!$E$4:$E$63,MATCH($A201,PRODUTOS!$B$4:$B$63,0))</f>
        <v>Ração Seca Natural Dots para Gatos Adultos - Pacote 1 kg</v>
      </c>
      <c r="C201" s="11" t="str">
        <f aca="false">INDEX(PRODUTOS!$H$4:$H$63,MATCH($A201,PRODUTOS!$B$4:$B$63,0))</f>
        <v>1 kg</v>
      </c>
      <c r="D201" s="11" t="s">
        <v>323</v>
      </c>
      <c r="E201" s="16" t="str">
        <f aca="false">$A201&amp;"."&amp;$D201&amp;".jpg"</f>
        <v>7898968541368.AP06.jpg</v>
      </c>
      <c r="F201" s="11" t="str">
        <f aca="false">IF(INDEX(PRODUTOS!$I$4:$I$63,MATCH($A201,PRODUTOS!$B$4:$B$63,0))="B",INDEX(MODELOS!$F$4:$F$11,MATCH($D201,MODELOS!$A$4:$A$11,0)),INDEX(MODELOS!$B$4:$B$11,MATCH($D201,MODELOS!$A$4:$A$11,0)))</f>
        <v>Módulo 3 · Benefício 4 de 4</v>
      </c>
      <c r="G201" s="11" t="str">
        <f aca="false">IF(INDEX(PRODUTOS!$F$4:$F$63,MATCH($A201,PRODUTOS!$B$4:$B$63,0))="Ração",IF(INDEX(PRODUTOS!$I$4:$I$63,MATCH($A201,PRODUTOS!$B$4:$B$63,0))="B",INDEX(MODELOS!$G$4:$G$11,MATCH($D201,MODELOS!$A$4:$A$11,0)),INDEX(MODELOS!$C$4:$C$11,MATCH($D201,MODELOS!$A$4:$A$11,0))),IF(INDEX(PRODUTOS!$I$4:$I$63,MATCH($A201,PRODUTOS!$B$4:$B$63,0))="B",INDEX(MODELOS!$H$4:$H$11,MATCH($D201,MODELOS!$A$4:$A$11,0)),INDEX(MODELOS!$D$4:$D$11,MATCH($D201,MODELOS!$A$4:$A$11,0))))</f>
        <v>Foto/ilustração do benefício 4</v>
      </c>
      <c r="H201" s="11" t="str">
        <f aca="false">IF(INDEX(PRODUTOS!$I$4:$I$63,MATCH($A201,PRODUTOS!$B$4:$B$63,0))="B",INDEX(MODELOS!$I$4:$I$11,MATCH($D201,MODELOS!$A$4:$A$11,0)),INDEX(MODELOS!$E$4:$E$11,MATCH($D201,MODELOS!$A$4:$A$11,0)))</f>
        <v>220 × 200</v>
      </c>
      <c r="I201" s="11" t="str">
        <f aca="false">IF($D201="COMP","SIM",IF(INDEX(PRODUTOS!$J$4:$J$63,MATCH($A201,PRODUTOS!$B$4:$B$63,0))&lt;&gt;"","NÃO (usa o A+ do EAN "&amp;INDEX(PRODUTOS!$J$4:$J$63,MATCH($A201,PRODUTOS!$B$4:$B$63,0))&amp;")",IF(AND(INDEX(PRODUTOS!$I$4:$I$63,MATCH($A201,PRODUTOS!$B$4:$B$63,0))="B",$D201="AP07"),"NÃO (modelo B)","SIM")))</f>
        <v>NÃO (usa o A+ do EAN 7898968541382)</v>
      </c>
      <c r="J201" s="13" t="s">
        <v>318</v>
      </c>
      <c r="K201" s="13"/>
    </row>
    <row r="202" customFormat="false" ht="15" hidden="false" customHeight="false" outlineLevel="0" collapsed="false">
      <c r="A202" s="15" t="s">
        <v>143</v>
      </c>
      <c r="B202" s="11" t="str">
        <f aca="false">INDEX(PRODUTOS!$E$4:$E$63,MATCH($A202,PRODUTOS!$B$4:$B$63,0))</f>
        <v>Ração Seca Natural Dots para Gatos Adultos - Pacote 1 kg</v>
      </c>
      <c r="C202" s="11" t="str">
        <f aca="false">INDEX(PRODUTOS!$H$4:$H$63,MATCH($A202,PRODUTOS!$B$4:$B$63,0))</f>
        <v>1 kg</v>
      </c>
      <c r="D202" s="11" t="s">
        <v>324</v>
      </c>
      <c r="E202" s="16" t="str">
        <f aca="false">$A202&amp;"."&amp;$D202&amp;".jpg"</f>
        <v>7898968541368.AP07.jpg</v>
      </c>
      <c r="F202" s="11" t="str">
        <f aca="false">IF(INDEX(PRODUTOS!$I$4:$I$63,MATCH($A202,PRODUTOS!$B$4:$B$63,0))="B",INDEX(MODELOS!$F$4:$F$11,MATCH($D202,MODELOS!$A$4:$A$11,0)),INDEX(MODELOS!$B$4:$B$11,MATCH($D202,MODELOS!$A$4:$A$11,0)))</f>
        <v>Módulo 4 · Especificações</v>
      </c>
      <c r="G202" s="11" t="str">
        <f aca="false">IF(INDEX(PRODUTOS!$F$4:$F$63,MATCH($A202,PRODUTOS!$B$4:$B$63,0))="Ração",IF(INDEX(PRODUTOS!$I$4:$I$63,MATCH($A202,PRODUTOS!$B$4:$B$63,0))="B",INDEX(MODELOS!$G$4:$G$11,MATCH($D202,MODELOS!$A$4:$A$11,0)),INDEX(MODELOS!$C$4:$C$11,MATCH($D202,MODELOS!$A$4:$A$11,0))),IF(INDEX(PRODUTOS!$I$4:$I$63,MATCH($A202,PRODUTOS!$B$4:$B$63,0))="B",INDEX(MODELOS!$H$4:$H$11,MATCH($D202,MODELOS!$A$4:$A$11,0)),INDEX(MODELOS!$D$4:$D$11,MATCH($D202,MODELOS!$A$4:$A$11,0))))</f>
        <v>Grão ou pacote em destaque</v>
      </c>
      <c r="H202" s="11" t="str">
        <f aca="false">IF(INDEX(PRODUTOS!$I$4:$I$63,MATCH($A202,PRODUTOS!$B$4:$B$63,0))="B",INDEX(MODELOS!$I$4:$I$11,MATCH($D202,MODELOS!$A$4:$A$11,0)),INDEX(MODELOS!$E$4:$E$11,MATCH($D202,MODELOS!$A$4:$A$11,0)))</f>
        <v>300 × 300</v>
      </c>
      <c r="I202" s="11" t="str">
        <f aca="false">IF($D202="COMP","SIM",IF(INDEX(PRODUTOS!$J$4:$J$63,MATCH($A202,PRODUTOS!$B$4:$B$63,0))&lt;&gt;"","NÃO (usa o A+ do EAN "&amp;INDEX(PRODUTOS!$J$4:$J$63,MATCH($A202,PRODUTOS!$B$4:$B$63,0))&amp;")",IF(AND(INDEX(PRODUTOS!$I$4:$I$63,MATCH($A202,PRODUTOS!$B$4:$B$63,0))="B",$D202="AP07"),"NÃO (modelo B)","SIM")))</f>
        <v>NÃO (usa o A+ do EAN 7898968541382)</v>
      </c>
      <c r="J202" s="13" t="s">
        <v>318</v>
      </c>
      <c r="K202" s="13"/>
    </row>
    <row r="203" customFormat="false" ht="15" hidden="false" customHeight="false" outlineLevel="0" collapsed="false">
      <c r="A203" s="15" t="s">
        <v>143</v>
      </c>
      <c r="B203" s="11" t="str">
        <f aca="false">INDEX(PRODUTOS!$E$4:$E$63,MATCH($A203,PRODUTOS!$B$4:$B$63,0))</f>
        <v>Ração Seca Natural Dots para Gatos Adultos - Pacote 1 kg</v>
      </c>
      <c r="C203" s="11" t="str">
        <f aca="false">INDEX(PRODUTOS!$H$4:$H$63,MATCH($A203,PRODUTOS!$B$4:$B$63,0))</f>
        <v>1 kg</v>
      </c>
      <c r="D203" s="11" t="s">
        <v>325</v>
      </c>
      <c r="E203" s="16" t="str">
        <f aca="false">$A203&amp;"."&amp;$D203&amp;".jpg"</f>
        <v>7898968541368.COMP.jpg</v>
      </c>
      <c r="F203" s="11" t="str">
        <f aca="false">IF(INDEX(PRODUTOS!$I$4:$I$63,MATCH($A203,PRODUTOS!$B$4:$B$63,0))="B",INDEX(MODELOS!$F$4:$F$11,MATCH($D203,MODELOS!$A$4:$A$11,0)),INDEX(MODELOS!$B$4:$B$11,MATCH($D203,MODELOS!$A$4:$A$11,0)))</f>
        <v>Módulo 5 · Tabela comparativa</v>
      </c>
      <c r="G203" s="11" t="str">
        <f aca="false">IF(INDEX(PRODUTOS!$F$4:$F$63,MATCH($A203,PRODUTOS!$B$4:$B$63,0))="Ração",IF(INDEX(PRODUTOS!$I$4:$I$63,MATCH($A203,PRODUTOS!$B$4:$B$63,0))="B",INDEX(MODELOS!$G$4:$G$11,MATCH($D203,MODELOS!$A$4:$A$11,0)),INDEX(MODELOS!$C$4:$C$11,MATCH($D203,MODELOS!$A$4:$A$11,0))),IF(INDEX(PRODUTOS!$I$4:$I$63,MATCH($A203,PRODUTOS!$B$4:$B$63,0))="B",INDEX(MODELOS!$H$4:$H$11,MATCH($D203,MODELOS!$A$4:$A$11,0)),INDEX(MODELOS!$D$4:$D$11,MATCH($D203,MODELOS!$A$4:$A$11,0))))</f>
        <v>Pacote na vertical, sem fundo colorido</v>
      </c>
      <c r="H203" s="11" t="str">
        <f aca="false">IF(INDEX(PRODUTOS!$I$4:$I$63,MATCH($A203,PRODUTOS!$B$4:$B$63,0))="B",INDEX(MODELOS!$I$4:$I$11,MATCH($D203,MODELOS!$A$4:$A$11,0)),INDEX(MODELOS!$E$4:$E$11,MATCH($D203,MODELOS!$A$4:$A$11,0)))</f>
        <v>150 × 300</v>
      </c>
      <c r="I203" s="11" t="str">
        <f aca="false">IF($D203="COMP","SIM",IF(INDEX(PRODUTOS!$J$4:$J$63,MATCH($A203,PRODUTOS!$B$4:$B$63,0))&lt;&gt;"","NÃO (usa o A+ do EAN "&amp;INDEX(PRODUTOS!$J$4:$J$63,MATCH($A203,PRODUTOS!$B$4:$B$63,0))&amp;")",IF(AND(INDEX(PRODUTOS!$I$4:$I$63,MATCH($A203,PRODUTOS!$B$4:$B$63,0))="B",$D203="AP07"),"NÃO (modelo B)","SIM")))</f>
        <v>SIM</v>
      </c>
      <c r="J203" s="13" t="s">
        <v>318</v>
      </c>
      <c r="K203" s="13"/>
    </row>
    <row r="204" customFormat="false" ht="15" hidden="false" customHeight="false" outlineLevel="0" collapsed="false">
      <c r="A204" s="15" t="s">
        <v>147</v>
      </c>
      <c r="B204" s="11" t="str">
        <f aca="false">INDEX(PRODUTOS!$E$4:$E$63,MATCH($A204,PRODUTOS!$B$4:$B$63,0))</f>
        <v>Ração Seca Natural Dots para Gatos Castrados - Pacote 11 kg</v>
      </c>
      <c r="C204" s="11" t="str">
        <f aca="false">INDEX(PRODUTOS!$H$4:$H$63,MATCH($A204,PRODUTOS!$B$4:$B$63,0))</f>
        <v>11 kg</v>
      </c>
      <c r="D204" s="11" t="s">
        <v>317</v>
      </c>
      <c r="E204" s="16" t="str">
        <f aca="false">$A204&amp;"."&amp;$D204&amp;".jpg"</f>
        <v>7898968541399.AP01.jpg</v>
      </c>
      <c r="F204" s="11" t="str">
        <f aca="false">IF(INDEX(PRODUTOS!$I$4:$I$63,MATCH($A204,PRODUTOS!$B$4:$B$63,0))="B",INDEX(MODELOS!$F$4:$F$11,MATCH($D204,MODELOS!$A$4:$A$11,0)),INDEX(MODELOS!$B$4:$B$11,MATCH($D204,MODELOS!$A$4:$A$11,0)))</f>
        <v>Módulo 1 · Banner</v>
      </c>
      <c r="G204" s="11" t="str">
        <f aca="false">IF(INDEX(PRODUTOS!$F$4:$F$63,MATCH($A204,PRODUTOS!$B$4:$B$63,0))="Ração",IF(INDEX(PRODUTOS!$I$4:$I$63,MATCH($A204,PRODUTOS!$B$4:$B$63,0))="B",INDEX(MODELOS!$G$4:$G$11,MATCH($D204,MODELOS!$A$4:$A$11,0)),INDEX(MODELOS!$C$4:$C$11,MATCH($D204,MODELOS!$A$4:$A$11,0))),IF(INDEX(PRODUTOS!$I$4:$I$63,MATCH($A204,PRODUTOS!$B$4:$B$63,0))="B",INDEX(MODELOS!$H$4:$H$11,MATCH($D204,MODELOS!$A$4:$A$11,0)),INDEX(MODELOS!$D$4:$D$11,MATCH($D204,MODELOS!$A$4:$A$11,0))))</f>
        <v>Embalagem + pet + ingredientes, com o nome da linha</v>
      </c>
      <c r="H204" s="11" t="str">
        <f aca="false">IF(INDEX(PRODUTOS!$I$4:$I$63,MATCH($A204,PRODUTOS!$B$4:$B$63,0))="B",INDEX(MODELOS!$I$4:$I$11,MATCH($D204,MODELOS!$A$4:$A$11,0)),INDEX(MODELOS!$E$4:$E$11,MATCH($D204,MODELOS!$A$4:$A$11,0)))</f>
        <v>970 × 600</v>
      </c>
      <c r="I204" s="11" t="str">
        <f aca="false">IF($D204="COMP","SIM",IF(INDEX(PRODUTOS!$J$4:$J$63,MATCH($A204,PRODUTOS!$B$4:$B$63,0))&lt;&gt;"","NÃO (usa o A+ do EAN "&amp;INDEX(PRODUTOS!$J$4:$J$63,MATCH($A204,PRODUTOS!$B$4:$B$63,0))&amp;")",IF(AND(INDEX(PRODUTOS!$I$4:$I$63,MATCH($A204,PRODUTOS!$B$4:$B$63,0))="B",$D204="AP07"),"NÃO (modelo B)","SIM")))</f>
        <v>SIM</v>
      </c>
      <c r="J204" s="13" t="s">
        <v>318</v>
      </c>
      <c r="K204" s="13"/>
    </row>
    <row r="205" customFormat="false" ht="15" hidden="false" customHeight="false" outlineLevel="0" collapsed="false">
      <c r="A205" s="15" t="s">
        <v>147</v>
      </c>
      <c r="B205" s="11" t="str">
        <f aca="false">INDEX(PRODUTOS!$E$4:$E$63,MATCH($A205,PRODUTOS!$B$4:$B$63,0))</f>
        <v>Ração Seca Natural Dots para Gatos Castrados - Pacote 11 kg</v>
      </c>
      <c r="C205" s="11" t="str">
        <f aca="false">INDEX(PRODUTOS!$H$4:$H$63,MATCH($A205,PRODUTOS!$B$4:$B$63,0))</f>
        <v>11 kg</v>
      </c>
      <c r="D205" s="11" t="s">
        <v>319</v>
      </c>
      <c r="E205" s="16" t="str">
        <f aca="false">$A205&amp;"."&amp;$D205&amp;".jpg"</f>
        <v>7898968541399.AP02.jpg</v>
      </c>
      <c r="F205" s="11" t="str">
        <f aca="false">IF(INDEX(PRODUTOS!$I$4:$I$63,MATCH($A205,PRODUTOS!$B$4:$B$63,0))="B",INDEX(MODELOS!$F$4:$F$11,MATCH($D205,MODELOS!$A$4:$A$11,0)),INDEX(MODELOS!$B$4:$B$11,MATCH($D205,MODELOS!$A$4:$A$11,0)))</f>
        <v>Módulo 2 · Texto sobreposto</v>
      </c>
      <c r="G205" s="11" t="str">
        <f aca="false">IF(INDEX(PRODUTOS!$F$4:$F$63,MATCH($A205,PRODUTOS!$B$4:$B$63,0))="Ração",IF(INDEX(PRODUTOS!$I$4:$I$63,MATCH($A205,PRODUTOS!$B$4:$B$63,0))="B",INDEX(MODELOS!$G$4:$G$11,MATCH($D205,MODELOS!$A$4:$A$11,0)),INDEX(MODELOS!$C$4:$C$11,MATCH($D205,MODELOS!$A$4:$A$11,0))),IF(INDEX(PRODUTOS!$I$4:$I$63,MATCH($A205,PRODUTOS!$B$4:$B$63,0))="B",INDEX(MODELOS!$H$4:$H$11,MATCH($D205,MODELOS!$A$4:$A$11,0)),INDEX(MODELOS!$D$4:$D$11,MATCH($D205,MODELOS!$A$4:$A$11,0))))</f>
        <v>Principal diferencial; deixar o lado direito limpo</v>
      </c>
      <c r="H205" s="11" t="str">
        <f aca="false">IF(INDEX(PRODUTOS!$I$4:$I$63,MATCH($A205,PRODUTOS!$B$4:$B$63,0))="B",INDEX(MODELOS!$I$4:$I$11,MATCH($D205,MODELOS!$A$4:$A$11,0)),INDEX(MODELOS!$E$4:$E$11,MATCH($D205,MODELOS!$A$4:$A$11,0)))</f>
        <v>970 × 300</v>
      </c>
      <c r="I205" s="11" t="str">
        <f aca="false">IF($D205="COMP","SIM",IF(INDEX(PRODUTOS!$J$4:$J$63,MATCH($A205,PRODUTOS!$B$4:$B$63,0))&lt;&gt;"","NÃO (usa o A+ do EAN "&amp;INDEX(PRODUTOS!$J$4:$J$63,MATCH($A205,PRODUTOS!$B$4:$B$63,0))&amp;")",IF(AND(INDEX(PRODUTOS!$I$4:$I$63,MATCH($A205,PRODUTOS!$B$4:$B$63,0))="B",$D205="AP07"),"NÃO (modelo B)","SIM")))</f>
        <v>SIM</v>
      </c>
      <c r="J205" s="13" t="s">
        <v>318</v>
      </c>
      <c r="K205" s="13"/>
    </row>
    <row r="206" customFormat="false" ht="15" hidden="false" customHeight="false" outlineLevel="0" collapsed="false">
      <c r="A206" s="15" t="s">
        <v>147</v>
      </c>
      <c r="B206" s="11" t="str">
        <f aca="false">INDEX(PRODUTOS!$E$4:$E$63,MATCH($A206,PRODUTOS!$B$4:$B$63,0))</f>
        <v>Ração Seca Natural Dots para Gatos Castrados - Pacote 11 kg</v>
      </c>
      <c r="C206" s="11" t="str">
        <f aca="false">INDEX(PRODUTOS!$H$4:$H$63,MATCH($A206,PRODUTOS!$B$4:$B$63,0))</f>
        <v>11 kg</v>
      </c>
      <c r="D206" s="11" t="s">
        <v>320</v>
      </c>
      <c r="E206" s="16" t="str">
        <f aca="false">$A206&amp;"."&amp;$D206&amp;".jpg"</f>
        <v>7898968541399.AP03.jpg</v>
      </c>
      <c r="F206" s="11" t="str">
        <f aca="false">IF(INDEX(PRODUTOS!$I$4:$I$63,MATCH($A206,PRODUTOS!$B$4:$B$63,0))="B",INDEX(MODELOS!$F$4:$F$11,MATCH($D206,MODELOS!$A$4:$A$11,0)),INDEX(MODELOS!$B$4:$B$11,MATCH($D206,MODELOS!$A$4:$A$11,0)))</f>
        <v>Módulo 3 · Benefício 1 de 4</v>
      </c>
      <c r="G206" s="11" t="str">
        <f aca="false">IF(INDEX(PRODUTOS!$F$4:$F$63,MATCH($A206,PRODUTOS!$B$4:$B$63,0))="Ração",IF(INDEX(PRODUTOS!$I$4:$I$63,MATCH($A206,PRODUTOS!$B$4:$B$63,0))="B",INDEX(MODELOS!$G$4:$G$11,MATCH($D206,MODELOS!$A$4:$A$11,0)),INDEX(MODELOS!$C$4:$C$11,MATCH($D206,MODELOS!$A$4:$A$11,0))),IF(INDEX(PRODUTOS!$I$4:$I$63,MATCH($A206,PRODUTOS!$B$4:$B$63,0))="B",INDEX(MODELOS!$H$4:$H$11,MATCH($D206,MODELOS!$A$4:$A$11,0)),INDEX(MODELOS!$D$4:$D$11,MATCH($D206,MODELOS!$A$4:$A$11,0))))</f>
        <v>Foto/ilustração do benefício 1</v>
      </c>
      <c r="H206" s="11" t="str">
        <f aca="false">IF(INDEX(PRODUTOS!$I$4:$I$63,MATCH($A206,PRODUTOS!$B$4:$B$63,0))="B",INDEX(MODELOS!$I$4:$I$11,MATCH($D206,MODELOS!$A$4:$A$11,0)),INDEX(MODELOS!$E$4:$E$11,MATCH($D206,MODELOS!$A$4:$A$11,0)))</f>
        <v>220 × 200</v>
      </c>
      <c r="I206" s="11" t="str">
        <f aca="false">IF($D206="COMP","SIM",IF(INDEX(PRODUTOS!$J$4:$J$63,MATCH($A206,PRODUTOS!$B$4:$B$63,0))&lt;&gt;"","NÃO (usa o A+ do EAN "&amp;INDEX(PRODUTOS!$J$4:$J$63,MATCH($A206,PRODUTOS!$B$4:$B$63,0))&amp;")",IF(AND(INDEX(PRODUTOS!$I$4:$I$63,MATCH($A206,PRODUTOS!$B$4:$B$63,0))="B",$D206="AP07"),"NÃO (modelo B)","SIM")))</f>
        <v>SIM</v>
      </c>
      <c r="J206" s="13" t="s">
        <v>318</v>
      </c>
      <c r="K206" s="13"/>
    </row>
    <row r="207" customFormat="false" ht="15" hidden="false" customHeight="false" outlineLevel="0" collapsed="false">
      <c r="A207" s="15" t="s">
        <v>147</v>
      </c>
      <c r="B207" s="11" t="str">
        <f aca="false">INDEX(PRODUTOS!$E$4:$E$63,MATCH($A207,PRODUTOS!$B$4:$B$63,0))</f>
        <v>Ração Seca Natural Dots para Gatos Castrados - Pacote 11 kg</v>
      </c>
      <c r="C207" s="11" t="str">
        <f aca="false">INDEX(PRODUTOS!$H$4:$H$63,MATCH($A207,PRODUTOS!$B$4:$B$63,0))</f>
        <v>11 kg</v>
      </c>
      <c r="D207" s="11" t="s">
        <v>321</v>
      </c>
      <c r="E207" s="16" t="str">
        <f aca="false">$A207&amp;"."&amp;$D207&amp;".jpg"</f>
        <v>7898968541399.AP04.jpg</v>
      </c>
      <c r="F207" s="11" t="str">
        <f aca="false">IF(INDEX(PRODUTOS!$I$4:$I$63,MATCH($A207,PRODUTOS!$B$4:$B$63,0))="B",INDEX(MODELOS!$F$4:$F$11,MATCH($D207,MODELOS!$A$4:$A$11,0)),INDEX(MODELOS!$B$4:$B$11,MATCH($D207,MODELOS!$A$4:$A$11,0)))</f>
        <v>Módulo 3 · Benefício 2 de 4</v>
      </c>
      <c r="G207" s="11" t="str">
        <f aca="false">IF(INDEX(PRODUTOS!$F$4:$F$63,MATCH($A207,PRODUTOS!$B$4:$B$63,0))="Ração",IF(INDEX(PRODUTOS!$I$4:$I$63,MATCH($A207,PRODUTOS!$B$4:$B$63,0))="B",INDEX(MODELOS!$G$4:$G$11,MATCH($D207,MODELOS!$A$4:$A$11,0)),INDEX(MODELOS!$C$4:$C$11,MATCH($D207,MODELOS!$A$4:$A$11,0))),IF(INDEX(PRODUTOS!$I$4:$I$63,MATCH($A207,PRODUTOS!$B$4:$B$63,0))="B",INDEX(MODELOS!$H$4:$H$11,MATCH($D207,MODELOS!$A$4:$A$11,0)),INDEX(MODELOS!$D$4:$D$11,MATCH($D207,MODELOS!$A$4:$A$11,0))))</f>
        <v>Foto/ilustração do benefício 2</v>
      </c>
      <c r="H207" s="11" t="str">
        <f aca="false">IF(INDEX(PRODUTOS!$I$4:$I$63,MATCH($A207,PRODUTOS!$B$4:$B$63,0))="B",INDEX(MODELOS!$I$4:$I$11,MATCH($D207,MODELOS!$A$4:$A$11,0)),INDEX(MODELOS!$E$4:$E$11,MATCH($D207,MODELOS!$A$4:$A$11,0)))</f>
        <v>220 × 200</v>
      </c>
      <c r="I207" s="11" t="str">
        <f aca="false">IF($D207="COMP","SIM",IF(INDEX(PRODUTOS!$J$4:$J$63,MATCH($A207,PRODUTOS!$B$4:$B$63,0))&lt;&gt;"","NÃO (usa o A+ do EAN "&amp;INDEX(PRODUTOS!$J$4:$J$63,MATCH($A207,PRODUTOS!$B$4:$B$63,0))&amp;")",IF(AND(INDEX(PRODUTOS!$I$4:$I$63,MATCH($A207,PRODUTOS!$B$4:$B$63,0))="B",$D207="AP07"),"NÃO (modelo B)","SIM")))</f>
        <v>SIM</v>
      </c>
      <c r="J207" s="13" t="s">
        <v>318</v>
      </c>
      <c r="K207" s="13"/>
    </row>
    <row r="208" customFormat="false" ht="15" hidden="false" customHeight="false" outlineLevel="0" collapsed="false">
      <c r="A208" s="15" t="s">
        <v>147</v>
      </c>
      <c r="B208" s="11" t="str">
        <f aca="false">INDEX(PRODUTOS!$E$4:$E$63,MATCH($A208,PRODUTOS!$B$4:$B$63,0))</f>
        <v>Ração Seca Natural Dots para Gatos Castrados - Pacote 11 kg</v>
      </c>
      <c r="C208" s="11" t="str">
        <f aca="false">INDEX(PRODUTOS!$H$4:$H$63,MATCH($A208,PRODUTOS!$B$4:$B$63,0))</f>
        <v>11 kg</v>
      </c>
      <c r="D208" s="11" t="s">
        <v>322</v>
      </c>
      <c r="E208" s="16" t="str">
        <f aca="false">$A208&amp;"."&amp;$D208&amp;".jpg"</f>
        <v>7898968541399.AP05.jpg</v>
      </c>
      <c r="F208" s="11" t="str">
        <f aca="false">IF(INDEX(PRODUTOS!$I$4:$I$63,MATCH($A208,PRODUTOS!$B$4:$B$63,0))="B",INDEX(MODELOS!$F$4:$F$11,MATCH($D208,MODELOS!$A$4:$A$11,0)),INDEX(MODELOS!$B$4:$B$11,MATCH($D208,MODELOS!$A$4:$A$11,0)))</f>
        <v>Módulo 3 · Benefício 3 de 4</v>
      </c>
      <c r="G208" s="11" t="str">
        <f aca="false">IF(INDEX(PRODUTOS!$F$4:$F$63,MATCH($A208,PRODUTOS!$B$4:$B$63,0))="Ração",IF(INDEX(PRODUTOS!$I$4:$I$63,MATCH($A208,PRODUTOS!$B$4:$B$63,0))="B",INDEX(MODELOS!$G$4:$G$11,MATCH($D208,MODELOS!$A$4:$A$11,0)),INDEX(MODELOS!$C$4:$C$11,MATCH($D208,MODELOS!$A$4:$A$11,0))),IF(INDEX(PRODUTOS!$I$4:$I$63,MATCH($A208,PRODUTOS!$B$4:$B$63,0))="B",INDEX(MODELOS!$H$4:$H$11,MATCH($D208,MODELOS!$A$4:$A$11,0)),INDEX(MODELOS!$D$4:$D$11,MATCH($D208,MODELOS!$A$4:$A$11,0))))</f>
        <v>Foto/ilustração do benefício 3</v>
      </c>
      <c r="H208" s="11" t="str">
        <f aca="false">IF(INDEX(PRODUTOS!$I$4:$I$63,MATCH($A208,PRODUTOS!$B$4:$B$63,0))="B",INDEX(MODELOS!$I$4:$I$11,MATCH($D208,MODELOS!$A$4:$A$11,0)),INDEX(MODELOS!$E$4:$E$11,MATCH($D208,MODELOS!$A$4:$A$11,0)))</f>
        <v>220 × 200</v>
      </c>
      <c r="I208" s="11" t="str">
        <f aca="false">IF($D208="COMP","SIM",IF(INDEX(PRODUTOS!$J$4:$J$63,MATCH($A208,PRODUTOS!$B$4:$B$63,0))&lt;&gt;"","NÃO (usa o A+ do EAN "&amp;INDEX(PRODUTOS!$J$4:$J$63,MATCH($A208,PRODUTOS!$B$4:$B$63,0))&amp;")",IF(AND(INDEX(PRODUTOS!$I$4:$I$63,MATCH($A208,PRODUTOS!$B$4:$B$63,0))="B",$D208="AP07"),"NÃO (modelo B)","SIM")))</f>
        <v>SIM</v>
      </c>
      <c r="J208" s="13" t="s">
        <v>318</v>
      </c>
      <c r="K208" s="13"/>
    </row>
    <row r="209" customFormat="false" ht="15" hidden="false" customHeight="false" outlineLevel="0" collapsed="false">
      <c r="A209" s="15" t="s">
        <v>147</v>
      </c>
      <c r="B209" s="11" t="str">
        <f aca="false">INDEX(PRODUTOS!$E$4:$E$63,MATCH($A209,PRODUTOS!$B$4:$B$63,0))</f>
        <v>Ração Seca Natural Dots para Gatos Castrados - Pacote 11 kg</v>
      </c>
      <c r="C209" s="11" t="str">
        <f aca="false">INDEX(PRODUTOS!$H$4:$H$63,MATCH($A209,PRODUTOS!$B$4:$B$63,0))</f>
        <v>11 kg</v>
      </c>
      <c r="D209" s="11" t="s">
        <v>323</v>
      </c>
      <c r="E209" s="16" t="str">
        <f aca="false">$A209&amp;"."&amp;$D209&amp;".jpg"</f>
        <v>7898968541399.AP06.jpg</v>
      </c>
      <c r="F209" s="11" t="str">
        <f aca="false">IF(INDEX(PRODUTOS!$I$4:$I$63,MATCH($A209,PRODUTOS!$B$4:$B$63,0))="B",INDEX(MODELOS!$F$4:$F$11,MATCH($D209,MODELOS!$A$4:$A$11,0)),INDEX(MODELOS!$B$4:$B$11,MATCH($D209,MODELOS!$A$4:$A$11,0)))</f>
        <v>Módulo 3 · Benefício 4 de 4</v>
      </c>
      <c r="G209" s="11" t="str">
        <f aca="false">IF(INDEX(PRODUTOS!$F$4:$F$63,MATCH($A209,PRODUTOS!$B$4:$B$63,0))="Ração",IF(INDEX(PRODUTOS!$I$4:$I$63,MATCH($A209,PRODUTOS!$B$4:$B$63,0))="B",INDEX(MODELOS!$G$4:$G$11,MATCH($D209,MODELOS!$A$4:$A$11,0)),INDEX(MODELOS!$C$4:$C$11,MATCH($D209,MODELOS!$A$4:$A$11,0))),IF(INDEX(PRODUTOS!$I$4:$I$63,MATCH($A209,PRODUTOS!$B$4:$B$63,0))="B",INDEX(MODELOS!$H$4:$H$11,MATCH($D209,MODELOS!$A$4:$A$11,0)),INDEX(MODELOS!$D$4:$D$11,MATCH($D209,MODELOS!$A$4:$A$11,0))))</f>
        <v>Foto/ilustração do benefício 4</v>
      </c>
      <c r="H209" s="11" t="str">
        <f aca="false">IF(INDEX(PRODUTOS!$I$4:$I$63,MATCH($A209,PRODUTOS!$B$4:$B$63,0))="B",INDEX(MODELOS!$I$4:$I$11,MATCH($D209,MODELOS!$A$4:$A$11,0)),INDEX(MODELOS!$E$4:$E$11,MATCH($D209,MODELOS!$A$4:$A$11,0)))</f>
        <v>220 × 200</v>
      </c>
      <c r="I209" s="11" t="str">
        <f aca="false">IF($D209="COMP","SIM",IF(INDEX(PRODUTOS!$J$4:$J$63,MATCH($A209,PRODUTOS!$B$4:$B$63,0))&lt;&gt;"","NÃO (usa o A+ do EAN "&amp;INDEX(PRODUTOS!$J$4:$J$63,MATCH($A209,PRODUTOS!$B$4:$B$63,0))&amp;")",IF(AND(INDEX(PRODUTOS!$I$4:$I$63,MATCH($A209,PRODUTOS!$B$4:$B$63,0))="B",$D209="AP07"),"NÃO (modelo B)","SIM")))</f>
        <v>SIM</v>
      </c>
      <c r="J209" s="13" t="s">
        <v>318</v>
      </c>
      <c r="K209" s="13"/>
    </row>
    <row r="210" customFormat="false" ht="15" hidden="false" customHeight="false" outlineLevel="0" collapsed="false">
      <c r="A210" s="15" t="s">
        <v>147</v>
      </c>
      <c r="B210" s="11" t="str">
        <f aca="false">INDEX(PRODUTOS!$E$4:$E$63,MATCH($A210,PRODUTOS!$B$4:$B$63,0))</f>
        <v>Ração Seca Natural Dots para Gatos Castrados - Pacote 11 kg</v>
      </c>
      <c r="C210" s="11" t="str">
        <f aca="false">INDEX(PRODUTOS!$H$4:$H$63,MATCH($A210,PRODUTOS!$B$4:$B$63,0))</f>
        <v>11 kg</v>
      </c>
      <c r="D210" s="11" t="s">
        <v>324</v>
      </c>
      <c r="E210" s="16" t="str">
        <f aca="false">$A210&amp;"."&amp;$D210&amp;".jpg"</f>
        <v>7898968541399.AP07.jpg</v>
      </c>
      <c r="F210" s="11" t="str">
        <f aca="false">IF(INDEX(PRODUTOS!$I$4:$I$63,MATCH($A210,PRODUTOS!$B$4:$B$63,0))="B",INDEX(MODELOS!$F$4:$F$11,MATCH($D210,MODELOS!$A$4:$A$11,0)),INDEX(MODELOS!$B$4:$B$11,MATCH($D210,MODELOS!$A$4:$A$11,0)))</f>
        <v>Módulo 4 · Especificações</v>
      </c>
      <c r="G210" s="11" t="str">
        <f aca="false">IF(INDEX(PRODUTOS!$F$4:$F$63,MATCH($A210,PRODUTOS!$B$4:$B$63,0))="Ração",IF(INDEX(PRODUTOS!$I$4:$I$63,MATCH($A210,PRODUTOS!$B$4:$B$63,0))="B",INDEX(MODELOS!$G$4:$G$11,MATCH($D210,MODELOS!$A$4:$A$11,0)),INDEX(MODELOS!$C$4:$C$11,MATCH($D210,MODELOS!$A$4:$A$11,0))),IF(INDEX(PRODUTOS!$I$4:$I$63,MATCH($A210,PRODUTOS!$B$4:$B$63,0))="B",INDEX(MODELOS!$H$4:$H$11,MATCH($D210,MODELOS!$A$4:$A$11,0)),INDEX(MODELOS!$D$4:$D$11,MATCH($D210,MODELOS!$A$4:$A$11,0))))</f>
        <v>Grão ou pacote em destaque</v>
      </c>
      <c r="H210" s="11" t="str">
        <f aca="false">IF(INDEX(PRODUTOS!$I$4:$I$63,MATCH($A210,PRODUTOS!$B$4:$B$63,0))="B",INDEX(MODELOS!$I$4:$I$11,MATCH($D210,MODELOS!$A$4:$A$11,0)),INDEX(MODELOS!$E$4:$E$11,MATCH($D210,MODELOS!$A$4:$A$11,0)))</f>
        <v>300 × 300</v>
      </c>
      <c r="I210" s="11" t="str">
        <f aca="false">IF($D210="COMP","SIM",IF(INDEX(PRODUTOS!$J$4:$J$63,MATCH($A210,PRODUTOS!$B$4:$B$63,0))&lt;&gt;"","NÃO (usa o A+ do EAN "&amp;INDEX(PRODUTOS!$J$4:$J$63,MATCH($A210,PRODUTOS!$B$4:$B$63,0))&amp;")",IF(AND(INDEX(PRODUTOS!$I$4:$I$63,MATCH($A210,PRODUTOS!$B$4:$B$63,0))="B",$D210="AP07"),"NÃO (modelo B)","SIM")))</f>
        <v>SIM</v>
      </c>
      <c r="J210" s="13" t="s">
        <v>318</v>
      </c>
      <c r="K210" s="13"/>
    </row>
    <row r="211" customFormat="false" ht="15" hidden="false" customHeight="false" outlineLevel="0" collapsed="false">
      <c r="A211" s="15" t="s">
        <v>147</v>
      </c>
      <c r="B211" s="11" t="str">
        <f aca="false">INDEX(PRODUTOS!$E$4:$E$63,MATCH($A211,PRODUTOS!$B$4:$B$63,0))</f>
        <v>Ração Seca Natural Dots para Gatos Castrados - Pacote 11 kg</v>
      </c>
      <c r="C211" s="11" t="str">
        <f aca="false">INDEX(PRODUTOS!$H$4:$H$63,MATCH($A211,PRODUTOS!$B$4:$B$63,0))</f>
        <v>11 kg</v>
      </c>
      <c r="D211" s="11" t="s">
        <v>325</v>
      </c>
      <c r="E211" s="16" t="str">
        <f aca="false">$A211&amp;"."&amp;$D211&amp;".jpg"</f>
        <v>7898968541399.COMP.jpg</v>
      </c>
      <c r="F211" s="11" t="str">
        <f aca="false">IF(INDEX(PRODUTOS!$I$4:$I$63,MATCH($A211,PRODUTOS!$B$4:$B$63,0))="B",INDEX(MODELOS!$F$4:$F$11,MATCH($D211,MODELOS!$A$4:$A$11,0)),INDEX(MODELOS!$B$4:$B$11,MATCH($D211,MODELOS!$A$4:$A$11,0)))</f>
        <v>Módulo 5 · Tabela comparativa</v>
      </c>
      <c r="G211" s="11" t="str">
        <f aca="false">IF(INDEX(PRODUTOS!$F$4:$F$63,MATCH($A211,PRODUTOS!$B$4:$B$63,0))="Ração",IF(INDEX(PRODUTOS!$I$4:$I$63,MATCH($A211,PRODUTOS!$B$4:$B$63,0))="B",INDEX(MODELOS!$G$4:$G$11,MATCH($D211,MODELOS!$A$4:$A$11,0)),INDEX(MODELOS!$C$4:$C$11,MATCH($D211,MODELOS!$A$4:$A$11,0))),IF(INDEX(PRODUTOS!$I$4:$I$63,MATCH($A211,PRODUTOS!$B$4:$B$63,0))="B",INDEX(MODELOS!$H$4:$H$11,MATCH($D211,MODELOS!$A$4:$A$11,0)),INDEX(MODELOS!$D$4:$D$11,MATCH($D211,MODELOS!$A$4:$A$11,0))))</f>
        <v>Pacote na vertical, sem fundo colorido</v>
      </c>
      <c r="H211" s="11" t="str">
        <f aca="false">IF(INDEX(PRODUTOS!$I$4:$I$63,MATCH($A211,PRODUTOS!$B$4:$B$63,0))="B",INDEX(MODELOS!$I$4:$I$11,MATCH($D211,MODELOS!$A$4:$A$11,0)),INDEX(MODELOS!$E$4:$E$11,MATCH($D211,MODELOS!$A$4:$A$11,0)))</f>
        <v>150 × 300</v>
      </c>
      <c r="I211" s="11" t="str">
        <f aca="false">IF($D211="COMP","SIM",IF(INDEX(PRODUTOS!$J$4:$J$63,MATCH($A211,PRODUTOS!$B$4:$B$63,0))&lt;&gt;"","NÃO (usa o A+ do EAN "&amp;INDEX(PRODUTOS!$J$4:$J$63,MATCH($A211,PRODUTOS!$B$4:$B$63,0))&amp;")",IF(AND(INDEX(PRODUTOS!$I$4:$I$63,MATCH($A211,PRODUTOS!$B$4:$B$63,0))="B",$D211="AP07"),"NÃO (modelo B)","SIM")))</f>
        <v>SIM</v>
      </c>
      <c r="J211" s="13" t="s">
        <v>318</v>
      </c>
      <c r="K211" s="13"/>
    </row>
    <row r="212" customFormat="false" ht="15" hidden="false" customHeight="false" outlineLevel="0" collapsed="false">
      <c r="A212" s="15" t="s">
        <v>152</v>
      </c>
      <c r="B212" s="11" t="str">
        <f aca="false">INDEX(PRODUTOS!$E$4:$E$63,MATCH($A212,PRODUTOS!$B$4:$B$63,0))</f>
        <v>Ração Seca Natural Dots para Gatos Castrados - Pacote 1 kg</v>
      </c>
      <c r="C212" s="11" t="str">
        <f aca="false">INDEX(PRODUTOS!$H$4:$H$63,MATCH($A212,PRODUTOS!$B$4:$B$63,0))</f>
        <v>1 kg</v>
      </c>
      <c r="D212" s="11" t="s">
        <v>317</v>
      </c>
      <c r="E212" s="16" t="str">
        <f aca="false">$A212&amp;"."&amp;$D212&amp;".jpg"</f>
        <v>7898968541375.AP01.jpg</v>
      </c>
      <c r="F212" s="11" t="str">
        <f aca="false">IF(INDEX(PRODUTOS!$I$4:$I$63,MATCH($A212,PRODUTOS!$B$4:$B$63,0))="B",INDEX(MODELOS!$F$4:$F$11,MATCH($D212,MODELOS!$A$4:$A$11,0)),INDEX(MODELOS!$B$4:$B$11,MATCH($D212,MODELOS!$A$4:$A$11,0)))</f>
        <v>Módulo 1 · Banner</v>
      </c>
      <c r="G212" s="11" t="str">
        <f aca="false">IF(INDEX(PRODUTOS!$F$4:$F$63,MATCH($A212,PRODUTOS!$B$4:$B$63,0))="Ração",IF(INDEX(PRODUTOS!$I$4:$I$63,MATCH($A212,PRODUTOS!$B$4:$B$63,0))="B",INDEX(MODELOS!$G$4:$G$11,MATCH($D212,MODELOS!$A$4:$A$11,0)),INDEX(MODELOS!$C$4:$C$11,MATCH($D212,MODELOS!$A$4:$A$11,0))),IF(INDEX(PRODUTOS!$I$4:$I$63,MATCH($A212,PRODUTOS!$B$4:$B$63,0))="B",INDEX(MODELOS!$H$4:$H$11,MATCH($D212,MODELOS!$A$4:$A$11,0)),INDEX(MODELOS!$D$4:$D$11,MATCH($D212,MODELOS!$A$4:$A$11,0))))</f>
        <v>Embalagem + pet + ingredientes, com o nome da linha</v>
      </c>
      <c r="H212" s="11" t="str">
        <f aca="false">IF(INDEX(PRODUTOS!$I$4:$I$63,MATCH($A212,PRODUTOS!$B$4:$B$63,0))="B",INDEX(MODELOS!$I$4:$I$11,MATCH($D212,MODELOS!$A$4:$A$11,0)),INDEX(MODELOS!$E$4:$E$11,MATCH($D212,MODELOS!$A$4:$A$11,0)))</f>
        <v>970 × 600</v>
      </c>
      <c r="I212" s="11" t="str">
        <f aca="false">IF($D212="COMP","SIM",IF(INDEX(PRODUTOS!$J$4:$J$63,MATCH($A212,PRODUTOS!$B$4:$B$63,0))&lt;&gt;"","NÃO (usa o A+ do EAN "&amp;INDEX(PRODUTOS!$J$4:$J$63,MATCH($A212,PRODUTOS!$B$4:$B$63,0))&amp;")",IF(AND(INDEX(PRODUTOS!$I$4:$I$63,MATCH($A212,PRODUTOS!$B$4:$B$63,0))="B",$D212="AP07"),"NÃO (modelo B)","SIM")))</f>
        <v>NÃO (usa o A+ do EAN 7898968541399)</v>
      </c>
      <c r="J212" s="13" t="s">
        <v>318</v>
      </c>
      <c r="K212" s="13"/>
    </row>
    <row r="213" customFormat="false" ht="15" hidden="false" customHeight="false" outlineLevel="0" collapsed="false">
      <c r="A213" s="15" t="s">
        <v>152</v>
      </c>
      <c r="B213" s="11" t="str">
        <f aca="false">INDEX(PRODUTOS!$E$4:$E$63,MATCH($A213,PRODUTOS!$B$4:$B$63,0))</f>
        <v>Ração Seca Natural Dots para Gatos Castrados - Pacote 1 kg</v>
      </c>
      <c r="C213" s="11" t="str">
        <f aca="false">INDEX(PRODUTOS!$H$4:$H$63,MATCH($A213,PRODUTOS!$B$4:$B$63,0))</f>
        <v>1 kg</v>
      </c>
      <c r="D213" s="11" t="s">
        <v>319</v>
      </c>
      <c r="E213" s="16" t="str">
        <f aca="false">$A213&amp;"."&amp;$D213&amp;".jpg"</f>
        <v>7898968541375.AP02.jpg</v>
      </c>
      <c r="F213" s="11" t="str">
        <f aca="false">IF(INDEX(PRODUTOS!$I$4:$I$63,MATCH($A213,PRODUTOS!$B$4:$B$63,0))="B",INDEX(MODELOS!$F$4:$F$11,MATCH($D213,MODELOS!$A$4:$A$11,0)),INDEX(MODELOS!$B$4:$B$11,MATCH($D213,MODELOS!$A$4:$A$11,0)))</f>
        <v>Módulo 2 · Texto sobreposto</v>
      </c>
      <c r="G213" s="11" t="str">
        <f aca="false">IF(INDEX(PRODUTOS!$F$4:$F$63,MATCH($A213,PRODUTOS!$B$4:$B$63,0))="Ração",IF(INDEX(PRODUTOS!$I$4:$I$63,MATCH($A213,PRODUTOS!$B$4:$B$63,0))="B",INDEX(MODELOS!$G$4:$G$11,MATCH($D213,MODELOS!$A$4:$A$11,0)),INDEX(MODELOS!$C$4:$C$11,MATCH($D213,MODELOS!$A$4:$A$11,0))),IF(INDEX(PRODUTOS!$I$4:$I$63,MATCH($A213,PRODUTOS!$B$4:$B$63,0))="B",INDEX(MODELOS!$H$4:$H$11,MATCH($D213,MODELOS!$A$4:$A$11,0)),INDEX(MODELOS!$D$4:$D$11,MATCH($D213,MODELOS!$A$4:$A$11,0))))</f>
        <v>Principal diferencial; deixar o lado direito limpo</v>
      </c>
      <c r="H213" s="11" t="str">
        <f aca="false">IF(INDEX(PRODUTOS!$I$4:$I$63,MATCH($A213,PRODUTOS!$B$4:$B$63,0))="B",INDEX(MODELOS!$I$4:$I$11,MATCH($D213,MODELOS!$A$4:$A$11,0)),INDEX(MODELOS!$E$4:$E$11,MATCH($D213,MODELOS!$A$4:$A$11,0)))</f>
        <v>970 × 300</v>
      </c>
      <c r="I213" s="11" t="str">
        <f aca="false">IF($D213="COMP","SIM",IF(INDEX(PRODUTOS!$J$4:$J$63,MATCH($A213,PRODUTOS!$B$4:$B$63,0))&lt;&gt;"","NÃO (usa o A+ do EAN "&amp;INDEX(PRODUTOS!$J$4:$J$63,MATCH($A213,PRODUTOS!$B$4:$B$63,0))&amp;")",IF(AND(INDEX(PRODUTOS!$I$4:$I$63,MATCH($A213,PRODUTOS!$B$4:$B$63,0))="B",$D213="AP07"),"NÃO (modelo B)","SIM")))</f>
        <v>NÃO (usa o A+ do EAN 7898968541399)</v>
      </c>
      <c r="J213" s="13" t="s">
        <v>318</v>
      </c>
      <c r="K213" s="13"/>
    </row>
    <row r="214" customFormat="false" ht="15" hidden="false" customHeight="false" outlineLevel="0" collapsed="false">
      <c r="A214" s="15" t="s">
        <v>152</v>
      </c>
      <c r="B214" s="11" t="str">
        <f aca="false">INDEX(PRODUTOS!$E$4:$E$63,MATCH($A214,PRODUTOS!$B$4:$B$63,0))</f>
        <v>Ração Seca Natural Dots para Gatos Castrados - Pacote 1 kg</v>
      </c>
      <c r="C214" s="11" t="str">
        <f aca="false">INDEX(PRODUTOS!$H$4:$H$63,MATCH($A214,PRODUTOS!$B$4:$B$63,0))</f>
        <v>1 kg</v>
      </c>
      <c r="D214" s="11" t="s">
        <v>320</v>
      </c>
      <c r="E214" s="16" t="str">
        <f aca="false">$A214&amp;"."&amp;$D214&amp;".jpg"</f>
        <v>7898968541375.AP03.jpg</v>
      </c>
      <c r="F214" s="11" t="str">
        <f aca="false">IF(INDEX(PRODUTOS!$I$4:$I$63,MATCH($A214,PRODUTOS!$B$4:$B$63,0))="B",INDEX(MODELOS!$F$4:$F$11,MATCH($D214,MODELOS!$A$4:$A$11,0)),INDEX(MODELOS!$B$4:$B$11,MATCH($D214,MODELOS!$A$4:$A$11,0)))</f>
        <v>Módulo 3 · Benefício 1 de 4</v>
      </c>
      <c r="G214" s="11" t="str">
        <f aca="false">IF(INDEX(PRODUTOS!$F$4:$F$63,MATCH($A214,PRODUTOS!$B$4:$B$63,0))="Ração",IF(INDEX(PRODUTOS!$I$4:$I$63,MATCH($A214,PRODUTOS!$B$4:$B$63,0))="B",INDEX(MODELOS!$G$4:$G$11,MATCH($D214,MODELOS!$A$4:$A$11,0)),INDEX(MODELOS!$C$4:$C$11,MATCH($D214,MODELOS!$A$4:$A$11,0))),IF(INDEX(PRODUTOS!$I$4:$I$63,MATCH($A214,PRODUTOS!$B$4:$B$63,0))="B",INDEX(MODELOS!$H$4:$H$11,MATCH($D214,MODELOS!$A$4:$A$11,0)),INDEX(MODELOS!$D$4:$D$11,MATCH($D214,MODELOS!$A$4:$A$11,0))))</f>
        <v>Foto/ilustração do benefício 1</v>
      </c>
      <c r="H214" s="11" t="str">
        <f aca="false">IF(INDEX(PRODUTOS!$I$4:$I$63,MATCH($A214,PRODUTOS!$B$4:$B$63,0))="B",INDEX(MODELOS!$I$4:$I$11,MATCH($D214,MODELOS!$A$4:$A$11,0)),INDEX(MODELOS!$E$4:$E$11,MATCH($D214,MODELOS!$A$4:$A$11,0)))</f>
        <v>220 × 200</v>
      </c>
      <c r="I214" s="11" t="str">
        <f aca="false">IF($D214="COMP","SIM",IF(INDEX(PRODUTOS!$J$4:$J$63,MATCH($A214,PRODUTOS!$B$4:$B$63,0))&lt;&gt;"","NÃO (usa o A+ do EAN "&amp;INDEX(PRODUTOS!$J$4:$J$63,MATCH($A214,PRODUTOS!$B$4:$B$63,0))&amp;")",IF(AND(INDEX(PRODUTOS!$I$4:$I$63,MATCH($A214,PRODUTOS!$B$4:$B$63,0))="B",$D214="AP07"),"NÃO (modelo B)","SIM")))</f>
        <v>NÃO (usa o A+ do EAN 7898968541399)</v>
      </c>
      <c r="J214" s="13" t="s">
        <v>318</v>
      </c>
      <c r="K214" s="13"/>
    </row>
    <row r="215" customFormat="false" ht="15" hidden="false" customHeight="false" outlineLevel="0" collapsed="false">
      <c r="A215" s="15" t="s">
        <v>152</v>
      </c>
      <c r="B215" s="11" t="str">
        <f aca="false">INDEX(PRODUTOS!$E$4:$E$63,MATCH($A215,PRODUTOS!$B$4:$B$63,0))</f>
        <v>Ração Seca Natural Dots para Gatos Castrados - Pacote 1 kg</v>
      </c>
      <c r="C215" s="11" t="str">
        <f aca="false">INDEX(PRODUTOS!$H$4:$H$63,MATCH($A215,PRODUTOS!$B$4:$B$63,0))</f>
        <v>1 kg</v>
      </c>
      <c r="D215" s="11" t="s">
        <v>321</v>
      </c>
      <c r="E215" s="16" t="str">
        <f aca="false">$A215&amp;"."&amp;$D215&amp;".jpg"</f>
        <v>7898968541375.AP04.jpg</v>
      </c>
      <c r="F215" s="11" t="str">
        <f aca="false">IF(INDEX(PRODUTOS!$I$4:$I$63,MATCH($A215,PRODUTOS!$B$4:$B$63,0))="B",INDEX(MODELOS!$F$4:$F$11,MATCH($D215,MODELOS!$A$4:$A$11,0)),INDEX(MODELOS!$B$4:$B$11,MATCH($D215,MODELOS!$A$4:$A$11,0)))</f>
        <v>Módulo 3 · Benefício 2 de 4</v>
      </c>
      <c r="G215" s="11" t="str">
        <f aca="false">IF(INDEX(PRODUTOS!$F$4:$F$63,MATCH($A215,PRODUTOS!$B$4:$B$63,0))="Ração",IF(INDEX(PRODUTOS!$I$4:$I$63,MATCH($A215,PRODUTOS!$B$4:$B$63,0))="B",INDEX(MODELOS!$G$4:$G$11,MATCH($D215,MODELOS!$A$4:$A$11,0)),INDEX(MODELOS!$C$4:$C$11,MATCH($D215,MODELOS!$A$4:$A$11,0))),IF(INDEX(PRODUTOS!$I$4:$I$63,MATCH($A215,PRODUTOS!$B$4:$B$63,0))="B",INDEX(MODELOS!$H$4:$H$11,MATCH($D215,MODELOS!$A$4:$A$11,0)),INDEX(MODELOS!$D$4:$D$11,MATCH($D215,MODELOS!$A$4:$A$11,0))))</f>
        <v>Foto/ilustração do benefício 2</v>
      </c>
      <c r="H215" s="11" t="str">
        <f aca="false">IF(INDEX(PRODUTOS!$I$4:$I$63,MATCH($A215,PRODUTOS!$B$4:$B$63,0))="B",INDEX(MODELOS!$I$4:$I$11,MATCH($D215,MODELOS!$A$4:$A$11,0)),INDEX(MODELOS!$E$4:$E$11,MATCH($D215,MODELOS!$A$4:$A$11,0)))</f>
        <v>220 × 200</v>
      </c>
      <c r="I215" s="11" t="str">
        <f aca="false">IF($D215="COMP","SIM",IF(INDEX(PRODUTOS!$J$4:$J$63,MATCH($A215,PRODUTOS!$B$4:$B$63,0))&lt;&gt;"","NÃO (usa o A+ do EAN "&amp;INDEX(PRODUTOS!$J$4:$J$63,MATCH($A215,PRODUTOS!$B$4:$B$63,0))&amp;")",IF(AND(INDEX(PRODUTOS!$I$4:$I$63,MATCH($A215,PRODUTOS!$B$4:$B$63,0))="B",$D215="AP07"),"NÃO (modelo B)","SIM")))</f>
        <v>NÃO (usa o A+ do EAN 7898968541399)</v>
      </c>
      <c r="J215" s="13" t="s">
        <v>318</v>
      </c>
      <c r="K215" s="13"/>
    </row>
    <row r="216" customFormat="false" ht="15" hidden="false" customHeight="false" outlineLevel="0" collapsed="false">
      <c r="A216" s="15" t="s">
        <v>152</v>
      </c>
      <c r="B216" s="11" t="str">
        <f aca="false">INDEX(PRODUTOS!$E$4:$E$63,MATCH($A216,PRODUTOS!$B$4:$B$63,0))</f>
        <v>Ração Seca Natural Dots para Gatos Castrados - Pacote 1 kg</v>
      </c>
      <c r="C216" s="11" t="str">
        <f aca="false">INDEX(PRODUTOS!$H$4:$H$63,MATCH($A216,PRODUTOS!$B$4:$B$63,0))</f>
        <v>1 kg</v>
      </c>
      <c r="D216" s="11" t="s">
        <v>322</v>
      </c>
      <c r="E216" s="16" t="str">
        <f aca="false">$A216&amp;"."&amp;$D216&amp;".jpg"</f>
        <v>7898968541375.AP05.jpg</v>
      </c>
      <c r="F216" s="11" t="str">
        <f aca="false">IF(INDEX(PRODUTOS!$I$4:$I$63,MATCH($A216,PRODUTOS!$B$4:$B$63,0))="B",INDEX(MODELOS!$F$4:$F$11,MATCH($D216,MODELOS!$A$4:$A$11,0)),INDEX(MODELOS!$B$4:$B$11,MATCH($D216,MODELOS!$A$4:$A$11,0)))</f>
        <v>Módulo 3 · Benefício 3 de 4</v>
      </c>
      <c r="G216" s="11" t="str">
        <f aca="false">IF(INDEX(PRODUTOS!$F$4:$F$63,MATCH($A216,PRODUTOS!$B$4:$B$63,0))="Ração",IF(INDEX(PRODUTOS!$I$4:$I$63,MATCH($A216,PRODUTOS!$B$4:$B$63,0))="B",INDEX(MODELOS!$G$4:$G$11,MATCH($D216,MODELOS!$A$4:$A$11,0)),INDEX(MODELOS!$C$4:$C$11,MATCH($D216,MODELOS!$A$4:$A$11,0))),IF(INDEX(PRODUTOS!$I$4:$I$63,MATCH($A216,PRODUTOS!$B$4:$B$63,0))="B",INDEX(MODELOS!$H$4:$H$11,MATCH($D216,MODELOS!$A$4:$A$11,0)),INDEX(MODELOS!$D$4:$D$11,MATCH($D216,MODELOS!$A$4:$A$11,0))))</f>
        <v>Foto/ilustração do benefício 3</v>
      </c>
      <c r="H216" s="11" t="str">
        <f aca="false">IF(INDEX(PRODUTOS!$I$4:$I$63,MATCH($A216,PRODUTOS!$B$4:$B$63,0))="B",INDEX(MODELOS!$I$4:$I$11,MATCH($D216,MODELOS!$A$4:$A$11,0)),INDEX(MODELOS!$E$4:$E$11,MATCH($D216,MODELOS!$A$4:$A$11,0)))</f>
        <v>220 × 200</v>
      </c>
      <c r="I216" s="11" t="str">
        <f aca="false">IF($D216="COMP","SIM",IF(INDEX(PRODUTOS!$J$4:$J$63,MATCH($A216,PRODUTOS!$B$4:$B$63,0))&lt;&gt;"","NÃO (usa o A+ do EAN "&amp;INDEX(PRODUTOS!$J$4:$J$63,MATCH($A216,PRODUTOS!$B$4:$B$63,0))&amp;")",IF(AND(INDEX(PRODUTOS!$I$4:$I$63,MATCH($A216,PRODUTOS!$B$4:$B$63,0))="B",$D216="AP07"),"NÃO (modelo B)","SIM")))</f>
        <v>NÃO (usa o A+ do EAN 7898968541399)</v>
      </c>
      <c r="J216" s="13" t="s">
        <v>318</v>
      </c>
      <c r="K216" s="13"/>
    </row>
    <row r="217" customFormat="false" ht="15" hidden="false" customHeight="false" outlineLevel="0" collapsed="false">
      <c r="A217" s="15" t="s">
        <v>152</v>
      </c>
      <c r="B217" s="11" t="str">
        <f aca="false">INDEX(PRODUTOS!$E$4:$E$63,MATCH($A217,PRODUTOS!$B$4:$B$63,0))</f>
        <v>Ração Seca Natural Dots para Gatos Castrados - Pacote 1 kg</v>
      </c>
      <c r="C217" s="11" t="str">
        <f aca="false">INDEX(PRODUTOS!$H$4:$H$63,MATCH($A217,PRODUTOS!$B$4:$B$63,0))</f>
        <v>1 kg</v>
      </c>
      <c r="D217" s="11" t="s">
        <v>323</v>
      </c>
      <c r="E217" s="16" t="str">
        <f aca="false">$A217&amp;"."&amp;$D217&amp;".jpg"</f>
        <v>7898968541375.AP06.jpg</v>
      </c>
      <c r="F217" s="11" t="str">
        <f aca="false">IF(INDEX(PRODUTOS!$I$4:$I$63,MATCH($A217,PRODUTOS!$B$4:$B$63,0))="B",INDEX(MODELOS!$F$4:$F$11,MATCH($D217,MODELOS!$A$4:$A$11,0)),INDEX(MODELOS!$B$4:$B$11,MATCH($D217,MODELOS!$A$4:$A$11,0)))</f>
        <v>Módulo 3 · Benefício 4 de 4</v>
      </c>
      <c r="G217" s="11" t="str">
        <f aca="false">IF(INDEX(PRODUTOS!$F$4:$F$63,MATCH($A217,PRODUTOS!$B$4:$B$63,0))="Ração",IF(INDEX(PRODUTOS!$I$4:$I$63,MATCH($A217,PRODUTOS!$B$4:$B$63,0))="B",INDEX(MODELOS!$G$4:$G$11,MATCH($D217,MODELOS!$A$4:$A$11,0)),INDEX(MODELOS!$C$4:$C$11,MATCH($D217,MODELOS!$A$4:$A$11,0))),IF(INDEX(PRODUTOS!$I$4:$I$63,MATCH($A217,PRODUTOS!$B$4:$B$63,0))="B",INDEX(MODELOS!$H$4:$H$11,MATCH($D217,MODELOS!$A$4:$A$11,0)),INDEX(MODELOS!$D$4:$D$11,MATCH($D217,MODELOS!$A$4:$A$11,0))))</f>
        <v>Foto/ilustração do benefício 4</v>
      </c>
      <c r="H217" s="11" t="str">
        <f aca="false">IF(INDEX(PRODUTOS!$I$4:$I$63,MATCH($A217,PRODUTOS!$B$4:$B$63,0))="B",INDEX(MODELOS!$I$4:$I$11,MATCH($D217,MODELOS!$A$4:$A$11,0)),INDEX(MODELOS!$E$4:$E$11,MATCH($D217,MODELOS!$A$4:$A$11,0)))</f>
        <v>220 × 200</v>
      </c>
      <c r="I217" s="11" t="str">
        <f aca="false">IF($D217="COMP","SIM",IF(INDEX(PRODUTOS!$J$4:$J$63,MATCH($A217,PRODUTOS!$B$4:$B$63,0))&lt;&gt;"","NÃO (usa o A+ do EAN "&amp;INDEX(PRODUTOS!$J$4:$J$63,MATCH($A217,PRODUTOS!$B$4:$B$63,0))&amp;")",IF(AND(INDEX(PRODUTOS!$I$4:$I$63,MATCH($A217,PRODUTOS!$B$4:$B$63,0))="B",$D217="AP07"),"NÃO (modelo B)","SIM")))</f>
        <v>NÃO (usa o A+ do EAN 7898968541399)</v>
      </c>
      <c r="J217" s="13" t="s">
        <v>318</v>
      </c>
      <c r="K217" s="13"/>
    </row>
    <row r="218" customFormat="false" ht="15" hidden="false" customHeight="false" outlineLevel="0" collapsed="false">
      <c r="A218" s="15" t="s">
        <v>152</v>
      </c>
      <c r="B218" s="11" t="str">
        <f aca="false">INDEX(PRODUTOS!$E$4:$E$63,MATCH($A218,PRODUTOS!$B$4:$B$63,0))</f>
        <v>Ração Seca Natural Dots para Gatos Castrados - Pacote 1 kg</v>
      </c>
      <c r="C218" s="11" t="str">
        <f aca="false">INDEX(PRODUTOS!$H$4:$H$63,MATCH($A218,PRODUTOS!$B$4:$B$63,0))</f>
        <v>1 kg</v>
      </c>
      <c r="D218" s="11" t="s">
        <v>324</v>
      </c>
      <c r="E218" s="16" t="str">
        <f aca="false">$A218&amp;"."&amp;$D218&amp;".jpg"</f>
        <v>7898968541375.AP07.jpg</v>
      </c>
      <c r="F218" s="11" t="str">
        <f aca="false">IF(INDEX(PRODUTOS!$I$4:$I$63,MATCH($A218,PRODUTOS!$B$4:$B$63,0))="B",INDEX(MODELOS!$F$4:$F$11,MATCH($D218,MODELOS!$A$4:$A$11,0)),INDEX(MODELOS!$B$4:$B$11,MATCH($D218,MODELOS!$A$4:$A$11,0)))</f>
        <v>Módulo 4 · Especificações</v>
      </c>
      <c r="G218" s="11" t="str">
        <f aca="false">IF(INDEX(PRODUTOS!$F$4:$F$63,MATCH($A218,PRODUTOS!$B$4:$B$63,0))="Ração",IF(INDEX(PRODUTOS!$I$4:$I$63,MATCH($A218,PRODUTOS!$B$4:$B$63,0))="B",INDEX(MODELOS!$G$4:$G$11,MATCH($D218,MODELOS!$A$4:$A$11,0)),INDEX(MODELOS!$C$4:$C$11,MATCH($D218,MODELOS!$A$4:$A$11,0))),IF(INDEX(PRODUTOS!$I$4:$I$63,MATCH($A218,PRODUTOS!$B$4:$B$63,0))="B",INDEX(MODELOS!$H$4:$H$11,MATCH($D218,MODELOS!$A$4:$A$11,0)),INDEX(MODELOS!$D$4:$D$11,MATCH($D218,MODELOS!$A$4:$A$11,0))))</f>
        <v>Grão ou pacote em destaque</v>
      </c>
      <c r="H218" s="11" t="str">
        <f aca="false">IF(INDEX(PRODUTOS!$I$4:$I$63,MATCH($A218,PRODUTOS!$B$4:$B$63,0))="B",INDEX(MODELOS!$I$4:$I$11,MATCH($D218,MODELOS!$A$4:$A$11,0)),INDEX(MODELOS!$E$4:$E$11,MATCH($D218,MODELOS!$A$4:$A$11,0)))</f>
        <v>300 × 300</v>
      </c>
      <c r="I218" s="11" t="str">
        <f aca="false">IF($D218="COMP","SIM",IF(INDEX(PRODUTOS!$J$4:$J$63,MATCH($A218,PRODUTOS!$B$4:$B$63,0))&lt;&gt;"","NÃO (usa o A+ do EAN "&amp;INDEX(PRODUTOS!$J$4:$J$63,MATCH($A218,PRODUTOS!$B$4:$B$63,0))&amp;")",IF(AND(INDEX(PRODUTOS!$I$4:$I$63,MATCH($A218,PRODUTOS!$B$4:$B$63,0))="B",$D218="AP07"),"NÃO (modelo B)","SIM")))</f>
        <v>NÃO (usa o A+ do EAN 7898968541399)</v>
      </c>
      <c r="J218" s="13" t="s">
        <v>318</v>
      </c>
      <c r="K218" s="13"/>
    </row>
    <row r="219" customFormat="false" ht="15" hidden="false" customHeight="false" outlineLevel="0" collapsed="false">
      <c r="A219" s="15" t="s">
        <v>152</v>
      </c>
      <c r="B219" s="11" t="str">
        <f aca="false">INDEX(PRODUTOS!$E$4:$E$63,MATCH($A219,PRODUTOS!$B$4:$B$63,0))</f>
        <v>Ração Seca Natural Dots para Gatos Castrados - Pacote 1 kg</v>
      </c>
      <c r="C219" s="11" t="str">
        <f aca="false">INDEX(PRODUTOS!$H$4:$H$63,MATCH($A219,PRODUTOS!$B$4:$B$63,0))</f>
        <v>1 kg</v>
      </c>
      <c r="D219" s="11" t="s">
        <v>325</v>
      </c>
      <c r="E219" s="16" t="str">
        <f aca="false">$A219&amp;"."&amp;$D219&amp;".jpg"</f>
        <v>7898968541375.COMP.jpg</v>
      </c>
      <c r="F219" s="11" t="str">
        <f aca="false">IF(INDEX(PRODUTOS!$I$4:$I$63,MATCH($A219,PRODUTOS!$B$4:$B$63,0))="B",INDEX(MODELOS!$F$4:$F$11,MATCH($D219,MODELOS!$A$4:$A$11,0)),INDEX(MODELOS!$B$4:$B$11,MATCH($D219,MODELOS!$A$4:$A$11,0)))</f>
        <v>Módulo 5 · Tabela comparativa</v>
      </c>
      <c r="G219" s="11" t="str">
        <f aca="false">IF(INDEX(PRODUTOS!$F$4:$F$63,MATCH($A219,PRODUTOS!$B$4:$B$63,0))="Ração",IF(INDEX(PRODUTOS!$I$4:$I$63,MATCH($A219,PRODUTOS!$B$4:$B$63,0))="B",INDEX(MODELOS!$G$4:$G$11,MATCH($D219,MODELOS!$A$4:$A$11,0)),INDEX(MODELOS!$C$4:$C$11,MATCH($D219,MODELOS!$A$4:$A$11,0))),IF(INDEX(PRODUTOS!$I$4:$I$63,MATCH($A219,PRODUTOS!$B$4:$B$63,0))="B",INDEX(MODELOS!$H$4:$H$11,MATCH($D219,MODELOS!$A$4:$A$11,0)),INDEX(MODELOS!$D$4:$D$11,MATCH($D219,MODELOS!$A$4:$A$11,0))))</f>
        <v>Pacote na vertical, sem fundo colorido</v>
      </c>
      <c r="H219" s="11" t="str">
        <f aca="false">IF(INDEX(PRODUTOS!$I$4:$I$63,MATCH($A219,PRODUTOS!$B$4:$B$63,0))="B",INDEX(MODELOS!$I$4:$I$11,MATCH($D219,MODELOS!$A$4:$A$11,0)),INDEX(MODELOS!$E$4:$E$11,MATCH($D219,MODELOS!$A$4:$A$11,0)))</f>
        <v>150 × 300</v>
      </c>
      <c r="I219" s="11" t="str">
        <f aca="false">IF($D219="COMP","SIM",IF(INDEX(PRODUTOS!$J$4:$J$63,MATCH($A219,PRODUTOS!$B$4:$B$63,0))&lt;&gt;"","NÃO (usa o A+ do EAN "&amp;INDEX(PRODUTOS!$J$4:$J$63,MATCH($A219,PRODUTOS!$B$4:$B$63,0))&amp;")",IF(AND(INDEX(PRODUTOS!$I$4:$I$63,MATCH($A219,PRODUTOS!$B$4:$B$63,0))="B",$D219="AP07"),"NÃO (modelo B)","SIM")))</f>
        <v>SIM</v>
      </c>
      <c r="J219" s="13" t="s">
        <v>318</v>
      </c>
      <c r="K219" s="13"/>
    </row>
    <row r="220" customFormat="false" ht="15" hidden="false" customHeight="false" outlineLevel="0" collapsed="false">
      <c r="A220" s="15" t="s">
        <v>156</v>
      </c>
      <c r="B220" s="11" t="str">
        <f aca="false">INDEX(PRODUTOS!$E$4:$E$63,MATCH($A220,PRODUTOS!$B$4:$B$63,0))</f>
        <v>Ração Seca Natural Dots para Gatos Filhotes - Pacote 11 kg</v>
      </c>
      <c r="C220" s="11" t="str">
        <f aca="false">INDEX(PRODUTOS!$H$4:$H$63,MATCH($A220,PRODUTOS!$B$4:$B$63,0))</f>
        <v>11 kg</v>
      </c>
      <c r="D220" s="11" t="s">
        <v>317</v>
      </c>
      <c r="E220" s="16" t="str">
        <f aca="false">$A220&amp;"."&amp;$D220&amp;".jpg"</f>
        <v>7898968541412.AP01.jpg</v>
      </c>
      <c r="F220" s="11" t="str">
        <f aca="false">IF(INDEX(PRODUTOS!$I$4:$I$63,MATCH($A220,PRODUTOS!$B$4:$B$63,0))="B",INDEX(MODELOS!$F$4:$F$11,MATCH($D220,MODELOS!$A$4:$A$11,0)),INDEX(MODELOS!$B$4:$B$11,MATCH($D220,MODELOS!$A$4:$A$11,0)))</f>
        <v>Módulo 1 · Banner</v>
      </c>
      <c r="G220" s="11" t="str">
        <f aca="false">IF(INDEX(PRODUTOS!$F$4:$F$63,MATCH($A220,PRODUTOS!$B$4:$B$63,0))="Ração",IF(INDEX(PRODUTOS!$I$4:$I$63,MATCH($A220,PRODUTOS!$B$4:$B$63,0))="B",INDEX(MODELOS!$G$4:$G$11,MATCH($D220,MODELOS!$A$4:$A$11,0)),INDEX(MODELOS!$C$4:$C$11,MATCH($D220,MODELOS!$A$4:$A$11,0))),IF(INDEX(PRODUTOS!$I$4:$I$63,MATCH($A220,PRODUTOS!$B$4:$B$63,0))="B",INDEX(MODELOS!$H$4:$H$11,MATCH($D220,MODELOS!$A$4:$A$11,0)),INDEX(MODELOS!$D$4:$D$11,MATCH($D220,MODELOS!$A$4:$A$11,0))))</f>
        <v>Embalagem + pet + ingredientes, com o nome da linha</v>
      </c>
      <c r="H220" s="11" t="str">
        <f aca="false">IF(INDEX(PRODUTOS!$I$4:$I$63,MATCH($A220,PRODUTOS!$B$4:$B$63,0))="B",INDEX(MODELOS!$I$4:$I$11,MATCH($D220,MODELOS!$A$4:$A$11,0)),INDEX(MODELOS!$E$4:$E$11,MATCH($D220,MODELOS!$A$4:$A$11,0)))</f>
        <v>970 × 600</v>
      </c>
      <c r="I220" s="11" t="str">
        <f aca="false">IF($D220="COMP","SIM",IF(INDEX(PRODUTOS!$J$4:$J$63,MATCH($A220,PRODUTOS!$B$4:$B$63,0))&lt;&gt;"","NÃO (usa o A+ do EAN "&amp;INDEX(PRODUTOS!$J$4:$J$63,MATCH($A220,PRODUTOS!$B$4:$B$63,0))&amp;")",IF(AND(INDEX(PRODUTOS!$I$4:$I$63,MATCH($A220,PRODUTOS!$B$4:$B$63,0))="B",$D220="AP07"),"NÃO (modelo B)","SIM")))</f>
        <v>SIM</v>
      </c>
      <c r="J220" s="13" t="s">
        <v>318</v>
      </c>
      <c r="K220" s="13"/>
    </row>
    <row r="221" customFormat="false" ht="15" hidden="false" customHeight="false" outlineLevel="0" collapsed="false">
      <c r="A221" s="15" t="s">
        <v>156</v>
      </c>
      <c r="B221" s="11" t="str">
        <f aca="false">INDEX(PRODUTOS!$E$4:$E$63,MATCH($A221,PRODUTOS!$B$4:$B$63,0))</f>
        <v>Ração Seca Natural Dots para Gatos Filhotes - Pacote 11 kg</v>
      </c>
      <c r="C221" s="11" t="str">
        <f aca="false">INDEX(PRODUTOS!$H$4:$H$63,MATCH($A221,PRODUTOS!$B$4:$B$63,0))</f>
        <v>11 kg</v>
      </c>
      <c r="D221" s="11" t="s">
        <v>319</v>
      </c>
      <c r="E221" s="16" t="str">
        <f aca="false">$A221&amp;"."&amp;$D221&amp;".jpg"</f>
        <v>7898968541412.AP02.jpg</v>
      </c>
      <c r="F221" s="11" t="str">
        <f aca="false">IF(INDEX(PRODUTOS!$I$4:$I$63,MATCH($A221,PRODUTOS!$B$4:$B$63,0))="B",INDEX(MODELOS!$F$4:$F$11,MATCH($D221,MODELOS!$A$4:$A$11,0)),INDEX(MODELOS!$B$4:$B$11,MATCH($D221,MODELOS!$A$4:$A$11,0)))</f>
        <v>Módulo 2 · Texto sobreposto</v>
      </c>
      <c r="G221" s="11" t="str">
        <f aca="false">IF(INDEX(PRODUTOS!$F$4:$F$63,MATCH($A221,PRODUTOS!$B$4:$B$63,0))="Ração",IF(INDEX(PRODUTOS!$I$4:$I$63,MATCH($A221,PRODUTOS!$B$4:$B$63,0))="B",INDEX(MODELOS!$G$4:$G$11,MATCH($D221,MODELOS!$A$4:$A$11,0)),INDEX(MODELOS!$C$4:$C$11,MATCH($D221,MODELOS!$A$4:$A$11,0))),IF(INDEX(PRODUTOS!$I$4:$I$63,MATCH($A221,PRODUTOS!$B$4:$B$63,0))="B",INDEX(MODELOS!$H$4:$H$11,MATCH($D221,MODELOS!$A$4:$A$11,0)),INDEX(MODELOS!$D$4:$D$11,MATCH($D221,MODELOS!$A$4:$A$11,0))))</f>
        <v>Principal diferencial; deixar o lado direito limpo</v>
      </c>
      <c r="H221" s="11" t="str">
        <f aca="false">IF(INDEX(PRODUTOS!$I$4:$I$63,MATCH($A221,PRODUTOS!$B$4:$B$63,0))="B",INDEX(MODELOS!$I$4:$I$11,MATCH($D221,MODELOS!$A$4:$A$11,0)),INDEX(MODELOS!$E$4:$E$11,MATCH($D221,MODELOS!$A$4:$A$11,0)))</f>
        <v>970 × 300</v>
      </c>
      <c r="I221" s="11" t="str">
        <f aca="false">IF($D221="COMP","SIM",IF(INDEX(PRODUTOS!$J$4:$J$63,MATCH($A221,PRODUTOS!$B$4:$B$63,0))&lt;&gt;"","NÃO (usa o A+ do EAN "&amp;INDEX(PRODUTOS!$J$4:$J$63,MATCH($A221,PRODUTOS!$B$4:$B$63,0))&amp;")",IF(AND(INDEX(PRODUTOS!$I$4:$I$63,MATCH($A221,PRODUTOS!$B$4:$B$63,0))="B",$D221="AP07"),"NÃO (modelo B)","SIM")))</f>
        <v>SIM</v>
      </c>
      <c r="J221" s="13" t="s">
        <v>318</v>
      </c>
      <c r="K221" s="13"/>
    </row>
    <row r="222" customFormat="false" ht="15" hidden="false" customHeight="false" outlineLevel="0" collapsed="false">
      <c r="A222" s="15" t="s">
        <v>156</v>
      </c>
      <c r="B222" s="11" t="str">
        <f aca="false">INDEX(PRODUTOS!$E$4:$E$63,MATCH($A222,PRODUTOS!$B$4:$B$63,0))</f>
        <v>Ração Seca Natural Dots para Gatos Filhotes - Pacote 11 kg</v>
      </c>
      <c r="C222" s="11" t="str">
        <f aca="false">INDEX(PRODUTOS!$H$4:$H$63,MATCH($A222,PRODUTOS!$B$4:$B$63,0))</f>
        <v>11 kg</v>
      </c>
      <c r="D222" s="11" t="s">
        <v>320</v>
      </c>
      <c r="E222" s="16" t="str">
        <f aca="false">$A222&amp;"."&amp;$D222&amp;".jpg"</f>
        <v>7898968541412.AP03.jpg</v>
      </c>
      <c r="F222" s="11" t="str">
        <f aca="false">IF(INDEX(PRODUTOS!$I$4:$I$63,MATCH($A222,PRODUTOS!$B$4:$B$63,0))="B",INDEX(MODELOS!$F$4:$F$11,MATCH($D222,MODELOS!$A$4:$A$11,0)),INDEX(MODELOS!$B$4:$B$11,MATCH($D222,MODELOS!$A$4:$A$11,0)))</f>
        <v>Módulo 3 · Benefício 1 de 4</v>
      </c>
      <c r="G222" s="11" t="str">
        <f aca="false">IF(INDEX(PRODUTOS!$F$4:$F$63,MATCH($A222,PRODUTOS!$B$4:$B$63,0))="Ração",IF(INDEX(PRODUTOS!$I$4:$I$63,MATCH($A222,PRODUTOS!$B$4:$B$63,0))="B",INDEX(MODELOS!$G$4:$G$11,MATCH($D222,MODELOS!$A$4:$A$11,0)),INDEX(MODELOS!$C$4:$C$11,MATCH($D222,MODELOS!$A$4:$A$11,0))),IF(INDEX(PRODUTOS!$I$4:$I$63,MATCH($A222,PRODUTOS!$B$4:$B$63,0))="B",INDEX(MODELOS!$H$4:$H$11,MATCH($D222,MODELOS!$A$4:$A$11,0)),INDEX(MODELOS!$D$4:$D$11,MATCH($D222,MODELOS!$A$4:$A$11,0))))</f>
        <v>Foto/ilustração do benefício 1</v>
      </c>
      <c r="H222" s="11" t="str">
        <f aca="false">IF(INDEX(PRODUTOS!$I$4:$I$63,MATCH($A222,PRODUTOS!$B$4:$B$63,0))="B",INDEX(MODELOS!$I$4:$I$11,MATCH($D222,MODELOS!$A$4:$A$11,0)),INDEX(MODELOS!$E$4:$E$11,MATCH($D222,MODELOS!$A$4:$A$11,0)))</f>
        <v>220 × 200</v>
      </c>
      <c r="I222" s="11" t="str">
        <f aca="false">IF($D222="COMP","SIM",IF(INDEX(PRODUTOS!$J$4:$J$63,MATCH($A222,PRODUTOS!$B$4:$B$63,0))&lt;&gt;"","NÃO (usa o A+ do EAN "&amp;INDEX(PRODUTOS!$J$4:$J$63,MATCH($A222,PRODUTOS!$B$4:$B$63,0))&amp;")",IF(AND(INDEX(PRODUTOS!$I$4:$I$63,MATCH($A222,PRODUTOS!$B$4:$B$63,0))="B",$D222="AP07"),"NÃO (modelo B)","SIM")))</f>
        <v>SIM</v>
      </c>
      <c r="J222" s="13" t="s">
        <v>318</v>
      </c>
      <c r="K222" s="13"/>
    </row>
    <row r="223" customFormat="false" ht="15" hidden="false" customHeight="false" outlineLevel="0" collapsed="false">
      <c r="A223" s="15" t="s">
        <v>156</v>
      </c>
      <c r="B223" s="11" t="str">
        <f aca="false">INDEX(PRODUTOS!$E$4:$E$63,MATCH($A223,PRODUTOS!$B$4:$B$63,0))</f>
        <v>Ração Seca Natural Dots para Gatos Filhotes - Pacote 11 kg</v>
      </c>
      <c r="C223" s="11" t="str">
        <f aca="false">INDEX(PRODUTOS!$H$4:$H$63,MATCH($A223,PRODUTOS!$B$4:$B$63,0))</f>
        <v>11 kg</v>
      </c>
      <c r="D223" s="11" t="s">
        <v>321</v>
      </c>
      <c r="E223" s="16" t="str">
        <f aca="false">$A223&amp;"."&amp;$D223&amp;".jpg"</f>
        <v>7898968541412.AP04.jpg</v>
      </c>
      <c r="F223" s="11" t="str">
        <f aca="false">IF(INDEX(PRODUTOS!$I$4:$I$63,MATCH($A223,PRODUTOS!$B$4:$B$63,0))="B",INDEX(MODELOS!$F$4:$F$11,MATCH($D223,MODELOS!$A$4:$A$11,0)),INDEX(MODELOS!$B$4:$B$11,MATCH($D223,MODELOS!$A$4:$A$11,0)))</f>
        <v>Módulo 3 · Benefício 2 de 4</v>
      </c>
      <c r="G223" s="11" t="str">
        <f aca="false">IF(INDEX(PRODUTOS!$F$4:$F$63,MATCH($A223,PRODUTOS!$B$4:$B$63,0))="Ração",IF(INDEX(PRODUTOS!$I$4:$I$63,MATCH($A223,PRODUTOS!$B$4:$B$63,0))="B",INDEX(MODELOS!$G$4:$G$11,MATCH($D223,MODELOS!$A$4:$A$11,0)),INDEX(MODELOS!$C$4:$C$11,MATCH($D223,MODELOS!$A$4:$A$11,0))),IF(INDEX(PRODUTOS!$I$4:$I$63,MATCH($A223,PRODUTOS!$B$4:$B$63,0))="B",INDEX(MODELOS!$H$4:$H$11,MATCH($D223,MODELOS!$A$4:$A$11,0)),INDEX(MODELOS!$D$4:$D$11,MATCH($D223,MODELOS!$A$4:$A$11,0))))</f>
        <v>Foto/ilustração do benefício 2</v>
      </c>
      <c r="H223" s="11" t="str">
        <f aca="false">IF(INDEX(PRODUTOS!$I$4:$I$63,MATCH($A223,PRODUTOS!$B$4:$B$63,0))="B",INDEX(MODELOS!$I$4:$I$11,MATCH($D223,MODELOS!$A$4:$A$11,0)),INDEX(MODELOS!$E$4:$E$11,MATCH($D223,MODELOS!$A$4:$A$11,0)))</f>
        <v>220 × 200</v>
      </c>
      <c r="I223" s="11" t="str">
        <f aca="false">IF($D223="COMP","SIM",IF(INDEX(PRODUTOS!$J$4:$J$63,MATCH($A223,PRODUTOS!$B$4:$B$63,0))&lt;&gt;"","NÃO (usa o A+ do EAN "&amp;INDEX(PRODUTOS!$J$4:$J$63,MATCH($A223,PRODUTOS!$B$4:$B$63,0))&amp;")",IF(AND(INDEX(PRODUTOS!$I$4:$I$63,MATCH($A223,PRODUTOS!$B$4:$B$63,0))="B",$D223="AP07"),"NÃO (modelo B)","SIM")))</f>
        <v>SIM</v>
      </c>
      <c r="J223" s="13" t="s">
        <v>318</v>
      </c>
      <c r="K223" s="13"/>
    </row>
    <row r="224" customFormat="false" ht="15" hidden="false" customHeight="false" outlineLevel="0" collapsed="false">
      <c r="A224" s="15" t="s">
        <v>156</v>
      </c>
      <c r="B224" s="11" t="str">
        <f aca="false">INDEX(PRODUTOS!$E$4:$E$63,MATCH($A224,PRODUTOS!$B$4:$B$63,0))</f>
        <v>Ração Seca Natural Dots para Gatos Filhotes - Pacote 11 kg</v>
      </c>
      <c r="C224" s="11" t="str">
        <f aca="false">INDEX(PRODUTOS!$H$4:$H$63,MATCH($A224,PRODUTOS!$B$4:$B$63,0))</f>
        <v>11 kg</v>
      </c>
      <c r="D224" s="11" t="s">
        <v>322</v>
      </c>
      <c r="E224" s="16" t="str">
        <f aca="false">$A224&amp;"."&amp;$D224&amp;".jpg"</f>
        <v>7898968541412.AP05.jpg</v>
      </c>
      <c r="F224" s="11" t="str">
        <f aca="false">IF(INDEX(PRODUTOS!$I$4:$I$63,MATCH($A224,PRODUTOS!$B$4:$B$63,0))="B",INDEX(MODELOS!$F$4:$F$11,MATCH($D224,MODELOS!$A$4:$A$11,0)),INDEX(MODELOS!$B$4:$B$11,MATCH($D224,MODELOS!$A$4:$A$11,0)))</f>
        <v>Módulo 3 · Benefício 3 de 4</v>
      </c>
      <c r="G224" s="11" t="str">
        <f aca="false">IF(INDEX(PRODUTOS!$F$4:$F$63,MATCH($A224,PRODUTOS!$B$4:$B$63,0))="Ração",IF(INDEX(PRODUTOS!$I$4:$I$63,MATCH($A224,PRODUTOS!$B$4:$B$63,0))="B",INDEX(MODELOS!$G$4:$G$11,MATCH($D224,MODELOS!$A$4:$A$11,0)),INDEX(MODELOS!$C$4:$C$11,MATCH($D224,MODELOS!$A$4:$A$11,0))),IF(INDEX(PRODUTOS!$I$4:$I$63,MATCH($A224,PRODUTOS!$B$4:$B$63,0))="B",INDEX(MODELOS!$H$4:$H$11,MATCH($D224,MODELOS!$A$4:$A$11,0)),INDEX(MODELOS!$D$4:$D$11,MATCH($D224,MODELOS!$A$4:$A$11,0))))</f>
        <v>Foto/ilustração do benefício 3</v>
      </c>
      <c r="H224" s="11" t="str">
        <f aca="false">IF(INDEX(PRODUTOS!$I$4:$I$63,MATCH($A224,PRODUTOS!$B$4:$B$63,0))="B",INDEX(MODELOS!$I$4:$I$11,MATCH($D224,MODELOS!$A$4:$A$11,0)),INDEX(MODELOS!$E$4:$E$11,MATCH($D224,MODELOS!$A$4:$A$11,0)))</f>
        <v>220 × 200</v>
      </c>
      <c r="I224" s="11" t="str">
        <f aca="false">IF($D224="COMP","SIM",IF(INDEX(PRODUTOS!$J$4:$J$63,MATCH($A224,PRODUTOS!$B$4:$B$63,0))&lt;&gt;"","NÃO (usa o A+ do EAN "&amp;INDEX(PRODUTOS!$J$4:$J$63,MATCH($A224,PRODUTOS!$B$4:$B$63,0))&amp;")",IF(AND(INDEX(PRODUTOS!$I$4:$I$63,MATCH($A224,PRODUTOS!$B$4:$B$63,0))="B",$D224="AP07"),"NÃO (modelo B)","SIM")))</f>
        <v>SIM</v>
      </c>
      <c r="J224" s="13" t="s">
        <v>318</v>
      </c>
      <c r="K224" s="13"/>
    </row>
    <row r="225" customFormat="false" ht="15" hidden="false" customHeight="false" outlineLevel="0" collapsed="false">
      <c r="A225" s="15" t="s">
        <v>156</v>
      </c>
      <c r="B225" s="11" t="str">
        <f aca="false">INDEX(PRODUTOS!$E$4:$E$63,MATCH($A225,PRODUTOS!$B$4:$B$63,0))</f>
        <v>Ração Seca Natural Dots para Gatos Filhotes - Pacote 11 kg</v>
      </c>
      <c r="C225" s="11" t="str">
        <f aca="false">INDEX(PRODUTOS!$H$4:$H$63,MATCH($A225,PRODUTOS!$B$4:$B$63,0))</f>
        <v>11 kg</v>
      </c>
      <c r="D225" s="11" t="s">
        <v>323</v>
      </c>
      <c r="E225" s="16" t="str">
        <f aca="false">$A225&amp;"."&amp;$D225&amp;".jpg"</f>
        <v>7898968541412.AP06.jpg</v>
      </c>
      <c r="F225" s="11" t="str">
        <f aca="false">IF(INDEX(PRODUTOS!$I$4:$I$63,MATCH($A225,PRODUTOS!$B$4:$B$63,0))="B",INDEX(MODELOS!$F$4:$F$11,MATCH($D225,MODELOS!$A$4:$A$11,0)),INDEX(MODELOS!$B$4:$B$11,MATCH($D225,MODELOS!$A$4:$A$11,0)))</f>
        <v>Módulo 3 · Benefício 4 de 4</v>
      </c>
      <c r="G225" s="11" t="str">
        <f aca="false">IF(INDEX(PRODUTOS!$F$4:$F$63,MATCH($A225,PRODUTOS!$B$4:$B$63,0))="Ração",IF(INDEX(PRODUTOS!$I$4:$I$63,MATCH($A225,PRODUTOS!$B$4:$B$63,0))="B",INDEX(MODELOS!$G$4:$G$11,MATCH($D225,MODELOS!$A$4:$A$11,0)),INDEX(MODELOS!$C$4:$C$11,MATCH($D225,MODELOS!$A$4:$A$11,0))),IF(INDEX(PRODUTOS!$I$4:$I$63,MATCH($A225,PRODUTOS!$B$4:$B$63,0))="B",INDEX(MODELOS!$H$4:$H$11,MATCH($D225,MODELOS!$A$4:$A$11,0)),INDEX(MODELOS!$D$4:$D$11,MATCH($D225,MODELOS!$A$4:$A$11,0))))</f>
        <v>Foto/ilustração do benefício 4</v>
      </c>
      <c r="H225" s="11" t="str">
        <f aca="false">IF(INDEX(PRODUTOS!$I$4:$I$63,MATCH($A225,PRODUTOS!$B$4:$B$63,0))="B",INDEX(MODELOS!$I$4:$I$11,MATCH($D225,MODELOS!$A$4:$A$11,0)),INDEX(MODELOS!$E$4:$E$11,MATCH($D225,MODELOS!$A$4:$A$11,0)))</f>
        <v>220 × 200</v>
      </c>
      <c r="I225" s="11" t="str">
        <f aca="false">IF($D225="COMP","SIM",IF(INDEX(PRODUTOS!$J$4:$J$63,MATCH($A225,PRODUTOS!$B$4:$B$63,0))&lt;&gt;"","NÃO (usa o A+ do EAN "&amp;INDEX(PRODUTOS!$J$4:$J$63,MATCH($A225,PRODUTOS!$B$4:$B$63,0))&amp;")",IF(AND(INDEX(PRODUTOS!$I$4:$I$63,MATCH($A225,PRODUTOS!$B$4:$B$63,0))="B",$D225="AP07"),"NÃO (modelo B)","SIM")))</f>
        <v>SIM</v>
      </c>
      <c r="J225" s="13" t="s">
        <v>318</v>
      </c>
      <c r="K225" s="13"/>
    </row>
    <row r="226" customFormat="false" ht="15" hidden="false" customHeight="false" outlineLevel="0" collapsed="false">
      <c r="A226" s="15" t="s">
        <v>156</v>
      </c>
      <c r="B226" s="11" t="str">
        <f aca="false">INDEX(PRODUTOS!$E$4:$E$63,MATCH($A226,PRODUTOS!$B$4:$B$63,0))</f>
        <v>Ração Seca Natural Dots para Gatos Filhotes - Pacote 11 kg</v>
      </c>
      <c r="C226" s="11" t="str">
        <f aca="false">INDEX(PRODUTOS!$H$4:$H$63,MATCH($A226,PRODUTOS!$B$4:$B$63,0))</f>
        <v>11 kg</v>
      </c>
      <c r="D226" s="11" t="s">
        <v>324</v>
      </c>
      <c r="E226" s="16" t="str">
        <f aca="false">$A226&amp;"."&amp;$D226&amp;".jpg"</f>
        <v>7898968541412.AP07.jpg</v>
      </c>
      <c r="F226" s="11" t="str">
        <f aca="false">IF(INDEX(PRODUTOS!$I$4:$I$63,MATCH($A226,PRODUTOS!$B$4:$B$63,0))="B",INDEX(MODELOS!$F$4:$F$11,MATCH($D226,MODELOS!$A$4:$A$11,0)),INDEX(MODELOS!$B$4:$B$11,MATCH($D226,MODELOS!$A$4:$A$11,0)))</f>
        <v>Módulo 4 · Especificações</v>
      </c>
      <c r="G226" s="11" t="str">
        <f aca="false">IF(INDEX(PRODUTOS!$F$4:$F$63,MATCH($A226,PRODUTOS!$B$4:$B$63,0))="Ração",IF(INDEX(PRODUTOS!$I$4:$I$63,MATCH($A226,PRODUTOS!$B$4:$B$63,0))="B",INDEX(MODELOS!$G$4:$G$11,MATCH($D226,MODELOS!$A$4:$A$11,0)),INDEX(MODELOS!$C$4:$C$11,MATCH($D226,MODELOS!$A$4:$A$11,0))),IF(INDEX(PRODUTOS!$I$4:$I$63,MATCH($A226,PRODUTOS!$B$4:$B$63,0))="B",INDEX(MODELOS!$H$4:$H$11,MATCH($D226,MODELOS!$A$4:$A$11,0)),INDEX(MODELOS!$D$4:$D$11,MATCH($D226,MODELOS!$A$4:$A$11,0))))</f>
        <v>Grão ou pacote em destaque</v>
      </c>
      <c r="H226" s="11" t="str">
        <f aca="false">IF(INDEX(PRODUTOS!$I$4:$I$63,MATCH($A226,PRODUTOS!$B$4:$B$63,0))="B",INDEX(MODELOS!$I$4:$I$11,MATCH($D226,MODELOS!$A$4:$A$11,0)),INDEX(MODELOS!$E$4:$E$11,MATCH($D226,MODELOS!$A$4:$A$11,0)))</f>
        <v>300 × 300</v>
      </c>
      <c r="I226" s="11" t="str">
        <f aca="false">IF($D226="COMP","SIM",IF(INDEX(PRODUTOS!$J$4:$J$63,MATCH($A226,PRODUTOS!$B$4:$B$63,0))&lt;&gt;"","NÃO (usa o A+ do EAN "&amp;INDEX(PRODUTOS!$J$4:$J$63,MATCH($A226,PRODUTOS!$B$4:$B$63,0))&amp;")",IF(AND(INDEX(PRODUTOS!$I$4:$I$63,MATCH($A226,PRODUTOS!$B$4:$B$63,0))="B",$D226="AP07"),"NÃO (modelo B)","SIM")))</f>
        <v>SIM</v>
      </c>
      <c r="J226" s="13" t="s">
        <v>318</v>
      </c>
      <c r="K226" s="13"/>
    </row>
    <row r="227" customFormat="false" ht="15" hidden="false" customHeight="false" outlineLevel="0" collapsed="false">
      <c r="A227" s="15" t="s">
        <v>156</v>
      </c>
      <c r="B227" s="11" t="str">
        <f aca="false">INDEX(PRODUTOS!$E$4:$E$63,MATCH($A227,PRODUTOS!$B$4:$B$63,0))</f>
        <v>Ração Seca Natural Dots para Gatos Filhotes - Pacote 11 kg</v>
      </c>
      <c r="C227" s="11" t="str">
        <f aca="false">INDEX(PRODUTOS!$H$4:$H$63,MATCH($A227,PRODUTOS!$B$4:$B$63,0))</f>
        <v>11 kg</v>
      </c>
      <c r="D227" s="11" t="s">
        <v>325</v>
      </c>
      <c r="E227" s="16" t="str">
        <f aca="false">$A227&amp;"."&amp;$D227&amp;".jpg"</f>
        <v>7898968541412.COMP.jpg</v>
      </c>
      <c r="F227" s="11" t="str">
        <f aca="false">IF(INDEX(PRODUTOS!$I$4:$I$63,MATCH($A227,PRODUTOS!$B$4:$B$63,0))="B",INDEX(MODELOS!$F$4:$F$11,MATCH($D227,MODELOS!$A$4:$A$11,0)),INDEX(MODELOS!$B$4:$B$11,MATCH($D227,MODELOS!$A$4:$A$11,0)))</f>
        <v>Módulo 5 · Tabela comparativa</v>
      </c>
      <c r="G227" s="11" t="str">
        <f aca="false">IF(INDEX(PRODUTOS!$F$4:$F$63,MATCH($A227,PRODUTOS!$B$4:$B$63,0))="Ração",IF(INDEX(PRODUTOS!$I$4:$I$63,MATCH($A227,PRODUTOS!$B$4:$B$63,0))="B",INDEX(MODELOS!$G$4:$G$11,MATCH($D227,MODELOS!$A$4:$A$11,0)),INDEX(MODELOS!$C$4:$C$11,MATCH($D227,MODELOS!$A$4:$A$11,0))),IF(INDEX(PRODUTOS!$I$4:$I$63,MATCH($A227,PRODUTOS!$B$4:$B$63,0))="B",INDEX(MODELOS!$H$4:$H$11,MATCH($D227,MODELOS!$A$4:$A$11,0)),INDEX(MODELOS!$D$4:$D$11,MATCH($D227,MODELOS!$A$4:$A$11,0))))</f>
        <v>Pacote na vertical, sem fundo colorido</v>
      </c>
      <c r="H227" s="11" t="str">
        <f aca="false">IF(INDEX(PRODUTOS!$I$4:$I$63,MATCH($A227,PRODUTOS!$B$4:$B$63,0))="B",INDEX(MODELOS!$I$4:$I$11,MATCH($D227,MODELOS!$A$4:$A$11,0)),INDEX(MODELOS!$E$4:$E$11,MATCH($D227,MODELOS!$A$4:$A$11,0)))</f>
        <v>150 × 300</v>
      </c>
      <c r="I227" s="11" t="str">
        <f aca="false">IF($D227="COMP","SIM",IF(INDEX(PRODUTOS!$J$4:$J$63,MATCH($A227,PRODUTOS!$B$4:$B$63,0))&lt;&gt;"","NÃO (usa o A+ do EAN "&amp;INDEX(PRODUTOS!$J$4:$J$63,MATCH($A227,PRODUTOS!$B$4:$B$63,0))&amp;")",IF(AND(INDEX(PRODUTOS!$I$4:$I$63,MATCH($A227,PRODUTOS!$B$4:$B$63,0))="B",$D227="AP07"),"NÃO (modelo B)","SIM")))</f>
        <v>SIM</v>
      </c>
      <c r="J227" s="13" t="s">
        <v>318</v>
      </c>
      <c r="K227" s="13"/>
    </row>
    <row r="228" customFormat="false" ht="15" hidden="false" customHeight="false" outlineLevel="0" collapsed="false">
      <c r="A228" s="15" t="s">
        <v>161</v>
      </c>
      <c r="B228" s="11" t="str">
        <f aca="false">INDEX(PRODUTOS!$E$4:$E$63,MATCH($A228,PRODUTOS!$B$4:$B$63,0))</f>
        <v>Ração Seca Natural Dots para Gatos Filhotes - Pacote 1 kg</v>
      </c>
      <c r="C228" s="11" t="str">
        <f aca="false">INDEX(PRODUTOS!$H$4:$H$63,MATCH($A228,PRODUTOS!$B$4:$B$63,0))</f>
        <v>1 kg</v>
      </c>
      <c r="D228" s="11" t="s">
        <v>317</v>
      </c>
      <c r="E228" s="16" t="str">
        <f aca="false">$A228&amp;"."&amp;$D228&amp;".jpg"</f>
        <v>7898968541405.AP01.jpg</v>
      </c>
      <c r="F228" s="11" t="str">
        <f aca="false">IF(INDEX(PRODUTOS!$I$4:$I$63,MATCH($A228,PRODUTOS!$B$4:$B$63,0))="B",INDEX(MODELOS!$F$4:$F$11,MATCH($D228,MODELOS!$A$4:$A$11,0)),INDEX(MODELOS!$B$4:$B$11,MATCH($D228,MODELOS!$A$4:$A$11,0)))</f>
        <v>Módulo 1 · Banner</v>
      </c>
      <c r="G228" s="11" t="str">
        <f aca="false">IF(INDEX(PRODUTOS!$F$4:$F$63,MATCH($A228,PRODUTOS!$B$4:$B$63,0))="Ração",IF(INDEX(PRODUTOS!$I$4:$I$63,MATCH($A228,PRODUTOS!$B$4:$B$63,0))="B",INDEX(MODELOS!$G$4:$G$11,MATCH($D228,MODELOS!$A$4:$A$11,0)),INDEX(MODELOS!$C$4:$C$11,MATCH($D228,MODELOS!$A$4:$A$11,0))),IF(INDEX(PRODUTOS!$I$4:$I$63,MATCH($A228,PRODUTOS!$B$4:$B$63,0))="B",INDEX(MODELOS!$H$4:$H$11,MATCH($D228,MODELOS!$A$4:$A$11,0)),INDEX(MODELOS!$D$4:$D$11,MATCH($D228,MODELOS!$A$4:$A$11,0))))</f>
        <v>Embalagem + pet + ingredientes, com o nome da linha</v>
      </c>
      <c r="H228" s="11" t="str">
        <f aca="false">IF(INDEX(PRODUTOS!$I$4:$I$63,MATCH($A228,PRODUTOS!$B$4:$B$63,0))="B",INDEX(MODELOS!$I$4:$I$11,MATCH($D228,MODELOS!$A$4:$A$11,0)),INDEX(MODELOS!$E$4:$E$11,MATCH($D228,MODELOS!$A$4:$A$11,0)))</f>
        <v>970 × 600</v>
      </c>
      <c r="I228" s="11" t="str">
        <f aca="false">IF($D228="COMP","SIM",IF(INDEX(PRODUTOS!$J$4:$J$63,MATCH($A228,PRODUTOS!$B$4:$B$63,0))&lt;&gt;"","NÃO (usa o A+ do EAN "&amp;INDEX(PRODUTOS!$J$4:$J$63,MATCH($A228,PRODUTOS!$B$4:$B$63,0))&amp;")",IF(AND(INDEX(PRODUTOS!$I$4:$I$63,MATCH($A228,PRODUTOS!$B$4:$B$63,0))="B",$D228="AP07"),"NÃO (modelo B)","SIM")))</f>
        <v>NÃO (usa o A+ do EAN 7898968541412)</v>
      </c>
      <c r="J228" s="13" t="s">
        <v>318</v>
      </c>
      <c r="K228" s="13"/>
    </row>
    <row r="229" customFormat="false" ht="15" hidden="false" customHeight="false" outlineLevel="0" collapsed="false">
      <c r="A229" s="15" t="s">
        <v>161</v>
      </c>
      <c r="B229" s="11" t="str">
        <f aca="false">INDEX(PRODUTOS!$E$4:$E$63,MATCH($A229,PRODUTOS!$B$4:$B$63,0))</f>
        <v>Ração Seca Natural Dots para Gatos Filhotes - Pacote 1 kg</v>
      </c>
      <c r="C229" s="11" t="str">
        <f aca="false">INDEX(PRODUTOS!$H$4:$H$63,MATCH($A229,PRODUTOS!$B$4:$B$63,0))</f>
        <v>1 kg</v>
      </c>
      <c r="D229" s="11" t="s">
        <v>319</v>
      </c>
      <c r="E229" s="16" t="str">
        <f aca="false">$A229&amp;"."&amp;$D229&amp;".jpg"</f>
        <v>7898968541405.AP02.jpg</v>
      </c>
      <c r="F229" s="11" t="str">
        <f aca="false">IF(INDEX(PRODUTOS!$I$4:$I$63,MATCH($A229,PRODUTOS!$B$4:$B$63,0))="B",INDEX(MODELOS!$F$4:$F$11,MATCH($D229,MODELOS!$A$4:$A$11,0)),INDEX(MODELOS!$B$4:$B$11,MATCH($D229,MODELOS!$A$4:$A$11,0)))</f>
        <v>Módulo 2 · Texto sobreposto</v>
      </c>
      <c r="G229" s="11" t="str">
        <f aca="false">IF(INDEX(PRODUTOS!$F$4:$F$63,MATCH($A229,PRODUTOS!$B$4:$B$63,0))="Ração",IF(INDEX(PRODUTOS!$I$4:$I$63,MATCH($A229,PRODUTOS!$B$4:$B$63,0))="B",INDEX(MODELOS!$G$4:$G$11,MATCH($D229,MODELOS!$A$4:$A$11,0)),INDEX(MODELOS!$C$4:$C$11,MATCH($D229,MODELOS!$A$4:$A$11,0))),IF(INDEX(PRODUTOS!$I$4:$I$63,MATCH($A229,PRODUTOS!$B$4:$B$63,0))="B",INDEX(MODELOS!$H$4:$H$11,MATCH($D229,MODELOS!$A$4:$A$11,0)),INDEX(MODELOS!$D$4:$D$11,MATCH($D229,MODELOS!$A$4:$A$11,0))))</f>
        <v>Principal diferencial; deixar o lado direito limpo</v>
      </c>
      <c r="H229" s="11" t="str">
        <f aca="false">IF(INDEX(PRODUTOS!$I$4:$I$63,MATCH($A229,PRODUTOS!$B$4:$B$63,0))="B",INDEX(MODELOS!$I$4:$I$11,MATCH($D229,MODELOS!$A$4:$A$11,0)),INDEX(MODELOS!$E$4:$E$11,MATCH($D229,MODELOS!$A$4:$A$11,0)))</f>
        <v>970 × 300</v>
      </c>
      <c r="I229" s="11" t="str">
        <f aca="false">IF($D229="COMP","SIM",IF(INDEX(PRODUTOS!$J$4:$J$63,MATCH($A229,PRODUTOS!$B$4:$B$63,0))&lt;&gt;"","NÃO (usa o A+ do EAN "&amp;INDEX(PRODUTOS!$J$4:$J$63,MATCH($A229,PRODUTOS!$B$4:$B$63,0))&amp;")",IF(AND(INDEX(PRODUTOS!$I$4:$I$63,MATCH($A229,PRODUTOS!$B$4:$B$63,0))="B",$D229="AP07"),"NÃO (modelo B)","SIM")))</f>
        <v>NÃO (usa o A+ do EAN 7898968541412)</v>
      </c>
      <c r="J229" s="13" t="s">
        <v>318</v>
      </c>
      <c r="K229" s="13"/>
    </row>
    <row r="230" customFormat="false" ht="15" hidden="false" customHeight="false" outlineLevel="0" collapsed="false">
      <c r="A230" s="15" t="s">
        <v>161</v>
      </c>
      <c r="B230" s="11" t="str">
        <f aca="false">INDEX(PRODUTOS!$E$4:$E$63,MATCH($A230,PRODUTOS!$B$4:$B$63,0))</f>
        <v>Ração Seca Natural Dots para Gatos Filhotes - Pacote 1 kg</v>
      </c>
      <c r="C230" s="11" t="str">
        <f aca="false">INDEX(PRODUTOS!$H$4:$H$63,MATCH($A230,PRODUTOS!$B$4:$B$63,0))</f>
        <v>1 kg</v>
      </c>
      <c r="D230" s="11" t="s">
        <v>320</v>
      </c>
      <c r="E230" s="16" t="str">
        <f aca="false">$A230&amp;"."&amp;$D230&amp;".jpg"</f>
        <v>7898968541405.AP03.jpg</v>
      </c>
      <c r="F230" s="11" t="str">
        <f aca="false">IF(INDEX(PRODUTOS!$I$4:$I$63,MATCH($A230,PRODUTOS!$B$4:$B$63,0))="B",INDEX(MODELOS!$F$4:$F$11,MATCH($D230,MODELOS!$A$4:$A$11,0)),INDEX(MODELOS!$B$4:$B$11,MATCH($D230,MODELOS!$A$4:$A$11,0)))</f>
        <v>Módulo 3 · Benefício 1 de 4</v>
      </c>
      <c r="G230" s="11" t="str">
        <f aca="false">IF(INDEX(PRODUTOS!$F$4:$F$63,MATCH($A230,PRODUTOS!$B$4:$B$63,0))="Ração",IF(INDEX(PRODUTOS!$I$4:$I$63,MATCH($A230,PRODUTOS!$B$4:$B$63,0))="B",INDEX(MODELOS!$G$4:$G$11,MATCH($D230,MODELOS!$A$4:$A$11,0)),INDEX(MODELOS!$C$4:$C$11,MATCH($D230,MODELOS!$A$4:$A$11,0))),IF(INDEX(PRODUTOS!$I$4:$I$63,MATCH($A230,PRODUTOS!$B$4:$B$63,0))="B",INDEX(MODELOS!$H$4:$H$11,MATCH($D230,MODELOS!$A$4:$A$11,0)),INDEX(MODELOS!$D$4:$D$11,MATCH($D230,MODELOS!$A$4:$A$11,0))))</f>
        <v>Foto/ilustração do benefício 1</v>
      </c>
      <c r="H230" s="11" t="str">
        <f aca="false">IF(INDEX(PRODUTOS!$I$4:$I$63,MATCH($A230,PRODUTOS!$B$4:$B$63,0))="B",INDEX(MODELOS!$I$4:$I$11,MATCH($D230,MODELOS!$A$4:$A$11,0)),INDEX(MODELOS!$E$4:$E$11,MATCH($D230,MODELOS!$A$4:$A$11,0)))</f>
        <v>220 × 200</v>
      </c>
      <c r="I230" s="11" t="str">
        <f aca="false">IF($D230="COMP","SIM",IF(INDEX(PRODUTOS!$J$4:$J$63,MATCH($A230,PRODUTOS!$B$4:$B$63,0))&lt;&gt;"","NÃO (usa o A+ do EAN "&amp;INDEX(PRODUTOS!$J$4:$J$63,MATCH($A230,PRODUTOS!$B$4:$B$63,0))&amp;")",IF(AND(INDEX(PRODUTOS!$I$4:$I$63,MATCH($A230,PRODUTOS!$B$4:$B$63,0))="B",$D230="AP07"),"NÃO (modelo B)","SIM")))</f>
        <v>NÃO (usa o A+ do EAN 7898968541412)</v>
      </c>
      <c r="J230" s="13" t="s">
        <v>318</v>
      </c>
      <c r="K230" s="13"/>
    </row>
    <row r="231" customFormat="false" ht="15" hidden="false" customHeight="false" outlineLevel="0" collapsed="false">
      <c r="A231" s="15" t="s">
        <v>161</v>
      </c>
      <c r="B231" s="11" t="str">
        <f aca="false">INDEX(PRODUTOS!$E$4:$E$63,MATCH($A231,PRODUTOS!$B$4:$B$63,0))</f>
        <v>Ração Seca Natural Dots para Gatos Filhotes - Pacote 1 kg</v>
      </c>
      <c r="C231" s="11" t="str">
        <f aca="false">INDEX(PRODUTOS!$H$4:$H$63,MATCH($A231,PRODUTOS!$B$4:$B$63,0))</f>
        <v>1 kg</v>
      </c>
      <c r="D231" s="11" t="s">
        <v>321</v>
      </c>
      <c r="E231" s="16" t="str">
        <f aca="false">$A231&amp;"."&amp;$D231&amp;".jpg"</f>
        <v>7898968541405.AP04.jpg</v>
      </c>
      <c r="F231" s="11" t="str">
        <f aca="false">IF(INDEX(PRODUTOS!$I$4:$I$63,MATCH($A231,PRODUTOS!$B$4:$B$63,0))="B",INDEX(MODELOS!$F$4:$F$11,MATCH($D231,MODELOS!$A$4:$A$11,0)),INDEX(MODELOS!$B$4:$B$11,MATCH($D231,MODELOS!$A$4:$A$11,0)))</f>
        <v>Módulo 3 · Benefício 2 de 4</v>
      </c>
      <c r="G231" s="11" t="str">
        <f aca="false">IF(INDEX(PRODUTOS!$F$4:$F$63,MATCH($A231,PRODUTOS!$B$4:$B$63,0))="Ração",IF(INDEX(PRODUTOS!$I$4:$I$63,MATCH($A231,PRODUTOS!$B$4:$B$63,0))="B",INDEX(MODELOS!$G$4:$G$11,MATCH($D231,MODELOS!$A$4:$A$11,0)),INDEX(MODELOS!$C$4:$C$11,MATCH($D231,MODELOS!$A$4:$A$11,0))),IF(INDEX(PRODUTOS!$I$4:$I$63,MATCH($A231,PRODUTOS!$B$4:$B$63,0))="B",INDEX(MODELOS!$H$4:$H$11,MATCH($D231,MODELOS!$A$4:$A$11,0)),INDEX(MODELOS!$D$4:$D$11,MATCH($D231,MODELOS!$A$4:$A$11,0))))</f>
        <v>Foto/ilustração do benefício 2</v>
      </c>
      <c r="H231" s="11" t="str">
        <f aca="false">IF(INDEX(PRODUTOS!$I$4:$I$63,MATCH($A231,PRODUTOS!$B$4:$B$63,0))="B",INDEX(MODELOS!$I$4:$I$11,MATCH($D231,MODELOS!$A$4:$A$11,0)),INDEX(MODELOS!$E$4:$E$11,MATCH($D231,MODELOS!$A$4:$A$11,0)))</f>
        <v>220 × 200</v>
      </c>
      <c r="I231" s="11" t="str">
        <f aca="false">IF($D231="COMP","SIM",IF(INDEX(PRODUTOS!$J$4:$J$63,MATCH($A231,PRODUTOS!$B$4:$B$63,0))&lt;&gt;"","NÃO (usa o A+ do EAN "&amp;INDEX(PRODUTOS!$J$4:$J$63,MATCH($A231,PRODUTOS!$B$4:$B$63,0))&amp;")",IF(AND(INDEX(PRODUTOS!$I$4:$I$63,MATCH($A231,PRODUTOS!$B$4:$B$63,0))="B",$D231="AP07"),"NÃO (modelo B)","SIM")))</f>
        <v>NÃO (usa o A+ do EAN 7898968541412)</v>
      </c>
      <c r="J231" s="13" t="s">
        <v>318</v>
      </c>
      <c r="K231" s="13"/>
    </row>
    <row r="232" customFormat="false" ht="15" hidden="false" customHeight="false" outlineLevel="0" collapsed="false">
      <c r="A232" s="15" t="s">
        <v>161</v>
      </c>
      <c r="B232" s="11" t="str">
        <f aca="false">INDEX(PRODUTOS!$E$4:$E$63,MATCH($A232,PRODUTOS!$B$4:$B$63,0))</f>
        <v>Ração Seca Natural Dots para Gatos Filhotes - Pacote 1 kg</v>
      </c>
      <c r="C232" s="11" t="str">
        <f aca="false">INDEX(PRODUTOS!$H$4:$H$63,MATCH($A232,PRODUTOS!$B$4:$B$63,0))</f>
        <v>1 kg</v>
      </c>
      <c r="D232" s="11" t="s">
        <v>322</v>
      </c>
      <c r="E232" s="16" t="str">
        <f aca="false">$A232&amp;"."&amp;$D232&amp;".jpg"</f>
        <v>7898968541405.AP05.jpg</v>
      </c>
      <c r="F232" s="11" t="str">
        <f aca="false">IF(INDEX(PRODUTOS!$I$4:$I$63,MATCH($A232,PRODUTOS!$B$4:$B$63,0))="B",INDEX(MODELOS!$F$4:$F$11,MATCH($D232,MODELOS!$A$4:$A$11,0)),INDEX(MODELOS!$B$4:$B$11,MATCH($D232,MODELOS!$A$4:$A$11,0)))</f>
        <v>Módulo 3 · Benefício 3 de 4</v>
      </c>
      <c r="G232" s="11" t="str">
        <f aca="false">IF(INDEX(PRODUTOS!$F$4:$F$63,MATCH($A232,PRODUTOS!$B$4:$B$63,0))="Ração",IF(INDEX(PRODUTOS!$I$4:$I$63,MATCH($A232,PRODUTOS!$B$4:$B$63,0))="B",INDEX(MODELOS!$G$4:$G$11,MATCH($D232,MODELOS!$A$4:$A$11,0)),INDEX(MODELOS!$C$4:$C$11,MATCH($D232,MODELOS!$A$4:$A$11,0))),IF(INDEX(PRODUTOS!$I$4:$I$63,MATCH($A232,PRODUTOS!$B$4:$B$63,0))="B",INDEX(MODELOS!$H$4:$H$11,MATCH($D232,MODELOS!$A$4:$A$11,0)),INDEX(MODELOS!$D$4:$D$11,MATCH($D232,MODELOS!$A$4:$A$11,0))))</f>
        <v>Foto/ilustração do benefício 3</v>
      </c>
      <c r="H232" s="11" t="str">
        <f aca="false">IF(INDEX(PRODUTOS!$I$4:$I$63,MATCH($A232,PRODUTOS!$B$4:$B$63,0))="B",INDEX(MODELOS!$I$4:$I$11,MATCH($D232,MODELOS!$A$4:$A$11,0)),INDEX(MODELOS!$E$4:$E$11,MATCH($D232,MODELOS!$A$4:$A$11,0)))</f>
        <v>220 × 200</v>
      </c>
      <c r="I232" s="11" t="str">
        <f aca="false">IF($D232="COMP","SIM",IF(INDEX(PRODUTOS!$J$4:$J$63,MATCH($A232,PRODUTOS!$B$4:$B$63,0))&lt;&gt;"","NÃO (usa o A+ do EAN "&amp;INDEX(PRODUTOS!$J$4:$J$63,MATCH($A232,PRODUTOS!$B$4:$B$63,0))&amp;")",IF(AND(INDEX(PRODUTOS!$I$4:$I$63,MATCH($A232,PRODUTOS!$B$4:$B$63,0))="B",$D232="AP07"),"NÃO (modelo B)","SIM")))</f>
        <v>NÃO (usa o A+ do EAN 7898968541412)</v>
      </c>
      <c r="J232" s="13" t="s">
        <v>318</v>
      </c>
      <c r="K232" s="13"/>
    </row>
    <row r="233" customFormat="false" ht="15" hidden="false" customHeight="false" outlineLevel="0" collapsed="false">
      <c r="A233" s="15" t="s">
        <v>161</v>
      </c>
      <c r="B233" s="11" t="str">
        <f aca="false">INDEX(PRODUTOS!$E$4:$E$63,MATCH($A233,PRODUTOS!$B$4:$B$63,0))</f>
        <v>Ração Seca Natural Dots para Gatos Filhotes - Pacote 1 kg</v>
      </c>
      <c r="C233" s="11" t="str">
        <f aca="false">INDEX(PRODUTOS!$H$4:$H$63,MATCH($A233,PRODUTOS!$B$4:$B$63,0))</f>
        <v>1 kg</v>
      </c>
      <c r="D233" s="11" t="s">
        <v>323</v>
      </c>
      <c r="E233" s="16" t="str">
        <f aca="false">$A233&amp;"."&amp;$D233&amp;".jpg"</f>
        <v>7898968541405.AP06.jpg</v>
      </c>
      <c r="F233" s="11" t="str">
        <f aca="false">IF(INDEX(PRODUTOS!$I$4:$I$63,MATCH($A233,PRODUTOS!$B$4:$B$63,0))="B",INDEX(MODELOS!$F$4:$F$11,MATCH($D233,MODELOS!$A$4:$A$11,0)),INDEX(MODELOS!$B$4:$B$11,MATCH($D233,MODELOS!$A$4:$A$11,0)))</f>
        <v>Módulo 3 · Benefício 4 de 4</v>
      </c>
      <c r="G233" s="11" t="str">
        <f aca="false">IF(INDEX(PRODUTOS!$F$4:$F$63,MATCH($A233,PRODUTOS!$B$4:$B$63,0))="Ração",IF(INDEX(PRODUTOS!$I$4:$I$63,MATCH($A233,PRODUTOS!$B$4:$B$63,0))="B",INDEX(MODELOS!$G$4:$G$11,MATCH($D233,MODELOS!$A$4:$A$11,0)),INDEX(MODELOS!$C$4:$C$11,MATCH($D233,MODELOS!$A$4:$A$11,0))),IF(INDEX(PRODUTOS!$I$4:$I$63,MATCH($A233,PRODUTOS!$B$4:$B$63,0))="B",INDEX(MODELOS!$H$4:$H$11,MATCH($D233,MODELOS!$A$4:$A$11,0)),INDEX(MODELOS!$D$4:$D$11,MATCH($D233,MODELOS!$A$4:$A$11,0))))</f>
        <v>Foto/ilustração do benefício 4</v>
      </c>
      <c r="H233" s="11" t="str">
        <f aca="false">IF(INDEX(PRODUTOS!$I$4:$I$63,MATCH($A233,PRODUTOS!$B$4:$B$63,0))="B",INDEX(MODELOS!$I$4:$I$11,MATCH($D233,MODELOS!$A$4:$A$11,0)),INDEX(MODELOS!$E$4:$E$11,MATCH($D233,MODELOS!$A$4:$A$11,0)))</f>
        <v>220 × 200</v>
      </c>
      <c r="I233" s="11" t="str">
        <f aca="false">IF($D233="COMP","SIM",IF(INDEX(PRODUTOS!$J$4:$J$63,MATCH($A233,PRODUTOS!$B$4:$B$63,0))&lt;&gt;"","NÃO (usa o A+ do EAN "&amp;INDEX(PRODUTOS!$J$4:$J$63,MATCH($A233,PRODUTOS!$B$4:$B$63,0))&amp;")",IF(AND(INDEX(PRODUTOS!$I$4:$I$63,MATCH($A233,PRODUTOS!$B$4:$B$63,0))="B",$D233="AP07"),"NÃO (modelo B)","SIM")))</f>
        <v>NÃO (usa o A+ do EAN 7898968541412)</v>
      </c>
      <c r="J233" s="13" t="s">
        <v>318</v>
      </c>
      <c r="K233" s="13"/>
    </row>
    <row r="234" customFormat="false" ht="15" hidden="false" customHeight="false" outlineLevel="0" collapsed="false">
      <c r="A234" s="15" t="s">
        <v>161</v>
      </c>
      <c r="B234" s="11" t="str">
        <f aca="false">INDEX(PRODUTOS!$E$4:$E$63,MATCH($A234,PRODUTOS!$B$4:$B$63,0))</f>
        <v>Ração Seca Natural Dots para Gatos Filhotes - Pacote 1 kg</v>
      </c>
      <c r="C234" s="11" t="str">
        <f aca="false">INDEX(PRODUTOS!$H$4:$H$63,MATCH($A234,PRODUTOS!$B$4:$B$63,0))</f>
        <v>1 kg</v>
      </c>
      <c r="D234" s="11" t="s">
        <v>324</v>
      </c>
      <c r="E234" s="16" t="str">
        <f aca="false">$A234&amp;"."&amp;$D234&amp;".jpg"</f>
        <v>7898968541405.AP07.jpg</v>
      </c>
      <c r="F234" s="11" t="str">
        <f aca="false">IF(INDEX(PRODUTOS!$I$4:$I$63,MATCH($A234,PRODUTOS!$B$4:$B$63,0))="B",INDEX(MODELOS!$F$4:$F$11,MATCH($D234,MODELOS!$A$4:$A$11,0)),INDEX(MODELOS!$B$4:$B$11,MATCH($D234,MODELOS!$A$4:$A$11,0)))</f>
        <v>Módulo 4 · Especificações</v>
      </c>
      <c r="G234" s="11" t="str">
        <f aca="false">IF(INDEX(PRODUTOS!$F$4:$F$63,MATCH($A234,PRODUTOS!$B$4:$B$63,0))="Ração",IF(INDEX(PRODUTOS!$I$4:$I$63,MATCH($A234,PRODUTOS!$B$4:$B$63,0))="B",INDEX(MODELOS!$G$4:$G$11,MATCH($D234,MODELOS!$A$4:$A$11,0)),INDEX(MODELOS!$C$4:$C$11,MATCH($D234,MODELOS!$A$4:$A$11,0))),IF(INDEX(PRODUTOS!$I$4:$I$63,MATCH($A234,PRODUTOS!$B$4:$B$63,0))="B",INDEX(MODELOS!$H$4:$H$11,MATCH($D234,MODELOS!$A$4:$A$11,0)),INDEX(MODELOS!$D$4:$D$11,MATCH($D234,MODELOS!$A$4:$A$11,0))))</f>
        <v>Grão ou pacote em destaque</v>
      </c>
      <c r="H234" s="11" t="str">
        <f aca="false">IF(INDEX(PRODUTOS!$I$4:$I$63,MATCH($A234,PRODUTOS!$B$4:$B$63,0))="B",INDEX(MODELOS!$I$4:$I$11,MATCH($D234,MODELOS!$A$4:$A$11,0)),INDEX(MODELOS!$E$4:$E$11,MATCH($D234,MODELOS!$A$4:$A$11,0)))</f>
        <v>300 × 300</v>
      </c>
      <c r="I234" s="11" t="str">
        <f aca="false">IF($D234="COMP","SIM",IF(INDEX(PRODUTOS!$J$4:$J$63,MATCH($A234,PRODUTOS!$B$4:$B$63,0))&lt;&gt;"","NÃO (usa o A+ do EAN "&amp;INDEX(PRODUTOS!$J$4:$J$63,MATCH($A234,PRODUTOS!$B$4:$B$63,0))&amp;")",IF(AND(INDEX(PRODUTOS!$I$4:$I$63,MATCH($A234,PRODUTOS!$B$4:$B$63,0))="B",$D234="AP07"),"NÃO (modelo B)","SIM")))</f>
        <v>NÃO (usa o A+ do EAN 7898968541412)</v>
      </c>
      <c r="J234" s="13" t="s">
        <v>318</v>
      </c>
      <c r="K234" s="13"/>
    </row>
    <row r="235" customFormat="false" ht="15" hidden="false" customHeight="false" outlineLevel="0" collapsed="false">
      <c r="A235" s="15" t="s">
        <v>161</v>
      </c>
      <c r="B235" s="11" t="str">
        <f aca="false">INDEX(PRODUTOS!$E$4:$E$63,MATCH($A235,PRODUTOS!$B$4:$B$63,0))</f>
        <v>Ração Seca Natural Dots para Gatos Filhotes - Pacote 1 kg</v>
      </c>
      <c r="C235" s="11" t="str">
        <f aca="false">INDEX(PRODUTOS!$H$4:$H$63,MATCH($A235,PRODUTOS!$B$4:$B$63,0))</f>
        <v>1 kg</v>
      </c>
      <c r="D235" s="11" t="s">
        <v>325</v>
      </c>
      <c r="E235" s="16" t="str">
        <f aca="false">$A235&amp;"."&amp;$D235&amp;".jpg"</f>
        <v>7898968541405.COMP.jpg</v>
      </c>
      <c r="F235" s="11" t="str">
        <f aca="false">IF(INDEX(PRODUTOS!$I$4:$I$63,MATCH($A235,PRODUTOS!$B$4:$B$63,0))="B",INDEX(MODELOS!$F$4:$F$11,MATCH($D235,MODELOS!$A$4:$A$11,0)),INDEX(MODELOS!$B$4:$B$11,MATCH($D235,MODELOS!$A$4:$A$11,0)))</f>
        <v>Módulo 5 · Tabela comparativa</v>
      </c>
      <c r="G235" s="11" t="str">
        <f aca="false">IF(INDEX(PRODUTOS!$F$4:$F$63,MATCH($A235,PRODUTOS!$B$4:$B$63,0))="Ração",IF(INDEX(PRODUTOS!$I$4:$I$63,MATCH($A235,PRODUTOS!$B$4:$B$63,0))="B",INDEX(MODELOS!$G$4:$G$11,MATCH($D235,MODELOS!$A$4:$A$11,0)),INDEX(MODELOS!$C$4:$C$11,MATCH($D235,MODELOS!$A$4:$A$11,0))),IF(INDEX(PRODUTOS!$I$4:$I$63,MATCH($A235,PRODUTOS!$B$4:$B$63,0))="B",INDEX(MODELOS!$H$4:$H$11,MATCH($D235,MODELOS!$A$4:$A$11,0)),INDEX(MODELOS!$D$4:$D$11,MATCH($D235,MODELOS!$A$4:$A$11,0))))</f>
        <v>Pacote na vertical, sem fundo colorido</v>
      </c>
      <c r="H235" s="11" t="str">
        <f aca="false">IF(INDEX(PRODUTOS!$I$4:$I$63,MATCH($A235,PRODUTOS!$B$4:$B$63,0))="B",INDEX(MODELOS!$I$4:$I$11,MATCH($D235,MODELOS!$A$4:$A$11,0)),INDEX(MODELOS!$E$4:$E$11,MATCH($D235,MODELOS!$A$4:$A$11,0)))</f>
        <v>150 × 300</v>
      </c>
      <c r="I235" s="11" t="str">
        <f aca="false">IF($D235="COMP","SIM",IF(INDEX(PRODUTOS!$J$4:$J$63,MATCH($A235,PRODUTOS!$B$4:$B$63,0))&lt;&gt;"","NÃO (usa o A+ do EAN "&amp;INDEX(PRODUTOS!$J$4:$J$63,MATCH($A235,PRODUTOS!$B$4:$B$63,0))&amp;")",IF(AND(INDEX(PRODUTOS!$I$4:$I$63,MATCH($A235,PRODUTOS!$B$4:$B$63,0))="B",$D235="AP07"),"NÃO (modelo B)","SIM")))</f>
        <v>SIM</v>
      </c>
      <c r="J235" s="13" t="s">
        <v>318</v>
      </c>
      <c r="K235" s="13"/>
    </row>
    <row r="236" customFormat="false" ht="15" hidden="false" customHeight="false" outlineLevel="0" collapsed="false">
      <c r="A236" s="15" t="s">
        <v>165</v>
      </c>
      <c r="B236" s="11" t="str">
        <f aca="false">INDEX(PRODUTOS!$E$4:$E$63,MATCH($A236,PRODUTOS!$B$4:$B$63,0))</f>
        <v>Ração Natural Dots Super Premium Cães Adultos Sabor Frango 2,5 kg</v>
      </c>
      <c r="C236" s="11" t="str">
        <f aca="false">INDEX(PRODUTOS!$H$4:$H$63,MATCH($A236,PRODUTOS!$B$4:$B$63,0))</f>
        <v>2,5 kg</v>
      </c>
      <c r="D236" s="11" t="s">
        <v>317</v>
      </c>
      <c r="E236" s="16" t="str">
        <f aca="false">$A236&amp;"."&amp;$D236&amp;".jpg"</f>
        <v>7908591301007.AP01.jpg</v>
      </c>
      <c r="F236" s="11" t="str">
        <f aca="false">IF(INDEX(PRODUTOS!$I$4:$I$63,MATCH($A236,PRODUTOS!$B$4:$B$63,0))="B",INDEX(MODELOS!$F$4:$F$11,MATCH($D236,MODELOS!$A$4:$A$11,0)),INDEX(MODELOS!$B$4:$B$11,MATCH($D236,MODELOS!$A$4:$A$11,0)))</f>
        <v>Módulo 1 · Banner</v>
      </c>
      <c r="G236" s="11" t="str">
        <f aca="false">IF(INDEX(PRODUTOS!$F$4:$F$63,MATCH($A236,PRODUTOS!$B$4:$B$63,0))="Ração",IF(INDEX(PRODUTOS!$I$4:$I$63,MATCH($A236,PRODUTOS!$B$4:$B$63,0))="B",INDEX(MODELOS!$G$4:$G$11,MATCH($D236,MODELOS!$A$4:$A$11,0)),INDEX(MODELOS!$C$4:$C$11,MATCH($D236,MODELOS!$A$4:$A$11,0))),IF(INDEX(PRODUTOS!$I$4:$I$63,MATCH($A236,PRODUTOS!$B$4:$B$63,0))="B",INDEX(MODELOS!$H$4:$H$11,MATCH($D236,MODELOS!$A$4:$A$11,0)),INDEX(MODELOS!$D$4:$D$11,MATCH($D236,MODELOS!$A$4:$A$11,0))))</f>
        <v>Embalagem + pet + ingredientes, com o nome da linha</v>
      </c>
      <c r="H236" s="11" t="str">
        <f aca="false">IF(INDEX(PRODUTOS!$I$4:$I$63,MATCH($A236,PRODUTOS!$B$4:$B$63,0))="B",INDEX(MODELOS!$I$4:$I$11,MATCH($D236,MODELOS!$A$4:$A$11,0)),INDEX(MODELOS!$E$4:$E$11,MATCH($D236,MODELOS!$A$4:$A$11,0)))</f>
        <v>970 × 600</v>
      </c>
      <c r="I236" s="11" t="str">
        <f aca="false">IF($D236="COMP","SIM",IF(INDEX(PRODUTOS!$J$4:$J$63,MATCH($A236,PRODUTOS!$B$4:$B$63,0))&lt;&gt;"","NÃO (usa o A+ do EAN "&amp;INDEX(PRODUTOS!$J$4:$J$63,MATCH($A236,PRODUTOS!$B$4:$B$63,0))&amp;")",IF(AND(INDEX(PRODUTOS!$I$4:$I$63,MATCH($A236,PRODUTOS!$B$4:$B$63,0))="B",$D236="AP07"),"NÃO (modelo B)","SIM")))</f>
        <v>SIM</v>
      </c>
      <c r="J236" s="13" t="s">
        <v>318</v>
      </c>
      <c r="K236" s="13"/>
    </row>
    <row r="237" customFormat="false" ht="15" hidden="false" customHeight="false" outlineLevel="0" collapsed="false">
      <c r="A237" s="15" t="s">
        <v>165</v>
      </c>
      <c r="B237" s="11" t="str">
        <f aca="false">INDEX(PRODUTOS!$E$4:$E$63,MATCH($A237,PRODUTOS!$B$4:$B$63,0))</f>
        <v>Ração Natural Dots Super Premium Cães Adultos Sabor Frango 2,5 kg</v>
      </c>
      <c r="C237" s="11" t="str">
        <f aca="false">INDEX(PRODUTOS!$H$4:$H$63,MATCH($A237,PRODUTOS!$B$4:$B$63,0))</f>
        <v>2,5 kg</v>
      </c>
      <c r="D237" s="11" t="s">
        <v>319</v>
      </c>
      <c r="E237" s="16" t="str">
        <f aca="false">$A237&amp;"."&amp;$D237&amp;".jpg"</f>
        <v>7908591301007.AP02.jpg</v>
      </c>
      <c r="F237" s="11" t="str">
        <f aca="false">IF(INDEX(PRODUTOS!$I$4:$I$63,MATCH($A237,PRODUTOS!$B$4:$B$63,0))="B",INDEX(MODELOS!$F$4:$F$11,MATCH($D237,MODELOS!$A$4:$A$11,0)),INDEX(MODELOS!$B$4:$B$11,MATCH($D237,MODELOS!$A$4:$A$11,0)))</f>
        <v>Módulo 2 · Texto sobreposto</v>
      </c>
      <c r="G237" s="11" t="str">
        <f aca="false">IF(INDEX(PRODUTOS!$F$4:$F$63,MATCH($A237,PRODUTOS!$B$4:$B$63,0))="Ração",IF(INDEX(PRODUTOS!$I$4:$I$63,MATCH($A237,PRODUTOS!$B$4:$B$63,0))="B",INDEX(MODELOS!$G$4:$G$11,MATCH($D237,MODELOS!$A$4:$A$11,0)),INDEX(MODELOS!$C$4:$C$11,MATCH($D237,MODELOS!$A$4:$A$11,0))),IF(INDEX(PRODUTOS!$I$4:$I$63,MATCH($A237,PRODUTOS!$B$4:$B$63,0))="B",INDEX(MODELOS!$H$4:$H$11,MATCH($D237,MODELOS!$A$4:$A$11,0)),INDEX(MODELOS!$D$4:$D$11,MATCH($D237,MODELOS!$A$4:$A$11,0))))</f>
        <v>Principal diferencial; deixar o lado direito limpo</v>
      </c>
      <c r="H237" s="11" t="str">
        <f aca="false">IF(INDEX(PRODUTOS!$I$4:$I$63,MATCH($A237,PRODUTOS!$B$4:$B$63,0))="B",INDEX(MODELOS!$I$4:$I$11,MATCH($D237,MODELOS!$A$4:$A$11,0)),INDEX(MODELOS!$E$4:$E$11,MATCH($D237,MODELOS!$A$4:$A$11,0)))</f>
        <v>970 × 300</v>
      </c>
      <c r="I237" s="11" t="str">
        <f aca="false">IF($D237="COMP","SIM",IF(INDEX(PRODUTOS!$J$4:$J$63,MATCH($A237,PRODUTOS!$B$4:$B$63,0))&lt;&gt;"","NÃO (usa o A+ do EAN "&amp;INDEX(PRODUTOS!$J$4:$J$63,MATCH($A237,PRODUTOS!$B$4:$B$63,0))&amp;")",IF(AND(INDEX(PRODUTOS!$I$4:$I$63,MATCH($A237,PRODUTOS!$B$4:$B$63,0))="B",$D237="AP07"),"NÃO (modelo B)","SIM")))</f>
        <v>SIM</v>
      </c>
      <c r="J237" s="13" t="s">
        <v>318</v>
      </c>
      <c r="K237" s="13"/>
    </row>
    <row r="238" customFormat="false" ht="15" hidden="false" customHeight="false" outlineLevel="0" collapsed="false">
      <c r="A238" s="15" t="s">
        <v>165</v>
      </c>
      <c r="B238" s="11" t="str">
        <f aca="false">INDEX(PRODUTOS!$E$4:$E$63,MATCH($A238,PRODUTOS!$B$4:$B$63,0))</f>
        <v>Ração Natural Dots Super Premium Cães Adultos Sabor Frango 2,5 kg</v>
      </c>
      <c r="C238" s="11" t="str">
        <f aca="false">INDEX(PRODUTOS!$H$4:$H$63,MATCH($A238,PRODUTOS!$B$4:$B$63,0))</f>
        <v>2,5 kg</v>
      </c>
      <c r="D238" s="11" t="s">
        <v>320</v>
      </c>
      <c r="E238" s="16" t="str">
        <f aca="false">$A238&amp;"."&amp;$D238&amp;".jpg"</f>
        <v>7908591301007.AP03.jpg</v>
      </c>
      <c r="F238" s="11" t="str">
        <f aca="false">IF(INDEX(PRODUTOS!$I$4:$I$63,MATCH($A238,PRODUTOS!$B$4:$B$63,0))="B",INDEX(MODELOS!$F$4:$F$11,MATCH($D238,MODELOS!$A$4:$A$11,0)),INDEX(MODELOS!$B$4:$B$11,MATCH($D238,MODELOS!$A$4:$A$11,0)))</f>
        <v>Módulo 3 · Benefício 1 de 4</v>
      </c>
      <c r="G238" s="11" t="str">
        <f aca="false">IF(INDEX(PRODUTOS!$F$4:$F$63,MATCH($A238,PRODUTOS!$B$4:$B$63,0))="Ração",IF(INDEX(PRODUTOS!$I$4:$I$63,MATCH($A238,PRODUTOS!$B$4:$B$63,0))="B",INDEX(MODELOS!$G$4:$G$11,MATCH($D238,MODELOS!$A$4:$A$11,0)),INDEX(MODELOS!$C$4:$C$11,MATCH($D238,MODELOS!$A$4:$A$11,0))),IF(INDEX(PRODUTOS!$I$4:$I$63,MATCH($A238,PRODUTOS!$B$4:$B$63,0))="B",INDEX(MODELOS!$H$4:$H$11,MATCH($D238,MODELOS!$A$4:$A$11,0)),INDEX(MODELOS!$D$4:$D$11,MATCH($D238,MODELOS!$A$4:$A$11,0))))</f>
        <v>Foto/ilustração do benefício 1</v>
      </c>
      <c r="H238" s="11" t="str">
        <f aca="false">IF(INDEX(PRODUTOS!$I$4:$I$63,MATCH($A238,PRODUTOS!$B$4:$B$63,0))="B",INDEX(MODELOS!$I$4:$I$11,MATCH($D238,MODELOS!$A$4:$A$11,0)),INDEX(MODELOS!$E$4:$E$11,MATCH($D238,MODELOS!$A$4:$A$11,0)))</f>
        <v>220 × 200</v>
      </c>
      <c r="I238" s="11" t="str">
        <f aca="false">IF($D238="COMP","SIM",IF(INDEX(PRODUTOS!$J$4:$J$63,MATCH($A238,PRODUTOS!$B$4:$B$63,0))&lt;&gt;"","NÃO (usa o A+ do EAN "&amp;INDEX(PRODUTOS!$J$4:$J$63,MATCH($A238,PRODUTOS!$B$4:$B$63,0))&amp;")",IF(AND(INDEX(PRODUTOS!$I$4:$I$63,MATCH($A238,PRODUTOS!$B$4:$B$63,0))="B",$D238="AP07"),"NÃO (modelo B)","SIM")))</f>
        <v>SIM</v>
      </c>
      <c r="J238" s="13" t="s">
        <v>318</v>
      </c>
      <c r="K238" s="13"/>
    </row>
    <row r="239" customFormat="false" ht="15" hidden="false" customHeight="false" outlineLevel="0" collapsed="false">
      <c r="A239" s="15" t="s">
        <v>165</v>
      </c>
      <c r="B239" s="11" t="str">
        <f aca="false">INDEX(PRODUTOS!$E$4:$E$63,MATCH($A239,PRODUTOS!$B$4:$B$63,0))</f>
        <v>Ração Natural Dots Super Premium Cães Adultos Sabor Frango 2,5 kg</v>
      </c>
      <c r="C239" s="11" t="str">
        <f aca="false">INDEX(PRODUTOS!$H$4:$H$63,MATCH($A239,PRODUTOS!$B$4:$B$63,0))</f>
        <v>2,5 kg</v>
      </c>
      <c r="D239" s="11" t="s">
        <v>321</v>
      </c>
      <c r="E239" s="16" t="str">
        <f aca="false">$A239&amp;"."&amp;$D239&amp;".jpg"</f>
        <v>7908591301007.AP04.jpg</v>
      </c>
      <c r="F239" s="11" t="str">
        <f aca="false">IF(INDEX(PRODUTOS!$I$4:$I$63,MATCH($A239,PRODUTOS!$B$4:$B$63,0))="B",INDEX(MODELOS!$F$4:$F$11,MATCH($D239,MODELOS!$A$4:$A$11,0)),INDEX(MODELOS!$B$4:$B$11,MATCH($D239,MODELOS!$A$4:$A$11,0)))</f>
        <v>Módulo 3 · Benefício 2 de 4</v>
      </c>
      <c r="G239" s="11" t="str">
        <f aca="false">IF(INDEX(PRODUTOS!$F$4:$F$63,MATCH($A239,PRODUTOS!$B$4:$B$63,0))="Ração",IF(INDEX(PRODUTOS!$I$4:$I$63,MATCH($A239,PRODUTOS!$B$4:$B$63,0))="B",INDEX(MODELOS!$G$4:$G$11,MATCH($D239,MODELOS!$A$4:$A$11,0)),INDEX(MODELOS!$C$4:$C$11,MATCH($D239,MODELOS!$A$4:$A$11,0))),IF(INDEX(PRODUTOS!$I$4:$I$63,MATCH($A239,PRODUTOS!$B$4:$B$63,0))="B",INDEX(MODELOS!$H$4:$H$11,MATCH($D239,MODELOS!$A$4:$A$11,0)),INDEX(MODELOS!$D$4:$D$11,MATCH($D239,MODELOS!$A$4:$A$11,0))))</f>
        <v>Foto/ilustração do benefício 2</v>
      </c>
      <c r="H239" s="11" t="str">
        <f aca="false">IF(INDEX(PRODUTOS!$I$4:$I$63,MATCH($A239,PRODUTOS!$B$4:$B$63,0))="B",INDEX(MODELOS!$I$4:$I$11,MATCH($D239,MODELOS!$A$4:$A$11,0)),INDEX(MODELOS!$E$4:$E$11,MATCH($D239,MODELOS!$A$4:$A$11,0)))</f>
        <v>220 × 200</v>
      </c>
      <c r="I239" s="11" t="str">
        <f aca="false">IF($D239="COMP","SIM",IF(INDEX(PRODUTOS!$J$4:$J$63,MATCH($A239,PRODUTOS!$B$4:$B$63,0))&lt;&gt;"","NÃO (usa o A+ do EAN "&amp;INDEX(PRODUTOS!$J$4:$J$63,MATCH($A239,PRODUTOS!$B$4:$B$63,0))&amp;")",IF(AND(INDEX(PRODUTOS!$I$4:$I$63,MATCH($A239,PRODUTOS!$B$4:$B$63,0))="B",$D239="AP07"),"NÃO (modelo B)","SIM")))</f>
        <v>SIM</v>
      </c>
      <c r="J239" s="13" t="s">
        <v>318</v>
      </c>
      <c r="K239" s="13"/>
    </row>
    <row r="240" customFormat="false" ht="15" hidden="false" customHeight="false" outlineLevel="0" collapsed="false">
      <c r="A240" s="15" t="s">
        <v>165</v>
      </c>
      <c r="B240" s="11" t="str">
        <f aca="false">INDEX(PRODUTOS!$E$4:$E$63,MATCH($A240,PRODUTOS!$B$4:$B$63,0))</f>
        <v>Ração Natural Dots Super Premium Cães Adultos Sabor Frango 2,5 kg</v>
      </c>
      <c r="C240" s="11" t="str">
        <f aca="false">INDEX(PRODUTOS!$H$4:$H$63,MATCH($A240,PRODUTOS!$B$4:$B$63,0))</f>
        <v>2,5 kg</v>
      </c>
      <c r="D240" s="11" t="s">
        <v>322</v>
      </c>
      <c r="E240" s="16" t="str">
        <f aca="false">$A240&amp;"."&amp;$D240&amp;".jpg"</f>
        <v>7908591301007.AP05.jpg</v>
      </c>
      <c r="F240" s="11" t="str">
        <f aca="false">IF(INDEX(PRODUTOS!$I$4:$I$63,MATCH($A240,PRODUTOS!$B$4:$B$63,0))="B",INDEX(MODELOS!$F$4:$F$11,MATCH($D240,MODELOS!$A$4:$A$11,0)),INDEX(MODELOS!$B$4:$B$11,MATCH($D240,MODELOS!$A$4:$A$11,0)))</f>
        <v>Módulo 3 · Benefício 3 de 4</v>
      </c>
      <c r="G240" s="11" t="str">
        <f aca="false">IF(INDEX(PRODUTOS!$F$4:$F$63,MATCH($A240,PRODUTOS!$B$4:$B$63,0))="Ração",IF(INDEX(PRODUTOS!$I$4:$I$63,MATCH($A240,PRODUTOS!$B$4:$B$63,0))="B",INDEX(MODELOS!$G$4:$G$11,MATCH($D240,MODELOS!$A$4:$A$11,0)),INDEX(MODELOS!$C$4:$C$11,MATCH($D240,MODELOS!$A$4:$A$11,0))),IF(INDEX(PRODUTOS!$I$4:$I$63,MATCH($A240,PRODUTOS!$B$4:$B$63,0))="B",INDEX(MODELOS!$H$4:$H$11,MATCH($D240,MODELOS!$A$4:$A$11,0)),INDEX(MODELOS!$D$4:$D$11,MATCH($D240,MODELOS!$A$4:$A$11,0))))</f>
        <v>Foto/ilustração do benefício 3</v>
      </c>
      <c r="H240" s="11" t="str">
        <f aca="false">IF(INDEX(PRODUTOS!$I$4:$I$63,MATCH($A240,PRODUTOS!$B$4:$B$63,0))="B",INDEX(MODELOS!$I$4:$I$11,MATCH($D240,MODELOS!$A$4:$A$11,0)),INDEX(MODELOS!$E$4:$E$11,MATCH($D240,MODELOS!$A$4:$A$11,0)))</f>
        <v>220 × 200</v>
      </c>
      <c r="I240" s="11" t="str">
        <f aca="false">IF($D240="COMP","SIM",IF(INDEX(PRODUTOS!$J$4:$J$63,MATCH($A240,PRODUTOS!$B$4:$B$63,0))&lt;&gt;"","NÃO (usa o A+ do EAN "&amp;INDEX(PRODUTOS!$J$4:$J$63,MATCH($A240,PRODUTOS!$B$4:$B$63,0))&amp;")",IF(AND(INDEX(PRODUTOS!$I$4:$I$63,MATCH($A240,PRODUTOS!$B$4:$B$63,0))="B",$D240="AP07"),"NÃO (modelo B)","SIM")))</f>
        <v>SIM</v>
      </c>
      <c r="J240" s="13" t="s">
        <v>318</v>
      </c>
      <c r="K240" s="13"/>
    </row>
    <row r="241" customFormat="false" ht="15" hidden="false" customHeight="false" outlineLevel="0" collapsed="false">
      <c r="A241" s="15" t="s">
        <v>165</v>
      </c>
      <c r="B241" s="11" t="str">
        <f aca="false">INDEX(PRODUTOS!$E$4:$E$63,MATCH($A241,PRODUTOS!$B$4:$B$63,0))</f>
        <v>Ração Natural Dots Super Premium Cães Adultos Sabor Frango 2,5 kg</v>
      </c>
      <c r="C241" s="11" t="str">
        <f aca="false">INDEX(PRODUTOS!$H$4:$H$63,MATCH($A241,PRODUTOS!$B$4:$B$63,0))</f>
        <v>2,5 kg</v>
      </c>
      <c r="D241" s="11" t="s">
        <v>323</v>
      </c>
      <c r="E241" s="16" t="str">
        <f aca="false">$A241&amp;"."&amp;$D241&amp;".jpg"</f>
        <v>7908591301007.AP06.jpg</v>
      </c>
      <c r="F241" s="11" t="str">
        <f aca="false">IF(INDEX(PRODUTOS!$I$4:$I$63,MATCH($A241,PRODUTOS!$B$4:$B$63,0))="B",INDEX(MODELOS!$F$4:$F$11,MATCH($D241,MODELOS!$A$4:$A$11,0)),INDEX(MODELOS!$B$4:$B$11,MATCH($D241,MODELOS!$A$4:$A$11,0)))</f>
        <v>Módulo 3 · Benefício 4 de 4</v>
      </c>
      <c r="G241" s="11" t="str">
        <f aca="false">IF(INDEX(PRODUTOS!$F$4:$F$63,MATCH($A241,PRODUTOS!$B$4:$B$63,0))="Ração",IF(INDEX(PRODUTOS!$I$4:$I$63,MATCH($A241,PRODUTOS!$B$4:$B$63,0))="B",INDEX(MODELOS!$G$4:$G$11,MATCH($D241,MODELOS!$A$4:$A$11,0)),INDEX(MODELOS!$C$4:$C$11,MATCH($D241,MODELOS!$A$4:$A$11,0))),IF(INDEX(PRODUTOS!$I$4:$I$63,MATCH($A241,PRODUTOS!$B$4:$B$63,0))="B",INDEX(MODELOS!$H$4:$H$11,MATCH($D241,MODELOS!$A$4:$A$11,0)),INDEX(MODELOS!$D$4:$D$11,MATCH($D241,MODELOS!$A$4:$A$11,0))))</f>
        <v>Foto/ilustração do benefício 4</v>
      </c>
      <c r="H241" s="11" t="str">
        <f aca="false">IF(INDEX(PRODUTOS!$I$4:$I$63,MATCH($A241,PRODUTOS!$B$4:$B$63,0))="B",INDEX(MODELOS!$I$4:$I$11,MATCH($D241,MODELOS!$A$4:$A$11,0)),INDEX(MODELOS!$E$4:$E$11,MATCH($D241,MODELOS!$A$4:$A$11,0)))</f>
        <v>220 × 200</v>
      </c>
      <c r="I241" s="11" t="str">
        <f aca="false">IF($D241="COMP","SIM",IF(INDEX(PRODUTOS!$J$4:$J$63,MATCH($A241,PRODUTOS!$B$4:$B$63,0))&lt;&gt;"","NÃO (usa o A+ do EAN "&amp;INDEX(PRODUTOS!$J$4:$J$63,MATCH($A241,PRODUTOS!$B$4:$B$63,0))&amp;")",IF(AND(INDEX(PRODUTOS!$I$4:$I$63,MATCH($A241,PRODUTOS!$B$4:$B$63,0))="B",$D241="AP07"),"NÃO (modelo B)","SIM")))</f>
        <v>SIM</v>
      </c>
      <c r="J241" s="13" t="s">
        <v>318</v>
      </c>
      <c r="K241" s="13"/>
    </row>
    <row r="242" customFormat="false" ht="15" hidden="false" customHeight="false" outlineLevel="0" collapsed="false">
      <c r="A242" s="15" t="s">
        <v>165</v>
      </c>
      <c r="B242" s="11" t="str">
        <f aca="false">INDEX(PRODUTOS!$E$4:$E$63,MATCH($A242,PRODUTOS!$B$4:$B$63,0))</f>
        <v>Ração Natural Dots Super Premium Cães Adultos Sabor Frango 2,5 kg</v>
      </c>
      <c r="C242" s="11" t="str">
        <f aca="false">INDEX(PRODUTOS!$H$4:$H$63,MATCH($A242,PRODUTOS!$B$4:$B$63,0))</f>
        <v>2,5 kg</v>
      </c>
      <c r="D242" s="11" t="s">
        <v>324</v>
      </c>
      <c r="E242" s="16" t="str">
        <f aca="false">$A242&amp;"."&amp;$D242&amp;".jpg"</f>
        <v>7908591301007.AP07.jpg</v>
      </c>
      <c r="F242" s="11" t="str">
        <f aca="false">IF(INDEX(PRODUTOS!$I$4:$I$63,MATCH($A242,PRODUTOS!$B$4:$B$63,0))="B",INDEX(MODELOS!$F$4:$F$11,MATCH($D242,MODELOS!$A$4:$A$11,0)),INDEX(MODELOS!$B$4:$B$11,MATCH($D242,MODELOS!$A$4:$A$11,0)))</f>
        <v>Módulo 4 · Especificações</v>
      </c>
      <c r="G242" s="11" t="str">
        <f aca="false">IF(INDEX(PRODUTOS!$F$4:$F$63,MATCH($A242,PRODUTOS!$B$4:$B$63,0))="Ração",IF(INDEX(PRODUTOS!$I$4:$I$63,MATCH($A242,PRODUTOS!$B$4:$B$63,0))="B",INDEX(MODELOS!$G$4:$G$11,MATCH($D242,MODELOS!$A$4:$A$11,0)),INDEX(MODELOS!$C$4:$C$11,MATCH($D242,MODELOS!$A$4:$A$11,0))),IF(INDEX(PRODUTOS!$I$4:$I$63,MATCH($A242,PRODUTOS!$B$4:$B$63,0))="B",INDEX(MODELOS!$H$4:$H$11,MATCH($D242,MODELOS!$A$4:$A$11,0)),INDEX(MODELOS!$D$4:$D$11,MATCH($D242,MODELOS!$A$4:$A$11,0))))</f>
        <v>Grão ou pacote em destaque</v>
      </c>
      <c r="H242" s="11" t="str">
        <f aca="false">IF(INDEX(PRODUTOS!$I$4:$I$63,MATCH($A242,PRODUTOS!$B$4:$B$63,0))="B",INDEX(MODELOS!$I$4:$I$11,MATCH($D242,MODELOS!$A$4:$A$11,0)),INDEX(MODELOS!$E$4:$E$11,MATCH($D242,MODELOS!$A$4:$A$11,0)))</f>
        <v>300 × 300</v>
      </c>
      <c r="I242" s="11" t="str">
        <f aca="false">IF($D242="COMP","SIM",IF(INDEX(PRODUTOS!$J$4:$J$63,MATCH($A242,PRODUTOS!$B$4:$B$63,0))&lt;&gt;"","NÃO (usa o A+ do EAN "&amp;INDEX(PRODUTOS!$J$4:$J$63,MATCH($A242,PRODUTOS!$B$4:$B$63,0))&amp;")",IF(AND(INDEX(PRODUTOS!$I$4:$I$63,MATCH($A242,PRODUTOS!$B$4:$B$63,0))="B",$D242="AP07"),"NÃO (modelo B)","SIM")))</f>
        <v>SIM</v>
      </c>
      <c r="J242" s="13" t="s">
        <v>318</v>
      </c>
      <c r="K242" s="13"/>
    </row>
    <row r="243" customFormat="false" ht="15" hidden="false" customHeight="false" outlineLevel="0" collapsed="false">
      <c r="A243" s="15" t="s">
        <v>165</v>
      </c>
      <c r="B243" s="11" t="str">
        <f aca="false">INDEX(PRODUTOS!$E$4:$E$63,MATCH($A243,PRODUTOS!$B$4:$B$63,0))</f>
        <v>Ração Natural Dots Super Premium Cães Adultos Sabor Frango 2,5 kg</v>
      </c>
      <c r="C243" s="11" t="str">
        <f aca="false">INDEX(PRODUTOS!$H$4:$H$63,MATCH($A243,PRODUTOS!$B$4:$B$63,0))</f>
        <v>2,5 kg</v>
      </c>
      <c r="D243" s="11" t="s">
        <v>325</v>
      </c>
      <c r="E243" s="16" t="str">
        <f aca="false">$A243&amp;"."&amp;$D243&amp;".jpg"</f>
        <v>7908591301007.COMP.jpg</v>
      </c>
      <c r="F243" s="11" t="str">
        <f aca="false">IF(INDEX(PRODUTOS!$I$4:$I$63,MATCH($A243,PRODUTOS!$B$4:$B$63,0))="B",INDEX(MODELOS!$F$4:$F$11,MATCH($D243,MODELOS!$A$4:$A$11,0)),INDEX(MODELOS!$B$4:$B$11,MATCH($D243,MODELOS!$A$4:$A$11,0)))</f>
        <v>Módulo 5 · Tabela comparativa</v>
      </c>
      <c r="G243" s="11" t="str">
        <f aca="false">IF(INDEX(PRODUTOS!$F$4:$F$63,MATCH($A243,PRODUTOS!$B$4:$B$63,0))="Ração",IF(INDEX(PRODUTOS!$I$4:$I$63,MATCH($A243,PRODUTOS!$B$4:$B$63,0))="B",INDEX(MODELOS!$G$4:$G$11,MATCH($D243,MODELOS!$A$4:$A$11,0)),INDEX(MODELOS!$C$4:$C$11,MATCH($D243,MODELOS!$A$4:$A$11,0))),IF(INDEX(PRODUTOS!$I$4:$I$63,MATCH($A243,PRODUTOS!$B$4:$B$63,0))="B",INDEX(MODELOS!$H$4:$H$11,MATCH($D243,MODELOS!$A$4:$A$11,0)),INDEX(MODELOS!$D$4:$D$11,MATCH($D243,MODELOS!$A$4:$A$11,0))))</f>
        <v>Pacote na vertical, sem fundo colorido</v>
      </c>
      <c r="H243" s="11" t="str">
        <f aca="false">IF(INDEX(PRODUTOS!$I$4:$I$63,MATCH($A243,PRODUTOS!$B$4:$B$63,0))="B",INDEX(MODELOS!$I$4:$I$11,MATCH($D243,MODELOS!$A$4:$A$11,0)),INDEX(MODELOS!$E$4:$E$11,MATCH($D243,MODELOS!$A$4:$A$11,0)))</f>
        <v>150 × 300</v>
      </c>
      <c r="I243" s="11" t="str">
        <f aca="false">IF($D243="COMP","SIM",IF(INDEX(PRODUTOS!$J$4:$J$63,MATCH($A243,PRODUTOS!$B$4:$B$63,0))&lt;&gt;"","NÃO (usa o A+ do EAN "&amp;INDEX(PRODUTOS!$J$4:$J$63,MATCH($A243,PRODUTOS!$B$4:$B$63,0))&amp;")",IF(AND(INDEX(PRODUTOS!$I$4:$I$63,MATCH($A243,PRODUTOS!$B$4:$B$63,0))="B",$D243="AP07"),"NÃO (modelo B)","SIM")))</f>
        <v>SIM</v>
      </c>
      <c r="J243" s="13" t="s">
        <v>318</v>
      </c>
      <c r="K243" s="13"/>
    </row>
    <row r="244" customFormat="false" ht="15" hidden="false" customHeight="false" outlineLevel="0" collapsed="false">
      <c r="A244" s="15" t="s">
        <v>170</v>
      </c>
      <c r="B244" s="11" t="str">
        <f aca="false">INDEX(PRODUTOS!$E$4:$E$63,MATCH($A244,PRODUTOS!$B$4:$B$63,0))</f>
        <v>Ração Natural Dots Super Premium Cães Raças Pequenas Sabor Frango 1 kg</v>
      </c>
      <c r="C244" s="11" t="str">
        <f aca="false">INDEX(PRODUTOS!$H$4:$H$63,MATCH($A244,PRODUTOS!$B$4:$B$63,0))</f>
        <v>1 kg</v>
      </c>
      <c r="D244" s="11" t="s">
        <v>317</v>
      </c>
      <c r="E244" s="16" t="str">
        <f aca="false">$A244&amp;"."&amp;$D244&amp;".jpg"</f>
        <v>7908591301021.AP01.jpg</v>
      </c>
      <c r="F244" s="11" t="str">
        <f aca="false">IF(INDEX(PRODUTOS!$I$4:$I$63,MATCH($A244,PRODUTOS!$B$4:$B$63,0))="B",INDEX(MODELOS!$F$4:$F$11,MATCH($D244,MODELOS!$A$4:$A$11,0)),INDEX(MODELOS!$B$4:$B$11,MATCH($D244,MODELOS!$A$4:$A$11,0)))</f>
        <v>Módulo 1 · Banner</v>
      </c>
      <c r="G244" s="11" t="str">
        <f aca="false">IF(INDEX(PRODUTOS!$F$4:$F$63,MATCH($A244,PRODUTOS!$B$4:$B$63,0))="Ração",IF(INDEX(PRODUTOS!$I$4:$I$63,MATCH($A244,PRODUTOS!$B$4:$B$63,0))="B",INDEX(MODELOS!$G$4:$G$11,MATCH($D244,MODELOS!$A$4:$A$11,0)),INDEX(MODELOS!$C$4:$C$11,MATCH($D244,MODELOS!$A$4:$A$11,0))),IF(INDEX(PRODUTOS!$I$4:$I$63,MATCH($A244,PRODUTOS!$B$4:$B$63,0))="B",INDEX(MODELOS!$H$4:$H$11,MATCH($D244,MODELOS!$A$4:$A$11,0)),INDEX(MODELOS!$D$4:$D$11,MATCH($D244,MODELOS!$A$4:$A$11,0))))</f>
        <v>Embalagem + pet + ingredientes, com o nome da linha</v>
      </c>
      <c r="H244" s="11" t="str">
        <f aca="false">IF(INDEX(PRODUTOS!$I$4:$I$63,MATCH($A244,PRODUTOS!$B$4:$B$63,0))="B",INDEX(MODELOS!$I$4:$I$11,MATCH($D244,MODELOS!$A$4:$A$11,0)),INDEX(MODELOS!$E$4:$E$11,MATCH($D244,MODELOS!$A$4:$A$11,0)))</f>
        <v>970 × 600</v>
      </c>
      <c r="I244" s="11" t="str">
        <f aca="false">IF($D244="COMP","SIM",IF(INDEX(PRODUTOS!$J$4:$J$63,MATCH($A244,PRODUTOS!$B$4:$B$63,0))&lt;&gt;"","NÃO (usa o A+ do EAN "&amp;INDEX(PRODUTOS!$J$4:$J$63,MATCH($A244,PRODUTOS!$B$4:$B$63,0))&amp;")",IF(AND(INDEX(PRODUTOS!$I$4:$I$63,MATCH($A244,PRODUTOS!$B$4:$B$63,0))="B",$D244="AP07"),"NÃO (modelo B)","SIM")))</f>
        <v>SIM</v>
      </c>
      <c r="J244" s="13" t="s">
        <v>318</v>
      </c>
      <c r="K244" s="13"/>
    </row>
    <row r="245" customFormat="false" ht="15" hidden="false" customHeight="false" outlineLevel="0" collapsed="false">
      <c r="A245" s="15" t="s">
        <v>170</v>
      </c>
      <c r="B245" s="11" t="str">
        <f aca="false">INDEX(PRODUTOS!$E$4:$E$63,MATCH($A245,PRODUTOS!$B$4:$B$63,0))</f>
        <v>Ração Natural Dots Super Premium Cães Raças Pequenas Sabor Frango 1 kg</v>
      </c>
      <c r="C245" s="11" t="str">
        <f aca="false">INDEX(PRODUTOS!$H$4:$H$63,MATCH($A245,PRODUTOS!$B$4:$B$63,0))</f>
        <v>1 kg</v>
      </c>
      <c r="D245" s="11" t="s">
        <v>319</v>
      </c>
      <c r="E245" s="16" t="str">
        <f aca="false">$A245&amp;"."&amp;$D245&amp;".jpg"</f>
        <v>7908591301021.AP02.jpg</v>
      </c>
      <c r="F245" s="11" t="str">
        <f aca="false">IF(INDEX(PRODUTOS!$I$4:$I$63,MATCH($A245,PRODUTOS!$B$4:$B$63,0))="B",INDEX(MODELOS!$F$4:$F$11,MATCH($D245,MODELOS!$A$4:$A$11,0)),INDEX(MODELOS!$B$4:$B$11,MATCH($D245,MODELOS!$A$4:$A$11,0)))</f>
        <v>Módulo 2 · Texto sobreposto</v>
      </c>
      <c r="G245" s="11" t="str">
        <f aca="false">IF(INDEX(PRODUTOS!$F$4:$F$63,MATCH($A245,PRODUTOS!$B$4:$B$63,0))="Ração",IF(INDEX(PRODUTOS!$I$4:$I$63,MATCH($A245,PRODUTOS!$B$4:$B$63,0))="B",INDEX(MODELOS!$G$4:$G$11,MATCH($D245,MODELOS!$A$4:$A$11,0)),INDEX(MODELOS!$C$4:$C$11,MATCH($D245,MODELOS!$A$4:$A$11,0))),IF(INDEX(PRODUTOS!$I$4:$I$63,MATCH($A245,PRODUTOS!$B$4:$B$63,0))="B",INDEX(MODELOS!$H$4:$H$11,MATCH($D245,MODELOS!$A$4:$A$11,0)),INDEX(MODELOS!$D$4:$D$11,MATCH($D245,MODELOS!$A$4:$A$11,0))))</f>
        <v>Principal diferencial; deixar o lado direito limpo</v>
      </c>
      <c r="H245" s="11" t="str">
        <f aca="false">IF(INDEX(PRODUTOS!$I$4:$I$63,MATCH($A245,PRODUTOS!$B$4:$B$63,0))="B",INDEX(MODELOS!$I$4:$I$11,MATCH($D245,MODELOS!$A$4:$A$11,0)),INDEX(MODELOS!$E$4:$E$11,MATCH($D245,MODELOS!$A$4:$A$11,0)))</f>
        <v>970 × 300</v>
      </c>
      <c r="I245" s="11" t="str">
        <f aca="false">IF($D245="COMP","SIM",IF(INDEX(PRODUTOS!$J$4:$J$63,MATCH($A245,PRODUTOS!$B$4:$B$63,0))&lt;&gt;"","NÃO (usa o A+ do EAN "&amp;INDEX(PRODUTOS!$J$4:$J$63,MATCH($A245,PRODUTOS!$B$4:$B$63,0))&amp;")",IF(AND(INDEX(PRODUTOS!$I$4:$I$63,MATCH($A245,PRODUTOS!$B$4:$B$63,0))="B",$D245="AP07"),"NÃO (modelo B)","SIM")))</f>
        <v>SIM</v>
      </c>
      <c r="J245" s="13" t="s">
        <v>318</v>
      </c>
      <c r="K245" s="13"/>
    </row>
    <row r="246" customFormat="false" ht="15" hidden="false" customHeight="false" outlineLevel="0" collapsed="false">
      <c r="A246" s="15" t="s">
        <v>170</v>
      </c>
      <c r="B246" s="11" t="str">
        <f aca="false">INDEX(PRODUTOS!$E$4:$E$63,MATCH($A246,PRODUTOS!$B$4:$B$63,0))</f>
        <v>Ração Natural Dots Super Premium Cães Raças Pequenas Sabor Frango 1 kg</v>
      </c>
      <c r="C246" s="11" t="str">
        <f aca="false">INDEX(PRODUTOS!$H$4:$H$63,MATCH($A246,PRODUTOS!$B$4:$B$63,0))</f>
        <v>1 kg</v>
      </c>
      <c r="D246" s="11" t="s">
        <v>320</v>
      </c>
      <c r="E246" s="16" t="str">
        <f aca="false">$A246&amp;"."&amp;$D246&amp;".jpg"</f>
        <v>7908591301021.AP03.jpg</v>
      </c>
      <c r="F246" s="11" t="str">
        <f aca="false">IF(INDEX(PRODUTOS!$I$4:$I$63,MATCH($A246,PRODUTOS!$B$4:$B$63,0))="B",INDEX(MODELOS!$F$4:$F$11,MATCH($D246,MODELOS!$A$4:$A$11,0)),INDEX(MODELOS!$B$4:$B$11,MATCH($D246,MODELOS!$A$4:$A$11,0)))</f>
        <v>Módulo 3 · Benefício 1 de 4</v>
      </c>
      <c r="G246" s="11" t="str">
        <f aca="false">IF(INDEX(PRODUTOS!$F$4:$F$63,MATCH($A246,PRODUTOS!$B$4:$B$63,0))="Ração",IF(INDEX(PRODUTOS!$I$4:$I$63,MATCH($A246,PRODUTOS!$B$4:$B$63,0))="B",INDEX(MODELOS!$G$4:$G$11,MATCH($D246,MODELOS!$A$4:$A$11,0)),INDEX(MODELOS!$C$4:$C$11,MATCH($D246,MODELOS!$A$4:$A$11,0))),IF(INDEX(PRODUTOS!$I$4:$I$63,MATCH($A246,PRODUTOS!$B$4:$B$63,0))="B",INDEX(MODELOS!$H$4:$H$11,MATCH($D246,MODELOS!$A$4:$A$11,0)),INDEX(MODELOS!$D$4:$D$11,MATCH($D246,MODELOS!$A$4:$A$11,0))))</f>
        <v>Foto/ilustração do benefício 1</v>
      </c>
      <c r="H246" s="11" t="str">
        <f aca="false">IF(INDEX(PRODUTOS!$I$4:$I$63,MATCH($A246,PRODUTOS!$B$4:$B$63,0))="B",INDEX(MODELOS!$I$4:$I$11,MATCH($D246,MODELOS!$A$4:$A$11,0)),INDEX(MODELOS!$E$4:$E$11,MATCH($D246,MODELOS!$A$4:$A$11,0)))</f>
        <v>220 × 200</v>
      </c>
      <c r="I246" s="11" t="str">
        <f aca="false">IF($D246="COMP","SIM",IF(INDEX(PRODUTOS!$J$4:$J$63,MATCH($A246,PRODUTOS!$B$4:$B$63,0))&lt;&gt;"","NÃO (usa o A+ do EAN "&amp;INDEX(PRODUTOS!$J$4:$J$63,MATCH($A246,PRODUTOS!$B$4:$B$63,0))&amp;")",IF(AND(INDEX(PRODUTOS!$I$4:$I$63,MATCH($A246,PRODUTOS!$B$4:$B$63,0))="B",$D246="AP07"),"NÃO (modelo B)","SIM")))</f>
        <v>SIM</v>
      </c>
      <c r="J246" s="13" t="s">
        <v>318</v>
      </c>
      <c r="K246" s="13"/>
    </row>
    <row r="247" customFormat="false" ht="15" hidden="false" customHeight="false" outlineLevel="0" collapsed="false">
      <c r="A247" s="15" t="s">
        <v>170</v>
      </c>
      <c r="B247" s="11" t="str">
        <f aca="false">INDEX(PRODUTOS!$E$4:$E$63,MATCH($A247,PRODUTOS!$B$4:$B$63,0))</f>
        <v>Ração Natural Dots Super Premium Cães Raças Pequenas Sabor Frango 1 kg</v>
      </c>
      <c r="C247" s="11" t="str">
        <f aca="false">INDEX(PRODUTOS!$H$4:$H$63,MATCH($A247,PRODUTOS!$B$4:$B$63,0))</f>
        <v>1 kg</v>
      </c>
      <c r="D247" s="11" t="s">
        <v>321</v>
      </c>
      <c r="E247" s="16" t="str">
        <f aca="false">$A247&amp;"."&amp;$D247&amp;".jpg"</f>
        <v>7908591301021.AP04.jpg</v>
      </c>
      <c r="F247" s="11" t="str">
        <f aca="false">IF(INDEX(PRODUTOS!$I$4:$I$63,MATCH($A247,PRODUTOS!$B$4:$B$63,0))="B",INDEX(MODELOS!$F$4:$F$11,MATCH($D247,MODELOS!$A$4:$A$11,0)),INDEX(MODELOS!$B$4:$B$11,MATCH($D247,MODELOS!$A$4:$A$11,0)))</f>
        <v>Módulo 3 · Benefício 2 de 4</v>
      </c>
      <c r="G247" s="11" t="str">
        <f aca="false">IF(INDEX(PRODUTOS!$F$4:$F$63,MATCH($A247,PRODUTOS!$B$4:$B$63,0))="Ração",IF(INDEX(PRODUTOS!$I$4:$I$63,MATCH($A247,PRODUTOS!$B$4:$B$63,0))="B",INDEX(MODELOS!$G$4:$G$11,MATCH($D247,MODELOS!$A$4:$A$11,0)),INDEX(MODELOS!$C$4:$C$11,MATCH($D247,MODELOS!$A$4:$A$11,0))),IF(INDEX(PRODUTOS!$I$4:$I$63,MATCH($A247,PRODUTOS!$B$4:$B$63,0))="B",INDEX(MODELOS!$H$4:$H$11,MATCH($D247,MODELOS!$A$4:$A$11,0)),INDEX(MODELOS!$D$4:$D$11,MATCH($D247,MODELOS!$A$4:$A$11,0))))</f>
        <v>Foto/ilustração do benefício 2</v>
      </c>
      <c r="H247" s="11" t="str">
        <f aca="false">IF(INDEX(PRODUTOS!$I$4:$I$63,MATCH($A247,PRODUTOS!$B$4:$B$63,0))="B",INDEX(MODELOS!$I$4:$I$11,MATCH($D247,MODELOS!$A$4:$A$11,0)),INDEX(MODELOS!$E$4:$E$11,MATCH($D247,MODELOS!$A$4:$A$11,0)))</f>
        <v>220 × 200</v>
      </c>
      <c r="I247" s="11" t="str">
        <f aca="false">IF($D247="COMP","SIM",IF(INDEX(PRODUTOS!$J$4:$J$63,MATCH($A247,PRODUTOS!$B$4:$B$63,0))&lt;&gt;"","NÃO (usa o A+ do EAN "&amp;INDEX(PRODUTOS!$J$4:$J$63,MATCH($A247,PRODUTOS!$B$4:$B$63,0))&amp;")",IF(AND(INDEX(PRODUTOS!$I$4:$I$63,MATCH($A247,PRODUTOS!$B$4:$B$63,0))="B",$D247="AP07"),"NÃO (modelo B)","SIM")))</f>
        <v>SIM</v>
      </c>
      <c r="J247" s="13" t="s">
        <v>318</v>
      </c>
      <c r="K247" s="13"/>
    </row>
    <row r="248" customFormat="false" ht="15" hidden="false" customHeight="false" outlineLevel="0" collapsed="false">
      <c r="A248" s="15" t="s">
        <v>170</v>
      </c>
      <c r="B248" s="11" t="str">
        <f aca="false">INDEX(PRODUTOS!$E$4:$E$63,MATCH($A248,PRODUTOS!$B$4:$B$63,0))</f>
        <v>Ração Natural Dots Super Premium Cães Raças Pequenas Sabor Frango 1 kg</v>
      </c>
      <c r="C248" s="11" t="str">
        <f aca="false">INDEX(PRODUTOS!$H$4:$H$63,MATCH($A248,PRODUTOS!$B$4:$B$63,0))</f>
        <v>1 kg</v>
      </c>
      <c r="D248" s="11" t="s">
        <v>322</v>
      </c>
      <c r="E248" s="16" t="str">
        <f aca="false">$A248&amp;"."&amp;$D248&amp;".jpg"</f>
        <v>7908591301021.AP05.jpg</v>
      </c>
      <c r="F248" s="11" t="str">
        <f aca="false">IF(INDEX(PRODUTOS!$I$4:$I$63,MATCH($A248,PRODUTOS!$B$4:$B$63,0))="B",INDEX(MODELOS!$F$4:$F$11,MATCH($D248,MODELOS!$A$4:$A$11,0)),INDEX(MODELOS!$B$4:$B$11,MATCH($D248,MODELOS!$A$4:$A$11,0)))</f>
        <v>Módulo 3 · Benefício 3 de 4</v>
      </c>
      <c r="G248" s="11" t="str">
        <f aca="false">IF(INDEX(PRODUTOS!$F$4:$F$63,MATCH($A248,PRODUTOS!$B$4:$B$63,0))="Ração",IF(INDEX(PRODUTOS!$I$4:$I$63,MATCH($A248,PRODUTOS!$B$4:$B$63,0))="B",INDEX(MODELOS!$G$4:$G$11,MATCH($D248,MODELOS!$A$4:$A$11,0)),INDEX(MODELOS!$C$4:$C$11,MATCH($D248,MODELOS!$A$4:$A$11,0))),IF(INDEX(PRODUTOS!$I$4:$I$63,MATCH($A248,PRODUTOS!$B$4:$B$63,0))="B",INDEX(MODELOS!$H$4:$H$11,MATCH($D248,MODELOS!$A$4:$A$11,0)),INDEX(MODELOS!$D$4:$D$11,MATCH($D248,MODELOS!$A$4:$A$11,0))))</f>
        <v>Foto/ilustração do benefício 3</v>
      </c>
      <c r="H248" s="11" t="str">
        <f aca="false">IF(INDEX(PRODUTOS!$I$4:$I$63,MATCH($A248,PRODUTOS!$B$4:$B$63,0))="B",INDEX(MODELOS!$I$4:$I$11,MATCH($D248,MODELOS!$A$4:$A$11,0)),INDEX(MODELOS!$E$4:$E$11,MATCH($D248,MODELOS!$A$4:$A$11,0)))</f>
        <v>220 × 200</v>
      </c>
      <c r="I248" s="11" t="str">
        <f aca="false">IF($D248="COMP","SIM",IF(INDEX(PRODUTOS!$J$4:$J$63,MATCH($A248,PRODUTOS!$B$4:$B$63,0))&lt;&gt;"","NÃO (usa o A+ do EAN "&amp;INDEX(PRODUTOS!$J$4:$J$63,MATCH($A248,PRODUTOS!$B$4:$B$63,0))&amp;")",IF(AND(INDEX(PRODUTOS!$I$4:$I$63,MATCH($A248,PRODUTOS!$B$4:$B$63,0))="B",$D248="AP07"),"NÃO (modelo B)","SIM")))</f>
        <v>SIM</v>
      </c>
      <c r="J248" s="13" t="s">
        <v>318</v>
      </c>
      <c r="K248" s="13"/>
    </row>
    <row r="249" customFormat="false" ht="15" hidden="false" customHeight="false" outlineLevel="0" collapsed="false">
      <c r="A249" s="15" t="s">
        <v>170</v>
      </c>
      <c r="B249" s="11" t="str">
        <f aca="false">INDEX(PRODUTOS!$E$4:$E$63,MATCH($A249,PRODUTOS!$B$4:$B$63,0))</f>
        <v>Ração Natural Dots Super Premium Cães Raças Pequenas Sabor Frango 1 kg</v>
      </c>
      <c r="C249" s="11" t="str">
        <f aca="false">INDEX(PRODUTOS!$H$4:$H$63,MATCH($A249,PRODUTOS!$B$4:$B$63,0))</f>
        <v>1 kg</v>
      </c>
      <c r="D249" s="11" t="s">
        <v>323</v>
      </c>
      <c r="E249" s="16" t="str">
        <f aca="false">$A249&amp;"."&amp;$D249&amp;".jpg"</f>
        <v>7908591301021.AP06.jpg</v>
      </c>
      <c r="F249" s="11" t="str">
        <f aca="false">IF(INDEX(PRODUTOS!$I$4:$I$63,MATCH($A249,PRODUTOS!$B$4:$B$63,0))="B",INDEX(MODELOS!$F$4:$F$11,MATCH($D249,MODELOS!$A$4:$A$11,0)),INDEX(MODELOS!$B$4:$B$11,MATCH($D249,MODELOS!$A$4:$A$11,0)))</f>
        <v>Módulo 3 · Benefício 4 de 4</v>
      </c>
      <c r="G249" s="11" t="str">
        <f aca="false">IF(INDEX(PRODUTOS!$F$4:$F$63,MATCH($A249,PRODUTOS!$B$4:$B$63,0))="Ração",IF(INDEX(PRODUTOS!$I$4:$I$63,MATCH($A249,PRODUTOS!$B$4:$B$63,0))="B",INDEX(MODELOS!$G$4:$G$11,MATCH($D249,MODELOS!$A$4:$A$11,0)),INDEX(MODELOS!$C$4:$C$11,MATCH($D249,MODELOS!$A$4:$A$11,0))),IF(INDEX(PRODUTOS!$I$4:$I$63,MATCH($A249,PRODUTOS!$B$4:$B$63,0))="B",INDEX(MODELOS!$H$4:$H$11,MATCH($D249,MODELOS!$A$4:$A$11,0)),INDEX(MODELOS!$D$4:$D$11,MATCH($D249,MODELOS!$A$4:$A$11,0))))</f>
        <v>Foto/ilustração do benefício 4</v>
      </c>
      <c r="H249" s="11" t="str">
        <f aca="false">IF(INDEX(PRODUTOS!$I$4:$I$63,MATCH($A249,PRODUTOS!$B$4:$B$63,0))="B",INDEX(MODELOS!$I$4:$I$11,MATCH($D249,MODELOS!$A$4:$A$11,0)),INDEX(MODELOS!$E$4:$E$11,MATCH($D249,MODELOS!$A$4:$A$11,0)))</f>
        <v>220 × 200</v>
      </c>
      <c r="I249" s="11" t="str">
        <f aca="false">IF($D249="COMP","SIM",IF(INDEX(PRODUTOS!$J$4:$J$63,MATCH($A249,PRODUTOS!$B$4:$B$63,0))&lt;&gt;"","NÃO (usa o A+ do EAN "&amp;INDEX(PRODUTOS!$J$4:$J$63,MATCH($A249,PRODUTOS!$B$4:$B$63,0))&amp;")",IF(AND(INDEX(PRODUTOS!$I$4:$I$63,MATCH($A249,PRODUTOS!$B$4:$B$63,0))="B",$D249="AP07"),"NÃO (modelo B)","SIM")))</f>
        <v>SIM</v>
      </c>
      <c r="J249" s="13" t="s">
        <v>318</v>
      </c>
      <c r="K249" s="13"/>
    </row>
    <row r="250" customFormat="false" ht="15" hidden="false" customHeight="false" outlineLevel="0" collapsed="false">
      <c r="A250" s="15" t="s">
        <v>170</v>
      </c>
      <c r="B250" s="11" t="str">
        <f aca="false">INDEX(PRODUTOS!$E$4:$E$63,MATCH($A250,PRODUTOS!$B$4:$B$63,0))</f>
        <v>Ração Natural Dots Super Premium Cães Raças Pequenas Sabor Frango 1 kg</v>
      </c>
      <c r="C250" s="11" t="str">
        <f aca="false">INDEX(PRODUTOS!$H$4:$H$63,MATCH($A250,PRODUTOS!$B$4:$B$63,0))</f>
        <v>1 kg</v>
      </c>
      <c r="D250" s="11" t="s">
        <v>324</v>
      </c>
      <c r="E250" s="16" t="str">
        <f aca="false">$A250&amp;"."&amp;$D250&amp;".jpg"</f>
        <v>7908591301021.AP07.jpg</v>
      </c>
      <c r="F250" s="11" t="str">
        <f aca="false">IF(INDEX(PRODUTOS!$I$4:$I$63,MATCH($A250,PRODUTOS!$B$4:$B$63,0))="B",INDEX(MODELOS!$F$4:$F$11,MATCH($D250,MODELOS!$A$4:$A$11,0)),INDEX(MODELOS!$B$4:$B$11,MATCH($D250,MODELOS!$A$4:$A$11,0)))</f>
        <v>Módulo 4 · Especificações</v>
      </c>
      <c r="G250" s="11" t="str">
        <f aca="false">IF(INDEX(PRODUTOS!$F$4:$F$63,MATCH($A250,PRODUTOS!$B$4:$B$63,0))="Ração",IF(INDEX(PRODUTOS!$I$4:$I$63,MATCH($A250,PRODUTOS!$B$4:$B$63,0))="B",INDEX(MODELOS!$G$4:$G$11,MATCH($D250,MODELOS!$A$4:$A$11,0)),INDEX(MODELOS!$C$4:$C$11,MATCH($D250,MODELOS!$A$4:$A$11,0))),IF(INDEX(PRODUTOS!$I$4:$I$63,MATCH($A250,PRODUTOS!$B$4:$B$63,0))="B",INDEX(MODELOS!$H$4:$H$11,MATCH($D250,MODELOS!$A$4:$A$11,0)),INDEX(MODELOS!$D$4:$D$11,MATCH($D250,MODELOS!$A$4:$A$11,0))))</f>
        <v>Grão ou pacote em destaque</v>
      </c>
      <c r="H250" s="11" t="str">
        <f aca="false">IF(INDEX(PRODUTOS!$I$4:$I$63,MATCH($A250,PRODUTOS!$B$4:$B$63,0))="B",INDEX(MODELOS!$I$4:$I$11,MATCH($D250,MODELOS!$A$4:$A$11,0)),INDEX(MODELOS!$E$4:$E$11,MATCH($D250,MODELOS!$A$4:$A$11,0)))</f>
        <v>300 × 300</v>
      </c>
      <c r="I250" s="11" t="str">
        <f aca="false">IF($D250="COMP","SIM",IF(INDEX(PRODUTOS!$J$4:$J$63,MATCH($A250,PRODUTOS!$B$4:$B$63,0))&lt;&gt;"","NÃO (usa o A+ do EAN "&amp;INDEX(PRODUTOS!$J$4:$J$63,MATCH($A250,PRODUTOS!$B$4:$B$63,0))&amp;")",IF(AND(INDEX(PRODUTOS!$I$4:$I$63,MATCH($A250,PRODUTOS!$B$4:$B$63,0))="B",$D250="AP07"),"NÃO (modelo B)","SIM")))</f>
        <v>SIM</v>
      </c>
      <c r="J250" s="13" t="s">
        <v>318</v>
      </c>
      <c r="K250" s="13"/>
    </row>
    <row r="251" customFormat="false" ht="15" hidden="false" customHeight="false" outlineLevel="0" collapsed="false">
      <c r="A251" s="15" t="s">
        <v>170</v>
      </c>
      <c r="B251" s="11" t="str">
        <f aca="false">INDEX(PRODUTOS!$E$4:$E$63,MATCH($A251,PRODUTOS!$B$4:$B$63,0))</f>
        <v>Ração Natural Dots Super Premium Cães Raças Pequenas Sabor Frango 1 kg</v>
      </c>
      <c r="C251" s="11" t="str">
        <f aca="false">INDEX(PRODUTOS!$H$4:$H$63,MATCH($A251,PRODUTOS!$B$4:$B$63,0))</f>
        <v>1 kg</v>
      </c>
      <c r="D251" s="11" t="s">
        <v>325</v>
      </c>
      <c r="E251" s="16" t="str">
        <f aca="false">$A251&amp;"."&amp;$D251&amp;".jpg"</f>
        <v>7908591301021.COMP.jpg</v>
      </c>
      <c r="F251" s="11" t="str">
        <f aca="false">IF(INDEX(PRODUTOS!$I$4:$I$63,MATCH($A251,PRODUTOS!$B$4:$B$63,0))="B",INDEX(MODELOS!$F$4:$F$11,MATCH($D251,MODELOS!$A$4:$A$11,0)),INDEX(MODELOS!$B$4:$B$11,MATCH($D251,MODELOS!$A$4:$A$11,0)))</f>
        <v>Módulo 5 · Tabela comparativa</v>
      </c>
      <c r="G251" s="11" t="str">
        <f aca="false">IF(INDEX(PRODUTOS!$F$4:$F$63,MATCH($A251,PRODUTOS!$B$4:$B$63,0))="Ração",IF(INDEX(PRODUTOS!$I$4:$I$63,MATCH($A251,PRODUTOS!$B$4:$B$63,0))="B",INDEX(MODELOS!$G$4:$G$11,MATCH($D251,MODELOS!$A$4:$A$11,0)),INDEX(MODELOS!$C$4:$C$11,MATCH($D251,MODELOS!$A$4:$A$11,0))),IF(INDEX(PRODUTOS!$I$4:$I$63,MATCH($A251,PRODUTOS!$B$4:$B$63,0))="B",INDEX(MODELOS!$H$4:$H$11,MATCH($D251,MODELOS!$A$4:$A$11,0)),INDEX(MODELOS!$D$4:$D$11,MATCH($D251,MODELOS!$A$4:$A$11,0))))</f>
        <v>Pacote na vertical, sem fundo colorido</v>
      </c>
      <c r="H251" s="11" t="str">
        <f aca="false">IF(INDEX(PRODUTOS!$I$4:$I$63,MATCH($A251,PRODUTOS!$B$4:$B$63,0))="B",INDEX(MODELOS!$I$4:$I$11,MATCH($D251,MODELOS!$A$4:$A$11,0)),INDEX(MODELOS!$E$4:$E$11,MATCH($D251,MODELOS!$A$4:$A$11,0)))</f>
        <v>150 × 300</v>
      </c>
      <c r="I251" s="11" t="str">
        <f aca="false">IF($D251="COMP","SIM",IF(INDEX(PRODUTOS!$J$4:$J$63,MATCH($A251,PRODUTOS!$B$4:$B$63,0))&lt;&gt;"","NÃO (usa o A+ do EAN "&amp;INDEX(PRODUTOS!$J$4:$J$63,MATCH($A251,PRODUTOS!$B$4:$B$63,0))&amp;")",IF(AND(INDEX(PRODUTOS!$I$4:$I$63,MATCH($A251,PRODUTOS!$B$4:$B$63,0))="B",$D251="AP07"),"NÃO (modelo B)","SIM")))</f>
        <v>SIM</v>
      </c>
      <c r="J251" s="13" t="s">
        <v>318</v>
      </c>
      <c r="K251" s="13"/>
    </row>
    <row r="252" customFormat="false" ht="15" hidden="false" customHeight="false" outlineLevel="0" collapsed="false">
      <c r="A252" s="15" t="s">
        <v>174</v>
      </c>
      <c r="B252" s="11" t="str">
        <f aca="false">INDEX(PRODUTOS!$E$4:$E$63,MATCH($A252,PRODUTOS!$B$4:$B$63,0))</f>
        <v>Ração Natural Dots Super Premium Gatos Castrados Sabor Peixe 1 kg</v>
      </c>
      <c r="C252" s="11" t="str">
        <f aca="false">INDEX(PRODUTOS!$H$4:$H$63,MATCH($A252,PRODUTOS!$B$4:$B$63,0))</f>
        <v>1 kg</v>
      </c>
      <c r="D252" s="11" t="s">
        <v>317</v>
      </c>
      <c r="E252" s="16" t="str">
        <f aca="false">$A252&amp;"."&amp;$D252&amp;".jpg"</f>
        <v>7908591301038.AP01.jpg</v>
      </c>
      <c r="F252" s="11" t="str">
        <f aca="false">IF(INDEX(PRODUTOS!$I$4:$I$63,MATCH($A252,PRODUTOS!$B$4:$B$63,0))="B",INDEX(MODELOS!$F$4:$F$11,MATCH($D252,MODELOS!$A$4:$A$11,0)),INDEX(MODELOS!$B$4:$B$11,MATCH($D252,MODELOS!$A$4:$A$11,0)))</f>
        <v>Módulo 1 · Banner</v>
      </c>
      <c r="G252" s="11" t="str">
        <f aca="false">IF(INDEX(PRODUTOS!$F$4:$F$63,MATCH($A252,PRODUTOS!$B$4:$B$63,0))="Ração",IF(INDEX(PRODUTOS!$I$4:$I$63,MATCH($A252,PRODUTOS!$B$4:$B$63,0))="B",INDEX(MODELOS!$G$4:$G$11,MATCH($D252,MODELOS!$A$4:$A$11,0)),INDEX(MODELOS!$C$4:$C$11,MATCH($D252,MODELOS!$A$4:$A$11,0))),IF(INDEX(PRODUTOS!$I$4:$I$63,MATCH($A252,PRODUTOS!$B$4:$B$63,0))="B",INDEX(MODELOS!$H$4:$H$11,MATCH($D252,MODELOS!$A$4:$A$11,0)),INDEX(MODELOS!$D$4:$D$11,MATCH($D252,MODELOS!$A$4:$A$11,0))))</f>
        <v>Embalagem + pet + ingredientes, com o nome da linha</v>
      </c>
      <c r="H252" s="11" t="str">
        <f aca="false">IF(INDEX(PRODUTOS!$I$4:$I$63,MATCH($A252,PRODUTOS!$B$4:$B$63,0))="B",INDEX(MODELOS!$I$4:$I$11,MATCH($D252,MODELOS!$A$4:$A$11,0)),INDEX(MODELOS!$E$4:$E$11,MATCH($D252,MODELOS!$A$4:$A$11,0)))</f>
        <v>970 × 600</v>
      </c>
      <c r="I252" s="11" t="str">
        <f aca="false">IF($D252="COMP","SIM",IF(INDEX(PRODUTOS!$J$4:$J$63,MATCH($A252,PRODUTOS!$B$4:$B$63,0))&lt;&gt;"","NÃO (usa o A+ do EAN "&amp;INDEX(PRODUTOS!$J$4:$J$63,MATCH($A252,PRODUTOS!$B$4:$B$63,0))&amp;")",IF(AND(INDEX(PRODUTOS!$I$4:$I$63,MATCH($A252,PRODUTOS!$B$4:$B$63,0))="B",$D252="AP07"),"NÃO (modelo B)","SIM")))</f>
        <v>SIM</v>
      </c>
      <c r="J252" s="13" t="s">
        <v>318</v>
      </c>
      <c r="K252" s="13"/>
    </row>
    <row r="253" customFormat="false" ht="15" hidden="false" customHeight="false" outlineLevel="0" collapsed="false">
      <c r="A253" s="15" t="s">
        <v>174</v>
      </c>
      <c r="B253" s="11" t="str">
        <f aca="false">INDEX(PRODUTOS!$E$4:$E$63,MATCH($A253,PRODUTOS!$B$4:$B$63,0))</f>
        <v>Ração Natural Dots Super Premium Gatos Castrados Sabor Peixe 1 kg</v>
      </c>
      <c r="C253" s="11" t="str">
        <f aca="false">INDEX(PRODUTOS!$H$4:$H$63,MATCH($A253,PRODUTOS!$B$4:$B$63,0))</f>
        <v>1 kg</v>
      </c>
      <c r="D253" s="11" t="s">
        <v>319</v>
      </c>
      <c r="E253" s="16" t="str">
        <f aca="false">$A253&amp;"."&amp;$D253&amp;".jpg"</f>
        <v>7908591301038.AP02.jpg</v>
      </c>
      <c r="F253" s="11" t="str">
        <f aca="false">IF(INDEX(PRODUTOS!$I$4:$I$63,MATCH($A253,PRODUTOS!$B$4:$B$63,0))="B",INDEX(MODELOS!$F$4:$F$11,MATCH($D253,MODELOS!$A$4:$A$11,0)),INDEX(MODELOS!$B$4:$B$11,MATCH($D253,MODELOS!$A$4:$A$11,0)))</f>
        <v>Módulo 2 · Texto sobreposto</v>
      </c>
      <c r="G253" s="11" t="str">
        <f aca="false">IF(INDEX(PRODUTOS!$F$4:$F$63,MATCH($A253,PRODUTOS!$B$4:$B$63,0))="Ração",IF(INDEX(PRODUTOS!$I$4:$I$63,MATCH($A253,PRODUTOS!$B$4:$B$63,0))="B",INDEX(MODELOS!$G$4:$G$11,MATCH($D253,MODELOS!$A$4:$A$11,0)),INDEX(MODELOS!$C$4:$C$11,MATCH($D253,MODELOS!$A$4:$A$11,0))),IF(INDEX(PRODUTOS!$I$4:$I$63,MATCH($A253,PRODUTOS!$B$4:$B$63,0))="B",INDEX(MODELOS!$H$4:$H$11,MATCH($D253,MODELOS!$A$4:$A$11,0)),INDEX(MODELOS!$D$4:$D$11,MATCH($D253,MODELOS!$A$4:$A$11,0))))</f>
        <v>Principal diferencial; deixar o lado direito limpo</v>
      </c>
      <c r="H253" s="11" t="str">
        <f aca="false">IF(INDEX(PRODUTOS!$I$4:$I$63,MATCH($A253,PRODUTOS!$B$4:$B$63,0))="B",INDEX(MODELOS!$I$4:$I$11,MATCH($D253,MODELOS!$A$4:$A$11,0)),INDEX(MODELOS!$E$4:$E$11,MATCH($D253,MODELOS!$A$4:$A$11,0)))</f>
        <v>970 × 300</v>
      </c>
      <c r="I253" s="11" t="str">
        <f aca="false">IF($D253="COMP","SIM",IF(INDEX(PRODUTOS!$J$4:$J$63,MATCH($A253,PRODUTOS!$B$4:$B$63,0))&lt;&gt;"","NÃO (usa o A+ do EAN "&amp;INDEX(PRODUTOS!$J$4:$J$63,MATCH($A253,PRODUTOS!$B$4:$B$63,0))&amp;")",IF(AND(INDEX(PRODUTOS!$I$4:$I$63,MATCH($A253,PRODUTOS!$B$4:$B$63,0))="B",$D253="AP07"),"NÃO (modelo B)","SIM")))</f>
        <v>SIM</v>
      </c>
      <c r="J253" s="13" t="s">
        <v>318</v>
      </c>
      <c r="K253" s="13"/>
    </row>
    <row r="254" customFormat="false" ht="15" hidden="false" customHeight="false" outlineLevel="0" collapsed="false">
      <c r="A254" s="15" t="s">
        <v>174</v>
      </c>
      <c r="B254" s="11" t="str">
        <f aca="false">INDEX(PRODUTOS!$E$4:$E$63,MATCH($A254,PRODUTOS!$B$4:$B$63,0))</f>
        <v>Ração Natural Dots Super Premium Gatos Castrados Sabor Peixe 1 kg</v>
      </c>
      <c r="C254" s="11" t="str">
        <f aca="false">INDEX(PRODUTOS!$H$4:$H$63,MATCH($A254,PRODUTOS!$B$4:$B$63,0))</f>
        <v>1 kg</v>
      </c>
      <c r="D254" s="11" t="s">
        <v>320</v>
      </c>
      <c r="E254" s="16" t="str">
        <f aca="false">$A254&amp;"."&amp;$D254&amp;".jpg"</f>
        <v>7908591301038.AP03.jpg</v>
      </c>
      <c r="F254" s="11" t="str">
        <f aca="false">IF(INDEX(PRODUTOS!$I$4:$I$63,MATCH($A254,PRODUTOS!$B$4:$B$63,0))="B",INDEX(MODELOS!$F$4:$F$11,MATCH($D254,MODELOS!$A$4:$A$11,0)),INDEX(MODELOS!$B$4:$B$11,MATCH($D254,MODELOS!$A$4:$A$11,0)))</f>
        <v>Módulo 3 · Benefício 1 de 4</v>
      </c>
      <c r="G254" s="11" t="str">
        <f aca="false">IF(INDEX(PRODUTOS!$F$4:$F$63,MATCH($A254,PRODUTOS!$B$4:$B$63,0))="Ração",IF(INDEX(PRODUTOS!$I$4:$I$63,MATCH($A254,PRODUTOS!$B$4:$B$63,0))="B",INDEX(MODELOS!$G$4:$G$11,MATCH($D254,MODELOS!$A$4:$A$11,0)),INDEX(MODELOS!$C$4:$C$11,MATCH($D254,MODELOS!$A$4:$A$11,0))),IF(INDEX(PRODUTOS!$I$4:$I$63,MATCH($A254,PRODUTOS!$B$4:$B$63,0))="B",INDEX(MODELOS!$H$4:$H$11,MATCH($D254,MODELOS!$A$4:$A$11,0)),INDEX(MODELOS!$D$4:$D$11,MATCH($D254,MODELOS!$A$4:$A$11,0))))</f>
        <v>Foto/ilustração do benefício 1</v>
      </c>
      <c r="H254" s="11" t="str">
        <f aca="false">IF(INDEX(PRODUTOS!$I$4:$I$63,MATCH($A254,PRODUTOS!$B$4:$B$63,0))="B",INDEX(MODELOS!$I$4:$I$11,MATCH($D254,MODELOS!$A$4:$A$11,0)),INDEX(MODELOS!$E$4:$E$11,MATCH($D254,MODELOS!$A$4:$A$11,0)))</f>
        <v>220 × 200</v>
      </c>
      <c r="I254" s="11" t="str">
        <f aca="false">IF($D254="COMP","SIM",IF(INDEX(PRODUTOS!$J$4:$J$63,MATCH($A254,PRODUTOS!$B$4:$B$63,0))&lt;&gt;"","NÃO (usa o A+ do EAN "&amp;INDEX(PRODUTOS!$J$4:$J$63,MATCH($A254,PRODUTOS!$B$4:$B$63,0))&amp;")",IF(AND(INDEX(PRODUTOS!$I$4:$I$63,MATCH($A254,PRODUTOS!$B$4:$B$63,0))="B",$D254="AP07"),"NÃO (modelo B)","SIM")))</f>
        <v>SIM</v>
      </c>
      <c r="J254" s="13" t="s">
        <v>318</v>
      </c>
      <c r="K254" s="13"/>
    </row>
    <row r="255" customFormat="false" ht="15" hidden="false" customHeight="false" outlineLevel="0" collapsed="false">
      <c r="A255" s="15" t="s">
        <v>174</v>
      </c>
      <c r="B255" s="11" t="str">
        <f aca="false">INDEX(PRODUTOS!$E$4:$E$63,MATCH($A255,PRODUTOS!$B$4:$B$63,0))</f>
        <v>Ração Natural Dots Super Premium Gatos Castrados Sabor Peixe 1 kg</v>
      </c>
      <c r="C255" s="11" t="str">
        <f aca="false">INDEX(PRODUTOS!$H$4:$H$63,MATCH($A255,PRODUTOS!$B$4:$B$63,0))</f>
        <v>1 kg</v>
      </c>
      <c r="D255" s="11" t="s">
        <v>321</v>
      </c>
      <c r="E255" s="16" t="str">
        <f aca="false">$A255&amp;"."&amp;$D255&amp;".jpg"</f>
        <v>7908591301038.AP04.jpg</v>
      </c>
      <c r="F255" s="11" t="str">
        <f aca="false">IF(INDEX(PRODUTOS!$I$4:$I$63,MATCH($A255,PRODUTOS!$B$4:$B$63,0))="B",INDEX(MODELOS!$F$4:$F$11,MATCH($D255,MODELOS!$A$4:$A$11,0)),INDEX(MODELOS!$B$4:$B$11,MATCH($D255,MODELOS!$A$4:$A$11,0)))</f>
        <v>Módulo 3 · Benefício 2 de 4</v>
      </c>
      <c r="G255" s="11" t="str">
        <f aca="false">IF(INDEX(PRODUTOS!$F$4:$F$63,MATCH($A255,PRODUTOS!$B$4:$B$63,0))="Ração",IF(INDEX(PRODUTOS!$I$4:$I$63,MATCH($A255,PRODUTOS!$B$4:$B$63,0))="B",INDEX(MODELOS!$G$4:$G$11,MATCH($D255,MODELOS!$A$4:$A$11,0)),INDEX(MODELOS!$C$4:$C$11,MATCH($D255,MODELOS!$A$4:$A$11,0))),IF(INDEX(PRODUTOS!$I$4:$I$63,MATCH($A255,PRODUTOS!$B$4:$B$63,0))="B",INDEX(MODELOS!$H$4:$H$11,MATCH($D255,MODELOS!$A$4:$A$11,0)),INDEX(MODELOS!$D$4:$D$11,MATCH($D255,MODELOS!$A$4:$A$11,0))))</f>
        <v>Foto/ilustração do benefício 2</v>
      </c>
      <c r="H255" s="11" t="str">
        <f aca="false">IF(INDEX(PRODUTOS!$I$4:$I$63,MATCH($A255,PRODUTOS!$B$4:$B$63,0))="B",INDEX(MODELOS!$I$4:$I$11,MATCH($D255,MODELOS!$A$4:$A$11,0)),INDEX(MODELOS!$E$4:$E$11,MATCH($D255,MODELOS!$A$4:$A$11,0)))</f>
        <v>220 × 200</v>
      </c>
      <c r="I255" s="11" t="str">
        <f aca="false">IF($D255="COMP","SIM",IF(INDEX(PRODUTOS!$J$4:$J$63,MATCH($A255,PRODUTOS!$B$4:$B$63,0))&lt;&gt;"","NÃO (usa o A+ do EAN "&amp;INDEX(PRODUTOS!$J$4:$J$63,MATCH($A255,PRODUTOS!$B$4:$B$63,0))&amp;")",IF(AND(INDEX(PRODUTOS!$I$4:$I$63,MATCH($A255,PRODUTOS!$B$4:$B$63,0))="B",$D255="AP07"),"NÃO (modelo B)","SIM")))</f>
        <v>SIM</v>
      </c>
      <c r="J255" s="13" t="s">
        <v>318</v>
      </c>
      <c r="K255" s="13"/>
    </row>
    <row r="256" customFormat="false" ht="15" hidden="false" customHeight="false" outlineLevel="0" collapsed="false">
      <c r="A256" s="15" t="s">
        <v>174</v>
      </c>
      <c r="B256" s="11" t="str">
        <f aca="false">INDEX(PRODUTOS!$E$4:$E$63,MATCH($A256,PRODUTOS!$B$4:$B$63,0))</f>
        <v>Ração Natural Dots Super Premium Gatos Castrados Sabor Peixe 1 kg</v>
      </c>
      <c r="C256" s="11" t="str">
        <f aca="false">INDEX(PRODUTOS!$H$4:$H$63,MATCH($A256,PRODUTOS!$B$4:$B$63,0))</f>
        <v>1 kg</v>
      </c>
      <c r="D256" s="11" t="s">
        <v>322</v>
      </c>
      <c r="E256" s="16" t="str">
        <f aca="false">$A256&amp;"."&amp;$D256&amp;".jpg"</f>
        <v>7908591301038.AP05.jpg</v>
      </c>
      <c r="F256" s="11" t="str">
        <f aca="false">IF(INDEX(PRODUTOS!$I$4:$I$63,MATCH($A256,PRODUTOS!$B$4:$B$63,0))="B",INDEX(MODELOS!$F$4:$F$11,MATCH($D256,MODELOS!$A$4:$A$11,0)),INDEX(MODELOS!$B$4:$B$11,MATCH($D256,MODELOS!$A$4:$A$11,0)))</f>
        <v>Módulo 3 · Benefício 3 de 4</v>
      </c>
      <c r="G256" s="11" t="str">
        <f aca="false">IF(INDEX(PRODUTOS!$F$4:$F$63,MATCH($A256,PRODUTOS!$B$4:$B$63,0))="Ração",IF(INDEX(PRODUTOS!$I$4:$I$63,MATCH($A256,PRODUTOS!$B$4:$B$63,0))="B",INDEX(MODELOS!$G$4:$G$11,MATCH($D256,MODELOS!$A$4:$A$11,0)),INDEX(MODELOS!$C$4:$C$11,MATCH($D256,MODELOS!$A$4:$A$11,0))),IF(INDEX(PRODUTOS!$I$4:$I$63,MATCH($A256,PRODUTOS!$B$4:$B$63,0))="B",INDEX(MODELOS!$H$4:$H$11,MATCH($D256,MODELOS!$A$4:$A$11,0)),INDEX(MODELOS!$D$4:$D$11,MATCH($D256,MODELOS!$A$4:$A$11,0))))</f>
        <v>Foto/ilustração do benefício 3</v>
      </c>
      <c r="H256" s="11" t="str">
        <f aca="false">IF(INDEX(PRODUTOS!$I$4:$I$63,MATCH($A256,PRODUTOS!$B$4:$B$63,0))="B",INDEX(MODELOS!$I$4:$I$11,MATCH($D256,MODELOS!$A$4:$A$11,0)),INDEX(MODELOS!$E$4:$E$11,MATCH($D256,MODELOS!$A$4:$A$11,0)))</f>
        <v>220 × 200</v>
      </c>
      <c r="I256" s="11" t="str">
        <f aca="false">IF($D256="COMP","SIM",IF(INDEX(PRODUTOS!$J$4:$J$63,MATCH($A256,PRODUTOS!$B$4:$B$63,0))&lt;&gt;"","NÃO (usa o A+ do EAN "&amp;INDEX(PRODUTOS!$J$4:$J$63,MATCH($A256,PRODUTOS!$B$4:$B$63,0))&amp;")",IF(AND(INDEX(PRODUTOS!$I$4:$I$63,MATCH($A256,PRODUTOS!$B$4:$B$63,0))="B",$D256="AP07"),"NÃO (modelo B)","SIM")))</f>
        <v>SIM</v>
      </c>
      <c r="J256" s="13" t="s">
        <v>318</v>
      </c>
      <c r="K256" s="13"/>
    </row>
    <row r="257" customFormat="false" ht="15" hidden="false" customHeight="false" outlineLevel="0" collapsed="false">
      <c r="A257" s="15" t="s">
        <v>174</v>
      </c>
      <c r="B257" s="11" t="str">
        <f aca="false">INDEX(PRODUTOS!$E$4:$E$63,MATCH($A257,PRODUTOS!$B$4:$B$63,0))</f>
        <v>Ração Natural Dots Super Premium Gatos Castrados Sabor Peixe 1 kg</v>
      </c>
      <c r="C257" s="11" t="str">
        <f aca="false">INDEX(PRODUTOS!$H$4:$H$63,MATCH($A257,PRODUTOS!$B$4:$B$63,0))</f>
        <v>1 kg</v>
      </c>
      <c r="D257" s="11" t="s">
        <v>323</v>
      </c>
      <c r="E257" s="16" t="str">
        <f aca="false">$A257&amp;"."&amp;$D257&amp;".jpg"</f>
        <v>7908591301038.AP06.jpg</v>
      </c>
      <c r="F257" s="11" t="str">
        <f aca="false">IF(INDEX(PRODUTOS!$I$4:$I$63,MATCH($A257,PRODUTOS!$B$4:$B$63,0))="B",INDEX(MODELOS!$F$4:$F$11,MATCH($D257,MODELOS!$A$4:$A$11,0)),INDEX(MODELOS!$B$4:$B$11,MATCH($D257,MODELOS!$A$4:$A$11,0)))</f>
        <v>Módulo 3 · Benefício 4 de 4</v>
      </c>
      <c r="G257" s="11" t="str">
        <f aca="false">IF(INDEX(PRODUTOS!$F$4:$F$63,MATCH($A257,PRODUTOS!$B$4:$B$63,0))="Ração",IF(INDEX(PRODUTOS!$I$4:$I$63,MATCH($A257,PRODUTOS!$B$4:$B$63,0))="B",INDEX(MODELOS!$G$4:$G$11,MATCH($D257,MODELOS!$A$4:$A$11,0)),INDEX(MODELOS!$C$4:$C$11,MATCH($D257,MODELOS!$A$4:$A$11,0))),IF(INDEX(PRODUTOS!$I$4:$I$63,MATCH($A257,PRODUTOS!$B$4:$B$63,0))="B",INDEX(MODELOS!$H$4:$H$11,MATCH($D257,MODELOS!$A$4:$A$11,0)),INDEX(MODELOS!$D$4:$D$11,MATCH($D257,MODELOS!$A$4:$A$11,0))))</f>
        <v>Foto/ilustração do benefício 4</v>
      </c>
      <c r="H257" s="11" t="str">
        <f aca="false">IF(INDEX(PRODUTOS!$I$4:$I$63,MATCH($A257,PRODUTOS!$B$4:$B$63,0))="B",INDEX(MODELOS!$I$4:$I$11,MATCH($D257,MODELOS!$A$4:$A$11,0)),INDEX(MODELOS!$E$4:$E$11,MATCH($D257,MODELOS!$A$4:$A$11,0)))</f>
        <v>220 × 200</v>
      </c>
      <c r="I257" s="11" t="str">
        <f aca="false">IF($D257="COMP","SIM",IF(INDEX(PRODUTOS!$J$4:$J$63,MATCH($A257,PRODUTOS!$B$4:$B$63,0))&lt;&gt;"","NÃO (usa o A+ do EAN "&amp;INDEX(PRODUTOS!$J$4:$J$63,MATCH($A257,PRODUTOS!$B$4:$B$63,0))&amp;")",IF(AND(INDEX(PRODUTOS!$I$4:$I$63,MATCH($A257,PRODUTOS!$B$4:$B$63,0))="B",$D257="AP07"),"NÃO (modelo B)","SIM")))</f>
        <v>SIM</v>
      </c>
      <c r="J257" s="13" t="s">
        <v>318</v>
      </c>
      <c r="K257" s="13"/>
    </row>
    <row r="258" customFormat="false" ht="15" hidden="false" customHeight="false" outlineLevel="0" collapsed="false">
      <c r="A258" s="15" t="s">
        <v>174</v>
      </c>
      <c r="B258" s="11" t="str">
        <f aca="false">INDEX(PRODUTOS!$E$4:$E$63,MATCH($A258,PRODUTOS!$B$4:$B$63,0))</f>
        <v>Ração Natural Dots Super Premium Gatos Castrados Sabor Peixe 1 kg</v>
      </c>
      <c r="C258" s="11" t="str">
        <f aca="false">INDEX(PRODUTOS!$H$4:$H$63,MATCH($A258,PRODUTOS!$B$4:$B$63,0))</f>
        <v>1 kg</v>
      </c>
      <c r="D258" s="11" t="s">
        <v>324</v>
      </c>
      <c r="E258" s="16" t="str">
        <f aca="false">$A258&amp;"."&amp;$D258&amp;".jpg"</f>
        <v>7908591301038.AP07.jpg</v>
      </c>
      <c r="F258" s="11" t="str">
        <f aca="false">IF(INDEX(PRODUTOS!$I$4:$I$63,MATCH($A258,PRODUTOS!$B$4:$B$63,0))="B",INDEX(MODELOS!$F$4:$F$11,MATCH($D258,MODELOS!$A$4:$A$11,0)),INDEX(MODELOS!$B$4:$B$11,MATCH($D258,MODELOS!$A$4:$A$11,0)))</f>
        <v>Módulo 4 · Especificações</v>
      </c>
      <c r="G258" s="11" t="str">
        <f aca="false">IF(INDEX(PRODUTOS!$F$4:$F$63,MATCH($A258,PRODUTOS!$B$4:$B$63,0))="Ração",IF(INDEX(PRODUTOS!$I$4:$I$63,MATCH($A258,PRODUTOS!$B$4:$B$63,0))="B",INDEX(MODELOS!$G$4:$G$11,MATCH($D258,MODELOS!$A$4:$A$11,0)),INDEX(MODELOS!$C$4:$C$11,MATCH($D258,MODELOS!$A$4:$A$11,0))),IF(INDEX(PRODUTOS!$I$4:$I$63,MATCH($A258,PRODUTOS!$B$4:$B$63,0))="B",INDEX(MODELOS!$H$4:$H$11,MATCH($D258,MODELOS!$A$4:$A$11,0)),INDEX(MODELOS!$D$4:$D$11,MATCH($D258,MODELOS!$A$4:$A$11,0))))</f>
        <v>Grão ou pacote em destaque</v>
      </c>
      <c r="H258" s="11" t="str">
        <f aca="false">IF(INDEX(PRODUTOS!$I$4:$I$63,MATCH($A258,PRODUTOS!$B$4:$B$63,0))="B",INDEX(MODELOS!$I$4:$I$11,MATCH($D258,MODELOS!$A$4:$A$11,0)),INDEX(MODELOS!$E$4:$E$11,MATCH($D258,MODELOS!$A$4:$A$11,0)))</f>
        <v>300 × 300</v>
      </c>
      <c r="I258" s="11" t="str">
        <f aca="false">IF($D258="COMP","SIM",IF(INDEX(PRODUTOS!$J$4:$J$63,MATCH($A258,PRODUTOS!$B$4:$B$63,0))&lt;&gt;"","NÃO (usa o A+ do EAN "&amp;INDEX(PRODUTOS!$J$4:$J$63,MATCH($A258,PRODUTOS!$B$4:$B$63,0))&amp;")",IF(AND(INDEX(PRODUTOS!$I$4:$I$63,MATCH($A258,PRODUTOS!$B$4:$B$63,0))="B",$D258="AP07"),"NÃO (modelo B)","SIM")))</f>
        <v>SIM</v>
      </c>
      <c r="J258" s="13" t="s">
        <v>318</v>
      </c>
      <c r="K258" s="13"/>
    </row>
    <row r="259" customFormat="false" ht="15" hidden="false" customHeight="false" outlineLevel="0" collapsed="false">
      <c r="A259" s="15" t="s">
        <v>174</v>
      </c>
      <c r="B259" s="11" t="str">
        <f aca="false">INDEX(PRODUTOS!$E$4:$E$63,MATCH($A259,PRODUTOS!$B$4:$B$63,0))</f>
        <v>Ração Natural Dots Super Premium Gatos Castrados Sabor Peixe 1 kg</v>
      </c>
      <c r="C259" s="11" t="str">
        <f aca="false">INDEX(PRODUTOS!$H$4:$H$63,MATCH($A259,PRODUTOS!$B$4:$B$63,0))</f>
        <v>1 kg</v>
      </c>
      <c r="D259" s="11" t="s">
        <v>325</v>
      </c>
      <c r="E259" s="16" t="str">
        <f aca="false">$A259&amp;"."&amp;$D259&amp;".jpg"</f>
        <v>7908591301038.COMP.jpg</v>
      </c>
      <c r="F259" s="11" t="str">
        <f aca="false">IF(INDEX(PRODUTOS!$I$4:$I$63,MATCH($A259,PRODUTOS!$B$4:$B$63,0))="B",INDEX(MODELOS!$F$4:$F$11,MATCH($D259,MODELOS!$A$4:$A$11,0)),INDEX(MODELOS!$B$4:$B$11,MATCH($D259,MODELOS!$A$4:$A$11,0)))</f>
        <v>Módulo 5 · Tabela comparativa</v>
      </c>
      <c r="G259" s="11" t="str">
        <f aca="false">IF(INDEX(PRODUTOS!$F$4:$F$63,MATCH($A259,PRODUTOS!$B$4:$B$63,0))="Ração",IF(INDEX(PRODUTOS!$I$4:$I$63,MATCH($A259,PRODUTOS!$B$4:$B$63,0))="B",INDEX(MODELOS!$G$4:$G$11,MATCH($D259,MODELOS!$A$4:$A$11,0)),INDEX(MODELOS!$C$4:$C$11,MATCH($D259,MODELOS!$A$4:$A$11,0))),IF(INDEX(PRODUTOS!$I$4:$I$63,MATCH($A259,PRODUTOS!$B$4:$B$63,0))="B",INDEX(MODELOS!$H$4:$H$11,MATCH($D259,MODELOS!$A$4:$A$11,0)),INDEX(MODELOS!$D$4:$D$11,MATCH($D259,MODELOS!$A$4:$A$11,0))))</f>
        <v>Pacote na vertical, sem fundo colorido</v>
      </c>
      <c r="H259" s="11" t="str">
        <f aca="false">IF(INDEX(PRODUTOS!$I$4:$I$63,MATCH($A259,PRODUTOS!$B$4:$B$63,0))="B",INDEX(MODELOS!$I$4:$I$11,MATCH($D259,MODELOS!$A$4:$A$11,0)),INDEX(MODELOS!$E$4:$E$11,MATCH($D259,MODELOS!$A$4:$A$11,0)))</f>
        <v>150 × 300</v>
      </c>
      <c r="I259" s="11" t="str">
        <f aca="false">IF($D259="COMP","SIM",IF(INDEX(PRODUTOS!$J$4:$J$63,MATCH($A259,PRODUTOS!$B$4:$B$63,0))&lt;&gt;"","NÃO (usa o A+ do EAN "&amp;INDEX(PRODUTOS!$J$4:$J$63,MATCH($A259,PRODUTOS!$B$4:$B$63,0))&amp;")",IF(AND(INDEX(PRODUTOS!$I$4:$I$63,MATCH($A259,PRODUTOS!$B$4:$B$63,0))="B",$D259="AP07"),"NÃO (modelo B)","SIM")))</f>
        <v>SIM</v>
      </c>
      <c r="J259" s="13" t="s">
        <v>318</v>
      </c>
      <c r="K259" s="13"/>
    </row>
    <row r="260" customFormat="false" ht="15" hidden="false" customHeight="false" outlineLevel="0" collapsed="false">
      <c r="A260" s="15" t="s">
        <v>178</v>
      </c>
      <c r="B260" s="11" t="str">
        <f aca="false">INDEX(PRODUTOS!$E$4:$E$63,MATCH($A260,PRODUTOS!$B$4:$B$63,0))</f>
        <v>Ração Seca Natural Dots Light para Cães - Pacote 1 kg</v>
      </c>
      <c r="C260" s="11" t="str">
        <f aca="false">INDEX(PRODUTOS!$H$4:$H$63,MATCH($A260,PRODUTOS!$B$4:$B$63,0))</f>
        <v>1 kg</v>
      </c>
      <c r="D260" s="11" t="s">
        <v>317</v>
      </c>
      <c r="E260" s="16" t="str">
        <f aca="false">$A260&amp;"."&amp;$D260&amp;".jpg"</f>
        <v>7908591300147.AP01.jpg</v>
      </c>
      <c r="F260" s="11" t="str">
        <f aca="false">IF(INDEX(PRODUTOS!$I$4:$I$63,MATCH($A260,PRODUTOS!$B$4:$B$63,0))="B",INDEX(MODELOS!$F$4:$F$11,MATCH($D260,MODELOS!$A$4:$A$11,0)),INDEX(MODELOS!$B$4:$B$11,MATCH($D260,MODELOS!$A$4:$A$11,0)))</f>
        <v>Módulo 1 · Banner</v>
      </c>
      <c r="G260" s="11" t="str">
        <f aca="false">IF(INDEX(PRODUTOS!$F$4:$F$63,MATCH($A260,PRODUTOS!$B$4:$B$63,0))="Ração",IF(INDEX(PRODUTOS!$I$4:$I$63,MATCH($A260,PRODUTOS!$B$4:$B$63,0))="B",INDEX(MODELOS!$G$4:$G$11,MATCH($D260,MODELOS!$A$4:$A$11,0)),INDEX(MODELOS!$C$4:$C$11,MATCH($D260,MODELOS!$A$4:$A$11,0))),IF(INDEX(PRODUTOS!$I$4:$I$63,MATCH($A260,PRODUTOS!$B$4:$B$63,0))="B",INDEX(MODELOS!$H$4:$H$11,MATCH($D260,MODELOS!$A$4:$A$11,0)),INDEX(MODELOS!$D$4:$D$11,MATCH($D260,MODELOS!$A$4:$A$11,0))))</f>
        <v>Embalagem + pet + ingredientes, com o nome da linha</v>
      </c>
      <c r="H260" s="11" t="str">
        <f aca="false">IF(INDEX(PRODUTOS!$I$4:$I$63,MATCH($A260,PRODUTOS!$B$4:$B$63,0))="B",INDEX(MODELOS!$I$4:$I$11,MATCH($D260,MODELOS!$A$4:$A$11,0)),INDEX(MODELOS!$E$4:$E$11,MATCH($D260,MODELOS!$A$4:$A$11,0)))</f>
        <v>970 × 600</v>
      </c>
      <c r="I260" s="11" t="str">
        <f aca="false">IF($D260="COMP","SIM",IF(INDEX(PRODUTOS!$J$4:$J$63,MATCH($A260,PRODUTOS!$B$4:$B$63,0))&lt;&gt;"","NÃO (usa o A+ do EAN "&amp;INDEX(PRODUTOS!$J$4:$J$63,MATCH($A260,PRODUTOS!$B$4:$B$63,0))&amp;")",IF(AND(INDEX(PRODUTOS!$I$4:$I$63,MATCH($A260,PRODUTOS!$B$4:$B$63,0))="B",$D260="AP07"),"NÃO (modelo B)","SIM")))</f>
        <v>SIM</v>
      </c>
      <c r="J260" s="13" t="s">
        <v>318</v>
      </c>
      <c r="K260" s="13"/>
    </row>
    <row r="261" customFormat="false" ht="15" hidden="false" customHeight="false" outlineLevel="0" collapsed="false">
      <c r="A261" s="15" t="s">
        <v>178</v>
      </c>
      <c r="B261" s="11" t="str">
        <f aca="false">INDEX(PRODUTOS!$E$4:$E$63,MATCH($A261,PRODUTOS!$B$4:$B$63,0))</f>
        <v>Ração Seca Natural Dots Light para Cães - Pacote 1 kg</v>
      </c>
      <c r="C261" s="11" t="str">
        <f aca="false">INDEX(PRODUTOS!$H$4:$H$63,MATCH($A261,PRODUTOS!$B$4:$B$63,0))</f>
        <v>1 kg</v>
      </c>
      <c r="D261" s="11" t="s">
        <v>319</v>
      </c>
      <c r="E261" s="16" t="str">
        <f aca="false">$A261&amp;"."&amp;$D261&amp;".jpg"</f>
        <v>7908591300147.AP02.jpg</v>
      </c>
      <c r="F261" s="11" t="str">
        <f aca="false">IF(INDEX(PRODUTOS!$I$4:$I$63,MATCH($A261,PRODUTOS!$B$4:$B$63,0))="B",INDEX(MODELOS!$F$4:$F$11,MATCH($D261,MODELOS!$A$4:$A$11,0)),INDEX(MODELOS!$B$4:$B$11,MATCH($D261,MODELOS!$A$4:$A$11,0)))</f>
        <v>Módulo 2 · Texto sobreposto</v>
      </c>
      <c r="G261" s="11" t="str">
        <f aca="false">IF(INDEX(PRODUTOS!$F$4:$F$63,MATCH($A261,PRODUTOS!$B$4:$B$63,0))="Ração",IF(INDEX(PRODUTOS!$I$4:$I$63,MATCH($A261,PRODUTOS!$B$4:$B$63,0))="B",INDEX(MODELOS!$G$4:$G$11,MATCH($D261,MODELOS!$A$4:$A$11,0)),INDEX(MODELOS!$C$4:$C$11,MATCH($D261,MODELOS!$A$4:$A$11,0))),IF(INDEX(PRODUTOS!$I$4:$I$63,MATCH($A261,PRODUTOS!$B$4:$B$63,0))="B",INDEX(MODELOS!$H$4:$H$11,MATCH($D261,MODELOS!$A$4:$A$11,0)),INDEX(MODELOS!$D$4:$D$11,MATCH($D261,MODELOS!$A$4:$A$11,0))))</f>
        <v>Principal diferencial; deixar o lado direito limpo</v>
      </c>
      <c r="H261" s="11" t="str">
        <f aca="false">IF(INDEX(PRODUTOS!$I$4:$I$63,MATCH($A261,PRODUTOS!$B$4:$B$63,0))="B",INDEX(MODELOS!$I$4:$I$11,MATCH($D261,MODELOS!$A$4:$A$11,0)),INDEX(MODELOS!$E$4:$E$11,MATCH($D261,MODELOS!$A$4:$A$11,0)))</f>
        <v>970 × 300</v>
      </c>
      <c r="I261" s="11" t="str">
        <f aca="false">IF($D261="COMP","SIM",IF(INDEX(PRODUTOS!$J$4:$J$63,MATCH($A261,PRODUTOS!$B$4:$B$63,0))&lt;&gt;"","NÃO (usa o A+ do EAN "&amp;INDEX(PRODUTOS!$J$4:$J$63,MATCH($A261,PRODUTOS!$B$4:$B$63,0))&amp;")",IF(AND(INDEX(PRODUTOS!$I$4:$I$63,MATCH($A261,PRODUTOS!$B$4:$B$63,0))="B",$D261="AP07"),"NÃO (modelo B)","SIM")))</f>
        <v>SIM</v>
      </c>
      <c r="J261" s="13" t="s">
        <v>318</v>
      </c>
      <c r="K261" s="13"/>
    </row>
    <row r="262" customFormat="false" ht="15" hidden="false" customHeight="false" outlineLevel="0" collapsed="false">
      <c r="A262" s="15" t="s">
        <v>178</v>
      </c>
      <c r="B262" s="11" t="str">
        <f aca="false">INDEX(PRODUTOS!$E$4:$E$63,MATCH($A262,PRODUTOS!$B$4:$B$63,0))</f>
        <v>Ração Seca Natural Dots Light para Cães - Pacote 1 kg</v>
      </c>
      <c r="C262" s="11" t="str">
        <f aca="false">INDEX(PRODUTOS!$H$4:$H$63,MATCH($A262,PRODUTOS!$B$4:$B$63,0))</f>
        <v>1 kg</v>
      </c>
      <c r="D262" s="11" t="s">
        <v>320</v>
      </c>
      <c r="E262" s="16" t="str">
        <f aca="false">$A262&amp;"."&amp;$D262&amp;".jpg"</f>
        <v>7908591300147.AP03.jpg</v>
      </c>
      <c r="F262" s="11" t="str">
        <f aca="false">IF(INDEX(PRODUTOS!$I$4:$I$63,MATCH($A262,PRODUTOS!$B$4:$B$63,0))="B",INDEX(MODELOS!$F$4:$F$11,MATCH($D262,MODELOS!$A$4:$A$11,0)),INDEX(MODELOS!$B$4:$B$11,MATCH($D262,MODELOS!$A$4:$A$11,0)))</f>
        <v>Módulo 3 · Benefício 1 de 4</v>
      </c>
      <c r="G262" s="11" t="str">
        <f aca="false">IF(INDEX(PRODUTOS!$F$4:$F$63,MATCH($A262,PRODUTOS!$B$4:$B$63,0))="Ração",IF(INDEX(PRODUTOS!$I$4:$I$63,MATCH($A262,PRODUTOS!$B$4:$B$63,0))="B",INDEX(MODELOS!$G$4:$G$11,MATCH($D262,MODELOS!$A$4:$A$11,0)),INDEX(MODELOS!$C$4:$C$11,MATCH($D262,MODELOS!$A$4:$A$11,0))),IF(INDEX(PRODUTOS!$I$4:$I$63,MATCH($A262,PRODUTOS!$B$4:$B$63,0))="B",INDEX(MODELOS!$H$4:$H$11,MATCH($D262,MODELOS!$A$4:$A$11,0)),INDEX(MODELOS!$D$4:$D$11,MATCH($D262,MODELOS!$A$4:$A$11,0))))</f>
        <v>Foto/ilustração do benefício 1</v>
      </c>
      <c r="H262" s="11" t="str">
        <f aca="false">IF(INDEX(PRODUTOS!$I$4:$I$63,MATCH($A262,PRODUTOS!$B$4:$B$63,0))="B",INDEX(MODELOS!$I$4:$I$11,MATCH($D262,MODELOS!$A$4:$A$11,0)),INDEX(MODELOS!$E$4:$E$11,MATCH($D262,MODELOS!$A$4:$A$11,0)))</f>
        <v>220 × 200</v>
      </c>
      <c r="I262" s="11" t="str">
        <f aca="false">IF($D262="COMP","SIM",IF(INDEX(PRODUTOS!$J$4:$J$63,MATCH($A262,PRODUTOS!$B$4:$B$63,0))&lt;&gt;"","NÃO (usa o A+ do EAN "&amp;INDEX(PRODUTOS!$J$4:$J$63,MATCH($A262,PRODUTOS!$B$4:$B$63,0))&amp;")",IF(AND(INDEX(PRODUTOS!$I$4:$I$63,MATCH($A262,PRODUTOS!$B$4:$B$63,0))="B",$D262="AP07"),"NÃO (modelo B)","SIM")))</f>
        <v>SIM</v>
      </c>
      <c r="J262" s="13" t="s">
        <v>318</v>
      </c>
      <c r="K262" s="13"/>
    </row>
    <row r="263" customFormat="false" ht="15" hidden="false" customHeight="false" outlineLevel="0" collapsed="false">
      <c r="A263" s="15" t="s">
        <v>178</v>
      </c>
      <c r="B263" s="11" t="str">
        <f aca="false">INDEX(PRODUTOS!$E$4:$E$63,MATCH($A263,PRODUTOS!$B$4:$B$63,0))</f>
        <v>Ração Seca Natural Dots Light para Cães - Pacote 1 kg</v>
      </c>
      <c r="C263" s="11" t="str">
        <f aca="false">INDEX(PRODUTOS!$H$4:$H$63,MATCH($A263,PRODUTOS!$B$4:$B$63,0))</f>
        <v>1 kg</v>
      </c>
      <c r="D263" s="11" t="s">
        <v>321</v>
      </c>
      <c r="E263" s="16" t="str">
        <f aca="false">$A263&amp;"."&amp;$D263&amp;".jpg"</f>
        <v>7908591300147.AP04.jpg</v>
      </c>
      <c r="F263" s="11" t="str">
        <f aca="false">IF(INDEX(PRODUTOS!$I$4:$I$63,MATCH($A263,PRODUTOS!$B$4:$B$63,0))="B",INDEX(MODELOS!$F$4:$F$11,MATCH($D263,MODELOS!$A$4:$A$11,0)),INDEX(MODELOS!$B$4:$B$11,MATCH($D263,MODELOS!$A$4:$A$11,0)))</f>
        <v>Módulo 3 · Benefício 2 de 4</v>
      </c>
      <c r="G263" s="11" t="str">
        <f aca="false">IF(INDEX(PRODUTOS!$F$4:$F$63,MATCH($A263,PRODUTOS!$B$4:$B$63,0))="Ração",IF(INDEX(PRODUTOS!$I$4:$I$63,MATCH($A263,PRODUTOS!$B$4:$B$63,0))="B",INDEX(MODELOS!$G$4:$G$11,MATCH($D263,MODELOS!$A$4:$A$11,0)),INDEX(MODELOS!$C$4:$C$11,MATCH($D263,MODELOS!$A$4:$A$11,0))),IF(INDEX(PRODUTOS!$I$4:$I$63,MATCH($A263,PRODUTOS!$B$4:$B$63,0))="B",INDEX(MODELOS!$H$4:$H$11,MATCH($D263,MODELOS!$A$4:$A$11,0)),INDEX(MODELOS!$D$4:$D$11,MATCH($D263,MODELOS!$A$4:$A$11,0))))</f>
        <v>Foto/ilustração do benefício 2</v>
      </c>
      <c r="H263" s="11" t="str">
        <f aca="false">IF(INDEX(PRODUTOS!$I$4:$I$63,MATCH($A263,PRODUTOS!$B$4:$B$63,0))="B",INDEX(MODELOS!$I$4:$I$11,MATCH($D263,MODELOS!$A$4:$A$11,0)),INDEX(MODELOS!$E$4:$E$11,MATCH($D263,MODELOS!$A$4:$A$11,0)))</f>
        <v>220 × 200</v>
      </c>
      <c r="I263" s="11" t="str">
        <f aca="false">IF($D263="COMP","SIM",IF(INDEX(PRODUTOS!$J$4:$J$63,MATCH($A263,PRODUTOS!$B$4:$B$63,0))&lt;&gt;"","NÃO (usa o A+ do EAN "&amp;INDEX(PRODUTOS!$J$4:$J$63,MATCH($A263,PRODUTOS!$B$4:$B$63,0))&amp;")",IF(AND(INDEX(PRODUTOS!$I$4:$I$63,MATCH($A263,PRODUTOS!$B$4:$B$63,0))="B",$D263="AP07"),"NÃO (modelo B)","SIM")))</f>
        <v>SIM</v>
      </c>
      <c r="J263" s="13" t="s">
        <v>318</v>
      </c>
      <c r="K263" s="13"/>
    </row>
    <row r="264" customFormat="false" ht="15" hidden="false" customHeight="false" outlineLevel="0" collapsed="false">
      <c r="A264" s="15" t="s">
        <v>178</v>
      </c>
      <c r="B264" s="11" t="str">
        <f aca="false">INDEX(PRODUTOS!$E$4:$E$63,MATCH($A264,PRODUTOS!$B$4:$B$63,0))</f>
        <v>Ração Seca Natural Dots Light para Cães - Pacote 1 kg</v>
      </c>
      <c r="C264" s="11" t="str">
        <f aca="false">INDEX(PRODUTOS!$H$4:$H$63,MATCH($A264,PRODUTOS!$B$4:$B$63,0))</f>
        <v>1 kg</v>
      </c>
      <c r="D264" s="11" t="s">
        <v>322</v>
      </c>
      <c r="E264" s="16" t="str">
        <f aca="false">$A264&amp;"."&amp;$D264&amp;".jpg"</f>
        <v>7908591300147.AP05.jpg</v>
      </c>
      <c r="F264" s="11" t="str">
        <f aca="false">IF(INDEX(PRODUTOS!$I$4:$I$63,MATCH($A264,PRODUTOS!$B$4:$B$63,0))="B",INDEX(MODELOS!$F$4:$F$11,MATCH($D264,MODELOS!$A$4:$A$11,0)),INDEX(MODELOS!$B$4:$B$11,MATCH($D264,MODELOS!$A$4:$A$11,0)))</f>
        <v>Módulo 3 · Benefício 3 de 4</v>
      </c>
      <c r="G264" s="11" t="str">
        <f aca="false">IF(INDEX(PRODUTOS!$F$4:$F$63,MATCH($A264,PRODUTOS!$B$4:$B$63,0))="Ração",IF(INDEX(PRODUTOS!$I$4:$I$63,MATCH($A264,PRODUTOS!$B$4:$B$63,0))="B",INDEX(MODELOS!$G$4:$G$11,MATCH($D264,MODELOS!$A$4:$A$11,0)),INDEX(MODELOS!$C$4:$C$11,MATCH($D264,MODELOS!$A$4:$A$11,0))),IF(INDEX(PRODUTOS!$I$4:$I$63,MATCH($A264,PRODUTOS!$B$4:$B$63,0))="B",INDEX(MODELOS!$H$4:$H$11,MATCH($D264,MODELOS!$A$4:$A$11,0)),INDEX(MODELOS!$D$4:$D$11,MATCH($D264,MODELOS!$A$4:$A$11,0))))</f>
        <v>Foto/ilustração do benefício 3</v>
      </c>
      <c r="H264" s="11" t="str">
        <f aca="false">IF(INDEX(PRODUTOS!$I$4:$I$63,MATCH($A264,PRODUTOS!$B$4:$B$63,0))="B",INDEX(MODELOS!$I$4:$I$11,MATCH($D264,MODELOS!$A$4:$A$11,0)),INDEX(MODELOS!$E$4:$E$11,MATCH($D264,MODELOS!$A$4:$A$11,0)))</f>
        <v>220 × 200</v>
      </c>
      <c r="I264" s="11" t="str">
        <f aca="false">IF($D264="COMP","SIM",IF(INDEX(PRODUTOS!$J$4:$J$63,MATCH($A264,PRODUTOS!$B$4:$B$63,0))&lt;&gt;"","NÃO (usa o A+ do EAN "&amp;INDEX(PRODUTOS!$J$4:$J$63,MATCH($A264,PRODUTOS!$B$4:$B$63,0))&amp;")",IF(AND(INDEX(PRODUTOS!$I$4:$I$63,MATCH($A264,PRODUTOS!$B$4:$B$63,0))="B",$D264="AP07"),"NÃO (modelo B)","SIM")))</f>
        <v>SIM</v>
      </c>
      <c r="J264" s="13" t="s">
        <v>318</v>
      </c>
      <c r="K264" s="13"/>
    </row>
    <row r="265" customFormat="false" ht="15" hidden="false" customHeight="false" outlineLevel="0" collapsed="false">
      <c r="A265" s="15" t="s">
        <v>178</v>
      </c>
      <c r="B265" s="11" t="str">
        <f aca="false">INDEX(PRODUTOS!$E$4:$E$63,MATCH($A265,PRODUTOS!$B$4:$B$63,0))</f>
        <v>Ração Seca Natural Dots Light para Cães - Pacote 1 kg</v>
      </c>
      <c r="C265" s="11" t="str">
        <f aca="false">INDEX(PRODUTOS!$H$4:$H$63,MATCH($A265,PRODUTOS!$B$4:$B$63,0))</f>
        <v>1 kg</v>
      </c>
      <c r="D265" s="11" t="s">
        <v>323</v>
      </c>
      <c r="E265" s="16" t="str">
        <f aca="false">$A265&amp;"."&amp;$D265&amp;".jpg"</f>
        <v>7908591300147.AP06.jpg</v>
      </c>
      <c r="F265" s="11" t="str">
        <f aca="false">IF(INDEX(PRODUTOS!$I$4:$I$63,MATCH($A265,PRODUTOS!$B$4:$B$63,0))="B",INDEX(MODELOS!$F$4:$F$11,MATCH($D265,MODELOS!$A$4:$A$11,0)),INDEX(MODELOS!$B$4:$B$11,MATCH($D265,MODELOS!$A$4:$A$11,0)))</f>
        <v>Módulo 3 · Benefício 4 de 4</v>
      </c>
      <c r="G265" s="11" t="str">
        <f aca="false">IF(INDEX(PRODUTOS!$F$4:$F$63,MATCH($A265,PRODUTOS!$B$4:$B$63,0))="Ração",IF(INDEX(PRODUTOS!$I$4:$I$63,MATCH($A265,PRODUTOS!$B$4:$B$63,0))="B",INDEX(MODELOS!$G$4:$G$11,MATCH($D265,MODELOS!$A$4:$A$11,0)),INDEX(MODELOS!$C$4:$C$11,MATCH($D265,MODELOS!$A$4:$A$11,0))),IF(INDEX(PRODUTOS!$I$4:$I$63,MATCH($A265,PRODUTOS!$B$4:$B$63,0))="B",INDEX(MODELOS!$H$4:$H$11,MATCH($D265,MODELOS!$A$4:$A$11,0)),INDEX(MODELOS!$D$4:$D$11,MATCH($D265,MODELOS!$A$4:$A$11,0))))</f>
        <v>Foto/ilustração do benefício 4</v>
      </c>
      <c r="H265" s="11" t="str">
        <f aca="false">IF(INDEX(PRODUTOS!$I$4:$I$63,MATCH($A265,PRODUTOS!$B$4:$B$63,0))="B",INDEX(MODELOS!$I$4:$I$11,MATCH($D265,MODELOS!$A$4:$A$11,0)),INDEX(MODELOS!$E$4:$E$11,MATCH($D265,MODELOS!$A$4:$A$11,0)))</f>
        <v>220 × 200</v>
      </c>
      <c r="I265" s="11" t="str">
        <f aca="false">IF($D265="COMP","SIM",IF(INDEX(PRODUTOS!$J$4:$J$63,MATCH($A265,PRODUTOS!$B$4:$B$63,0))&lt;&gt;"","NÃO (usa o A+ do EAN "&amp;INDEX(PRODUTOS!$J$4:$J$63,MATCH($A265,PRODUTOS!$B$4:$B$63,0))&amp;")",IF(AND(INDEX(PRODUTOS!$I$4:$I$63,MATCH($A265,PRODUTOS!$B$4:$B$63,0))="B",$D265="AP07"),"NÃO (modelo B)","SIM")))</f>
        <v>SIM</v>
      </c>
      <c r="J265" s="13" t="s">
        <v>318</v>
      </c>
      <c r="K265" s="13"/>
    </row>
    <row r="266" customFormat="false" ht="15" hidden="false" customHeight="false" outlineLevel="0" collapsed="false">
      <c r="A266" s="15" t="s">
        <v>178</v>
      </c>
      <c r="B266" s="11" t="str">
        <f aca="false">INDEX(PRODUTOS!$E$4:$E$63,MATCH($A266,PRODUTOS!$B$4:$B$63,0))</f>
        <v>Ração Seca Natural Dots Light para Cães - Pacote 1 kg</v>
      </c>
      <c r="C266" s="11" t="str">
        <f aca="false">INDEX(PRODUTOS!$H$4:$H$63,MATCH($A266,PRODUTOS!$B$4:$B$63,0))</f>
        <v>1 kg</v>
      </c>
      <c r="D266" s="11" t="s">
        <v>324</v>
      </c>
      <c r="E266" s="16" t="str">
        <f aca="false">$A266&amp;"."&amp;$D266&amp;".jpg"</f>
        <v>7908591300147.AP07.jpg</v>
      </c>
      <c r="F266" s="11" t="str">
        <f aca="false">IF(INDEX(PRODUTOS!$I$4:$I$63,MATCH($A266,PRODUTOS!$B$4:$B$63,0))="B",INDEX(MODELOS!$F$4:$F$11,MATCH($D266,MODELOS!$A$4:$A$11,0)),INDEX(MODELOS!$B$4:$B$11,MATCH($D266,MODELOS!$A$4:$A$11,0)))</f>
        <v>Módulo 4 · Especificações</v>
      </c>
      <c r="G266" s="11" t="str">
        <f aca="false">IF(INDEX(PRODUTOS!$F$4:$F$63,MATCH($A266,PRODUTOS!$B$4:$B$63,0))="Ração",IF(INDEX(PRODUTOS!$I$4:$I$63,MATCH($A266,PRODUTOS!$B$4:$B$63,0))="B",INDEX(MODELOS!$G$4:$G$11,MATCH($D266,MODELOS!$A$4:$A$11,0)),INDEX(MODELOS!$C$4:$C$11,MATCH($D266,MODELOS!$A$4:$A$11,0))),IF(INDEX(PRODUTOS!$I$4:$I$63,MATCH($A266,PRODUTOS!$B$4:$B$63,0))="B",INDEX(MODELOS!$H$4:$H$11,MATCH($D266,MODELOS!$A$4:$A$11,0)),INDEX(MODELOS!$D$4:$D$11,MATCH($D266,MODELOS!$A$4:$A$11,0))))</f>
        <v>Grão ou pacote em destaque</v>
      </c>
      <c r="H266" s="11" t="str">
        <f aca="false">IF(INDEX(PRODUTOS!$I$4:$I$63,MATCH($A266,PRODUTOS!$B$4:$B$63,0))="B",INDEX(MODELOS!$I$4:$I$11,MATCH($D266,MODELOS!$A$4:$A$11,0)),INDEX(MODELOS!$E$4:$E$11,MATCH($D266,MODELOS!$A$4:$A$11,0)))</f>
        <v>300 × 300</v>
      </c>
      <c r="I266" s="11" t="str">
        <f aca="false">IF($D266="COMP","SIM",IF(INDEX(PRODUTOS!$J$4:$J$63,MATCH($A266,PRODUTOS!$B$4:$B$63,0))&lt;&gt;"","NÃO (usa o A+ do EAN "&amp;INDEX(PRODUTOS!$J$4:$J$63,MATCH($A266,PRODUTOS!$B$4:$B$63,0))&amp;")",IF(AND(INDEX(PRODUTOS!$I$4:$I$63,MATCH($A266,PRODUTOS!$B$4:$B$63,0))="B",$D266="AP07"),"NÃO (modelo B)","SIM")))</f>
        <v>SIM</v>
      </c>
      <c r="J266" s="13" t="s">
        <v>318</v>
      </c>
      <c r="K266" s="13"/>
    </row>
    <row r="267" customFormat="false" ht="15" hidden="false" customHeight="false" outlineLevel="0" collapsed="false">
      <c r="A267" s="15" t="s">
        <v>178</v>
      </c>
      <c r="B267" s="11" t="str">
        <f aca="false">INDEX(PRODUTOS!$E$4:$E$63,MATCH($A267,PRODUTOS!$B$4:$B$63,0))</f>
        <v>Ração Seca Natural Dots Light para Cães - Pacote 1 kg</v>
      </c>
      <c r="C267" s="11" t="str">
        <f aca="false">INDEX(PRODUTOS!$H$4:$H$63,MATCH($A267,PRODUTOS!$B$4:$B$63,0))</f>
        <v>1 kg</v>
      </c>
      <c r="D267" s="11" t="s">
        <v>325</v>
      </c>
      <c r="E267" s="16" t="str">
        <f aca="false">$A267&amp;"."&amp;$D267&amp;".jpg"</f>
        <v>7908591300147.COMP.jpg</v>
      </c>
      <c r="F267" s="11" t="str">
        <f aca="false">IF(INDEX(PRODUTOS!$I$4:$I$63,MATCH($A267,PRODUTOS!$B$4:$B$63,0))="B",INDEX(MODELOS!$F$4:$F$11,MATCH($D267,MODELOS!$A$4:$A$11,0)),INDEX(MODELOS!$B$4:$B$11,MATCH($D267,MODELOS!$A$4:$A$11,0)))</f>
        <v>Módulo 5 · Tabela comparativa</v>
      </c>
      <c r="G267" s="11" t="str">
        <f aca="false">IF(INDEX(PRODUTOS!$F$4:$F$63,MATCH($A267,PRODUTOS!$B$4:$B$63,0))="Ração",IF(INDEX(PRODUTOS!$I$4:$I$63,MATCH($A267,PRODUTOS!$B$4:$B$63,0))="B",INDEX(MODELOS!$G$4:$G$11,MATCH($D267,MODELOS!$A$4:$A$11,0)),INDEX(MODELOS!$C$4:$C$11,MATCH($D267,MODELOS!$A$4:$A$11,0))),IF(INDEX(PRODUTOS!$I$4:$I$63,MATCH($A267,PRODUTOS!$B$4:$B$63,0))="B",INDEX(MODELOS!$H$4:$H$11,MATCH($D267,MODELOS!$A$4:$A$11,0)),INDEX(MODELOS!$D$4:$D$11,MATCH($D267,MODELOS!$A$4:$A$11,0))))</f>
        <v>Pacote na vertical, sem fundo colorido</v>
      </c>
      <c r="H267" s="11" t="str">
        <f aca="false">IF(INDEX(PRODUTOS!$I$4:$I$63,MATCH($A267,PRODUTOS!$B$4:$B$63,0))="B",INDEX(MODELOS!$I$4:$I$11,MATCH($D267,MODELOS!$A$4:$A$11,0)),INDEX(MODELOS!$E$4:$E$11,MATCH($D267,MODELOS!$A$4:$A$11,0)))</f>
        <v>150 × 300</v>
      </c>
      <c r="I267" s="11" t="str">
        <f aca="false">IF($D267="COMP","SIM",IF(INDEX(PRODUTOS!$J$4:$J$63,MATCH($A267,PRODUTOS!$B$4:$B$63,0))&lt;&gt;"","NÃO (usa o A+ do EAN "&amp;INDEX(PRODUTOS!$J$4:$J$63,MATCH($A267,PRODUTOS!$B$4:$B$63,0))&amp;")",IF(AND(INDEX(PRODUTOS!$I$4:$I$63,MATCH($A267,PRODUTOS!$B$4:$B$63,0))="B",$D267="AP07"),"NÃO (modelo B)","SIM")))</f>
        <v>SIM</v>
      </c>
      <c r="J267" s="13" t="s">
        <v>318</v>
      </c>
      <c r="K267" s="13"/>
    </row>
    <row r="268" customFormat="false" ht="15" hidden="false" customHeight="false" outlineLevel="0" collapsed="false">
      <c r="A268" s="15" t="s">
        <v>182</v>
      </c>
      <c r="B268" s="11" t="str">
        <f aca="false">INDEX(PRODUTOS!$E$4:$E$63,MATCH($A268,PRODUTOS!$B$4:$B$63,0))</f>
        <v>Sachê Natural Dots Livre de Trangênico Cães Carne ao Molho 85 g</v>
      </c>
      <c r="C268" s="11" t="str">
        <f aca="false">INDEX(PRODUTOS!$H$4:$H$63,MATCH($A268,PRODUTOS!$B$4:$B$63,0))</f>
        <v>85 g</v>
      </c>
      <c r="D268" s="11" t="s">
        <v>317</v>
      </c>
      <c r="E268" s="16" t="str">
        <f aca="false">$A268&amp;"."&amp;$D268&amp;".jpg"</f>
        <v>7908591300376.AP01.jpg</v>
      </c>
      <c r="F268" s="11" t="str">
        <f aca="false">IF(INDEX(PRODUTOS!$I$4:$I$63,MATCH($A268,PRODUTOS!$B$4:$B$63,0))="B",INDEX(MODELOS!$F$4:$F$11,MATCH($D268,MODELOS!$A$4:$A$11,0)),INDEX(MODELOS!$B$4:$B$11,MATCH($D268,MODELOS!$A$4:$A$11,0)))</f>
        <v>Módulo 1 · Banner</v>
      </c>
      <c r="G268" s="11" t="str">
        <f aca="false">IF(INDEX(PRODUTOS!$F$4:$F$63,MATCH($A268,PRODUTOS!$B$4:$B$63,0))="Ração",IF(INDEX(PRODUTOS!$I$4:$I$63,MATCH($A268,PRODUTOS!$B$4:$B$63,0))="B",INDEX(MODELOS!$G$4:$G$11,MATCH($D268,MODELOS!$A$4:$A$11,0)),INDEX(MODELOS!$C$4:$C$11,MATCH($D268,MODELOS!$A$4:$A$11,0))),IF(INDEX(PRODUTOS!$I$4:$I$63,MATCH($A268,PRODUTOS!$B$4:$B$63,0))="B",INDEX(MODELOS!$H$4:$H$11,MATCH($D268,MODELOS!$A$4:$A$11,0)),INDEX(MODELOS!$D$4:$D$11,MATCH($D268,MODELOS!$A$4:$A$11,0))))</f>
        <v>Embalagem + pet + ingredientes, com o nome da linha</v>
      </c>
      <c r="H268" s="11" t="str">
        <f aca="false">IF(INDEX(PRODUTOS!$I$4:$I$63,MATCH($A268,PRODUTOS!$B$4:$B$63,0))="B",INDEX(MODELOS!$I$4:$I$11,MATCH($D268,MODELOS!$A$4:$A$11,0)),INDEX(MODELOS!$E$4:$E$11,MATCH($D268,MODELOS!$A$4:$A$11,0)))</f>
        <v>970 × 600</v>
      </c>
      <c r="I268" s="11" t="str">
        <f aca="false">IF($D268="COMP","SIM",IF(INDEX(PRODUTOS!$J$4:$J$63,MATCH($A268,PRODUTOS!$B$4:$B$63,0))&lt;&gt;"","NÃO (usa o A+ do EAN "&amp;INDEX(PRODUTOS!$J$4:$J$63,MATCH($A268,PRODUTOS!$B$4:$B$63,0))&amp;")",IF(AND(INDEX(PRODUTOS!$I$4:$I$63,MATCH($A268,PRODUTOS!$B$4:$B$63,0))="B",$D268="AP07"),"NÃO (modelo B)","SIM")))</f>
        <v>SIM</v>
      </c>
      <c r="J268" s="13" t="s">
        <v>318</v>
      </c>
      <c r="K268" s="13"/>
    </row>
    <row r="269" customFormat="false" ht="15" hidden="false" customHeight="false" outlineLevel="0" collapsed="false">
      <c r="A269" s="15" t="s">
        <v>182</v>
      </c>
      <c r="B269" s="11" t="str">
        <f aca="false">INDEX(PRODUTOS!$E$4:$E$63,MATCH($A269,PRODUTOS!$B$4:$B$63,0))</f>
        <v>Sachê Natural Dots Livre de Trangênico Cães Carne ao Molho 85 g</v>
      </c>
      <c r="C269" s="11" t="str">
        <f aca="false">INDEX(PRODUTOS!$H$4:$H$63,MATCH($A269,PRODUTOS!$B$4:$B$63,0))</f>
        <v>85 g</v>
      </c>
      <c r="D269" s="11" t="s">
        <v>319</v>
      </c>
      <c r="E269" s="16" t="str">
        <f aca="false">$A269&amp;"."&amp;$D269&amp;".jpg"</f>
        <v>7908591300376.AP02.jpg</v>
      </c>
      <c r="F269" s="11" t="str">
        <f aca="false">IF(INDEX(PRODUTOS!$I$4:$I$63,MATCH($A269,PRODUTOS!$B$4:$B$63,0))="B",INDEX(MODELOS!$F$4:$F$11,MATCH($D269,MODELOS!$A$4:$A$11,0)),INDEX(MODELOS!$B$4:$B$11,MATCH($D269,MODELOS!$A$4:$A$11,0)))</f>
        <v>Módulo 2 · Texto sobreposto</v>
      </c>
      <c r="G269" s="11" t="str">
        <f aca="false">IF(INDEX(PRODUTOS!$F$4:$F$63,MATCH($A269,PRODUTOS!$B$4:$B$63,0))="Ração",IF(INDEX(PRODUTOS!$I$4:$I$63,MATCH($A269,PRODUTOS!$B$4:$B$63,0))="B",INDEX(MODELOS!$G$4:$G$11,MATCH($D269,MODELOS!$A$4:$A$11,0)),INDEX(MODELOS!$C$4:$C$11,MATCH($D269,MODELOS!$A$4:$A$11,0))),IF(INDEX(PRODUTOS!$I$4:$I$63,MATCH($A269,PRODUTOS!$B$4:$B$63,0))="B",INDEX(MODELOS!$H$4:$H$11,MATCH($D269,MODELOS!$A$4:$A$11,0)),INDEX(MODELOS!$D$4:$D$11,MATCH($D269,MODELOS!$A$4:$A$11,0))))</f>
        <v>Principal diferencial; deixar o lado direito limpo</v>
      </c>
      <c r="H269" s="11" t="str">
        <f aca="false">IF(INDEX(PRODUTOS!$I$4:$I$63,MATCH($A269,PRODUTOS!$B$4:$B$63,0))="B",INDEX(MODELOS!$I$4:$I$11,MATCH($D269,MODELOS!$A$4:$A$11,0)),INDEX(MODELOS!$E$4:$E$11,MATCH($D269,MODELOS!$A$4:$A$11,0)))</f>
        <v>970 × 300</v>
      </c>
      <c r="I269" s="11" t="str">
        <f aca="false">IF($D269="COMP","SIM",IF(INDEX(PRODUTOS!$J$4:$J$63,MATCH($A269,PRODUTOS!$B$4:$B$63,0))&lt;&gt;"","NÃO (usa o A+ do EAN "&amp;INDEX(PRODUTOS!$J$4:$J$63,MATCH($A269,PRODUTOS!$B$4:$B$63,0))&amp;")",IF(AND(INDEX(PRODUTOS!$I$4:$I$63,MATCH($A269,PRODUTOS!$B$4:$B$63,0))="B",$D269="AP07"),"NÃO (modelo B)","SIM")))</f>
        <v>SIM</v>
      </c>
      <c r="J269" s="13" t="s">
        <v>318</v>
      </c>
      <c r="K269" s="13"/>
    </row>
    <row r="270" customFormat="false" ht="15" hidden="false" customHeight="false" outlineLevel="0" collapsed="false">
      <c r="A270" s="15" t="s">
        <v>182</v>
      </c>
      <c r="B270" s="11" t="str">
        <f aca="false">INDEX(PRODUTOS!$E$4:$E$63,MATCH($A270,PRODUTOS!$B$4:$B$63,0))</f>
        <v>Sachê Natural Dots Livre de Trangênico Cães Carne ao Molho 85 g</v>
      </c>
      <c r="C270" s="11" t="str">
        <f aca="false">INDEX(PRODUTOS!$H$4:$H$63,MATCH($A270,PRODUTOS!$B$4:$B$63,0))</f>
        <v>85 g</v>
      </c>
      <c r="D270" s="11" t="s">
        <v>320</v>
      </c>
      <c r="E270" s="16" t="str">
        <f aca="false">$A270&amp;"."&amp;$D270&amp;".jpg"</f>
        <v>7908591300376.AP03.jpg</v>
      </c>
      <c r="F270" s="11" t="str">
        <f aca="false">IF(INDEX(PRODUTOS!$I$4:$I$63,MATCH($A270,PRODUTOS!$B$4:$B$63,0))="B",INDEX(MODELOS!$F$4:$F$11,MATCH($D270,MODELOS!$A$4:$A$11,0)),INDEX(MODELOS!$B$4:$B$11,MATCH($D270,MODELOS!$A$4:$A$11,0)))</f>
        <v>Módulo 3 · Benefício 1 de 4</v>
      </c>
      <c r="G270" s="11" t="str">
        <f aca="false">IF(INDEX(PRODUTOS!$F$4:$F$63,MATCH($A270,PRODUTOS!$B$4:$B$63,0))="Ração",IF(INDEX(PRODUTOS!$I$4:$I$63,MATCH($A270,PRODUTOS!$B$4:$B$63,0))="B",INDEX(MODELOS!$G$4:$G$11,MATCH($D270,MODELOS!$A$4:$A$11,0)),INDEX(MODELOS!$C$4:$C$11,MATCH($D270,MODELOS!$A$4:$A$11,0))),IF(INDEX(PRODUTOS!$I$4:$I$63,MATCH($A270,PRODUTOS!$B$4:$B$63,0))="B",INDEX(MODELOS!$H$4:$H$11,MATCH($D270,MODELOS!$A$4:$A$11,0)),INDEX(MODELOS!$D$4:$D$11,MATCH($D270,MODELOS!$A$4:$A$11,0))))</f>
        <v>Foto/ilustração do benefício 1</v>
      </c>
      <c r="H270" s="11" t="str">
        <f aca="false">IF(INDEX(PRODUTOS!$I$4:$I$63,MATCH($A270,PRODUTOS!$B$4:$B$63,0))="B",INDEX(MODELOS!$I$4:$I$11,MATCH($D270,MODELOS!$A$4:$A$11,0)),INDEX(MODELOS!$E$4:$E$11,MATCH($D270,MODELOS!$A$4:$A$11,0)))</f>
        <v>220 × 200</v>
      </c>
      <c r="I270" s="11" t="str">
        <f aca="false">IF($D270="COMP","SIM",IF(INDEX(PRODUTOS!$J$4:$J$63,MATCH($A270,PRODUTOS!$B$4:$B$63,0))&lt;&gt;"","NÃO (usa o A+ do EAN "&amp;INDEX(PRODUTOS!$J$4:$J$63,MATCH($A270,PRODUTOS!$B$4:$B$63,0))&amp;")",IF(AND(INDEX(PRODUTOS!$I$4:$I$63,MATCH($A270,PRODUTOS!$B$4:$B$63,0))="B",$D270="AP07"),"NÃO (modelo B)","SIM")))</f>
        <v>SIM</v>
      </c>
      <c r="J270" s="13" t="s">
        <v>318</v>
      </c>
      <c r="K270" s="13"/>
    </row>
    <row r="271" customFormat="false" ht="15" hidden="false" customHeight="false" outlineLevel="0" collapsed="false">
      <c r="A271" s="15" t="s">
        <v>182</v>
      </c>
      <c r="B271" s="11" t="str">
        <f aca="false">INDEX(PRODUTOS!$E$4:$E$63,MATCH($A271,PRODUTOS!$B$4:$B$63,0))</f>
        <v>Sachê Natural Dots Livre de Trangênico Cães Carne ao Molho 85 g</v>
      </c>
      <c r="C271" s="11" t="str">
        <f aca="false">INDEX(PRODUTOS!$H$4:$H$63,MATCH($A271,PRODUTOS!$B$4:$B$63,0))</f>
        <v>85 g</v>
      </c>
      <c r="D271" s="11" t="s">
        <v>321</v>
      </c>
      <c r="E271" s="16" t="str">
        <f aca="false">$A271&amp;"."&amp;$D271&amp;".jpg"</f>
        <v>7908591300376.AP04.jpg</v>
      </c>
      <c r="F271" s="11" t="str">
        <f aca="false">IF(INDEX(PRODUTOS!$I$4:$I$63,MATCH($A271,PRODUTOS!$B$4:$B$63,0))="B",INDEX(MODELOS!$F$4:$F$11,MATCH($D271,MODELOS!$A$4:$A$11,0)),INDEX(MODELOS!$B$4:$B$11,MATCH($D271,MODELOS!$A$4:$A$11,0)))</f>
        <v>Módulo 3 · Benefício 2 de 4</v>
      </c>
      <c r="G271" s="11" t="str">
        <f aca="false">IF(INDEX(PRODUTOS!$F$4:$F$63,MATCH($A271,PRODUTOS!$B$4:$B$63,0))="Ração",IF(INDEX(PRODUTOS!$I$4:$I$63,MATCH($A271,PRODUTOS!$B$4:$B$63,0))="B",INDEX(MODELOS!$G$4:$G$11,MATCH($D271,MODELOS!$A$4:$A$11,0)),INDEX(MODELOS!$C$4:$C$11,MATCH($D271,MODELOS!$A$4:$A$11,0))),IF(INDEX(PRODUTOS!$I$4:$I$63,MATCH($A271,PRODUTOS!$B$4:$B$63,0))="B",INDEX(MODELOS!$H$4:$H$11,MATCH($D271,MODELOS!$A$4:$A$11,0)),INDEX(MODELOS!$D$4:$D$11,MATCH($D271,MODELOS!$A$4:$A$11,0))))</f>
        <v>Foto/ilustração do benefício 2</v>
      </c>
      <c r="H271" s="11" t="str">
        <f aca="false">IF(INDEX(PRODUTOS!$I$4:$I$63,MATCH($A271,PRODUTOS!$B$4:$B$63,0))="B",INDEX(MODELOS!$I$4:$I$11,MATCH($D271,MODELOS!$A$4:$A$11,0)),INDEX(MODELOS!$E$4:$E$11,MATCH($D271,MODELOS!$A$4:$A$11,0)))</f>
        <v>220 × 200</v>
      </c>
      <c r="I271" s="11" t="str">
        <f aca="false">IF($D271="COMP","SIM",IF(INDEX(PRODUTOS!$J$4:$J$63,MATCH($A271,PRODUTOS!$B$4:$B$63,0))&lt;&gt;"","NÃO (usa o A+ do EAN "&amp;INDEX(PRODUTOS!$J$4:$J$63,MATCH($A271,PRODUTOS!$B$4:$B$63,0))&amp;")",IF(AND(INDEX(PRODUTOS!$I$4:$I$63,MATCH($A271,PRODUTOS!$B$4:$B$63,0))="B",$D271="AP07"),"NÃO (modelo B)","SIM")))</f>
        <v>SIM</v>
      </c>
      <c r="J271" s="13" t="s">
        <v>318</v>
      </c>
      <c r="K271" s="13"/>
    </row>
    <row r="272" customFormat="false" ht="15" hidden="false" customHeight="false" outlineLevel="0" collapsed="false">
      <c r="A272" s="15" t="s">
        <v>182</v>
      </c>
      <c r="B272" s="11" t="str">
        <f aca="false">INDEX(PRODUTOS!$E$4:$E$63,MATCH($A272,PRODUTOS!$B$4:$B$63,0))</f>
        <v>Sachê Natural Dots Livre de Trangênico Cães Carne ao Molho 85 g</v>
      </c>
      <c r="C272" s="11" t="str">
        <f aca="false">INDEX(PRODUTOS!$H$4:$H$63,MATCH($A272,PRODUTOS!$B$4:$B$63,0))</f>
        <v>85 g</v>
      </c>
      <c r="D272" s="11" t="s">
        <v>322</v>
      </c>
      <c r="E272" s="16" t="str">
        <f aca="false">$A272&amp;"."&amp;$D272&amp;".jpg"</f>
        <v>7908591300376.AP05.jpg</v>
      </c>
      <c r="F272" s="11" t="str">
        <f aca="false">IF(INDEX(PRODUTOS!$I$4:$I$63,MATCH($A272,PRODUTOS!$B$4:$B$63,0))="B",INDEX(MODELOS!$F$4:$F$11,MATCH($D272,MODELOS!$A$4:$A$11,0)),INDEX(MODELOS!$B$4:$B$11,MATCH($D272,MODELOS!$A$4:$A$11,0)))</f>
        <v>Módulo 3 · Benefício 3 de 4</v>
      </c>
      <c r="G272" s="11" t="str">
        <f aca="false">IF(INDEX(PRODUTOS!$F$4:$F$63,MATCH($A272,PRODUTOS!$B$4:$B$63,0))="Ração",IF(INDEX(PRODUTOS!$I$4:$I$63,MATCH($A272,PRODUTOS!$B$4:$B$63,0))="B",INDEX(MODELOS!$G$4:$G$11,MATCH($D272,MODELOS!$A$4:$A$11,0)),INDEX(MODELOS!$C$4:$C$11,MATCH($D272,MODELOS!$A$4:$A$11,0))),IF(INDEX(PRODUTOS!$I$4:$I$63,MATCH($A272,PRODUTOS!$B$4:$B$63,0))="B",INDEX(MODELOS!$H$4:$H$11,MATCH($D272,MODELOS!$A$4:$A$11,0)),INDEX(MODELOS!$D$4:$D$11,MATCH($D272,MODELOS!$A$4:$A$11,0))))</f>
        <v>Foto/ilustração do benefício 3</v>
      </c>
      <c r="H272" s="11" t="str">
        <f aca="false">IF(INDEX(PRODUTOS!$I$4:$I$63,MATCH($A272,PRODUTOS!$B$4:$B$63,0))="B",INDEX(MODELOS!$I$4:$I$11,MATCH($D272,MODELOS!$A$4:$A$11,0)),INDEX(MODELOS!$E$4:$E$11,MATCH($D272,MODELOS!$A$4:$A$11,0)))</f>
        <v>220 × 200</v>
      </c>
      <c r="I272" s="11" t="str">
        <f aca="false">IF($D272="COMP","SIM",IF(INDEX(PRODUTOS!$J$4:$J$63,MATCH($A272,PRODUTOS!$B$4:$B$63,0))&lt;&gt;"","NÃO (usa o A+ do EAN "&amp;INDEX(PRODUTOS!$J$4:$J$63,MATCH($A272,PRODUTOS!$B$4:$B$63,0))&amp;")",IF(AND(INDEX(PRODUTOS!$I$4:$I$63,MATCH($A272,PRODUTOS!$B$4:$B$63,0))="B",$D272="AP07"),"NÃO (modelo B)","SIM")))</f>
        <v>SIM</v>
      </c>
      <c r="J272" s="13" t="s">
        <v>318</v>
      </c>
      <c r="K272" s="13"/>
    </row>
    <row r="273" customFormat="false" ht="15" hidden="false" customHeight="false" outlineLevel="0" collapsed="false">
      <c r="A273" s="15" t="s">
        <v>182</v>
      </c>
      <c r="B273" s="11" t="str">
        <f aca="false">INDEX(PRODUTOS!$E$4:$E$63,MATCH($A273,PRODUTOS!$B$4:$B$63,0))</f>
        <v>Sachê Natural Dots Livre de Trangênico Cães Carne ao Molho 85 g</v>
      </c>
      <c r="C273" s="11" t="str">
        <f aca="false">INDEX(PRODUTOS!$H$4:$H$63,MATCH($A273,PRODUTOS!$B$4:$B$63,0))</f>
        <v>85 g</v>
      </c>
      <c r="D273" s="11" t="s">
        <v>323</v>
      </c>
      <c r="E273" s="16" t="str">
        <f aca="false">$A273&amp;"."&amp;$D273&amp;".jpg"</f>
        <v>7908591300376.AP06.jpg</v>
      </c>
      <c r="F273" s="11" t="str">
        <f aca="false">IF(INDEX(PRODUTOS!$I$4:$I$63,MATCH($A273,PRODUTOS!$B$4:$B$63,0))="B",INDEX(MODELOS!$F$4:$F$11,MATCH($D273,MODELOS!$A$4:$A$11,0)),INDEX(MODELOS!$B$4:$B$11,MATCH($D273,MODELOS!$A$4:$A$11,0)))</f>
        <v>Módulo 3 · Benefício 4 de 4</v>
      </c>
      <c r="G273" s="11" t="str">
        <f aca="false">IF(INDEX(PRODUTOS!$F$4:$F$63,MATCH($A273,PRODUTOS!$B$4:$B$63,0))="Ração",IF(INDEX(PRODUTOS!$I$4:$I$63,MATCH($A273,PRODUTOS!$B$4:$B$63,0))="B",INDEX(MODELOS!$G$4:$G$11,MATCH($D273,MODELOS!$A$4:$A$11,0)),INDEX(MODELOS!$C$4:$C$11,MATCH($D273,MODELOS!$A$4:$A$11,0))),IF(INDEX(PRODUTOS!$I$4:$I$63,MATCH($A273,PRODUTOS!$B$4:$B$63,0))="B",INDEX(MODELOS!$H$4:$H$11,MATCH($D273,MODELOS!$A$4:$A$11,0)),INDEX(MODELOS!$D$4:$D$11,MATCH($D273,MODELOS!$A$4:$A$11,0))))</f>
        <v>Foto/ilustração do benefício 4</v>
      </c>
      <c r="H273" s="11" t="str">
        <f aca="false">IF(INDEX(PRODUTOS!$I$4:$I$63,MATCH($A273,PRODUTOS!$B$4:$B$63,0))="B",INDEX(MODELOS!$I$4:$I$11,MATCH($D273,MODELOS!$A$4:$A$11,0)),INDEX(MODELOS!$E$4:$E$11,MATCH($D273,MODELOS!$A$4:$A$11,0)))</f>
        <v>220 × 200</v>
      </c>
      <c r="I273" s="11" t="str">
        <f aca="false">IF($D273="COMP","SIM",IF(INDEX(PRODUTOS!$J$4:$J$63,MATCH($A273,PRODUTOS!$B$4:$B$63,0))&lt;&gt;"","NÃO (usa o A+ do EAN "&amp;INDEX(PRODUTOS!$J$4:$J$63,MATCH($A273,PRODUTOS!$B$4:$B$63,0))&amp;")",IF(AND(INDEX(PRODUTOS!$I$4:$I$63,MATCH($A273,PRODUTOS!$B$4:$B$63,0))="B",$D273="AP07"),"NÃO (modelo B)","SIM")))</f>
        <v>SIM</v>
      </c>
      <c r="J273" s="13" t="s">
        <v>318</v>
      </c>
      <c r="K273" s="13"/>
    </row>
    <row r="274" customFormat="false" ht="15" hidden="false" customHeight="false" outlineLevel="0" collapsed="false">
      <c r="A274" s="15" t="s">
        <v>182</v>
      </c>
      <c r="B274" s="11" t="str">
        <f aca="false">INDEX(PRODUTOS!$E$4:$E$63,MATCH($A274,PRODUTOS!$B$4:$B$63,0))</f>
        <v>Sachê Natural Dots Livre de Trangênico Cães Carne ao Molho 85 g</v>
      </c>
      <c r="C274" s="11" t="str">
        <f aca="false">INDEX(PRODUTOS!$H$4:$H$63,MATCH($A274,PRODUTOS!$B$4:$B$63,0))</f>
        <v>85 g</v>
      </c>
      <c r="D274" s="11" t="s">
        <v>324</v>
      </c>
      <c r="E274" s="16" t="str">
        <f aca="false">$A274&amp;"."&amp;$D274&amp;".jpg"</f>
        <v>7908591300376.AP07.jpg</v>
      </c>
      <c r="F274" s="11" t="str">
        <f aca="false">IF(INDEX(PRODUTOS!$I$4:$I$63,MATCH($A274,PRODUTOS!$B$4:$B$63,0))="B",INDEX(MODELOS!$F$4:$F$11,MATCH($D274,MODELOS!$A$4:$A$11,0)),INDEX(MODELOS!$B$4:$B$11,MATCH($D274,MODELOS!$A$4:$A$11,0)))</f>
        <v>Módulo 4 · Especificações</v>
      </c>
      <c r="G274" s="11" t="str">
        <f aca="false">IF(INDEX(PRODUTOS!$F$4:$F$63,MATCH($A274,PRODUTOS!$B$4:$B$63,0))="Ração",IF(INDEX(PRODUTOS!$I$4:$I$63,MATCH($A274,PRODUTOS!$B$4:$B$63,0))="B",INDEX(MODELOS!$G$4:$G$11,MATCH($D274,MODELOS!$A$4:$A$11,0)),INDEX(MODELOS!$C$4:$C$11,MATCH($D274,MODELOS!$A$4:$A$11,0))),IF(INDEX(PRODUTOS!$I$4:$I$63,MATCH($A274,PRODUTOS!$B$4:$B$63,0))="B",INDEX(MODELOS!$H$4:$H$11,MATCH($D274,MODELOS!$A$4:$A$11,0)),INDEX(MODELOS!$D$4:$D$11,MATCH($D274,MODELOS!$A$4:$A$11,0))))</f>
        <v>Grão ou pacote em destaque</v>
      </c>
      <c r="H274" s="11" t="str">
        <f aca="false">IF(INDEX(PRODUTOS!$I$4:$I$63,MATCH($A274,PRODUTOS!$B$4:$B$63,0))="B",INDEX(MODELOS!$I$4:$I$11,MATCH($D274,MODELOS!$A$4:$A$11,0)),INDEX(MODELOS!$E$4:$E$11,MATCH($D274,MODELOS!$A$4:$A$11,0)))</f>
        <v>300 × 300</v>
      </c>
      <c r="I274" s="11" t="str">
        <f aca="false">IF($D274="COMP","SIM",IF(INDEX(PRODUTOS!$J$4:$J$63,MATCH($A274,PRODUTOS!$B$4:$B$63,0))&lt;&gt;"","NÃO (usa o A+ do EAN "&amp;INDEX(PRODUTOS!$J$4:$J$63,MATCH($A274,PRODUTOS!$B$4:$B$63,0))&amp;")",IF(AND(INDEX(PRODUTOS!$I$4:$I$63,MATCH($A274,PRODUTOS!$B$4:$B$63,0))="B",$D274="AP07"),"NÃO (modelo B)","SIM")))</f>
        <v>SIM</v>
      </c>
      <c r="J274" s="13" t="s">
        <v>318</v>
      </c>
      <c r="K274" s="13"/>
    </row>
    <row r="275" customFormat="false" ht="15" hidden="false" customHeight="false" outlineLevel="0" collapsed="false">
      <c r="A275" s="15" t="s">
        <v>182</v>
      </c>
      <c r="B275" s="11" t="str">
        <f aca="false">INDEX(PRODUTOS!$E$4:$E$63,MATCH($A275,PRODUTOS!$B$4:$B$63,0))</f>
        <v>Sachê Natural Dots Livre de Trangênico Cães Carne ao Molho 85 g</v>
      </c>
      <c r="C275" s="11" t="str">
        <f aca="false">INDEX(PRODUTOS!$H$4:$H$63,MATCH($A275,PRODUTOS!$B$4:$B$63,0))</f>
        <v>85 g</v>
      </c>
      <c r="D275" s="11" t="s">
        <v>325</v>
      </c>
      <c r="E275" s="16" t="str">
        <f aca="false">$A275&amp;"."&amp;$D275&amp;".jpg"</f>
        <v>7908591300376.COMP.jpg</v>
      </c>
      <c r="F275" s="11" t="str">
        <f aca="false">IF(INDEX(PRODUTOS!$I$4:$I$63,MATCH($A275,PRODUTOS!$B$4:$B$63,0))="B",INDEX(MODELOS!$F$4:$F$11,MATCH($D275,MODELOS!$A$4:$A$11,0)),INDEX(MODELOS!$B$4:$B$11,MATCH($D275,MODELOS!$A$4:$A$11,0)))</f>
        <v>Módulo 5 · Tabela comparativa</v>
      </c>
      <c r="G275" s="11" t="str">
        <f aca="false">IF(INDEX(PRODUTOS!$F$4:$F$63,MATCH($A275,PRODUTOS!$B$4:$B$63,0))="Ração",IF(INDEX(PRODUTOS!$I$4:$I$63,MATCH($A275,PRODUTOS!$B$4:$B$63,0))="B",INDEX(MODELOS!$G$4:$G$11,MATCH($D275,MODELOS!$A$4:$A$11,0)),INDEX(MODELOS!$C$4:$C$11,MATCH($D275,MODELOS!$A$4:$A$11,0))),IF(INDEX(PRODUTOS!$I$4:$I$63,MATCH($A275,PRODUTOS!$B$4:$B$63,0))="B",INDEX(MODELOS!$H$4:$H$11,MATCH($D275,MODELOS!$A$4:$A$11,0)),INDEX(MODELOS!$D$4:$D$11,MATCH($D275,MODELOS!$A$4:$A$11,0))))</f>
        <v>Pacote na vertical, sem fundo colorido</v>
      </c>
      <c r="H275" s="11" t="str">
        <f aca="false">IF(INDEX(PRODUTOS!$I$4:$I$63,MATCH($A275,PRODUTOS!$B$4:$B$63,0))="B",INDEX(MODELOS!$I$4:$I$11,MATCH($D275,MODELOS!$A$4:$A$11,0)),INDEX(MODELOS!$E$4:$E$11,MATCH($D275,MODELOS!$A$4:$A$11,0)))</f>
        <v>150 × 300</v>
      </c>
      <c r="I275" s="11" t="str">
        <f aca="false">IF($D275="COMP","SIM",IF(INDEX(PRODUTOS!$J$4:$J$63,MATCH($A275,PRODUTOS!$B$4:$B$63,0))&lt;&gt;"","NÃO (usa o A+ do EAN "&amp;INDEX(PRODUTOS!$J$4:$J$63,MATCH($A275,PRODUTOS!$B$4:$B$63,0))&amp;")",IF(AND(INDEX(PRODUTOS!$I$4:$I$63,MATCH($A275,PRODUTOS!$B$4:$B$63,0))="B",$D275="AP07"),"NÃO (modelo B)","SIM")))</f>
        <v>SIM</v>
      </c>
      <c r="J275" s="13" t="s">
        <v>318</v>
      </c>
      <c r="K275" s="13"/>
    </row>
    <row r="276" customFormat="false" ht="15" hidden="false" customHeight="false" outlineLevel="0" collapsed="false">
      <c r="A276" s="15" t="s">
        <v>187</v>
      </c>
      <c r="B276" s="11" t="str">
        <f aca="false">INDEX(PRODUTOS!$E$4:$E$63,MATCH($A276,PRODUTOS!$B$4:$B$63,0))</f>
        <v>Sachê Natural Dots Livre de Trangênico Cães Cordeiro 85 g</v>
      </c>
      <c r="C276" s="11" t="str">
        <f aca="false">INDEX(PRODUTOS!$H$4:$H$63,MATCH($A276,PRODUTOS!$B$4:$B$63,0))</f>
        <v>85 g</v>
      </c>
      <c r="D276" s="11" t="s">
        <v>317</v>
      </c>
      <c r="E276" s="16" t="str">
        <f aca="false">$A276&amp;"."&amp;$D276&amp;".jpg"</f>
        <v>7908591300383.AP01.jpg</v>
      </c>
      <c r="F276" s="11" t="str">
        <f aca="false">IF(INDEX(PRODUTOS!$I$4:$I$63,MATCH($A276,PRODUTOS!$B$4:$B$63,0))="B",INDEX(MODELOS!$F$4:$F$11,MATCH($D276,MODELOS!$A$4:$A$11,0)),INDEX(MODELOS!$B$4:$B$11,MATCH($D276,MODELOS!$A$4:$A$11,0)))</f>
        <v>Módulo 1 · Banner</v>
      </c>
      <c r="G276" s="11" t="str">
        <f aca="false">IF(INDEX(PRODUTOS!$F$4:$F$63,MATCH($A276,PRODUTOS!$B$4:$B$63,0))="Ração",IF(INDEX(PRODUTOS!$I$4:$I$63,MATCH($A276,PRODUTOS!$B$4:$B$63,0))="B",INDEX(MODELOS!$G$4:$G$11,MATCH($D276,MODELOS!$A$4:$A$11,0)),INDEX(MODELOS!$C$4:$C$11,MATCH($D276,MODELOS!$A$4:$A$11,0))),IF(INDEX(PRODUTOS!$I$4:$I$63,MATCH($A276,PRODUTOS!$B$4:$B$63,0))="B",INDEX(MODELOS!$H$4:$H$11,MATCH($D276,MODELOS!$A$4:$A$11,0)),INDEX(MODELOS!$D$4:$D$11,MATCH($D276,MODELOS!$A$4:$A$11,0))))</f>
        <v>Embalagem + pet + ingredientes, com o nome da linha</v>
      </c>
      <c r="H276" s="11" t="str">
        <f aca="false">IF(INDEX(PRODUTOS!$I$4:$I$63,MATCH($A276,PRODUTOS!$B$4:$B$63,0))="B",INDEX(MODELOS!$I$4:$I$11,MATCH($D276,MODELOS!$A$4:$A$11,0)),INDEX(MODELOS!$E$4:$E$11,MATCH($D276,MODELOS!$A$4:$A$11,0)))</f>
        <v>970 × 600</v>
      </c>
      <c r="I276" s="11" t="str">
        <f aca="false">IF($D276="COMP","SIM",IF(INDEX(PRODUTOS!$J$4:$J$63,MATCH($A276,PRODUTOS!$B$4:$B$63,0))&lt;&gt;"","NÃO (usa o A+ do EAN "&amp;INDEX(PRODUTOS!$J$4:$J$63,MATCH($A276,PRODUTOS!$B$4:$B$63,0))&amp;")",IF(AND(INDEX(PRODUTOS!$I$4:$I$63,MATCH($A276,PRODUTOS!$B$4:$B$63,0))="B",$D276="AP07"),"NÃO (modelo B)","SIM")))</f>
        <v>SIM</v>
      </c>
      <c r="J276" s="13" t="s">
        <v>318</v>
      </c>
      <c r="K276" s="13"/>
    </row>
    <row r="277" customFormat="false" ht="15" hidden="false" customHeight="false" outlineLevel="0" collapsed="false">
      <c r="A277" s="15" t="s">
        <v>187</v>
      </c>
      <c r="B277" s="11" t="str">
        <f aca="false">INDEX(PRODUTOS!$E$4:$E$63,MATCH($A277,PRODUTOS!$B$4:$B$63,0))</f>
        <v>Sachê Natural Dots Livre de Trangênico Cães Cordeiro 85 g</v>
      </c>
      <c r="C277" s="11" t="str">
        <f aca="false">INDEX(PRODUTOS!$H$4:$H$63,MATCH($A277,PRODUTOS!$B$4:$B$63,0))</f>
        <v>85 g</v>
      </c>
      <c r="D277" s="11" t="s">
        <v>319</v>
      </c>
      <c r="E277" s="16" t="str">
        <f aca="false">$A277&amp;"."&amp;$D277&amp;".jpg"</f>
        <v>7908591300383.AP02.jpg</v>
      </c>
      <c r="F277" s="11" t="str">
        <f aca="false">IF(INDEX(PRODUTOS!$I$4:$I$63,MATCH($A277,PRODUTOS!$B$4:$B$63,0))="B",INDEX(MODELOS!$F$4:$F$11,MATCH($D277,MODELOS!$A$4:$A$11,0)),INDEX(MODELOS!$B$4:$B$11,MATCH($D277,MODELOS!$A$4:$A$11,0)))</f>
        <v>Módulo 2 · Texto sobreposto</v>
      </c>
      <c r="G277" s="11" t="str">
        <f aca="false">IF(INDEX(PRODUTOS!$F$4:$F$63,MATCH($A277,PRODUTOS!$B$4:$B$63,0))="Ração",IF(INDEX(PRODUTOS!$I$4:$I$63,MATCH($A277,PRODUTOS!$B$4:$B$63,0))="B",INDEX(MODELOS!$G$4:$G$11,MATCH($D277,MODELOS!$A$4:$A$11,0)),INDEX(MODELOS!$C$4:$C$11,MATCH($D277,MODELOS!$A$4:$A$11,0))),IF(INDEX(PRODUTOS!$I$4:$I$63,MATCH($A277,PRODUTOS!$B$4:$B$63,0))="B",INDEX(MODELOS!$H$4:$H$11,MATCH($D277,MODELOS!$A$4:$A$11,0)),INDEX(MODELOS!$D$4:$D$11,MATCH($D277,MODELOS!$A$4:$A$11,0))))</f>
        <v>Principal diferencial; deixar o lado direito limpo</v>
      </c>
      <c r="H277" s="11" t="str">
        <f aca="false">IF(INDEX(PRODUTOS!$I$4:$I$63,MATCH($A277,PRODUTOS!$B$4:$B$63,0))="B",INDEX(MODELOS!$I$4:$I$11,MATCH($D277,MODELOS!$A$4:$A$11,0)),INDEX(MODELOS!$E$4:$E$11,MATCH($D277,MODELOS!$A$4:$A$11,0)))</f>
        <v>970 × 300</v>
      </c>
      <c r="I277" s="11" t="str">
        <f aca="false">IF($D277="COMP","SIM",IF(INDEX(PRODUTOS!$J$4:$J$63,MATCH($A277,PRODUTOS!$B$4:$B$63,0))&lt;&gt;"","NÃO (usa o A+ do EAN "&amp;INDEX(PRODUTOS!$J$4:$J$63,MATCH($A277,PRODUTOS!$B$4:$B$63,0))&amp;")",IF(AND(INDEX(PRODUTOS!$I$4:$I$63,MATCH($A277,PRODUTOS!$B$4:$B$63,0))="B",$D277="AP07"),"NÃO (modelo B)","SIM")))</f>
        <v>SIM</v>
      </c>
      <c r="J277" s="13" t="s">
        <v>318</v>
      </c>
      <c r="K277" s="13"/>
    </row>
    <row r="278" customFormat="false" ht="15" hidden="false" customHeight="false" outlineLevel="0" collapsed="false">
      <c r="A278" s="15" t="s">
        <v>187</v>
      </c>
      <c r="B278" s="11" t="str">
        <f aca="false">INDEX(PRODUTOS!$E$4:$E$63,MATCH($A278,PRODUTOS!$B$4:$B$63,0))</f>
        <v>Sachê Natural Dots Livre de Trangênico Cães Cordeiro 85 g</v>
      </c>
      <c r="C278" s="11" t="str">
        <f aca="false">INDEX(PRODUTOS!$H$4:$H$63,MATCH($A278,PRODUTOS!$B$4:$B$63,0))</f>
        <v>85 g</v>
      </c>
      <c r="D278" s="11" t="s">
        <v>320</v>
      </c>
      <c r="E278" s="16" t="str">
        <f aca="false">$A278&amp;"."&amp;$D278&amp;".jpg"</f>
        <v>7908591300383.AP03.jpg</v>
      </c>
      <c r="F278" s="11" t="str">
        <f aca="false">IF(INDEX(PRODUTOS!$I$4:$I$63,MATCH($A278,PRODUTOS!$B$4:$B$63,0))="B",INDEX(MODELOS!$F$4:$F$11,MATCH($D278,MODELOS!$A$4:$A$11,0)),INDEX(MODELOS!$B$4:$B$11,MATCH($D278,MODELOS!$A$4:$A$11,0)))</f>
        <v>Módulo 3 · Benefício 1 de 4</v>
      </c>
      <c r="G278" s="11" t="str">
        <f aca="false">IF(INDEX(PRODUTOS!$F$4:$F$63,MATCH($A278,PRODUTOS!$B$4:$B$63,0))="Ração",IF(INDEX(PRODUTOS!$I$4:$I$63,MATCH($A278,PRODUTOS!$B$4:$B$63,0))="B",INDEX(MODELOS!$G$4:$G$11,MATCH($D278,MODELOS!$A$4:$A$11,0)),INDEX(MODELOS!$C$4:$C$11,MATCH($D278,MODELOS!$A$4:$A$11,0))),IF(INDEX(PRODUTOS!$I$4:$I$63,MATCH($A278,PRODUTOS!$B$4:$B$63,0))="B",INDEX(MODELOS!$H$4:$H$11,MATCH($D278,MODELOS!$A$4:$A$11,0)),INDEX(MODELOS!$D$4:$D$11,MATCH($D278,MODELOS!$A$4:$A$11,0))))</f>
        <v>Foto/ilustração do benefício 1</v>
      </c>
      <c r="H278" s="11" t="str">
        <f aca="false">IF(INDEX(PRODUTOS!$I$4:$I$63,MATCH($A278,PRODUTOS!$B$4:$B$63,0))="B",INDEX(MODELOS!$I$4:$I$11,MATCH($D278,MODELOS!$A$4:$A$11,0)),INDEX(MODELOS!$E$4:$E$11,MATCH($D278,MODELOS!$A$4:$A$11,0)))</f>
        <v>220 × 200</v>
      </c>
      <c r="I278" s="11" t="str">
        <f aca="false">IF($D278="COMP","SIM",IF(INDEX(PRODUTOS!$J$4:$J$63,MATCH($A278,PRODUTOS!$B$4:$B$63,0))&lt;&gt;"","NÃO (usa o A+ do EAN "&amp;INDEX(PRODUTOS!$J$4:$J$63,MATCH($A278,PRODUTOS!$B$4:$B$63,0))&amp;")",IF(AND(INDEX(PRODUTOS!$I$4:$I$63,MATCH($A278,PRODUTOS!$B$4:$B$63,0))="B",$D278="AP07"),"NÃO (modelo B)","SIM")))</f>
        <v>SIM</v>
      </c>
      <c r="J278" s="13" t="s">
        <v>318</v>
      </c>
      <c r="K278" s="13"/>
    </row>
    <row r="279" customFormat="false" ht="15" hidden="false" customHeight="false" outlineLevel="0" collapsed="false">
      <c r="A279" s="15" t="s">
        <v>187</v>
      </c>
      <c r="B279" s="11" t="str">
        <f aca="false">INDEX(PRODUTOS!$E$4:$E$63,MATCH($A279,PRODUTOS!$B$4:$B$63,0))</f>
        <v>Sachê Natural Dots Livre de Trangênico Cães Cordeiro 85 g</v>
      </c>
      <c r="C279" s="11" t="str">
        <f aca="false">INDEX(PRODUTOS!$H$4:$H$63,MATCH($A279,PRODUTOS!$B$4:$B$63,0))</f>
        <v>85 g</v>
      </c>
      <c r="D279" s="11" t="s">
        <v>321</v>
      </c>
      <c r="E279" s="16" t="str">
        <f aca="false">$A279&amp;"."&amp;$D279&amp;".jpg"</f>
        <v>7908591300383.AP04.jpg</v>
      </c>
      <c r="F279" s="11" t="str">
        <f aca="false">IF(INDEX(PRODUTOS!$I$4:$I$63,MATCH($A279,PRODUTOS!$B$4:$B$63,0))="B",INDEX(MODELOS!$F$4:$F$11,MATCH($D279,MODELOS!$A$4:$A$11,0)),INDEX(MODELOS!$B$4:$B$11,MATCH($D279,MODELOS!$A$4:$A$11,0)))</f>
        <v>Módulo 3 · Benefício 2 de 4</v>
      </c>
      <c r="G279" s="11" t="str">
        <f aca="false">IF(INDEX(PRODUTOS!$F$4:$F$63,MATCH($A279,PRODUTOS!$B$4:$B$63,0))="Ração",IF(INDEX(PRODUTOS!$I$4:$I$63,MATCH($A279,PRODUTOS!$B$4:$B$63,0))="B",INDEX(MODELOS!$G$4:$G$11,MATCH($D279,MODELOS!$A$4:$A$11,0)),INDEX(MODELOS!$C$4:$C$11,MATCH($D279,MODELOS!$A$4:$A$11,0))),IF(INDEX(PRODUTOS!$I$4:$I$63,MATCH($A279,PRODUTOS!$B$4:$B$63,0))="B",INDEX(MODELOS!$H$4:$H$11,MATCH($D279,MODELOS!$A$4:$A$11,0)),INDEX(MODELOS!$D$4:$D$11,MATCH($D279,MODELOS!$A$4:$A$11,0))))</f>
        <v>Foto/ilustração do benefício 2</v>
      </c>
      <c r="H279" s="11" t="str">
        <f aca="false">IF(INDEX(PRODUTOS!$I$4:$I$63,MATCH($A279,PRODUTOS!$B$4:$B$63,0))="B",INDEX(MODELOS!$I$4:$I$11,MATCH($D279,MODELOS!$A$4:$A$11,0)),INDEX(MODELOS!$E$4:$E$11,MATCH($D279,MODELOS!$A$4:$A$11,0)))</f>
        <v>220 × 200</v>
      </c>
      <c r="I279" s="11" t="str">
        <f aca="false">IF($D279="COMP","SIM",IF(INDEX(PRODUTOS!$J$4:$J$63,MATCH($A279,PRODUTOS!$B$4:$B$63,0))&lt;&gt;"","NÃO (usa o A+ do EAN "&amp;INDEX(PRODUTOS!$J$4:$J$63,MATCH($A279,PRODUTOS!$B$4:$B$63,0))&amp;")",IF(AND(INDEX(PRODUTOS!$I$4:$I$63,MATCH($A279,PRODUTOS!$B$4:$B$63,0))="B",$D279="AP07"),"NÃO (modelo B)","SIM")))</f>
        <v>SIM</v>
      </c>
      <c r="J279" s="13" t="s">
        <v>318</v>
      </c>
      <c r="K279" s="13"/>
    </row>
    <row r="280" customFormat="false" ht="15" hidden="false" customHeight="false" outlineLevel="0" collapsed="false">
      <c r="A280" s="15" t="s">
        <v>187</v>
      </c>
      <c r="B280" s="11" t="str">
        <f aca="false">INDEX(PRODUTOS!$E$4:$E$63,MATCH($A280,PRODUTOS!$B$4:$B$63,0))</f>
        <v>Sachê Natural Dots Livre de Trangênico Cães Cordeiro 85 g</v>
      </c>
      <c r="C280" s="11" t="str">
        <f aca="false">INDEX(PRODUTOS!$H$4:$H$63,MATCH($A280,PRODUTOS!$B$4:$B$63,0))</f>
        <v>85 g</v>
      </c>
      <c r="D280" s="11" t="s">
        <v>322</v>
      </c>
      <c r="E280" s="16" t="str">
        <f aca="false">$A280&amp;"."&amp;$D280&amp;".jpg"</f>
        <v>7908591300383.AP05.jpg</v>
      </c>
      <c r="F280" s="11" t="str">
        <f aca="false">IF(INDEX(PRODUTOS!$I$4:$I$63,MATCH($A280,PRODUTOS!$B$4:$B$63,0))="B",INDEX(MODELOS!$F$4:$F$11,MATCH($D280,MODELOS!$A$4:$A$11,0)),INDEX(MODELOS!$B$4:$B$11,MATCH($D280,MODELOS!$A$4:$A$11,0)))</f>
        <v>Módulo 3 · Benefício 3 de 4</v>
      </c>
      <c r="G280" s="11" t="str">
        <f aca="false">IF(INDEX(PRODUTOS!$F$4:$F$63,MATCH($A280,PRODUTOS!$B$4:$B$63,0))="Ração",IF(INDEX(PRODUTOS!$I$4:$I$63,MATCH($A280,PRODUTOS!$B$4:$B$63,0))="B",INDEX(MODELOS!$G$4:$G$11,MATCH($D280,MODELOS!$A$4:$A$11,0)),INDEX(MODELOS!$C$4:$C$11,MATCH($D280,MODELOS!$A$4:$A$11,0))),IF(INDEX(PRODUTOS!$I$4:$I$63,MATCH($A280,PRODUTOS!$B$4:$B$63,0))="B",INDEX(MODELOS!$H$4:$H$11,MATCH($D280,MODELOS!$A$4:$A$11,0)),INDEX(MODELOS!$D$4:$D$11,MATCH($D280,MODELOS!$A$4:$A$11,0))))</f>
        <v>Foto/ilustração do benefício 3</v>
      </c>
      <c r="H280" s="11" t="str">
        <f aca="false">IF(INDEX(PRODUTOS!$I$4:$I$63,MATCH($A280,PRODUTOS!$B$4:$B$63,0))="B",INDEX(MODELOS!$I$4:$I$11,MATCH($D280,MODELOS!$A$4:$A$11,0)),INDEX(MODELOS!$E$4:$E$11,MATCH($D280,MODELOS!$A$4:$A$11,0)))</f>
        <v>220 × 200</v>
      </c>
      <c r="I280" s="11" t="str">
        <f aca="false">IF($D280="COMP","SIM",IF(INDEX(PRODUTOS!$J$4:$J$63,MATCH($A280,PRODUTOS!$B$4:$B$63,0))&lt;&gt;"","NÃO (usa o A+ do EAN "&amp;INDEX(PRODUTOS!$J$4:$J$63,MATCH($A280,PRODUTOS!$B$4:$B$63,0))&amp;")",IF(AND(INDEX(PRODUTOS!$I$4:$I$63,MATCH($A280,PRODUTOS!$B$4:$B$63,0))="B",$D280="AP07"),"NÃO (modelo B)","SIM")))</f>
        <v>SIM</v>
      </c>
      <c r="J280" s="13" t="s">
        <v>318</v>
      </c>
      <c r="K280" s="13"/>
    </row>
    <row r="281" customFormat="false" ht="15" hidden="false" customHeight="false" outlineLevel="0" collapsed="false">
      <c r="A281" s="15" t="s">
        <v>187</v>
      </c>
      <c r="B281" s="11" t="str">
        <f aca="false">INDEX(PRODUTOS!$E$4:$E$63,MATCH($A281,PRODUTOS!$B$4:$B$63,0))</f>
        <v>Sachê Natural Dots Livre de Trangênico Cães Cordeiro 85 g</v>
      </c>
      <c r="C281" s="11" t="str">
        <f aca="false">INDEX(PRODUTOS!$H$4:$H$63,MATCH($A281,PRODUTOS!$B$4:$B$63,0))</f>
        <v>85 g</v>
      </c>
      <c r="D281" s="11" t="s">
        <v>323</v>
      </c>
      <c r="E281" s="16" t="str">
        <f aca="false">$A281&amp;"."&amp;$D281&amp;".jpg"</f>
        <v>7908591300383.AP06.jpg</v>
      </c>
      <c r="F281" s="11" t="str">
        <f aca="false">IF(INDEX(PRODUTOS!$I$4:$I$63,MATCH($A281,PRODUTOS!$B$4:$B$63,0))="B",INDEX(MODELOS!$F$4:$F$11,MATCH($D281,MODELOS!$A$4:$A$11,0)),INDEX(MODELOS!$B$4:$B$11,MATCH($D281,MODELOS!$A$4:$A$11,0)))</f>
        <v>Módulo 3 · Benefício 4 de 4</v>
      </c>
      <c r="G281" s="11" t="str">
        <f aca="false">IF(INDEX(PRODUTOS!$F$4:$F$63,MATCH($A281,PRODUTOS!$B$4:$B$63,0))="Ração",IF(INDEX(PRODUTOS!$I$4:$I$63,MATCH($A281,PRODUTOS!$B$4:$B$63,0))="B",INDEX(MODELOS!$G$4:$G$11,MATCH($D281,MODELOS!$A$4:$A$11,0)),INDEX(MODELOS!$C$4:$C$11,MATCH($D281,MODELOS!$A$4:$A$11,0))),IF(INDEX(PRODUTOS!$I$4:$I$63,MATCH($A281,PRODUTOS!$B$4:$B$63,0))="B",INDEX(MODELOS!$H$4:$H$11,MATCH($D281,MODELOS!$A$4:$A$11,0)),INDEX(MODELOS!$D$4:$D$11,MATCH($D281,MODELOS!$A$4:$A$11,0))))</f>
        <v>Foto/ilustração do benefício 4</v>
      </c>
      <c r="H281" s="11" t="str">
        <f aca="false">IF(INDEX(PRODUTOS!$I$4:$I$63,MATCH($A281,PRODUTOS!$B$4:$B$63,0))="B",INDEX(MODELOS!$I$4:$I$11,MATCH($D281,MODELOS!$A$4:$A$11,0)),INDEX(MODELOS!$E$4:$E$11,MATCH($D281,MODELOS!$A$4:$A$11,0)))</f>
        <v>220 × 200</v>
      </c>
      <c r="I281" s="11" t="str">
        <f aca="false">IF($D281="COMP","SIM",IF(INDEX(PRODUTOS!$J$4:$J$63,MATCH($A281,PRODUTOS!$B$4:$B$63,0))&lt;&gt;"","NÃO (usa o A+ do EAN "&amp;INDEX(PRODUTOS!$J$4:$J$63,MATCH($A281,PRODUTOS!$B$4:$B$63,0))&amp;")",IF(AND(INDEX(PRODUTOS!$I$4:$I$63,MATCH($A281,PRODUTOS!$B$4:$B$63,0))="B",$D281="AP07"),"NÃO (modelo B)","SIM")))</f>
        <v>SIM</v>
      </c>
      <c r="J281" s="13" t="s">
        <v>318</v>
      </c>
      <c r="K281" s="13"/>
    </row>
    <row r="282" customFormat="false" ht="15" hidden="false" customHeight="false" outlineLevel="0" collapsed="false">
      <c r="A282" s="15" t="s">
        <v>187</v>
      </c>
      <c r="B282" s="11" t="str">
        <f aca="false">INDEX(PRODUTOS!$E$4:$E$63,MATCH($A282,PRODUTOS!$B$4:$B$63,0))</f>
        <v>Sachê Natural Dots Livre de Trangênico Cães Cordeiro 85 g</v>
      </c>
      <c r="C282" s="11" t="str">
        <f aca="false">INDEX(PRODUTOS!$H$4:$H$63,MATCH($A282,PRODUTOS!$B$4:$B$63,0))</f>
        <v>85 g</v>
      </c>
      <c r="D282" s="11" t="s">
        <v>324</v>
      </c>
      <c r="E282" s="16" t="str">
        <f aca="false">$A282&amp;"."&amp;$D282&amp;".jpg"</f>
        <v>7908591300383.AP07.jpg</v>
      </c>
      <c r="F282" s="11" t="str">
        <f aca="false">IF(INDEX(PRODUTOS!$I$4:$I$63,MATCH($A282,PRODUTOS!$B$4:$B$63,0))="B",INDEX(MODELOS!$F$4:$F$11,MATCH($D282,MODELOS!$A$4:$A$11,0)),INDEX(MODELOS!$B$4:$B$11,MATCH($D282,MODELOS!$A$4:$A$11,0)))</f>
        <v>Módulo 4 · Especificações</v>
      </c>
      <c r="G282" s="11" t="str">
        <f aca="false">IF(INDEX(PRODUTOS!$F$4:$F$63,MATCH($A282,PRODUTOS!$B$4:$B$63,0))="Ração",IF(INDEX(PRODUTOS!$I$4:$I$63,MATCH($A282,PRODUTOS!$B$4:$B$63,0))="B",INDEX(MODELOS!$G$4:$G$11,MATCH($D282,MODELOS!$A$4:$A$11,0)),INDEX(MODELOS!$C$4:$C$11,MATCH($D282,MODELOS!$A$4:$A$11,0))),IF(INDEX(PRODUTOS!$I$4:$I$63,MATCH($A282,PRODUTOS!$B$4:$B$63,0))="B",INDEX(MODELOS!$H$4:$H$11,MATCH($D282,MODELOS!$A$4:$A$11,0)),INDEX(MODELOS!$D$4:$D$11,MATCH($D282,MODELOS!$A$4:$A$11,0))))</f>
        <v>Grão ou pacote em destaque</v>
      </c>
      <c r="H282" s="11" t="str">
        <f aca="false">IF(INDEX(PRODUTOS!$I$4:$I$63,MATCH($A282,PRODUTOS!$B$4:$B$63,0))="B",INDEX(MODELOS!$I$4:$I$11,MATCH($D282,MODELOS!$A$4:$A$11,0)),INDEX(MODELOS!$E$4:$E$11,MATCH($D282,MODELOS!$A$4:$A$11,0)))</f>
        <v>300 × 300</v>
      </c>
      <c r="I282" s="11" t="str">
        <f aca="false">IF($D282="COMP","SIM",IF(INDEX(PRODUTOS!$J$4:$J$63,MATCH($A282,PRODUTOS!$B$4:$B$63,0))&lt;&gt;"","NÃO (usa o A+ do EAN "&amp;INDEX(PRODUTOS!$J$4:$J$63,MATCH($A282,PRODUTOS!$B$4:$B$63,0))&amp;")",IF(AND(INDEX(PRODUTOS!$I$4:$I$63,MATCH($A282,PRODUTOS!$B$4:$B$63,0))="B",$D282="AP07"),"NÃO (modelo B)","SIM")))</f>
        <v>SIM</v>
      </c>
      <c r="J282" s="13" t="s">
        <v>318</v>
      </c>
      <c r="K282" s="13"/>
    </row>
    <row r="283" customFormat="false" ht="15" hidden="false" customHeight="false" outlineLevel="0" collapsed="false">
      <c r="A283" s="15" t="s">
        <v>187</v>
      </c>
      <c r="B283" s="11" t="str">
        <f aca="false">INDEX(PRODUTOS!$E$4:$E$63,MATCH($A283,PRODUTOS!$B$4:$B$63,0))</f>
        <v>Sachê Natural Dots Livre de Trangênico Cães Cordeiro 85 g</v>
      </c>
      <c r="C283" s="11" t="str">
        <f aca="false">INDEX(PRODUTOS!$H$4:$H$63,MATCH($A283,PRODUTOS!$B$4:$B$63,0))</f>
        <v>85 g</v>
      </c>
      <c r="D283" s="11" t="s">
        <v>325</v>
      </c>
      <c r="E283" s="16" t="str">
        <f aca="false">$A283&amp;"."&amp;$D283&amp;".jpg"</f>
        <v>7908591300383.COMP.jpg</v>
      </c>
      <c r="F283" s="11" t="str">
        <f aca="false">IF(INDEX(PRODUTOS!$I$4:$I$63,MATCH($A283,PRODUTOS!$B$4:$B$63,0))="B",INDEX(MODELOS!$F$4:$F$11,MATCH($D283,MODELOS!$A$4:$A$11,0)),INDEX(MODELOS!$B$4:$B$11,MATCH($D283,MODELOS!$A$4:$A$11,0)))</f>
        <v>Módulo 5 · Tabela comparativa</v>
      </c>
      <c r="G283" s="11" t="str">
        <f aca="false">IF(INDEX(PRODUTOS!$F$4:$F$63,MATCH($A283,PRODUTOS!$B$4:$B$63,0))="Ração",IF(INDEX(PRODUTOS!$I$4:$I$63,MATCH($A283,PRODUTOS!$B$4:$B$63,0))="B",INDEX(MODELOS!$G$4:$G$11,MATCH($D283,MODELOS!$A$4:$A$11,0)),INDEX(MODELOS!$C$4:$C$11,MATCH($D283,MODELOS!$A$4:$A$11,0))),IF(INDEX(PRODUTOS!$I$4:$I$63,MATCH($A283,PRODUTOS!$B$4:$B$63,0))="B",INDEX(MODELOS!$H$4:$H$11,MATCH($D283,MODELOS!$A$4:$A$11,0)),INDEX(MODELOS!$D$4:$D$11,MATCH($D283,MODELOS!$A$4:$A$11,0))))</f>
        <v>Pacote na vertical, sem fundo colorido</v>
      </c>
      <c r="H283" s="11" t="str">
        <f aca="false">IF(INDEX(PRODUTOS!$I$4:$I$63,MATCH($A283,PRODUTOS!$B$4:$B$63,0))="B",INDEX(MODELOS!$I$4:$I$11,MATCH($D283,MODELOS!$A$4:$A$11,0)),INDEX(MODELOS!$E$4:$E$11,MATCH($D283,MODELOS!$A$4:$A$11,0)))</f>
        <v>150 × 300</v>
      </c>
      <c r="I283" s="11" t="str">
        <f aca="false">IF($D283="COMP","SIM",IF(INDEX(PRODUTOS!$J$4:$J$63,MATCH($A283,PRODUTOS!$B$4:$B$63,0))&lt;&gt;"","NÃO (usa o A+ do EAN "&amp;INDEX(PRODUTOS!$J$4:$J$63,MATCH($A283,PRODUTOS!$B$4:$B$63,0))&amp;")",IF(AND(INDEX(PRODUTOS!$I$4:$I$63,MATCH($A283,PRODUTOS!$B$4:$B$63,0))="B",$D283="AP07"),"NÃO (modelo B)","SIM")))</f>
        <v>SIM</v>
      </c>
      <c r="J283" s="13" t="s">
        <v>318</v>
      </c>
      <c r="K283" s="13"/>
    </row>
    <row r="284" customFormat="false" ht="15" hidden="false" customHeight="false" outlineLevel="0" collapsed="false">
      <c r="A284" s="15" t="s">
        <v>191</v>
      </c>
      <c r="B284" s="11" t="str">
        <f aca="false">INDEX(PRODUTOS!$E$4:$E$63,MATCH($A284,PRODUTOS!$B$4:$B$63,0))</f>
        <v>Sachê Natural Dots Livre de Trangênico Gato Carne 85 g</v>
      </c>
      <c r="C284" s="11" t="str">
        <f aca="false">INDEX(PRODUTOS!$H$4:$H$63,MATCH($A284,PRODUTOS!$B$4:$B$63,0))</f>
        <v>85 g</v>
      </c>
      <c r="D284" s="11" t="s">
        <v>317</v>
      </c>
      <c r="E284" s="16" t="str">
        <f aca="false">$A284&amp;"."&amp;$D284&amp;".jpg"</f>
        <v>7908591300390.AP01.jpg</v>
      </c>
      <c r="F284" s="11" t="str">
        <f aca="false">IF(INDEX(PRODUTOS!$I$4:$I$63,MATCH($A284,PRODUTOS!$B$4:$B$63,0))="B",INDEX(MODELOS!$F$4:$F$11,MATCH($D284,MODELOS!$A$4:$A$11,0)),INDEX(MODELOS!$B$4:$B$11,MATCH($D284,MODELOS!$A$4:$A$11,0)))</f>
        <v>Módulo 1 · Banner</v>
      </c>
      <c r="G284" s="11" t="str">
        <f aca="false">IF(INDEX(PRODUTOS!$F$4:$F$63,MATCH($A284,PRODUTOS!$B$4:$B$63,0))="Ração",IF(INDEX(PRODUTOS!$I$4:$I$63,MATCH($A284,PRODUTOS!$B$4:$B$63,0))="B",INDEX(MODELOS!$G$4:$G$11,MATCH($D284,MODELOS!$A$4:$A$11,0)),INDEX(MODELOS!$C$4:$C$11,MATCH($D284,MODELOS!$A$4:$A$11,0))),IF(INDEX(PRODUTOS!$I$4:$I$63,MATCH($A284,PRODUTOS!$B$4:$B$63,0))="B",INDEX(MODELOS!$H$4:$H$11,MATCH($D284,MODELOS!$A$4:$A$11,0)),INDEX(MODELOS!$D$4:$D$11,MATCH($D284,MODELOS!$A$4:$A$11,0))))</f>
        <v>Embalagem + pet + ingredientes, com o nome da linha</v>
      </c>
      <c r="H284" s="11" t="str">
        <f aca="false">IF(INDEX(PRODUTOS!$I$4:$I$63,MATCH($A284,PRODUTOS!$B$4:$B$63,0))="B",INDEX(MODELOS!$I$4:$I$11,MATCH($D284,MODELOS!$A$4:$A$11,0)),INDEX(MODELOS!$E$4:$E$11,MATCH($D284,MODELOS!$A$4:$A$11,0)))</f>
        <v>970 × 600</v>
      </c>
      <c r="I284" s="11" t="str">
        <f aca="false">IF($D284="COMP","SIM",IF(INDEX(PRODUTOS!$J$4:$J$63,MATCH($A284,PRODUTOS!$B$4:$B$63,0))&lt;&gt;"","NÃO (usa o A+ do EAN "&amp;INDEX(PRODUTOS!$J$4:$J$63,MATCH($A284,PRODUTOS!$B$4:$B$63,0))&amp;")",IF(AND(INDEX(PRODUTOS!$I$4:$I$63,MATCH($A284,PRODUTOS!$B$4:$B$63,0))="B",$D284="AP07"),"NÃO (modelo B)","SIM")))</f>
        <v>SIM</v>
      </c>
      <c r="J284" s="13" t="s">
        <v>318</v>
      </c>
      <c r="K284" s="13"/>
    </row>
    <row r="285" customFormat="false" ht="15" hidden="false" customHeight="false" outlineLevel="0" collapsed="false">
      <c r="A285" s="15" t="s">
        <v>191</v>
      </c>
      <c r="B285" s="11" t="str">
        <f aca="false">INDEX(PRODUTOS!$E$4:$E$63,MATCH($A285,PRODUTOS!$B$4:$B$63,0))</f>
        <v>Sachê Natural Dots Livre de Trangênico Gato Carne 85 g</v>
      </c>
      <c r="C285" s="11" t="str">
        <f aca="false">INDEX(PRODUTOS!$H$4:$H$63,MATCH($A285,PRODUTOS!$B$4:$B$63,0))</f>
        <v>85 g</v>
      </c>
      <c r="D285" s="11" t="s">
        <v>319</v>
      </c>
      <c r="E285" s="16" t="str">
        <f aca="false">$A285&amp;"."&amp;$D285&amp;".jpg"</f>
        <v>7908591300390.AP02.jpg</v>
      </c>
      <c r="F285" s="11" t="str">
        <f aca="false">IF(INDEX(PRODUTOS!$I$4:$I$63,MATCH($A285,PRODUTOS!$B$4:$B$63,0))="B",INDEX(MODELOS!$F$4:$F$11,MATCH($D285,MODELOS!$A$4:$A$11,0)),INDEX(MODELOS!$B$4:$B$11,MATCH($D285,MODELOS!$A$4:$A$11,0)))</f>
        <v>Módulo 2 · Texto sobreposto</v>
      </c>
      <c r="G285" s="11" t="str">
        <f aca="false">IF(INDEX(PRODUTOS!$F$4:$F$63,MATCH($A285,PRODUTOS!$B$4:$B$63,0))="Ração",IF(INDEX(PRODUTOS!$I$4:$I$63,MATCH($A285,PRODUTOS!$B$4:$B$63,0))="B",INDEX(MODELOS!$G$4:$G$11,MATCH($D285,MODELOS!$A$4:$A$11,0)),INDEX(MODELOS!$C$4:$C$11,MATCH($D285,MODELOS!$A$4:$A$11,0))),IF(INDEX(PRODUTOS!$I$4:$I$63,MATCH($A285,PRODUTOS!$B$4:$B$63,0))="B",INDEX(MODELOS!$H$4:$H$11,MATCH($D285,MODELOS!$A$4:$A$11,0)),INDEX(MODELOS!$D$4:$D$11,MATCH($D285,MODELOS!$A$4:$A$11,0))))</f>
        <v>Principal diferencial; deixar o lado direito limpo</v>
      </c>
      <c r="H285" s="11" t="str">
        <f aca="false">IF(INDEX(PRODUTOS!$I$4:$I$63,MATCH($A285,PRODUTOS!$B$4:$B$63,0))="B",INDEX(MODELOS!$I$4:$I$11,MATCH($D285,MODELOS!$A$4:$A$11,0)),INDEX(MODELOS!$E$4:$E$11,MATCH($D285,MODELOS!$A$4:$A$11,0)))</f>
        <v>970 × 300</v>
      </c>
      <c r="I285" s="11" t="str">
        <f aca="false">IF($D285="COMP","SIM",IF(INDEX(PRODUTOS!$J$4:$J$63,MATCH($A285,PRODUTOS!$B$4:$B$63,0))&lt;&gt;"","NÃO (usa o A+ do EAN "&amp;INDEX(PRODUTOS!$J$4:$J$63,MATCH($A285,PRODUTOS!$B$4:$B$63,0))&amp;")",IF(AND(INDEX(PRODUTOS!$I$4:$I$63,MATCH($A285,PRODUTOS!$B$4:$B$63,0))="B",$D285="AP07"),"NÃO (modelo B)","SIM")))</f>
        <v>SIM</v>
      </c>
      <c r="J285" s="13" t="s">
        <v>318</v>
      </c>
      <c r="K285" s="13"/>
    </row>
    <row r="286" customFormat="false" ht="15" hidden="false" customHeight="false" outlineLevel="0" collapsed="false">
      <c r="A286" s="15" t="s">
        <v>191</v>
      </c>
      <c r="B286" s="11" t="str">
        <f aca="false">INDEX(PRODUTOS!$E$4:$E$63,MATCH($A286,PRODUTOS!$B$4:$B$63,0))</f>
        <v>Sachê Natural Dots Livre de Trangênico Gato Carne 85 g</v>
      </c>
      <c r="C286" s="11" t="str">
        <f aca="false">INDEX(PRODUTOS!$H$4:$H$63,MATCH($A286,PRODUTOS!$B$4:$B$63,0))</f>
        <v>85 g</v>
      </c>
      <c r="D286" s="11" t="s">
        <v>320</v>
      </c>
      <c r="E286" s="16" t="str">
        <f aca="false">$A286&amp;"."&amp;$D286&amp;".jpg"</f>
        <v>7908591300390.AP03.jpg</v>
      </c>
      <c r="F286" s="11" t="str">
        <f aca="false">IF(INDEX(PRODUTOS!$I$4:$I$63,MATCH($A286,PRODUTOS!$B$4:$B$63,0))="B",INDEX(MODELOS!$F$4:$F$11,MATCH($D286,MODELOS!$A$4:$A$11,0)),INDEX(MODELOS!$B$4:$B$11,MATCH($D286,MODELOS!$A$4:$A$11,0)))</f>
        <v>Módulo 3 · Benefício 1 de 4</v>
      </c>
      <c r="G286" s="11" t="str">
        <f aca="false">IF(INDEX(PRODUTOS!$F$4:$F$63,MATCH($A286,PRODUTOS!$B$4:$B$63,0))="Ração",IF(INDEX(PRODUTOS!$I$4:$I$63,MATCH($A286,PRODUTOS!$B$4:$B$63,0))="B",INDEX(MODELOS!$G$4:$G$11,MATCH($D286,MODELOS!$A$4:$A$11,0)),INDEX(MODELOS!$C$4:$C$11,MATCH($D286,MODELOS!$A$4:$A$11,0))),IF(INDEX(PRODUTOS!$I$4:$I$63,MATCH($A286,PRODUTOS!$B$4:$B$63,0))="B",INDEX(MODELOS!$H$4:$H$11,MATCH($D286,MODELOS!$A$4:$A$11,0)),INDEX(MODELOS!$D$4:$D$11,MATCH($D286,MODELOS!$A$4:$A$11,0))))</f>
        <v>Foto/ilustração do benefício 1</v>
      </c>
      <c r="H286" s="11" t="str">
        <f aca="false">IF(INDEX(PRODUTOS!$I$4:$I$63,MATCH($A286,PRODUTOS!$B$4:$B$63,0))="B",INDEX(MODELOS!$I$4:$I$11,MATCH($D286,MODELOS!$A$4:$A$11,0)),INDEX(MODELOS!$E$4:$E$11,MATCH($D286,MODELOS!$A$4:$A$11,0)))</f>
        <v>220 × 200</v>
      </c>
      <c r="I286" s="11" t="str">
        <f aca="false">IF($D286="COMP","SIM",IF(INDEX(PRODUTOS!$J$4:$J$63,MATCH($A286,PRODUTOS!$B$4:$B$63,0))&lt;&gt;"","NÃO (usa o A+ do EAN "&amp;INDEX(PRODUTOS!$J$4:$J$63,MATCH($A286,PRODUTOS!$B$4:$B$63,0))&amp;")",IF(AND(INDEX(PRODUTOS!$I$4:$I$63,MATCH($A286,PRODUTOS!$B$4:$B$63,0))="B",$D286="AP07"),"NÃO (modelo B)","SIM")))</f>
        <v>SIM</v>
      </c>
      <c r="J286" s="13" t="s">
        <v>318</v>
      </c>
      <c r="K286" s="13"/>
    </row>
    <row r="287" customFormat="false" ht="15" hidden="false" customHeight="false" outlineLevel="0" collapsed="false">
      <c r="A287" s="15" t="s">
        <v>191</v>
      </c>
      <c r="B287" s="11" t="str">
        <f aca="false">INDEX(PRODUTOS!$E$4:$E$63,MATCH($A287,PRODUTOS!$B$4:$B$63,0))</f>
        <v>Sachê Natural Dots Livre de Trangênico Gato Carne 85 g</v>
      </c>
      <c r="C287" s="11" t="str">
        <f aca="false">INDEX(PRODUTOS!$H$4:$H$63,MATCH($A287,PRODUTOS!$B$4:$B$63,0))</f>
        <v>85 g</v>
      </c>
      <c r="D287" s="11" t="s">
        <v>321</v>
      </c>
      <c r="E287" s="16" t="str">
        <f aca="false">$A287&amp;"."&amp;$D287&amp;".jpg"</f>
        <v>7908591300390.AP04.jpg</v>
      </c>
      <c r="F287" s="11" t="str">
        <f aca="false">IF(INDEX(PRODUTOS!$I$4:$I$63,MATCH($A287,PRODUTOS!$B$4:$B$63,0))="B",INDEX(MODELOS!$F$4:$F$11,MATCH($D287,MODELOS!$A$4:$A$11,0)),INDEX(MODELOS!$B$4:$B$11,MATCH($D287,MODELOS!$A$4:$A$11,0)))</f>
        <v>Módulo 3 · Benefício 2 de 4</v>
      </c>
      <c r="G287" s="11" t="str">
        <f aca="false">IF(INDEX(PRODUTOS!$F$4:$F$63,MATCH($A287,PRODUTOS!$B$4:$B$63,0))="Ração",IF(INDEX(PRODUTOS!$I$4:$I$63,MATCH($A287,PRODUTOS!$B$4:$B$63,0))="B",INDEX(MODELOS!$G$4:$G$11,MATCH($D287,MODELOS!$A$4:$A$11,0)),INDEX(MODELOS!$C$4:$C$11,MATCH($D287,MODELOS!$A$4:$A$11,0))),IF(INDEX(PRODUTOS!$I$4:$I$63,MATCH($A287,PRODUTOS!$B$4:$B$63,0))="B",INDEX(MODELOS!$H$4:$H$11,MATCH($D287,MODELOS!$A$4:$A$11,0)),INDEX(MODELOS!$D$4:$D$11,MATCH($D287,MODELOS!$A$4:$A$11,0))))</f>
        <v>Foto/ilustração do benefício 2</v>
      </c>
      <c r="H287" s="11" t="str">
        <f aca="false">IF(INDEX(PRODUTOS!$I$4:$I$63,MATCH($A287,PRODUTOS!$B$4:$B$63,0))="B",INDEX(MODELOS!$I$4:$I$11,MATCH($D287,MODELOS!$A$4:$A$11,0)),INDEX(MODELOS!$E$4:$E$11,MATCH($D287,MODELOS!$A$4:$A$11,0)))</f>
        <v>220 × 200</v>
      </c>
      <c r="I287" s="11" t="str">
        <f aca="false">IF($D287="COMP","SIM",IF(INDEX(PRODUTOS!$J$4:$J$63,MATCH($A287,PRODUTOS!$B$4:$B$63,0))&lt;&gt;"","NÃO (usa o A+ do EAN "&amp;INDEX(PRODUTOS!$J$4:$J$63,MATCH($A287,PRODUTOS!$B$4:$B$63,0))&amp;")",IF(AND(INDEX(PRODUTOS!$I$4:$I$63,MATCH($A287,PRODUTOS!$B$4:$B$63,0))="B",$D287="AP07"),"NÃO (modelo B)","SIM")))</f>
        <v>SIM</v>
      </c>
      <c r="J287" s="13" t="s">
        <v>318</v>
      </c>
      <c r="K287" s="13"/>
    </row>
    <row r="288" customFormat="false" ht="15" hidden="false" customHeight="false" outlineLevel="0" collapsed="false">
      <c r="A288" s="15" t="s">
        <v>191</v>
      </c>
      <c r="B288" s="11" t="str">
        <f aca="false">INDEX(PRODUTOS!$E$4:$E$63,MATCH($A288,PRODUTOS!$B$4:$B$63,0))</f>
        <v>Sachê Natural Dots Livre de Trangênico Gato Carne 85 g</v>
      </c>
      <c r="C288" s="11" t="str">
        <f aca="false">INDEX(PRODUTOS!$H$4:$H$63,MATCH($A288,PRODUTOS!$B$4:$B$63,0))</f>
        <v>85 g</v>
      </c>
      <c r="D288" s="11" t="s">
        <v>322</v>
      </c>
      <c r="E288" s="16" t="str">
        <f aca="false">$A288&amp;"."&amp;$D288&amp;".jpg"</f>
        <v>7908591300390.AP05.jpg</v>
      </c>
      <c r="F288" s="11" t="str">
        <f aca="false">IF(INDEX(PRODUTOS!$I$4:$I$63,MATCH($A288,PRODUTOS!$B$4:$B$63,0))="B",INDEX(MODELOS!$F$4:$F$11,MATCH($D288,MODELOS!$A$4:$A$11,0)),INDEX(MODELOS!$B$4:$B$11,MATCH($D288,MODELOS!$A$4:$A$11,0)))</f>
        <v>Módulo 3 · Benefício 3 de 4</v>
      </c>
      <c r="G288" s="11" t="str">
        <f aca="false">IF(INDEX(PRODUTOS!$F$4:$F$63,MATCH($A288,PRODUTOS!$B$4:$B$63,0))="Ração",IF(INDEX(PRODUTOS!$I$4:$I$63,MATCH($A288,PRODUTOS!$B$4:$B$63,0))="B",INDEX(MODELOS!$G$4:$G$11,MATCH($D288,MODELOS!$A$4:$A$11,0)),INDEX(MODELOS!$C$4:$C$11,MATCH($D288,MODELOS!$A$4:$A$11,0))),IF(INDEX(PRODUTOS!$I$4:$I$63,MATCH($A288,PRODUTOS!$B$4:$B$63,0))="B",INDEX(MODELOS!$H$4:$H$11,MATCH($D288,MODELOS!$A$4:$A$11,0)),INDEX(MODELOS!$D$4:$D$11,MATCH($D288,MODELOS!$A$4:$A$11,0))))</f>
        <v>Foto/ilustração do benefício 3</v>
      </c>
      <c r="H288" s="11" t="str">
        <f aca="false">IF(INDEX(PRODUTOS!$I$4:$I$63,MATCH($A288,PRODUTOS!$B$4:$B$63,0))="B",INDEX(MODELOS!$I$4:$I$11,MATCH($D288,MODELOS!$A$4:$A$11,0)),INDEX(MODELOS!$E$4:$E$11,MATCH($D288,MODELOS!$A$4:$A$11,0)))</f>
        <v>220 × 200</v>
      </c>
      <c r="I288" s="11" t="str">
        <f aca="false">IF($D288="COMP","SIM",IF(INDEX(PRODUTOS!$J$4:$J$63,MATCH($A288,PRODUTOS!$B$4:$B$63,0))&lt;&gt;"","NÃO (usa o A+ do EAN "&amp;INDEX(PRODUTOS!$J$4:$J$63,MATCH($A288,PRODUTOS!$B$4:$B$63,0))&amp;")",IF(AND(INDEX(PRODUTOS!$I$4:$I$63,MATCH($A288,PRODUTOS!$B$4:$B$63,0))="B",$D288="AP07"),"NÃO (modelo B)","SIM")))</f>
        <v>SIM</v>
      </c>
      <c r="J288" s="13" t="s">
        <v>318</v>
      </c>
      <c r="K288" s="13"/>
    </row>
    <row r="289" customFormat="false" ht="15" hidden="false" customHeight="false" outlineLevel="0" collapsed="false">
      <c r="A289" s="15" t="s">
        <v>191</v>
      </c>
      <c r="B289" s="11" t="str">
        <f aca="false">INDEX(PRODUTOS!$E$4:$E$63,MATCH($A289,PRODUTOS!$B$4:$B$63,0))</f>
        <v>Sachê Natural Dots Livre de Trangênico Gato Carne 85 g</v>
      </c>
      <c r="C289" s="11" t="str">
        <f aca="false">INDEX(PRODUTOS!$H$4:$H$63,MATCH($A289,PRODUTOS!$B$4:$B$63,0))</f>
        <v>85 g</v>
      </c>
      <c r="D289" s="11" t="s">
        <v>323</v>
      </c>
      <c r="E289" s="16" t="str">
        <f aca="false">$A289&amp;"."&amp;$D289&amp;".jpg"</f>
        <v>7908591300390.AP06.jpg</v>
      </c>
      <c r="F289" s="11" t="str">
        <f aca="false">IF(INDEX(PRODUTOS!$I$4:$I$63,MATCH($A289,PRODUTOS!$B$4:$B$63,0))="B",INDEX(MODELOS!$F$4:$F$11,MATCH($D289,MODELOS!$A$4:$A$11,0)),INDEX(MODELOS!$B$4:$B$11,MATCH($D289,MODELOS!$A$4:$A$11,0)))</f>
        <v>Módulo 3 · Benefício 4 de 4</v>
      </c>
      <c r="G289" s="11" t="str">
        <f aca="false">IF(INDEX(PRODUTOS!$F$4:$F$63,MATCH($A289,PRODUTOS!$B$4:$B$63,0))="Ração",IF(INDEX(PRODUTOS!$I$4:$I$63,MATCH($A289,PRODUTOS!$B$4:$B$63,0))="B",INDEX(MODELOS!$G$4:$G$11,MATCH($D289,MODELOS!$A$4:$A$11,0)),INDEX(MODELOS!$C$4:$C$11,MATCH($D289,MODELOS!$A$4:$A$11,0))),IF(INDEX(PRODUTOS!$I$4:$I$63,MATCH($A289,PRODUTOS!$B$4:$B$63,0))="B",INDEX(MODELOS!$H$4:$H$11,MATCH($D289,MODELOS!$A$4:$A$11,0)),INDEX(MODELOS!$D$4:$D$11,MATCH($D289,MODELOS!$A$4:$A$11,0))))</f>
        <v>Foto/ilustração do benefício 4</v>
      </c>
      <c r="H289" s="11" t="str">
        <f aca="false">IF(INDEX(PRODUTOS!$I$4:$I$63,MATCH($A289,PRODUTOS!$B$4:$B$63,0))="B",INDEX(MODELOS!$I$4:$I$11,MATCH($D289,MODELOS!$A$4:$A$11,0)),INDEX(MODELOS!$E$4:$E$11,MATCH($D289,MODELOS!$A$4:$A$11,0)))</f>
        <v>220 × 200</v>
      </c>
      <c r="I289" s="11" t="str">
        <f aca="false">IF($D289="COMP","SIM",IF(INDEX(PRODUTOS!$J$4:$J$63,MATCH($A289,PRODUTOS!$B$4:$B$63,0))&lt;&gt;"","NÃO (usa o A+ do EAN "&amp;INDEX(PRODUTOS!$J$4:$J$63,MATCH($A289,PRODUTOS!$B$4:$B$63,0))&amp;")",IF(AND(INDEX(PRODUTOS!$I$4:$I$63,MATCH($A289,PRODUTOS!$B$4:$B$63,0))="B",$D289="AP07"),"NÃO (modelo B)","SIM")))</f>
        <v>SIM</v>
      </c>
      <c r="J289" s="13" t="s">
        <v>318</v>
      </c>
      <c r="K289" s="13"/>
    </row>
    <row r="290" customFormat="false" ht="15" hidden="false" customHeight="false" outlineLevel="0" collapsed="false">
      <c r="A290" s="15" t="s">
        <v>191</v>
      </c>
      <c r="B290" s="11" t="str">
        <f aca="false">INDEX(PRODUTOS!$E$4:$E$63,MATCH($A290,PRODUTOS!$B$4:$B$63,0))</f>
        <v>Sachê Natural Dots Livre de Trangênico Gato Carne 85 g</v>
      </c>
      <c r="C290" s="11" t="str">
        <f aca="false">INDEX(PRODUTOS!$H$4:$H$63,MATCH($A290,PRODUTOS!$B$4:$B$63,0))</f>
        <v>85 g</v>
      </c>
      <c r="D290" s="11" t="s">
        <v>324</v>
      </c>
      <c r="E290" s="16" t="str">
        <f aca="false">$A290&amp;"."&amp;$D290&amp;".jpg"</f>
        <v>7908591300390.AP07.jpg</v>
      </c>
      <c r="F290" s="11" t="str">
        <f aca="false">IF(INDEX(PRODUTOS!$I$4:$I$63,MATCH($A290,PRODUTOS!$B$4:$B$63,0))="B",INDEX(MODELOS!$F$4:$F$11,MATCH($D290,MODELOS!$A$4:$A$11,0)),INDEX(MODELOS!$B$4:$B$11,MATCH($D290,MODELOS!$A$4:$A$11,0)))</f>
        <v>Módulo 4 · Especificações</v>
      </c>
      <c r="G290" s="11" t="str">
        <f aca="false">IF(INDEX(PRODUTOS!$F$4:$F$63,MATCH($A290,PRODUTOS!$B$4:$B$63,0))="Ração",IF(INDEX(PRODUTOS!$I$4:$I$63,MATCH($A290,PRODUTOS!$B$4:$B$63,0))="B",INDEX(MODELOS!$G$4:$G$11,MATCH($D290,MODELOS!$A$4:$A$11,0)),INDEX(MODELOS!$C$4:$C$11,MATCH($D290,MODELOS!$A$4:$A$11,0))),IF(INDEX(PRODUTOS!$I$4:$I$63,MATCH($A290,PRODUTOS!$B$4:$B$63,0))="B",INDEX(MODELOS!$H$4:$H$11,MATCH($D290,MODELOS!$A$4:$A$11,0)),INDEX(MODELOS!$D$4:$D$11,MATCH($D290,MODELOS!$A$4:$A$11,0))))</f>
        <v>Grão ou pacote em destaque</v>
      </c>
      <c r="H290" s="11" t="str">
        <f aca="false">IF(INDEX(PRODUTOS!$I$4:$I$63,MATCH($A290,PRODUTOS!$B$4:$B$63,0))="B",INDEX(MODELOS!$I$4:$I$11,MATCH($D290,MODELOS!$A$4:$A$11,0)),INDEX(MODELOS!$E$4:$E$11,MATCH($D290,MODELOS!$A$4:$A$11,0)))</f>
        <v>300 × 300</v>
      </c>
      <c r="I290" s="11" t="str">
        <f aca="false">IF($D290="COMP","SIM",IF(INDEX(PRODUTOS!$J$4:$J$63,MATCH($A290,PRODUTOS!$B$4:$B$63,0))&lt;&gt;"","NÃO (usa o A+ do EAN "&amp;INDEX(PRODUTOS!$J$4:$J$63,MATCH($A290,PRODUTOS!$B$4:$B$63,0))&amp;")",IF(AND(INDEX(PRODUTOS!$I$4:$I$63,MATCH($A290,PRODUTOS!$B$4:$B$63,0))="B",$D290="AP07"),"NÃO (modelo B)","SIM")))</f>
        <v>SIM</v>
      </c>
      <c r="J290" s="13" t="s">
        <v>318</v>
      </c>
      <c r="K290" s="13"/>
    </row>
    <row r="291" customFormat="false" ht="15" hidden="false" customHeight="false" outlineLevel="0" collapsed="false">
      <c r="A291" s="15" t="s">
        <v>191</v>
      </c>
      <c r="B291" s="11" t="str">
        <f aca="false">INDEX(PRODUTOS!$E$4:$E$63,MATCH($A291,PRODUTOS!$B$4:$B$63,0))</f>
        <v>Sachê Natural Dots Livre de Trangênico Gato Carne 85 g</v>
      </c>
      <c r="C291" s="11" t="str">
        <f aca="false">INDEX(PRODUTOS!$H$4:$H$63,MATCH($A291,PRODUTOS!$B$4:$B$63,0))</f>
        <v>85 g</v>
      </c>
      <c r="D291" s="11" t="s">
        <v>325</v>
      </c>
      <c r="E291" s="16" t="str">
        <f aca="false">$A291&amp;"."&amp;$D291&amp;".jpg"</f>
        <v>7908591300390.COMP.jpg</v>
      </c>
      <c r="F291" s="11" t="str">
        <f aca="false">IF(INDEX(PRODUTOS!$I$4:$I$63,MATCH($A291,PRODUTOS!$B$4:$B$63,0))="B",INDEX(MODELOS!$F$4:$F$11,MATCH($D291,MODELOS!$A$4:$A$11,0)),INDEX(MODELOS!$B$4:$B$11,MATCH($D291,MODELOS!$A$4:$A$11,0)))</f>
        <v>Módulo 5 · Tabela comparativa</v>
      </c>
      <c r="G291" s="11" t="str">
        <f aca="false">IF(INDEX(PRODUTOS!$F$4:$F$63,MATCH($A291,PRODUTOS!$B$4:$B$63,0))="Ração",IF(INDEX(PRODUTOS!$I$4:$I$63,MATCH($A291,PRODUTOS!$B$4:$B$63,0))="B",INDEX(MODELOS!$G$4:$G$11,MATCH($D291,MODELOS!$A$4:$A$11,0)),INDEX(MODELOS!$C$4:$C$11,MATCH($D291,MODELOS!$A$4:$A$11,0))),IF(INDEX(PRODUTOS!$I$4:$I$63,MATCH($A291,PRODUTOS!$B$4:$B$63,0))="B",INDEX(MODELOS!$H$4:$H$11,MATCH($D291,MODELOS!$A$4:$A$11,0)),INDEX(MODELOS!$D$4:$D$11,MATCH($D291,MODELOS!$A$4:$A$11,0))))</f>
        <v>Pacote na vertical, sem fundo colorido</v>
      </c>
      <c r="H291" s="11" t="str">
        <f aca="false">IF(INDEX(PRODUTOS!$I$4:$I$63,MATCH($A291,PRODUTOS!$B$4:$B$63,0))="B",INDEX(MODELOS!$I$4:$I$11,MATCH($D291,MODELOS!$A$4:$A$11,0)),INDEX(MODELOS!$E$4:$E$11,MATCH($D291,MODELOS!$A$4:$A$11,0)))</f>
        <v>150 × 300</v>
      </c>
      <c r="I291" s="11" t="str">
        <f aca="false">IF($D291="COMP","SIM",IF(INDEX(PRODUTOS!$J$4:$J$63,MATCH($A291,PRODUTOS!$B$4:$B$63,0))&lt;&gt;"","NÃO (usa o A+ do EAN "&amp;INDEX(PRODUTOS!$J$4:$J$63,MATCH($A291,PRODUTOS!$B$4:$B$63,0))&amp;")",IF(AND(INDEX(PRODUTOS!$I$4:$I$63,MATCH($A291,PRODUTOS!$B$4:$B$63,0))="B",$D291="AP07"),"NÃO (modelo B)","SIM")))</f>
        <v>SIM</v>
      </c>
      <c r="J291" s="13" t="s">
        <v>318</v>
      </c>
      <c r="K291" s="13"/>
    </row>
    <row r="292" customFormat="false" ht="15" hidden="false" customHeight="false" outlineLevel="0" collapsed="false">
      <c r="A292" s="15" t="s">
        <v>195</v>
      </c>
      <c r="B292" s="11" t="str">
        <f aca="false">INDEX(PRODUTOS!$E$4:$E$63,MATCH($A292,PRODUTOS!$B$4:$B$63,0))</f>
        <v>Sachê Natural Dots para Gatos Sabor Salmão 85 g - Livre de Transgênicos</v>
      </c>
      <c r="C292" s="11" t="str">
        <f aca="false">INDEX(PRODUTOS!$H$4:$H$63,MATCH($A292,PRODUTOS!$B$4:$B$63,0))</f>
        <v>85 g</v>
      </c>
      <c r="D292" s="11" t="s">
        <v>317</v>
      </c>
      <c r="E292" s="16" t="str">
        <f aca="false">$A292&amp;"."&amp;$D292&amp;".jpg"</f>
        <v>7908591300673.AP01.jpg</v>
      </c>
      <c r="F292" s="11" t="str">
        <f aca="false">IF(INDEX(PRODUTOS!$I$4:$I$63,MATCH($A292,PRODUTOS!$B$4:$B$63,0))="B",INDEX(MODELOS!$F$4:$F$11,MATCH($D292,MODELOS!$A$4:$A$11,0)),INDEX(MODELOS!$B$4:$B$11,MATCH($D292,MODELOS!$A$4:$A$11,0)))</f>
        <v>Módulo 1 · Banner</v>
      </c>
      <c r="G292" s="11" t="str">
        <f aca="false">IF(INDEX(PRODUTOS!$F$4:$F$63,MATCH($A292,PRODUTOS!$B$4:$B$63,0))="Ração",IF(INDEX(PRODUTOS!$I$4:$I$63,MATCH($A292,PRODUTOS!$B$4:$B$63,0))="B",INDEX(MODELOS!$G$4:$G$11,MATCH($D292,MODELOS!$A$4:$A$11,0)),INDEX(MODELOS!$C$4:$C$11,MATCH($D292,MODELOS!$A$4:$A$11,0))),IF(INDEX(PRODUTOS!$I$4:$I$63,MATCH($A292,PRODUTOS!$B$4:$B$63,0))="B",INDEX(MODELOS!$H$4:$H$11,MATCH($D292,MODELOS!$A$4:$A$11,0)),INDEX(MODELOS!$D$4:$D$11,MATCH($D292,MODELOS!$A$4:$A$11,0))))</f>
        <v>Embalagem + pet + ingredientes, com o nome da linha</v>
      </c>
      <c r="H292" s="11" t="str">
        <f aca="false">IF(INDEX(PRODUTOS!$I$4:$I$63,MATCH($A292,PRODUTOS!$B$4:$B$63,0))="B",INDEX(MODELOS!$I$4:$I$11,MATCH($D292,MODELOS!$A$4:$A$11,0)),INDEX(MODELOS!$E$4:$E$11,MATCH($D292,MODELOS!$A$4:$A$11,0)))</f>
        <v>970 × 600</v>
      </c>
      <c r="I292" s="11" t="str">
        <f aca="false">IF($D292="COMP","SIM",IF(INDEX(PRODUTOS!$J$4:$J$63,MATCH($A292,PRODUTOS!$B$4:$B$63,0))&lt;&gt;"","NÃO (usa o A+ do EAN "&amp;INDEX(PRODUTOS!$J$4:$J$63,MATCH($A292,PRODUTOS!$B$4:$B$63,0))&amp;")",IF(AND(INDEX(PRODUTOS!$I$4:$I$63,MATCH($A292,PRODUTOS!$B$4:$B$63,0))="B",$D292="AP07"),"NÃO (modelo B)","SIM")))</f>
        <v>SIM</v>
      </c>
      <c r="J292" s="13" t="s">
        <v>318</v>
      </c>
      <c r="K292" s="13"/>
    </row>
    <row r="293" customFormat="false" ht="15" hidden="false" customHeight="false" outlineLevel="0" collapsed="false">
      <c r="A293" s="15" t="s">
        <v>195</v>
      </c>
      <c r="B293" s="11" t="str">
        <f aca="false">INDEX(PRODUTOS!$E$4:$E$63,MATCH($A293,PRODUTOS!$B$4:$B$63,0))</f>
        <v>Sachê Natural Dots para Gatos Sabor Salmão 85 g - Livre de Transgênicos</v>
      </c>
      <c r="C293" s="11" t="str">
        <f aca="false">INDEX(PRODUTOS!$H$4:$H$63,MATCH($A293,PRODUTOS!$B$4:$B$63,0))</f>
        <v>85 g</v>
      </c>
      <c r="D293" s="11" t="s">
        <v>319</v>
      </c>
      <c r="E293" s="16" t="str">
        <f aca="false">$A293&amp;"."&amp;$D293&amp;".jpg"</f>
        <v>7908591300673.AP02.jpg</v>
      </c>
      <c r="F293" s="11" t="str">
        <f aca="false">IF(INDEX(PRODUTOS!$I$4:$I$63,MATCH($A293,PRODUTOS!$B$4:$B$63,0))="B",INDEX(MODELOS!$F$4:$F$11,MATCH($D293,MODELOS!$A$4:$A$11,0)),INDEX(MODELOS!$B$4:$B$11,MATCH($D293,MODELOS!$A$4:$A$11,0)))</f>
        <v>Módulo 2 · Texto sobreposto</v>
      </c>
      <c r="G293" s="11" t="str">
        <f aca="false">IF(INDEX(PRODUTOS!$F$4:$F$63,MATCH($A293,PRODUTOS!$B$4:$B$63,0))="Ração",IF(INDEX(PRODUTOS!$I$4:$I$63,MATCH($A293,PRODUTOS!$B$4:$B$63,0))="B",INDEX(MODELOS!$G$4:$G$11,MATCH($D293,MODELOS!$A$4:$A$11,0)),INDEX(MODELOS!$C$4:$C$11,MATCH($D293,MODELOS!$A$4:$A$11,0))),IF(INDEX(PRODUTOS!$I$4:$I$63,MATCH($A293,PRODUTOS!$B$4:$B$63,0))="B",INDEX(MODELOS!$H$4:$H$11,MATCH($D293,MODELOS!$A$4:$A$11,0)),INDEX(MODELOS!$D$4:$D$11,MATCH($D293,MODELOS!$A$4:$A$11,0))))</f>
        <v>Principal diferencial; deixar o lado direito limpo</v>
      </c>
      <c r="H293" s="11" t="str">
        <f aca="false">IF(INDEX(PRODUTOS!$I$4:$I$63,MATCH($A293,PRODUTOS!$B$4:$B$63,0))="B",INDEX(MODELOS!$I$4:$I$11,MATCH($D293,MODELOS!$A$4:$A$11,0)),INDEX(MODELOS!$E$4:$E$11,MATCH($D293,MODELOS!$A$4:$A$11,0)))</f>
        <v>970 × 300</v>
      </c>
      <c r="I293" s="11" t="str">
        <f aca="false">IF($D293="COMP","SIM",IF(INDEX(PRODUTOS!$J$4:$J$63,MATCH($A293,PRODUTOS!$B$4:$B$63,0))&lt;&gt;"","NÃO (usa o A+ do EAN "&amp;INDEX(PRODUTOS!$J$4:$J$63,MATCH($A293,PRODUTOS!$B$4:$B$63,0))&amp;")",IF(AND(INDEX(PRODUTOS!$I$4:$I$63,MATCH($A293,PRODUTOS!$B$4:$B$63,0))="B",$D293="AP07"),"NÃO (modelo B)","SIM")))</f>
        <v>SIM</v>
      </c>
      <c r="J293" s="13" t="s">
        <v>318</v>
      </c>
      <c r="K293" s="13"/>
    </row>
    <row r="294" customFormat="false" ht="15" hidden="false" customHeight="false" outlineLevel="0" collapsed="false">
      <c r="A294" s="15" t="s">
        <v>195</v>
      </c>
      <c r="B294" s="11" t="str">
        <f aca="false">INDEX(PRODUTOS!$E$4:$E$63,MATCH($A294,PRODUTOS!$B$4:$B$63,0))</f>
        <v>Sachê Natural Dots para Gatos Sabor Salmão 85 g - Livre de Transgênicos</v>
      </c>
      <c r="C294" s="11" t="str">
        <f aca="false">INDEX(PRODUTOS!$H$4:$H$63,MATCH($A294,PRODUTOS!$B$4:$B$63,0))</f>
        <v>85 g</v>
      </c>
      <c r="D294" s="11" t="s">
        <v>320</v>
      </c>
      <c r="E294" s="16" t="str">
        <f aca="false">$A294&amp;"."&amp;$D294&amp;".jpg"</f>
        <v>7908591300673.AP03.jpg</v>
      </c>
      <c r="F294" s="11" t="str">
        <f aca="false">IF(INDEX(PRODUTOS!$I$4:$I$63,MATCH($A294,PRODUTOS!$B$4:$B$63,0))="B",INDEX(MODELOS!$F$4:$F$11,MATCH($D294,MODELOS!$A$4:$A$11,0)),INDEX(MODELOS!$B$4:$B$11,MATCH($D294,MODELOS!$A$4:$A$11,0)))</f>
        <v>Módulo 3 · Benefício 1 de 4</v>
      </c>
      <c r="G294" s="11" t="str">
        <f aca="false">IF(INDEX(PRODUTOS!$F$4:$F$63,MATCH($A294,PRODUTOS!$B$4:$B$63,0))="Ração",IF(INDEX(PRODUTOS!$I$4:$I$63,MATCH($A294,PRODUTOS!$B$4:$B$63,0))="B",INDEX(MODELOS!$G$4:$G$11,MATCH($D294,MODELOS!$A$4:$A$11,0)),INDEX(MODELOS!$C$4:$C$11,MATCH($D294,MODELOS!$A$4:$A$11,0))),IF(INDEX(PRODUTOS!$I$4:$I$63,MATCH($A294,PRODUTOS!$B$4:$B$63,0))="B",INDEX(MODELOS!$H$4:$H$11,MATCH($D294,MODELOS!$A$4:$A$11,0)),INDEX(MODELOS!$D$4:$D$11,MATCH($D294,MODELOS!$A$4:$A$11,0))))</f>
        <v>Foto/ilustração do benefício 1</v>
      </c>
      <c r="H294" s="11" t="str">
        <f aca="false">IF(INDEX(PRODUTOS!$I$4:$I$63,MATCH($A294,PRODUTOS!$B$4:$B$63,0))="B",INDEX(MODELOS!$I$4:$I$11,MATCH($D294,MODELOS!$A$4:$A$11,0)),INDEX(MODELOS!$E$4:$E$11,MATCH($D294,MODELOS!$A$4:$A$11,0)))</f>
        <v>220 × 200</v>
      </c>
      <c r="I294" s="11" t="str">
        <f aca="false">IF($D294="COMP","SIM",IF(INDEX(PRODUTOS!$J$4:$J$63,MATCH($A294,PRODUTOS!$B$4:$B$63,0))&lt;&gt;"","NÃO (usa o A+ do EAN "&amp;INDEX(PRODUTOS!$J$4:$J$63,MATCH($A294,PRODUTOS!$B$4:$B$63,0))&amp;")",IF(AND(INDEX(PRODUTOS!$I$4:$I$63,MATCH($A294,PRODUTOS!$B$4:$B$63,0))="B",$D294="AP07"),"NÃO (modelo B)","SIM")))</f>
        <v>SIM</v>
      </c>
      <c r="J294" s="13" t="s">
        <v>318</v>
      </c>
      <c r="K294" s="13"/>
    </row>
    <row r="295" customFormat="false" ht="15" hidden="false" customHeight="false" outlineLevel="0" collapsed="false">
      <c r="A295" s="15" t="s">
        <v>195</v>
      </c>
      <c r="B295" s="11" t="str">
        <f aca="false">INDEX(PRODUTOS!$E$4:$E$63,MATCH($A295,PRODUTOS!$B$4:$B$63,0))</f>
        <v>Sachê Natural Dots para Gatos Sabor Salmão 85 g - Livre de Transgênicos</v>
      </c>
      <c r="C295" s="11" t="str">
        <f aca="false">INDEX(PRODUTOS!$H$4:$H$63,MATCH($A295,PRODUTOS!$B$4:$B$63,0))</f>
        <v>85 g</v>
      </c>
      <c r="D295" s="11" t="s">
        <v>321</v>
      </c>
      <c r="E295" s="16" t="str">
        <f aca="false">$A295&amp;"."&amp;$D295&amp;".jpg"</f>
        <v>7908591300673.AP04.jpg</v>
      </c>
      <c r="F295" s="11" t="str">
        <f aca="false">IF(INDEX(PRODUTOS!$I$4:$I$63,MATCH($A295,PRODUTOS!$B$4:$B$63,0))="B",INDEX(MODELOS!$F$4:$F$11,MATCH($D295,MODELOS!$A$4:$A$11,0)),INDEX(MODELOS!$B$4:$B$11,MATCH($D295,MODELOS!$A$4:$A$11,0)))</f>
        <v>Módulo 3 · Benefício 2 de 4</v>
      </c>
      <c r="G295" s="11" t="str">
        <f aca="false">IF(INDEX(PRODUTOS!$F$4:$F$63,MATCH($A295,PRODUTOS!$B$4:$B$63,0))="Ração",IF(INDEX(PRODUTOS!$I$4:$I$63,MATCH($A295,PRODUTOS!$B$4:$B$63,0))="B",INDEX(MODELOS!$G$4:$G$11,MATCH($D295,MODELOS!$A$4:$A$11,0)),INDEX(MODELOS!$C$4:$C$11,MATCH($D295,MODELOS!$A$4:$A$11,0))),IF(INDEX(PRODUTOS!$I$4:$I$63,MATCH($A295,PRODUTOS!$B$4:$B$63,0))="B",INDEX(MODELOS!$H$4:$H$11,MATCH($D295,MODELOS!$A$4:$A$11,0)),INDEX(MODELOS!$D$4:$D$11,MATCH($D295,MODELOS!$A$4:$A$11,0))))</f>
        <v>Foto/ilustração do benefício 2</v>
      </c>
      <c r="H295" s="11" t="str">
        <f aca="false">IF(INDEX(PRODUTOS!$I$4:$I$63,MATCH($A295,PRODUTOS!$B$4:$B$63,0))="B",INDEX(MODELOS!$I$4:$I$11,MATCH($D295,MODELOS!$A$4:$A$11,0)),INDEX(MODELOS!$E$4:$E$11,MATCH($D295,MODELOS!$A$4:$A$11,0)))</f>
        <v>220 × 200</v>
      </c>
      <c r="I295" s="11" t="str">
        <f aca="false">IF($D295="COMP","SIM",IF(INDEX(PRODUTOS!$J$4:$J$63,MATCH($A295,PRODUTOS!$B$4:$B$63,0))&lt;&gt;"","NÃO (usa o A+ do EAN "&amp;INDEX(PRODUTOS!$J$4:$J$63,MATCH($A295,PRODUTOS!$B$4:$B$63,0))&amp;")",IF(AND(INDEX(PRODUTOS!$I$4:$I$63,MATCH($A295,PRODUTOS!$B$4:$B$63,0))="B",$D295="AP07"),"NÃO (modelo B)","SIM")))</f>
        <v>SIM</v>
      </c>
      <c r="J295" s="13" t="s">
        <v>318</v>
      </c>
      <c r="K295" s="13"/>
    </row>
    <row r="296" customFormat="false" ht="15" hidden="false" customHeight="false" outlineLevel="0" collapsed="false">
      <c r="A296" s="15" t="s">
        <v>195</v>
      </c>
      <c r="B296" s="11" t="str">
        <f aca="false">INDEX(PRODUTOS!$E$4:$E$63,MATCH($A296,PRODUTOS!$B$4:$B$63,0))</f>
        <v>Sachê Natural Dots para Gatos Sabor Salmão 85 g - Livre de Transgênicos</v>
      </c>
      <c r="C296" s="11" t="str">
        <f aca="false">INDEX(PRODUTOS!$H$4:$H$63,MATCH($A296,PRODUTOS!$B$4:$B$63,0))</f>
        <v>85 g</v>
      </c>
      <c r="D296" s="11" t="s">
        <v>322</v>
      </c>
      <c r="E296" s="16" t="str">
        <f aca="false">$A296&amp;"."&amp;$D296&amp;".jpg"</f>
        <v>7908591300673.AP05.jpg</v>
      </c>
      <c r="F296" s="11" t="str">
        <f aca="false">IF(INDEX(PRODUTOS!$I$4:$I$63,MATCH($A296,PRODUTOS!$B$4:$B$63,0))="B",INDEX(MODELOS!$F$4:$F$11,MATCH($D296,MODELOS!$A$4:$A$11,0)),INDEX(MODELOS!$B$4:$B$11,MATCH($D296,MODELOS!$A$4:$A$11,0)))</f>
        <v>Módulo 3 · Benefício 3 de 4</v>
      </c>
      <c r="G296" s="11" t="str">
        <f aca="false">IF(INDEX(PRODUTOS!$F$4:$F$63,MATCH($A296,PRODUTOS!$B$4:$B$63,0))="Ração",IF(INDEX(PRODUTOS!$I$4:$I$63,MATCH($A296,PRODUTOS!$B$4:$B$63,0))="B",INDEX(MODELOS!$G$4:$G$11,MATCH($D296,MODELOS!$A$4:$A$11,0)),INDEX(MODELOS!$C$4:$C$11,MATCH($D296,MODELOS!$A$4:$A$11,0))),IF(INDEX(PRODUTOS!$I$4:$I$63,MATCH($A296,PRODUTOS!$B$4:$B$63,0))="B",INDEX(MODELOS!$H$4:$H$11,MATCH($D296,MODELOS!$A$4:$A$11,0)),INDEX(MODELOS!$D$4:$D$11,MATCH($D296,MODELOS!$A$4:$A$11,0))))</f>
        <v>Foto/ilustração do benefício 3</v>
      </c>
      <c r="H296" s="11" t="str">
        <f aca="false">IF(INDEX(PRODUTOS!$I$4:$I$63,MATCH($A296,PRODUTOS!$B$4:$B$63,0))="B",INDEX(MODELOS!$I$4:$I$11,MATCH($D296,MODELOS!$A$4:$A$11,0)),INDEX(MODELOS!$E$4:$E$11,MATCH($D296,MODELOS!$A$4:$A$11,0)))</f>
        <v>220 × 200</v>
      </c>
      <c r="I296" s="11" t="str">
        <f aca="false">IF($D296="COMP","SIM",IF(INDEX(PRODUTOS!$J$4:$J$63,MATCH($A296,PRODUTOS!$B$4:$B$63,0))&lt;&gt;"","NÃO (usa o A+ do EAN "&amp;INDEX(PRODUTOS!$J$4:$J$63,MATCH($A296,PRODUTOS!$B$4:$B$63,0))&amp;")",IF(AND(INDEX(PRODUTOS!$I$4:$I$63,MATCH($A296,PRODUTOS!$B$4:$B$63,0))="B",$D296="AP07"),"NÃO (modelo B)","SIM")))</f>
        <v>SIM</v>
      </c>
      <c r="J296" s="13" t="s">
        <v>318</v>
      </c>
      <c r="K296" s="13"/>
    </row>
    <row r="297" customFormat="false" ht="15" hidden="false" customHeight="false" outlineLevel="0" collapsed="false">
      <c r="A297" s="15" t="s">
        <v>195</v>
      </c>
      <c r="B297" s="11" t="str">
        <f aca="false">INDEX(PRODUTOS!$E$4:$E$63,MATCH($A297,PRODUTOS!$B$4:$B$63,0))</f>
        <v>Sachê Natural Dots para Gatos Sabor Salmão 85 g - Livre de Transgênicos</v>
      </c>
      <c r="C297" s="11" t="str">
        <f aca="false">INDEX(PRODUTOS!$H$4:$H$63,MATCH($A297,PRODUTOS!$B$4:$B$63,0))</f>
        <v>85 g</v>
      </c>
      <c r="D297" s="11" t="s">
        <v>323</v>
      </c>
      <c r="E297" s="16" t="str">
        <f aca="false">$A297&amp;"."&amp;$D297&amp;".jpg"</f>
        <v>7908591300673.AP06.jpg</v>
      </c>
      <c r="F297" s="11" t="str">
        <f aca="false">IF(INDEX(PRODUTOS!$I$4:$I$63,MATCH($A297,PRODUTOS!$B$4:$B$63,0))="B",INDEX(MODELOS!$F$4:$F$11,MATCH($D297,MODELOS!$A$4:$A$11,0)),INDEX(MODELOS!$B$4:$B$11,MATCH($D297,MODELOS!$A$4:$A$11,0)))</f>
        <v>Módulo 3 · Benefício 4 de 4</v>
      </c>
      <c r="G297" s="11" t="str">
        <f aca="false">IF(INDEX(PRODUTOS!$F$4:$F$63,MATCH($A297,PRODUTOS!$B$4:$B$63,0))="Ração",IF(INDEX(PRODUTOS!$I$4:$I$63,MATCH($A297,PRODUTOS!$B$4:$B$63,0))="B",INDEX(MODELOS!$G$4:$G$11,MATCH($D297,MODELOS!$A$4:$A$11,0)),INDEX(MODELOS!$C$4:$C$11,MATCH($D297,MODELOS!$A$4:$A$11,0))),IF(INDEX(PRODUTOS!$I$4:$I$63,MATCH($A297,PRODUTOS!$B$4:$B$63,0))="B",INDEX(MODELOS!$H$4:$H$11,MATCH($D297,MODELOS!$A$4:$A$11,0)),INDEX(MODELOS!$D$4:$D$11,MATCH($D297,MODELOS!$A$4:$A$11,0))))</f>
        <v>Foto/ilustração do benefício 4</v>
      </c>
      <c r="H297" s="11" t="str">
        <f aca="false">IF(INDEX(PRODUTOS!$I$4:$I$63,MATCH($A297,PRODUTOS!$B$4:$B$63,0))="B",INDEX(MODELOS!$I$4:$I$11,MATCH($D297,MODELOS!$A$4:$A$11,0)),INDEX(MODELOS!$E$4:$E$11,MATCH($D297,MODELOS!$A$4:$A$11,0)))</f>
        <v>220 × 200</v>
      </c>
      <c r="I297" s="11" t="str">
        <f aca="false">IF($D297="COMP","SIM",IF(INDEX(PRODUTOS!$J$4:$J$63,MATCH($A297,PRODUTOS!$B$4:$B$63,0))&lt;&gt;"","NÃO (usa o A+ do EAN "&amp;INDEX(PRODUTOS!$J$4:$J$63,MATCH($A297,PRODUTOS!$B$4:$B$63,0))&amp;")",IF(AND(INDEX(PRODUTOS!$I$4:$I$63,MATCH($A297,PRODUTOS!$B$4:$B$63,0))="B",$D297="AP07"),"NÃO (modelo B)","SIM")))</f>
        <v>SIM</v>
      </c>
      <c r="J297" s="13" t="s">
        <v>318</v>
      </c>
      <c r="K297" s="13"/>
    </row>
    <row r="298" customFormat="false" ht="15" hidden="false" customHeight="false" outlineLevel="0" collapsed="false">
      <c r="A298" s="15" t="s">
        <v>195</v>
      </c>
      <c r="B298" s="11" t="str">
        <f aca="false">INDEX(PRODUTOS!$E$4:$E$63,MATCH($A298,PRODUTOS!$B$4:$B$63,0))</f>
        <v>Sachê Natural Dots para Gatos Sabor Salmão 85 g - Livre de Transgênicos</v>
      </c>
      <c r="C298" s="11" t="str">
        <f aca="false">INDEX(PRODUTOS!$H$4:$H$63,MATCH($A298,PRODUTOS!$B$4:$B$63,0))</f>
        <v>85 g</v>
      </c>
      <c r="D298" s="11" t="s">
        <v>324</v>
      </c>
      <c r="E298" s="16" t="str">
        <f aca="false">$A298&amp;"."&amp;$D298&amp;".jpg"</f>
        <v>7908591300673.AP07.jpg</v>
      </c>
      <c r="F298" s="11" t="str">
        <f aca="false">IF(INDEX(PRODUTOS!$I$4:$I$63,MATCH($A298,PRODUTOS!$B$4:$B$63,0))="B",INDEX(MODELOS!$F$4:$F$11,MATCH($D298,MODELOS!$A$4:$A$11,0)),INDEX(MODELOS!$B$4:$B$11,MATCH($D298,MODELOS!$A$4:$A$11,0)))</f>
        <v>Módulo 4 · Especificações</v>
      </c>
      <c r="G298" s="11" t="str">
        <f aca="false">IF(INDEX(PRODUTOS!$F$4:$F$63,MATCH($A298,PRODUTOS!$B$4:$B$63,0))="Ração",IF(INDEX(PRODUTOS!$I$4:$I$63,MATCH($A298,PRODUTOS!$B$4:$B$63,0))="B",INDEX(MODELOS!$G$4:$G$11,MATCH($D298,MODELOS!$A$4:$A$11,0)),INDEX(MODELOS!$C$4:$C$11,MATCH($D298,MODELOS!$A$4:$A$11,0))),IF(INDEX(PRODUTOS!$I$4:$I$63,MATCH($A298,PRODUTOS!$B$4:$B$63,0))="B",INDEX(MODELOS!$H$4:$H$11,MATCH($D298,MODELOS!$A$4:$A$11,0)),INDEX(MODELOS!$D$4:$D$11,MATCH($D298,MODELOS!$A$4:$A$11,0))))</f>
        <v>Grão ou pacote em destaque</v>
      </c>
      <c r="H298" s="11" t="str">
        <f aca="false">IF(INDEX(PRODUTOS!$I$4:$I$63,MATCH($A298,PRODUTOS!$B$4:$B$63,0))="B",INDEX(MODELOS!$I$4:$I$11,MATCH($D298,MODELOS!$A$4:$A$11,0)),INDEX(MODELOS!$E$4:$E$11,MATCH($D298,MODELOS!$A$4:$A$11,0)))</f>
        <v>300 × 300</v>
      </c>
      <c r="I298" s="11" t="str">
        <f aca="false">IF($D298="COMP","SIM",IF(INDEX(PRODUTOS!$J$4:$J$63,MATCH($A298,PRODUTOS!$B$4:$B$63,0))&lt;&gt;"","NÃO (usa o A+ do EAN "&amp;INDEX(PRODUTOS!$J$4:$J$63,MATCH($A298,PRODUTOS!$B$4:$B$63,0))&amp;")",IF(AND(INDEX(PRODUTOS!$I$4:$I$63,MATCH($A298,PRODUTOS!$B$4:$B$63,0))="B",$D298="AP07"),"NÃO (modelo B)","SIM")))</f>
        <v>SIM</v>
      </c>
      <c r="J298" s="13" t="s">
        <v>318</v>
      </c>
      <c r="K298" s="13"/>
    </row>
    <row r="299" customFormat="false" ht="15" hidden="false" customHeight="false" outlineLevel="0" collapsed="false">
      <c r="A299" s="15" t="s">
        <v>195</v>
      </c>
      <c r="B299" s="11" t="str">
        <f aca="false">INDEX(PRODUTOS!$E$4:$E$63,MATCH($A299,PRODUTOS!$B$4:$B$63,0))</f>
        <v>Sachê Natural Dots para Gatos Sabor Salmão 85 g - Livre de Transgênicos</v>
      </c>
      <c r="C299" s="11" t="str">
        <f aca="false">INDEX(PRODUTOS!$H$4:$H$63,MATCH($A299,PRODUTOS!$B$4:$B$63,0))</f>
        <v>85 g</v>
      </c>
      <c r="D299" s="11" t="s">
        <v>325</v>
      </c>
      <c r="E299" s="16" t="str">
        <f aca="false">$A299&amp;"."&amp;$D299&amp;".jpg"</f>
        <v>7908591300673.COMP.jpg</v>
      </c>
      <c r="F299" s="11" t="str">
        <f aca="false">IF(INDEX(PRODUTOS!$I$4:$I$63,MATCH($A299,PRODUTOS!$B$4:$B$63,0))="B",INDEX(MODELOS!$F$4:$F$11,MATCH($D299,MODELOS!$A$4:$A$11,0)),INDEX(MODELOS!$B$4:$B$11,MATCH($D299,MODELOS!$A$4:$A$11,0)))</f>
        <v>Módulo 5 · Tabela comparativa</v>
      </c>
      <c r="G299" s="11" t="str">
        <f aca="false">IF(INDEX(PRODUTOS!$F$4:$F$63,MATCH($A299,PRODUTOS!$B$4:$B$63,0))="Ração",IF(INDEX(PRODUTOS!$I$4:$I$63,MATCH($A299,PRODUTOS!$B$4:$B$63,0))="B",INDEX(MODELOS!$G$4:$G$11,MATCH($D299,MODELOS!$A$4:$A$11,0)),INDEX(MODELOS!$C$4:$C$11,MATCH($D299,MODELOS!$A$4:$A$11,0))),IF(INDEX(PRODUTOS!$I$4:$I$63,MATCH($A299,PRODUTOS!$B$4:$B$63,0))="B",INDEX(MODELOS!$H$4:$H$11,MATCH($D299,MODELOS!$A$4:$A$11,0)),INDEX(MODELOS!$D$4:$D$11,MATCH($D299,MODELOS!$A$4:$A$11,0))))</f>
        <v>Pacote na vertical, sem fundo colorido</v>
      </c>
      <c r="H299" s="11" t="str">
        <f aca="false">IF(INDEX(PRODUTOS!$I$4:$I$63,MATCH($A299,PRODUTOS!$B$4:$B$63,0))="B",INDEX(MODELOS!$I$4:$I$11,MATCH($D299,MODELOS!$A$4:$A$11,0)),INDEX(MODELOS!$E$4:$E$11,MATCH($D299,MODELOS!$A$4:$A$11,0)))</f>
        <v>150 × 300</v>
      </c>
      <c r="I299" s="11" t="str">
        <f aca="false">IF($D299="COMP","SIM",IF(INDEX(PRODUTOS!$J$4:$J$63,MATCH($A299,PRODUTOS!$B$4:$B$63,0))&lt;&gt;"","NÃO (usa o A+ do EAN "&amp;INDEX(PRODUTOS!$J$4:$J$63,MATCH($A299,PRODUTOS!$B$4:$B$63,0))&amp;")",IF(AND(INDEX(PRODUTOS!$I$4:$I$63,MATCH($A299,PRODUTOS!$B$4:$B$63,0))="B",$D299="AP07"),"NÃO (modelo B)","SIM")))</f>
        <v>SIM</v>
      </c>
      <c r="J299" s="13" t="s">
        <v>318</v>
      </c>
      <c r="K299" s="13"/>
    </row>
    <row r="300" customFormat="false" ht="15" hidden="false" customHeight="false" outlineLevel="0" collapsed="false">
      <c r="A300" s="15" t="s">
        <v>199</v>
      </c>
      <c r="B300" s="11" t="str">
        <f aca="false">INDEX(PRODUTOS!$E$4:$E$63,MATCH($A300,PRODUTOS!$B$4:$B$63,0))</f>
        <v>Bifinhos New Dots Cães Carne, Vegetais e Cereais 50 g</v>
      </c>
      <c r="C300" s="11" t="str">
        <f aca="false">INDEX(PRODUTOS!$H$4:$H$63,MATCH($A300,PRODUTOS!$B$4:$B$63,0))</f>
        <v>50 g</v>
      </c>
      <c r="D300" s="11" t="s">
        <v>317</v>
      </c>
      <c r="E300" s="16" t="str">
        <f aca="false">$A300&amp;"."&amp;$D300&amp;".jpg"</f>
        <v>7898968541887.AP01.jpg</v>
      </c>
      <c r="F300" s="11" t="str">
        <f aca="false">IF(INDEX(PRODUTOS!$I$4:$I$63,MATCH($A300,PRODUTOS!$B$4:$B$63,0))="B",INDEX(MODELOS!$F$4:$F$11,MATCH($D300,MODELOS!$A$4:$A$11,0)),INDEX(MODELOS!$B$4:$B$11,MATCH($D300,MODELOS!$A$4:$A$11,0)))</f>
        <v>Módulo 1 · Banner</v>
      </c>
      <c r="G300" s="11" t="str">
        <f aca="false">IF(INDEX(PRODUTOS!$F$4:$F$63,MATCH($A300,PRODUTOS!$B$4:$B$63,0))="Ração",IF(INDEX(PRODUTOS!$I$4:$I$63,MATCH($A300,PRODUTOS!$B$4:$B$63,0))="B",INDEX(MODELOS!$G$4:$G$11,MATCH($D300,MODELOS!$A$4:$A$11,0)),INDEX(MODELOS!$C$4:$C$11,MATCH($D300,MODELOS!$A$4:$A$11,0))),IF(INDEX(PRODUTOS!$I$4:$I$63,MATCH($A300,PRODUTOS!$B$4:$B$63,0))="B",INDEX(MODELOS!$H$4:$H$11,MATCH($D300,MODELOS!$A$4:$A$11,0)),INDEX(MODELOS!$D$4:$D$11,MATCH($D300,MODELOS!$A$4:$A$11,0))))</f>
        <v>Produto + pet, com o nome da linha</v>
      </c>
      <c r="H300" s="11" t="str">
        <f aca="false">IF(INDEX(PRODUTOS!$I$4:$I$63,MATCH($A300,PRODUTOS!$B$4:$B$63,0))="B",INDEX(MODELOS!$I$4:$I$11,MATCH($D300,MODELOS!$A$4:$A$11,0)),INDEX(MODELOS!$E$4:$E$11,MATCH($D300,MODELOS!$A$4:$A$11,0)))</f>
        <v>970 × 600</v>
      </c>
      <c r="I300" s="11" t="str">
        <f aca="false">IF($D300="COMP","SIM",IF(INDEX(PRODUTOS!$J$4:$J$63,MATCH($A300,PRODUTOS!$B$4:$B$63,0))&lt;&gt;"","NÃO (usa o A+ do EAN "&amp;INDEX(PRODUTOS!$J$4:$J$63,MATCH($A300,PRODUTOS!$B$4:$B$63,0))&amp;")",IF(AND(INDEX(PRODUTOS!$I$4:$I$63,MATCH($A300,PRODUTOS!$B$4:$B$63,0))="B",$D300="AP07"),"NÃO (modelo B)","SIM")))</f>
        <v>SIM</v>
      </c>
      <c r="J300" s="13" t="s">
        <v>318</v>
      </c>
      <c r="K300" s="13"/>
    </row>
    <row r="301" customFormat="false" ht="15" hidden="false" customHeight="false" outlineLevel="0" collapsed="false">
      <c r="A301" s="15" t="s">
        <v>199</v>
      </c>
      <c r="B301" s="11" t="str">
        <f aca="false">INDEX(PRODUTOS!$E$4:$E$63,MATCH($A301,PRODUTOS!$B$4:$B$63,0))</f>
        <v>Bifinhos New Dots Cães Carne, Vegetais e Cereais 50 g</v>
      </c>
      <c r="C301" s="11" t="str">
        <f aca="false">INDEX(PRODUTOS!$H$4:$H$63,MATCH($A301,PRODUTOS!$B$4:$B$63,0))</f>
        <v>50 g</v>
      </c>
      <c r="D301" s="11" t="s">
        <v>319</v>
      </c>
      <c r="E301" s="16" t="str">
        <f aca="false">$A301&amp;"."&amp;$D301&amp;".jpg"</f>
        <v>7898968541887.AP02.jpg</v>
      </c>
      <c r="F301" s="11" t="str">
        <f aca="false">IF(INDEX(PRODUTOS!$I$4:$I$63,MATCH($A301,PRODUTOS!$B$4:$B$63,0))="B",INDEX(MODELOS!$F$4:$F$11,MATCH($D301,MODELOS!$A$4:$A$11,0)),INDEX(MODELOS!$B$4:$B$11,MATCH($D301,MODELOS!$A$4:$A$11,0)))</f>
        <v>Módulo 2 · Texto sobreposto</v>
      </c>
      <c r="G301" s="11" t="str">
        <f aca="false">IF(INDEX(PRODUTOS!$F$4:$F$63,MATCH($A301,PRODUTOS!$B$4:$B$63,0))="Ração",IF(INDEX(PRODUTOS!$I$4:$I$63,MATCH($A301,PRODUTOS!$B$4:$B$63,0))="B",INDEX(MODELOS!$G$4:$G$11,MATCH($D301,MODELOS!$A$4:$A$11,0)),INDEX(MODELOS!$C$4:$C$11,MATCH($D301,MODELOS!$A$4:$A$11,0))),IF(INDEX(PRODUTOS!$I$4:$I$63,MATCH($A301,PRODUTOS!$B$4:$B$63,0))="B",INDEX(MODELOS!$H$4:$H$11,MATCH($D301,MODELOS!$A$4:$A$11,0)),INDEX(MODELOS!$D$4:$D$11,MATCH($D301,MODELOS!$A$4:$A$11,0))))</f>
        <v>Principal diferencial; deixar o lado direito limpo</v>
      </c>
      <c r="H301" s="11" t="str">
        <f aca="false">IF(INDEX(PRODUTOS!$I$4:$I$63,MATCH($A301,PRODUTOS!$B$4:$B$63,0))="B",INDEX(MODELOS!$I$4:$I$11,MATCH($D301,MODELOS!$A$4:$A$11,0)),INDEX(MODELOS!$E$4:$E$11,MATCH($D301,MODELOS!$A$4:$A$11,0)))</f>
        <v>970 × 300</v>
      </c>
      <c r="I301" s="11" t="str">
        <f aca="false">IF($D301="COMP","SIM",IF(INDEX(PRODUTOS!$J$4:$J$63,MATCH($A301,PRODUTOS!$B$4:$B$63,0))&lt;&gt;"","NÃO (usa o A+ do EAN "&amp;INDEX(PRODUTOS!$J$4:$J$63,MATCH($A301,PRODUTOS!$B$4:$B$63,0))&amp;")",IF(AND(INDEX(PRODUTOS!$I$4:$I$63,MATCH($A301,PRODUTOS!$B$4:$B$63,0))="B",$D301="AP07"),"NÃO (modelo B)","SIM")))</f>
        <v>SIM</v>
      </c>
      <c r="J301" s="13" t="s">
        <v>318</v>
      </c>
      <c r="K301" s="13"/>
    </row>
    <row r="302" customFormat="false" ht="15" hidden="false" customHeight="false" outlineLevel="0" collapsed="false">
      <c r="A302" s="15" t="s">
        <v>199</v>
      </c>
      <c r="B302" s="11" t="str">
        <f aca="false">INDEX(PRODUTOS!$E$4:$E$63,MATCH($A302,PRODUTOS!$B$4:$B$63,0))</f>
        <v>Bifinhos New Dots Cães Carne, Vegetais e Cereais 50 g</v>
      </c>
      <c r="C302" s="11" t="str">
        <f aca="false">INDEX(PRODUTOS!$H$4:$H$63,MATCH($A302,PRODUTOS!$B$4:$B$63,0))</f>
        <v>50 g</v>
      </c>
      <c r="D302" s="11" t="s">
        <v>320</v>
      </c>
      <c r="E302" s="16" t="str">
        <f aca="false">$A302&amp;"."&amp;$D302&amp;".jpg"</f>
        <v>7898968541887.AP03.jpg</v>
      </c>
      <c r="F302" s="11" t="str">
        <f aca="false">IF(INDEX(PRODUTOS!$I$4:$I$63,MATCH($A302,PRODUTOS!$B$4:$B$63,0))="B",INDEX(MODELOS!$F$4:$F$11,MATCH($D302,MODELOS!$A$4:$A$11,0)),INDEX(MODELOS!$B$4:$B$11,MATCH($D302,MODELOS!$A$4:$A$11,0)))</f>
        <v>Módulo 3 · Benefício 1 de 4</v>
      </c>
      <c r="G302" s="11" t="str">
        <f aca="false">IF(INDEX(PRODUTOS!$F$4:$F$63,MATCH($A302,PRODUTOS!$B$4:$B$63,0))="Ração",IF(INDEX(PRODUTOS!$I$4:$I$63,MATCH($A302,PRODUTOS!$B$4:$B$63,0))="B",INDEX(MODELOS!$G$4:$G$11,MATCH($D302,MODELOS!$A$4:$A$11,0)),INDEX(MODELOS!$C$4:$C$11,MATCH($D302,MODELOS!$A$4:$A$11,0))),IF(INDEX(PRODUTOS!$I$4:$I$63,MATCH($A302,PRODUTOS!$B$4:$B$63,0))="B",INDEX(MODELOS!$H$4:$H$11,MATCH($D302,MODELOS!$A$4:$A$11,0)),INDEX(MODELOS!$D$4:$D$11,MATCH($D302,MODELOS!$A$4:$A$11,0))))</f>
        <v>Foto/ilustração do benefício 1</v>
      </c>
      <c r="H302" s="11" t="str">
        <f aca="false">IF(INDEX(PRODUTOS!$I$4:$I$63,MATCH($A302,PRODUTOS!$B$4:$B$63,0))="B",INDEX(MODELOS!$I$4:$I$11,MATCH($D302,MODELOS!$A$4:$A$11,0)),INDEX(MODELOS!$E$4:$E$11,MATCH($D302,MODELOS!$A$4:$A$11,0)))</f>
        <v>220 × 200</v>
      </c>
      <c r="I302" s="11" t="str">
        <f aca="false">IF($D302="COMP","SIM",IF(INDEX(PRODUTOS!$J$4:$J$63,MATCH($A302,PRODUTOS!$B$4:$B$63,0))&lt;&gt;"","NÃO (usa o A+ do EAN "&amp;INDEX(PRODUTOS!$J$4:$J$63,MATCH($A302,PRODUTOS!$B$4:$B$63,0))&amp;")",IF(AND(INDEX(PRODUTOS!$I$4:$I$63,MATCH($A302,PRODUTOS!$B$4:$B$63,0))="B",$D302="AP07"),"NÃO (modelo B)","SIM")))</f>
        <v>SIM</v>
      </c>
      <c r="J302" s="13" t="s">
        <v>318</v>
      </c>
      <c r="K302" s="13"/>
    </row>
    <row r="303" customFormat="false" ht="15" hidden="false" customHeight="false" outlineLevel="0" collapsed="false">
      <c r="A303" s="15" t="s">
        <v>199</v>
      </c>
      <c r="B303" s="11" t="str">
        <f aca="false">INDEX(PRODUTOS!$E$4:$E$63,MATCH($A303,PRODUTOS!$B$4:$B$63,0))</f>
        <v>Bifinhos New Dots Cães Carne, Vegetais e Cereais 50 g</v>
      </c>
      <c r="C303" s="11" t="str">
        <f aca="false">INDEX(PRODUTOS!$H$4:$H$63,MATCH($A303,PRODUTOS!$B$4:$B$63,0))</f>
        <v>50 g</v>
      </c>
      <c r="D303" s="11" t="s">
        <v>321</v>
      </c>
      <c r="E303" s="16" t="str">
        <f aca="false">$A303&amp;"."&amp;$D303&amp;".jpg"</f>
        <v>7898968541887.AP04.jpg</v>
      </c>
      <c r="F303" s="11" t="str">
        <f aca="false">IF(INDEX(PRODUTOS!$I$4:$I$63,MATCH($A303,PRODUTOS!$B$4:$B$63,0))="B",INDEX(MODELOS!$F$4:$F$11,MATCH($D303,MODELOS!$A$4:$A$11,0)),INDEX(MODELOS!$B$4:$B$11,MATCH($D303,MODELOS!$A$4:$A$11,0)))</f>
        <v>Módulo 3 · Benefício 2 de 4</v>
      </c>
      <c r="G303" s="11" t="str">
        <f aca="false">IF(INDEX(PRODUTOS!$F$4:$F$63,MATCH($A303,PRODUTOS!$B$4:$B$63,0))="Ração",IF(INDEX(PRODUTOS!$I$4:$I$63,MATCH($A303,PRODUTOS!$B$4:$B$63,0))="B",INDEX(MODELOS!$G$4:$G$11,MATCH($D303,MODELOS!$A$4:$A$11,0)),INDEX(MODELOS!$C$4:$C$11,MATCH($D303,MODELOS!$A$4:$A$11,0))),IF(INDEX(PRODUTOS!$I$4:$I$63,MATCH($A303,PRODUTOS!$B$4:$B$63,0))="B",INDEX(MODELOS!$H$4:$H$11,MATCH($D303,MODELOS!$A$4:$A$11,0)),INDEX(MODELOS!$D$4:$D$11,MATCH($D303,MODELOS!$A$4:$A$11,0))))</f>
        <v>Foto/ilustração do benefício 2</v>
      </c>
      <c r="H303" s="11" t="str">
        <f aca="false">IF(INDEX(PRODUTOS!$I$4:$I$63,MATCH($A303,PRODUTOS!$B$4:$B$63,0))="B",INDEX(MODELOS!$I$4:$I$11,MATCH($D303,MODELOS!$A$4:$A$11,0)),INDEX(MODELOS!$E$4:$E$11,MATCH($D303,MODELOS!$A$4:$A$11,0)))</f>
        <v>220 × 200</v>
      </c>
      <c r="I303" s="11" t="str">
        <f aca="false">IF($D303="COMP","SIM",IF(INDEX(PRODUTOS!$J$4:$J$63,MATCH($A303,PRODUTOS!$B$4:$B$63,0))&lt;&gt;"","NÃO (usa o A+ do EAN "&amp;INDEX(PRODUTOS!$J$4:$J$63,MATCH($A303,PRODUTOS!$B$4:$B$63,0))&amp;")",IF(AND(INDEX(PRODUTOS!$I$4:$I$63,MATCH($A303,PRODUTOS!$B$4:$B$63,0))="B",$D303="AP07"),"NÃO (modelo B)","SIM")))</f>
        <v>SIM</v>
      </c>
      <c r="J303" s="13" t="s">
        <v>318</v>
      </c>
      <c r="K303" s="13"/>
    </row>
    <row r="304" customFormat="false" ht="15" hidden="false" customHeight="false" outlineLevel="0" collapsed="false">
      <c r="A304" s="15" t="s">
        <v>199</v>
      </c>
      <c r="B304" s="11" t="str">
        <f aca="false">INDEX(PRODUTOS!$E$4:$E$63,MATCH($A304,PRODUTOS!$B$4:$B$63,0))</f>
        <v>Bifinhos New Dots Cães Carne, Vegetais e Cereais 50 g</v>
      </c>
      <c r="C304" s="11" t="str">
        <f aca="false">INDEX(PRODUTOS!$H$4:$H$63,MATCH($A304,PRODUTOS!$B$4:$B$63,0))</f>
        <v>50 g</v>
      </c>
      <c r="D304" s="11" t="s">
        <v>322</v>
      </c>
      <c r="E304" s="16" t="str">
        <f aca="false">$A304&amp;"."&amp;$D304&amp;".jpg"</f>
        <v>7898968541887.AP05.jpg</v>
      </c>
      <c r="F304" s="11" t="str">
        <f aca="false">IF(INDEX(PRODUTOS!$I$4:$I$63,MATCH($A304,PRODUTOS!$B$4:$B$63,0))="B",INDEX(MODELOS!$F$4:$F$11,MATCH($D304,MODELOS!$A$4:$A$11,0)),INDEX(MODELOS!$B$4:$B$11,MATCH($D304,MODELOS!$A$4:$A$11,0)))</f>
        <v>Módulo 3 · Benefício 3 de 4</v>
      </c>
      <c r="G304" s="11" t="str">
        <f aca="false">IF(INDEX(PRODUTOS!$F$4:$F$63,MATCH($A304,PRODUTOS!$B$4:$B$63,0))="Ração",IF(INDEX(PRODUTOS!$I$4:$I$63,MATCH($A304,PRODUTOS!$B$4:$B$63,0))="B",INDEX(MODELOS!$G$4:$G$11,MATCH($D304,MODELOS!$A$4:$A$11,0)),INDEX(MODELOS!$C$4:$C$11,MATCH($D304,MODELOS!$A$4:$A$11,0))),IF(INDEX(PRODUTOS!$I$4:$I$63,MATCH($A304,PRODUTOS!$B$4:$B$63,0))="B",INDEX(MODELOS!$H$4:$H$11,MATCH($D304,MODELOS!$A$4:$A$11,0)),INDEX(MODELOS!$D$4:$D$11,MATCH($D304,MODELOS!$A$4:$A$11,0))))</f>
        <v>Foto/ilustração do benefício 3</v>
      </c>
      <c r="H304" s="11" t="str">
        <f aca="false">IF(INDEX(PRODUTOS!$I$4:$I$63,MATCH($A304,PRODUTOS!$B$4:$B$63,0))="B",INDEX(MODELOS!$I$4:$I$11,MATCH($D304,MODELOS!$A$4:$A$11,0)),INDEX(MODELOS!$E$4:$E$11,MATCH($D304,MODELOS!$A$4:$A$11,0)))</f>
        <v>220 × 200</v>
      </c>
      <c r="I304" s="11" t="str">
        <f aca="false">IF($D304="COMP","SIM",IF(INDEX(PRODUTOS!$J$4:$J$63,MATCH($A304,PRODUTOS!$B$4:$B$63,0))&lt;&gt;"","NÃO (usa o A+ do EAN "&amp;INDEX(PRODUTOS!$J$4:$J$63,MATCH($A304,PRODUTOS!$B$4:$B$63,0))&amp;")",IF(AND(INDEX(PRODUTOS!$I$4:$I$63,MATCH($A304,PRODUTOS!$B$4:$B$63,0))="B",$D304="AP07"),"NÃO (modelo B)","SIM")))</f>
        <v>SIM</v>
      </c>
      <c r="J304" s="13" t="s">
        <v>318</v>
      </c>
      <c r="K304" s="13"/>
    </row>
    <row r="305" customFormat="false" ht="15" hidden="false" customHeight="false" outlineLevel="0" collapsed="false">
      <c r="A305" s="15" t="s">
        <v>199</v>
      </c>
      <c r="B305" s="11" t="str">
        <f aca="false">INDEX(PRODUTOS!$E$4:$E$63,MATCH($A305,PRODUTOS!$B$4:$B$63,0))</f>
        <v>Bifinhos New Dots Cães Carne, Vegetais e Cereais 50 g</v>
      </c>
      <c r="C305" s="11" t="str">
        <f aca="false">INDEX(PRODUTOS!$H$4:$H$63,MATCH($A305,PRODUTOS!$B$4:$B$63,0))</f>
        <v>50 g</v>
      </c>
      <c r="D305" s="11" t="s">
        <v>323</v>
      </c>
      <c r="E305" s="16" t="str">
        <f aca="false">$A305&amp;"."&amp;$D305&amp;".jpg"</f>
        <v>7898968541887.AP06.jpg</v>
      </c>
      <c r="F305" s="11" t="str">
        <f aca="false">IF(INDEX(PRODUTOS!$I$4:$I$63,MATCH($A305,PRODUTOS!$B$4:$B$63,0))="B",INDEX(MODELOS!$F$4:$F$11,MATCH($D305,MODELOS!$A$4:$A$11,0)),INDEX(MODELOS!$B$4:$B$11,MATCH($D305,MODELOS!$A$4:$A$11,0)))</f>
        <v>Módulo 3 · Benefício 4 de 4</v>
      </c>
      <c r="G305" s="11" t="str">
        <f aca="false">IF(INDEX(PRODUTOS!$F$4:$F$63,MATCH($A305,PRODUTOS!$B$4:$B$63,0))="Ração",IF(INDEX(PRODUTOS!$I$4:$I$63,MATCH($A305,PRODUTOS!$B$4:$B$63,0))="B",INDEX(MODELOS!$G$4:$G$11,MATCH($D305,MODELOS!$A$4:$A$11,0)),INDEX(MODELOS!$C$4:$C$11,MATCH($D305,MODELOS!$A$4:$A$11,0))),IF(INDEX(PRODUTOS!$I$4:$I$63,MATCH($A305,PRODUTOS!$B$4:$B$63,0))="B",INDEX(MODELOS!$H$4:$H$11,MATCH($D305,MODELOS!$A$4:$A$11,0)),INDEX(MODELOS!$D$4:$D$11,MATCH($D305,MODELOS!$A$4:$A$11,0))))</f>
        <v>Foto/ilustração do benefício 4</v>
      </c>
      <c r="H305" s="11" t="str">
        <f aca="false">IF(INDEX(PRODUTOS!$I$4:$I$63,MATCH($A305,PRODUTOS!$B$4:$B$63,0))="B",INDEX(MODELOS!$I$4:$I$11,MATCH($D305,MODELOS!$A$4:$A$11,0)),INDEX(MODELOS!$E$4:$E$11,MATCH($D305,MODELOS!$A$4:$A$11,0)))</f>
        <v>220 × 200</v>
      </c>
      <c r="I305" s="11" t="str">
        <f aca="false">IF($D305="COMP","SIM",IF(INDEX(PRODUTOS!$J$4:$J$63,MATCH($A305,PRODUTOS!$B$4:$B$63,0))&lt;&gt;"","NÃO (usa o A+ do EAN "&amp;INDEX(PRODUTOS!$J$4:$J$63,MATCH($A305,PRODUTOS!$B$4:$B$63,0))&amp;")",IF(AND(INDEX(PRODUTOS!$I$4:$I$63,MATCH($A305,PRODUTOS!$B$4:$B$63,0))="B",$D305="AP07"),"NÃO (modelo B)","SIM")))</f>
        <v>SIM</v>
      </c>
      <c r="J305" s="13" t="s">
        <v>318</v>
      </c>
      <c r="K305" s="13"/>
    </row>
    <row r="306" customFormat="false" ht="15" hidden="false" customHeight="false" outlineLevel="0" collapsed="false">
      <c r="A306" s="15" t="s">
        <v>199</v>
      </c>
      <c r="B306" s="11" t="str">
        <f aca="false">INDEX(PRODUTOS!$E$4:$E$63,MATCH($A306,PRODUTOS!$B$4:$B$63,0))</f>
        <v>Bifinhos New Dots Cães Carne, Vegetais e Cereais 50 g</v>
      </c>
      <c r="C306" s="11" t="str">
        <f aca="false">INDEX(PRODUTOS!$H$4:$H$63,MATCH($A306,PRODUTOS!$B$4:$B$63,0))</f>
        <v>50 g</v>
      </c>
      <c r="D306" s="11" t="s">
        <v>324</v>
      </c>
      <c r="E306" s="16" t="str">
        <f aca="false">$A306&amp;"."&amp;$D306&amp;".jpg"</f>
        <v>7898968541887.AP07.jpg</v>
      </c>
      <c r="F306" s="11" t="str">
        <f aca="false">IF(INDEX(PRODUTOS!$I$4:$I$63,MATCH($A306,PRODUTOS!$B$4:$B$63,0))="B",INDEX(MODELOS!$F$4:$F$11,MATCH($D306,MODELOS!$A$4:$A$11,0)),INDEX(MODELOS!$B$4:$B$11,MATCH($D306,MODELOS!$A$4:$A$11,0)))</f>
        <v>Módulo 4 · Especificações</v>
      </c>
      <c r="G306" s="11" t="str">
        <f aca="false">IF(INDEX(PRODUTOS!$F$4:$F$63,MATCH($A306,PRODUTOS!$B$4:$B$63,0))="Ração",IF(INDEX(PRODUTOS!$I$4:$I$63,MATCH($A306,PRODUTOS!$B$4:$B$63,0))="B",INDEX(MODELOS!$G$4:$G$11,MATCH($D306,MODELOS!$A$4:$A$11,0)),INDEX(MODELOS!$C$4:$C$11,MATCH($D306,MODELOS!$A$4:$A$11,0))),IF(INDEX(PRODUTOS!$I$4:$I$63,MATCH($A306,PRODUTOS!$B$4:$B$63,0))="B",INDEX(MODELOS!$H$4:$H$11,MATCH($D306,MODELOS!$A$4:$A$11,0)),INDEX(MODELOS!$D$4:$D$11,MATCH($D306,MODELOS!$A$4:$A$11,0))))</f>
        <v>Produto em destaque</v>
      </c>
      <c r="H306" s="11" t="str">
        <f aca="false">IF(INDEX(PRODUTOS!$I$4:$I$63,MATCH($A306,PRODUTOS!$B$4:$B$63,0))="B",INDEX(MODELOS!$I$4:$I$11,MATCH($D306,MODELOS!$A$4:$A$11,0)),INDEX(MODELOS!$E$4:$E$11,MATCH($D306,MODELOS!$A$4:$A$11,0)))</f>
        <v>300 × 300</v>
      </c>
      <c r="I306" s="11" t="str">
        <f aca="false">IF($D306="COMP","SIM",IF(INDEX(PRODUTOS!$J$4:$J$63,MATCH($A306,PRODUTOS!$B$4:$B$63,0))&lt;&gt;"","NÃO (usa o A+ do EAN "&amp;INDEX(PRODUTOS!$J$4:$J$63,MATCH($A306,PRODUTOS!$B$4:$B$63,0))&amp;")",IF(AND(INDEX(PRODUTOS!$I$4:$I$63,MATCH($A306,PRODUTOS!$B$4:$B$63,0))="B",$D306="AP07"),"NÃO (modelo B)","SIM")))</f>
        <v>SIM</v>
      </c>
      <c r="J306" s="13" t="s">
        <v>318</v>
      </c>
      <c r="K306" s="13"/>
    </row>
    <row r="307" customFormat="false" ht="15" hidden="false" customHeight="false" outlineLevel="0" collapsed="false">
      <c r="A307" s="15" t="s">
        <v>199</v>
      </c>
      <c r="B307" s="11" t="str">
        <f aca="false">INDEX(PRODUTOS!$E$4:$E$63,MATCH($A307,PRODUTOS!$B$4:$B$63,0))</f>
        <v>Bifinhos New Dots Cães Carne, Vegetais e Cereais 50 g</v>
      </c>
      <c r="C307" s="11" t="str">
        <f aca="false">INDEX(PRODUTOS!$H$4:$H$63,MATCH($A307,PRODUTOS!$B$4:$B$63,0))</f>
        <v>50 g</v>
      </c>
      <c r="D307" s="11" t="s">
        <v>325</v>
      </c>
      <c r="E307" s="16" t="str">
        <f aca="false">$A307&amp;"."&amp;$D307&amp;".jpg"</f>
        <v>7898968541887.COMP.jpg</v>
      </c>
      <c r="F307" s="11" t="str">
        <f aca="false">IF(INDEX(PRODUTOS!$I$4:$I$63,MATCH($A307,PRODUTOS!$B$4:$B$63,0))="B",INDEX(MODELOS!$F$4:$F$11,MATCH($D307,MODELOS!$A$4:$A$11,0)),INDEX(MODELOS!$B$4:$B$11,MATCH($D307,MODELOS!$A$4:$A$11,0)))</f>
        <v>Módulo 5 · Tabela comparativa</v>
      </c>
      <c r="G307" s="11" t="str">
        <f aca="false">IF(INDEX(PRODUTOS!$F$4:$F$63,MATCH($A307,PRODUTOS!$B$4:$B$63,0))="Ração",IF(INDEX(PRODUTOS!$I$4:$I$63,MATCH($A307,PRODUTOS!$B$4:$B$63,0))="B",INDEX(MODELOS!$G$4:$G$11,MATCH($D307,MODELOS!$A$4:$A$11,0)),INDEX(MODELOS!$C$4:$C$11,MATCH($D307,MODELOS!$A$4:$A$11,0))),IF(INDEX(PRODUTOS!$I$4:$I$63,MATCH($A307,PRODUTOS!$B$4:$B$63,0))="B",INDEX(MODELOS!$H$4:$H$11,MATCH($D307,MODELOS!$A$4:$A$11,0)),INDEX(MODELOS!$D$4:$D$11,MATCH($D307,MODELOS!$A$4:$A$11,0))))</f>
        <v>Produto na vertical, sem fundo colorido</v>
      </c>
      <c r="H307" s="11" t="str">
        <f aca="false">IF(INDEX(PRODUTOS!$I$4:$I$63,MATCH($A307,PRODUTOS!$B$4:$B$63,0))="B",INDEX(MODELOS!$I$4:$I$11,MATCH($D307,MODELOS!$A$4:$A$11,0)),INDEX(MODELOS!$E$4:$E$11,MATCH($D307,MODELOS!$A$4:$A$11,0)))</f>
        <v>150 × 300</v>
      </c>
      <c r="I307" s="11" t="str">
        <f aca="false">IF($D307="COMP","SIM",IF(INDEX(PRODUTOS!$J$4:$J$63,MATCH($A307,PRODUTOS!$B$4:$B$63,0))&lt;&gt;"","NÃO (usa o A+ do EAN "&amp;INDEX(PRODUTOS!$J$4:$J$63,MATCH($A307,PRODUTOS!$B$4:$B$63,0))&amp;")",IF(AND(INDEX(PRODUTOS!$I$4:$I$63,MATCH($A307,PRODUTOS!$B$4:$B$63,0))="B",$D307="AP07"),"NÃO (modelo B)","SIM")))</f>
        <v>SIM</v>
      </c>
      <c r="J307" s="13" t="s">
        <v>318</v>
      </c>
      <c r="K307" s="13"/>
    </row>
    <row r="308" customFormat="false" ht="15" hidden="false" customHeight="false" outlineLevel="0" collapsed="false">
      <c r="A308" s="15" t="s">
        <v>205</v>
      </c>
      <c r="B308" s="11" t="str">
        <f aca="false">INDEX(PRODUTOS!$E$4:$E$63,MATCH($A308,PRODUTOS!$B$4:$B$63,0))</f>
        <v>Bifinhos New Dots Cães Churrasco 400 g</v>
      </c>
      <c r="C308" s="11" t="str">
        <f aca="false">INDEX(PRODUTOS!$H$4:$H$63,MATCH($A308,PRODUTOS!$B$4:$B$63,0))</f>
        <v>400 g</v>
      </c>
      <c r="D308" s="11" t="s">
        <v>317</v>
      </c>
      <c r="E308" s="16" t="str">
        <f aca="false">$A308&amp;"."&amp;$D308&amp;".jpg"</f>
        <v>7898968541863.AP01.jpg</v>
      </c>
      <c r="F308" s="11" t="str">
        <f aca="false">IF(INDEX(PRODUTOS!$I$4:$I$63,MATCH($A308,PRODUTOS!$B$4:$B$63,0))="B",INDEX(MODELOS!$F$4:$F$11,MATCH($D308,MODELOS!$A$4:$A$11,0)),INDEX(MODELOS!$B$4:$B$11,MATCH($D308,MODELOS!$A$4:$A$11,0)))</f>
        <v>Módulo 1 · Banner</v>
      </c>
      <c r="G308" s="11" t="str">
        <f aca="false">IF(INDEX(PRODUTOS!$F$4:$F$63,MATCH($A308,PRODUTOS!$B$4:$B$63,0))="Ração",IF(INDEX(PRODUTOS!$I$4:$I$63,MATCH($A308,PRODUTOS!$B$4:$B$63,0))="B",INDEX(MODELOS!$G$4:$G$11,MATCH($D308,MODELOS!$A$4:$A$11,0)),INDEX(MODELOS!$C$4:$C$11,MATCH($D308,MODELOS!$A$4:$A$11,0))),IF(INDEX(PRODUTOS!$I$4:$I$63,MATCH($A308,PRODUTOS!$B$4:$B$63,0))="B",INDEX(MODELOS!$H$4:$H$11,MATCH($D308,MODELOS!$A$4:$A$11,0)),INDEX(MODELOS!$D$4:$D$11,MATCH($D308,MODELOS!$A$4:$A$11,0))))</f>
        <v>Produto + pet, com o nome da linha</v>
      </c>
      <c r="H308" s="11" t="str">
        <f aca="false">IF(INDEX(PRODUTOS!$I$4:$I$63,MATCH($A308,PRODUTOS!$B$4:$B$63,0))="B",INDEX(MODELOS!$I$4:$I$11,MATCH($D308,MODELOS!$A$4:$A$11,0)),INDEX(MODELOS!$E$4:$E$11,MATCH($D308,MODELOS!$A$4:$A$11,0)))</f>
        <v>970 × 600</v>
      </c>
      <c r="I308" s="11" t="str">
        <f aca="false">IF($D308="COMP","SIM",IF(INDEX(PRODUTOS!$J$4:$J$63,MATCH($A308,PRODUTOS!$B$4:$B$63,0))&lt;&gt;"","NÃO (usa o A+ do EAN "&amp;INDEX(PRODUTOS!$J$4:$J$63,MATCH($A308,PRODUTOS!$B$4:$B$63,0))&amp;")",IF(AND(INDEX(PRODUTOS!$I$4:$I$63,MATCH($A308,PRODUTOS!$B$4:$B$63,0))="B",$D308="AP07"),"NÃO (modelo B)","SIM")))</f>
        <v>SIM</v>
      </c>
      <c r="J308" s="13" t="s">
        <v>318</v>
      </c>
      <c r="K308" s="13"/>
    </row>
    <row r="309" customFormat="false" ht="15" hidden="false" customHeight="false" outlineLevel="0" collapsed="false">
      <c r="A309" s="15" t="s">
        <v>205</v>
      </c>
      <c r="B309" s="11" t="str">
        <f aca="false">INDEX(PRODUTOS!$E$4:$E$63,MATCH($A309,PRODUTOS!$B$4:$B$63,0))</f>
        <v>Bifinhos New Dots Cães Churrasco 400 g</v>
      </c>
      <c r="C309" s="11" t="str">
        <f aca="false">INDEX(PRODUTOS!$H$4:$H$63,MATCH($A309,PRODUTOS!$B$4:$B$63,0))</f>
        <v>400 g</v>
      </c>
      <c r="D309" s="11" t="s">
        <v>319</v>
      </c>
      <c r="E309" s="16" t="str">
        <f aca="false">$A309&amp;"."&amp;$D309&amp;".jpg"</f>
        <v>7898968541863.AP02.jpg</v>
      </c>
      <c r="F309" s="11" t="str">
        <f aca="false">IF(INDEX(PRODUTOS!$I$4:$I$63,MATCH($A309,PRODUTOS!$B$4:$B$63,0))="B",INDEX(MODELOS!$F$4:$F$11,MATCH($D309,MODELOS!$A$4:$A$11,0)),INDEX(MODELOS!$B$4:$B$11,MATCH($D309,MODELOS!$A$4:$A$11,0)))</f>
        <v>Módulo 2 · Texto sobreposto</v>
      </c>
      <c r="G309" s="11" t="str">
        <f aca="false">IF(INDEX(PRODUTOS!$F$4:$F$63,MATCH($A309,PRODUTOS!$B$4:$B$63,0))="Ração",IF(INDEX(PRODUTOS!$I$4:$I$63,MATCH($A309,PRODUTOS!$B$4:$B$63,0))="B",INDEX(MODELOS!$G$4:$G$11,MATCH($D309,MODELOS!$A$4:$A$11,0)),INDEX(MODELOS!$C$4:$C$11,MATCH($D309,MODELOS!$A$4:$A$11,0))),IF(INDEX(PRODUTOS!$I$4:$I$63,MATCH($A309,PRODUTOS!$B$4:$B$63,0))="B",INDEX(MODELOS!$H$4:$H$11,MATCH($D309,MODELOS!$A$4:$A$11,0)),INDEX(MODELOS!$D$4:$D$11,MATCH($D309,MODELOS!$A$4:$A$11,0))))</f>
        <v>Principal diferencial; deixar o lado direito limpo</v>
      </c>
      <c r="H309" s="11" t="str">
        <f aca="false">IF(INDEX(PRODUTOS!$I$4:$I$63,MATCH($A309,PRODUTOS!$B$4:$B$63,0))="B",INDEX(MODELOS!$I$4:$I$11,MATCH($D309,MODELOS!$A$4:$A$11,0)),INDEX(MODELOS!$E$4:$E$11,MATCH($D309,MODELOS!$A$4:$A$11,0)))</f>
        <v>970 × 300</v>
      </c>
      <c r="I309" s="11" t="str">
        <f aca="false">IF($D309="COMP","SIM",IF(INDEX(PRODUTOS!$J$4:$J$63,MATCH($A309,PRODUTOS!$B$4:$B$63,0))&lt;&gt;"","NÃO (usa o A+ do EAN "&amp;INDEX(PRODUTOS!$J$4:$J$63,MATCH($A309,PRODUTOS!$B$4:$B$63,0))&amp;")",IF(AND(INDEX(PRODUTOS!$I$4:$I$63,MATCH($A309,PRODUTOS!$B$4:$B$63,0))="B",$D309="AP07"),"NÃO (modelo B)","SIM")))</f>
        <v>SIM</v>
      </c>
      <c r="J309" s="13" t="s">
        <v>318</v>
      </c>
      <c r="K309" s="13"/>
    </row>
    <row r="310" customFormat="false" ht="15" hidden="false" customHeight="false" outlineLevel="0" collapsed="false">
      <c r="A310" s="15" t="s">
        <v>205</v>
      </c>
      <c r="B310" s="11" t="str">
        <f aca="false">INDEX(PRODUTOS!$E$4:$E$63,MATCH($A310,PRODUTOS!$B$4:$B$63,0))</f>
        <v>Bifinhos New Dots Cães Churrasco 400 g</v>
      </c>
      <c r="C310" s="11" t="str">
        <f aca="false">INDEX(PRODUTOS!$H$4:$H$63,MATCH($A310,PRODUTOS!$B$4:$B$63,0))</f>
        <v>400 g</v>
      </c>
      <c r="D310" s="11" t="s">
        <v>320</v>
      </c>
      <c r="E310" s="16" t="str">
        <f aca="false">$A310&amp;"."&amp;$D310&amp;".jpg"</f>
        <v>7898968541863.AP03.jpg</v>
      </c>
      <c r="F310" s="11" t="str">
        <f aca="false">IF(INDEX(PRODUTOS!$I$4:$I$63,MATCH($A310,PRODUTOS!$B$4:$B$63,0))="B",INDEX(MODELOS!$F$4:$F$11,MATCH($D310,MODELOS!$A$4:$A$11,0)),INDEX(MODELOS!$B$4:$B$11,MATCH($D310,MODELOS!$A$4:$A$11,0)))</f>
        <v>Módulo 3 · Benefício 1 de 4</v>
      </c>
      <c r="G310" s="11" t="str">
        <f aca="false">IF(INDEX(PRODUTOS!$F$4:$F$63,MATCH($A310,PRODUTOS!$B$4:$B$63,0))="Ração",IF(INDEX(PRODUTOS!$I$4:$I$63,MATCH($A310,PRODUTOS!$B$4:$B$63,0))="B",INDEX(MODELOS!$G$4:$G$11,MATCH($D310,MODELOS!$A$4:$A$11,0)),INDEX(MODELOS!$C$4:$C$11,MATCH($D310,MODELOS!$A$4:$A$11,0))),IF(INDEX(PRODUTOS!$I$4:$I$63,MATCH($A310,PRODUTOS!$B$4:$B$63,0))="B",INDEX(MODELOS!$H$4:$H$11,MATCH($D310,MODELOS!$A$4:$A$11,0)),INDEX(MODELOS!$D$4:$D$11,MATCH($D310,MODELOS!$A$4:$A$11,0))))</f>
        <v>Foto/ilustração do benefício 1</v>
      </c>
      <c r="H310" s="11" t="str">
        <f aca="false">IF(INDEX(PRODUTOS!$I$4:$I$63,MATCH($A310,PRODUTOS!$B$4:$B$63,0))="B",INDEX(MODELOS!$I$4:$I$11,MATCH($D310,MODELOS!$A$4:$A$11,0)),INDEX(MODELOS!$E$4:$E$11,MATCH($D310,MODELOS!$A$4:$A$11,0)))</f>
        <v>220 × 200</v>
      </c>
      <c r="I310" s="11" t="str">
        <f aca="false">IF($D310="COMP","SIM",IF(INDEX(PRODUTOS!$J$4:$J$63,MATCH($A310,PRODUTOS!$B$4:$B$63,0))&lt;&gt;"","NÃO (usa o A+ do EAN "&amp;INDEX(PRODUTOS!$J$4:$J$63,MATCH($A310,PRODUTOS!$B$4:$B$63,0))&amp;")",IF(AND(INDEX(PRODUTOS!$I$4:$I$63,MATCH($A310,PRODUTOS!$B$4:$B$63,0))="B",$D310="AP07"),"NÃO (modelo B)","SIM")))</f>
        <v>SIM</v>
      </c>
      <c r="J310" s="13" t="s">
        <v>318</v>
      </c>
      <c r="K310" s="13"/>
    </row>
    <row r="311" customFormat="false" ht="15" hidden="false" customHeight="false" outlineLevel="0" collapsed="false">
      <c r="A311" s="15" t="s">
        <v>205</v>
      </c>
      <c r="B311" s="11" t="str">
        <f aca="false">INDEX(PRODUTOS!$E$4:$E$63,MATCH($A311,PRODUTOS!$B$4:$B$63,0))</f>
        <v>Bifinhos New Dots Cães Churrasco 400 g</v>
      </c>
      <c r="C311" s="11" t="str">
        <f aca="false">INDEX(PRODUTOS!$H$4:$H$63,MATCH($A311,PRODUTOS!$B$4:$B$63,0))</f>
        <v>400 g</v>
      </c>
      <c r="D311" s="11" t="s">
        <v>321</v>
      </c>
      <c r="E311" s="16" t="str">
        <f aca="false">$A311&amp;"."&amp;$D311&amp;".jpg"</f>
        <v>7898968541863.AP04.jpg</v>
      </c>
      <c r="F311" s="11" t="str">
        <f aca="false">IF(INDEX(PRODUTOS!$I$4:$I$63,MATCH($A311,PRODUTOS!$B$4:$B$63,0))="B",INDEX(MODELOS!$F$4:$F$11,MATCH($D311,MODELOS!$A$4:$A$11,0)),INDEX(MODELOS!$B$4:$B$11,MATCH($D311,MODELOS!$A$4:$A$11,0)))</f>
        <v>Módulo 3 · Benefício 2 de 4</v>
      </c>
      <c r="G311" s="11" t="str">
        <f aca="false">IF(INDEX(PRODUTOS!$F$4:$F$63,MATCH($A311,PRODUTOS!$B$4:$B$63,0))="Ração",IF(INDEX(PRODUTOS!$I$4:$I$63,MATCH($A311,PRODUTOS!$B$4:$B$63,0))="B",INDEX(MODELOS!$G$4:$G$11,MATCH($D311,MODELOS!$A$4:$A$11,0)),INDEX(MODELOS!$C$4:$C$11,MATCH($D311,MODELOS!$A$4:$A$11,0))),IF(INDEX(PRODUTOS!$I$4:$I$63,MATCH($A311,PRODUTOS!$B$4:$B$63,0))="B",INDEX(MODELOS!$H$4:$H$11,MATCH($D311,MODELOS!$A$4:$A$11,0)),INDEX(MODELOS!$D$4:$D$11,MATCH($D311,MODELOS!$A$4:$A$11,0))))</f>
        <v>Foto/ilustração do benefício 2</v>
      </c>
      <c r="H311" s="11" t="str">
        <f aca="false">IF(INDEX(PRODUTOS!$I$4:$I$63,MATCH($A311,PRODUTOS!$B$4:$B$63,0))="B",INDEX(MODELOS!$I$4:$I$11,MATCH($D311,MODELOS!$A$4:$A$11,0)),INDEX(MODELOS!$E$4:$E$11,MATCH($D311,MODELOS!$A$4:$A$11,0)))</f>
        <v>220 × 200</v>
      </c>
      <c r="I311" s="11" t="str">
        <f aca="false">IF($D311="COMP","SIM",IF(INDEX(PRODUTOS!$J$4:$J$63,MATCH($A311,PRODUTOS!$B$4:$B$63,0))&lt;&gt;"","NÃO (usa o A+ do EAN "&amp;INDEX(PRODUTOS!$J$4:$J$63,MATCH($A311,PRODUTOS!$B$4:$B$63,0))&amp;")",IF(AND(INDEX(PRODUTOS!$I$4:$I$63,MATCH($A311,PRODUTOS!$B$4:$B$63,0))="B",$D311="AP07"),"NÃO (modelo B)","SIM")))</f>
        <v>SIM</v>
      </c>
      <c r="J311" s="13" t="s">
        <v>318</v>
      </c>
      <c r="K311" s="13"/>
    </row>
    <row r="312" customFormat="false" ht="15" hidden="false" customHeight="false" outlineLevel="0" collapsed="false">
      <c r="A312" s="15" t="s">
        <v>205</v>
      </c>
      <c r="B312" s="11" t="str">
        <f aca="false">INDEX(PRODUTOS!$E$4:$E$63,MATCH($A312,PRODUTOS!$B$4:$B$63,0))</f>
        <v>Bifinhos New Dots Cães Churrasco 400 g</v>
      </c>
      <c r="C312" s="11" t="str">
        <f aca="false">INDEX(PRODUTOS!$H$4:$H$63,MATCH($A312,PRODUTOS!$B$4:$B$63,0))</f>
        <v>400 g</v>
      </c>
      <c r="D312" s="11" t="s">
        <v>322</v>
      </c>
      <c r="E312" s="16" t="str">
        <f aca="false">$A312&amp;"."&amp;$D312&amp;".jpg"</f>
        <v>7898968541863.AP05.jpg</v>
      </c>
      <c r="F312" s="11" t="str">
        <f aca="false">IF(INDEX(PRODUTOS!$I$4:$I$63,MATCH($A312,PRODUTOS!$B$4:$B$63,0))="B",INDEX(MODELOS!$F$4:$F$11,MATCH($D312,MODELOS!$A$4:$A$11,0)),INDEX(MODELOS!$B$4:$B$11,MATCH($D312,MODELOS!$A$4:$A$11,0)))</f>
        <v>Módulo 3 · Benefício 3 de 4</v>
      </c>
      <c r="G312" s="11" t="str">
        <f aca="false">IF(INDEX(PRODUTOS!$F$4:$F$63,MATCH($A312,PRODUTOS!$B$4:$B$63,0))="Ração",IF(INDEX(PRODUTOS!$I$4:$I$63,MATCH($A312,PRODUTOS!$B$4:$B$63,0))="B",INDEX(MODELOS!$G$4:$G$11,MATCH($D312,MODELOS!$A$4:$A$11,0)),INDEX(MODELOS!$C$4:$C$11,MATCH($D312,MODELOS!$A$4:$A$11,0))),IF(INDEX(PRODUTOS!$I$4:$I$63,MATCH($A312,PRODUTOS!$B$4:$B$63,0))="B",INDEX(MODELOS!$H$4:$H$11,MATCH($D312,MODELOS!$A$4:$A$11,0)),INDEX(MODELOS!$D$4:$D$11,MATCH($D312,MODELOS!$A$4:$A$11,0))))</f>
        <v>Foto/ilustração do benefício 3</v>
      </c>
      <c r="H312" s="11" t="str">
        <f aca="false">IF(INDEX(PRODUTOS!$I$4:$I$63,MATCH($A312,PRODUTOS!$B$4:$B$63,0))="B",INDEX(MODELOS!$I$4:$I$11,MATCH($D312,MODELOS!$A$4:$A$11,0)),INDEX(MODELOS!$E$4:$E$11,MATCH($D312,MODELOS!$A$4:$A$11,0)))</f>
        <v>220 × 200</v>
      </c>
      <c r="I312" s="11" t="str">
        <f aca="false">IF($D312="COMP","SIM",IF(INDEX(PRODUTOS!$J$4:$J$63,MATCH($A312,PRODUTOS!$B$4:$B$63,0))&lt;&gt;"","NÃO (usa o A+ do EAN "&amp;INDEX(PRODUTOS!$J$4:$J$63,MATCH($A312,PRODUTOS!$B$4:$B$63,0))&amp;")",IF(AND(INDEX(PRODUTOS!$I$4:$I$63,MATCH($A312,PRODUTOS!$B$4:$B$63,0))="B",$D312="AP07"),"NÃO (modelo B)","SIM")))</f>
        <v>SIM</v>
      </c>
      <c r="J312" s="13" t="s">
        <v>318</v>
      </c>
      <c r="K312" s="13"/>
    </row>
    <row r="313" customFormat="false" ht="15" hidden="false" customHeight="false" outlineLevel="0" collapsed="false">
      <c r="A313" s="15" t="s">
        <v>205</v>
      </c>
      <c r="B313" s="11" t="str">
        <f aca="false">INDEX(PRODUTOS!$E$4:$E$63,MATCH($A313,PRODUTOS!$B$4:$B$63,0))</f>
        <v>Bifinhos New Dots Cães Churrasco 400 g</v>
      </c>
      <c r="C313" s="11" t="str">
        <f aca="false">INDEX(PRODUTOS!$H$4:$H$63,MATCH($A313,PRODUTOS!$B$4:$B$63,0))</f>
        <v>400 g</v>
      </c>
      <c r="D313" s="11" t="s">
        <v>323</v>
      </c>
      <c r="E313" s="16" t="str">
        <f aca="false">$A313&amp;"."&amp;$D313&amp;".jpg"</f>
        <v>7898968541863.AP06.jpg</v>
      </c>
      <c r="F313" s="11" t="str">
        <f aca="false">IF(INDEX(PRODUTOS!$I$4:$I$63,MATCH($A313,PRODUTOS!$B$4:$B$63,0))="B",INDEX(MODELOS!$F$4:$F$11,MATCH($D313,MODELOS!$A$4:$A$11,0)),INDEX(MODELOS!$B$4:$B$11,MATCH($D313,MODELOS!$A$4:$A$11,0)))</f>
        <v>Módulo 3 · Benefício 4 de 4</v>
      </c>
      <c r="G313" s="11" t="str">
        <f aca="false">IF(INDEX(PRODUTOS!$F$4:$F$63,MATCH($A313,PRODUTOS!$B$4:$B$63,0))="Ração",IF(INDEX(PRODUTOS!$I$4:$I$63,MATCH($A313,PRODUTOS!$B$4:$B$63,0))="B",INDEX(MODELOS!$G$4:$G$11,MATCH($D313,MODELOS!$A$4:$A$11,0)),INDEX(MODELOS!$C$4:$C$11,MATCH($D313,MODELOS!$A$4:$A$11,0))),IF(INDEX(PRODUTOS!$I$4:$I$63,MATCH($A313,PRODUTOS!$B$4:$B$63,0))="B",INDEX(MODELOS!$H$4:$H$11,MATCH($D313,MODELOS!$A$4:$A$11,0)),INDEX(MODELOS!$D$4:$D$11,MATCH($D313,MODELOS!$A$4:$A$11,0))))</f>
        <v>Foto/ilustração do benefício 4</v>
      </c>
      <c r="H313" s="11" t="str">
        <f aca="false">IF(INDEX(PRODUTOS!$I$4:$I$63,MATCH($A313,PRODUTOS!$B$4:$B$63,0))="B",INDEX(MODELOS!$I$4:$I$11,MATCH($D313,MODELOS!$A$4:$A$11,0)),INDEX(MODELOS!$E$4:$E$11,MATCH($D313,MODELOS!$A$4:$A$11,0)))</f>
        <v>220 × 200</v>
      </c>
      <c r="I313" s="11" t="str">
        <f aca="false">IF($D313="COMP","SIM",IF(INDEX(PRODUTOS!$J$4:$J$63,MATCH($A313,PRODUTOS!$B$4:$B$63,0))&lt;&gt;"","NÃO (usa o A+ do EAN "&amp;INDEX(PRODUTOS!$J$4:$J$63,MATCH($A313,PRODUTOS!$B$4:$B$63,0))&amp;")",IF(AND(INDEX(PRODUTOS!$I$4:$I$63,MATCH($A313,PRODUTOS!$B$4:$B$63,0))="B",$D313="AP07"),"NÃO (modelo B)","SIM")))</f>
        <v>SIM</v>
      </c>
      <c r="J313" s="13" t="s">
        <v>318</v>
      </c>
      <c r="K313" s="13"/>
    </row>
    <row r="314" customFormat="false" ht="15" hidden="false" customHeight="false" outlineLevel="0" collapsed="false">
      <c r="A314" s="15" t="s">
        <v>205</v>
      </c>
      <c r="B314" s="11" t="str">
        <f aca="false">INDEX(PRODUTOS!$E$4:$E$63,MATCH($A314,PRODUTOS!$B$4:$B$63,0))</f>
        <v>Bifinhos New Dots Cães Churrasco 400 g</v>
      </c>
      <c r="C314" s="11" t="str">
        <f aca="false">INDEX(PRODUTOS!$H$4:$H$63,MATCH($A314,PRODUTOS!$B$4:$B$63,0))</f>
        <v>400 g</v>
      </c>
      <c r="D314" s="11" t="s">
        <v>324</v>
      </c>
      <c r="E314" s="16" t="str">
        <f aca="false">$A314&amp;"."&amp;$D314&amp;".jpg"</f>
        <v>7898968541863.AP07.jpg</v>
      </c>
      <c r="F314" s="11" t="str">
        <f aca="false">IF(INDEX(PRODUTOS!$I$4:$I$63,MATCH($A314,PRODUTOS!$B$4:$B$63,0))="B",INDEX(MODELOS!$F$4:$F$11,MATCH($D314,MODELOS!$A$4:$A$11,0)),INDEX(MODELOS!$B$4:$B$11,MATCH($D314,MODELOS!$A$4:$A$11,0)))</f>
        <v>Módulo 4 · Especificações</v>
      </c>
      <c r="G314" s="11" t="str">
        <f aca="false">IF(INDEX(PRODUTOS!$F$4:$F$63,MATCH($A314,PRODUTOS!$B$4:$B$63,0))="Ração",IF(INDEX(PRODUTOS!$I$4:$I$63,MATCH($A314,PRODUTOS!$B$4:$B$63,0))="B",INDEX(MODELOS!$G$4:$G$11,MATCH($D314,MODELOS!$A$4:$A$11,0)),INDEX(MODELOS!$C$4:$C$11,MATCH($D314,MODELOS!$A$4:$A$11,0))),IF(INDEX(PRODUTOS!$I$4:$I$63,MATCH($A314,PRODUTOS!$B$4:$B$63,0))="B",INDEX(MODELOS!$H$4:$H$11,MATCH($D314,MODELOS!$A$4:$A$11,0)),INDEX(MODELOS!$D$4:$D$11,MATCH($D314,MODELOS!$A$4:$A$11,0))))</f>
        <v>Produto em destaque</v>
      </c>
      <c r="H314" s="11" t="str">
        <f aca="false">IF(INDEX(PRODUTOS!$I$4:$I$63,MATCH($A314,PRODUTOS!$B$4:$B$63,0))="B",INDEX(MODELOS!$I$4:$I$11,MATCH($D314,MODELOS!$A$4:$A$11,0)),INDEX(MODELOS!$E$4:$E$11,MATCH($D314,MODELOS!$A$4:$A$11,0)))</f>
        <v>300 × 300</v>
      </c>
      <c r="I314" s="11" t="str">
        <f aca="false">IF($D314="COMP","SIM",IF(INDEX(PRODUTOS!$J$4:$J$63,MATCH($A314,PRODUTOS!$B$4:$B$63,0))&lt;&gt;"","NÃO (usa o A+ do EAN "&amp;INDEX(PRODUTOS!$J$4:$J$63,MATCH($A314,PRODUTOS!$B$4:$B$63,0))&amp;")",IF(AND(INDEX(PRODUTOS!$I$4:$I$63,MATCH($A314,PRODUTOS!$B$4:$B$63,0))="B",$D314="AP07"),"NÃO (modelo B)","SIM")))</f>
        <v>SIM</v>
      </c>
      <c r="J314" s="13" t="s">
        <v>318</v>
      </c>
      <c r="K314" s="13"/>
    </row>
    <row r="315" customFormat="false" ht="15" hidden="false" customHeight="false" outlineLevel="0" collapsed="false">
      <c r="A315" s="15" t="s">
        <v>205</v>
      </c>
      <c r="B315" s="11" t="str">
        <f aca="false">INDEX(PRODUTOS!$E$4:$E$63,MATCH($A315,PRODUTOS!$B$4:$B$63,0))</f>
        <v>Bifinhos New Dots Cães Churrasco 400 g</v>
      </c>
      <c r="C315" s="11" t="str">
        <f aca="false">INDEX(PRODUTOS!$H$4:$H$63,MATCH($A315,PRODUTOS!$B$4:$B$63,0))</f>
        <v>400 g</v>
      </c>
      <c r="D315" s="11" t="s">
        <v>325</v>
      </c>
      <c r="E315" s="16" t="str">
        <f aca="false">$A315&amp;"."&amp;$D315&amp;".jpg"</f>
        <v>7898968541863.COMP.jpg</v>
      </c>
      <c r="F315" s="11" t="str">
        <f aca="false">IF(INDEX(PRODUTOS!$I$4:$I$63,MATCH($A315,PRODUTOS!$B$4:$B$63,0))="B",INDEX(MODELOS!$F$4:$F$11,MATCH($D315,MODELOS!$A$4:$A$11,0)),INDEX(MODELOS!$B$4:$B$11,MATCH($D315,MODELOS!$A$4:$A$11,0)))</f>
        <v>Módulo 5 · Tabela comparativa</v>
      </c>
      <c r="G315" s="11" t="str">
        <f aca="false">IF(INDEX(PRODUTOS!$F$4:$F$63,MATCH($A315,PRODUTOS!$B$4:$B$63,0))="Ração",IF(INDEX(PRODUTOS!$I$4:$I$63,MATCH($A315,PRODUTOS!$B$4:$B$63,0))="B",INDEX(MODELOS!$G$4:$G$11,MATCH($D315,MODELOS!$A$4:$A$11,0)),INDEX(MODELOS!$C$4:$C$11,MATCH($D315,MODELOS!$A$4:$A$11,0))),IF(INDEX(PRODUTOS!$I$4:$I$63,MATCH($A315,PRODUTOS!$B$4:$B$63,0))="B",INDEX(MODELOS!$H$4:$H$11,MATCH($D315,MODELOS!$A$4:$A$11,0)),INDEX(MODELOS!$D$4:$D$11,MATCH($D315,MODELOS!$A$4:$A$11,0))))</f>
        <v>Produto na vertical, sem fundo colorido</v>
      </c>
      <c r="H315" s="11" t="str">
        <f aca="false">IF(INDEX(PRODUTOS!$I$4:$I$63,MATCH($A315,PRODUTOS!$B$4:$B$63,0))="B",INDEX(MODELOS!$I$4:$I$11,MATCH($D315,MODELOS!$A$4:$A$11,0)),INDEX(MODELOS!$E$4:$E$11,MATCH($D315,MODELOS!$A$4:$A$11,0)))</f>
        <v>150 × 300</v>
      </c>
      <c r="I315" s="11" t="str">
        <f aca="false">IF($D315="COMP","SIM",IF(INDEX(PRODUTOS!$J$4:$J$63,MATCH($A315,PRODUTOS!$B$4:$B$63,0))&lt;&gt;"","NÃO (usa o A+ do EAN "&amp;INDEX(PRODUTOS!$J$4:$J$63,MATCH($A315,PRODUTOS!$B$4:$B$63,0))&amp;")",IF(AND(INDEX(PRODUTOS!$I$4:$I$63,MATCH($A315,PRODUTOS!$B$4:$B$63,0))="B",$D315="AP07"),"NÃO (modelo B)","SIM")))</f>
        <v>SIM</v>
      </c>
      <c r="J315" s="13" t="s">
        <v>318</v>
      </c>
      <c r="K315" s="13"/>
    </row>
    <row r="316" customFormat="false" ht="15" hidden="false" customHeight="false" outlineLevel="0" collapsed="false">
      <c r="A316" s="15" t="s">
        <v>210</v>
      </c>
      <c r="B316" s="11" t="str">
        <f aca="false">INDEX(PRODUTOS!$E$4:$E$63,MATCH($A316,PRODUTOS!$B$4:$B$63,0))</f>
        <v>Bifinhos New Dots Cães Churrasco 50 g</v>
      </c>
      <c r="C316" s="11" t="str">
        <f aca="false">INDEX(PRODUTOS!$H$4:$H$63,MATCH($A316,PRODUTOS!$B$4:$B$63,0))</f>
        <v>50 g</v>
      </c>
      <c r="D316" s="11" t="s">
        <v>317</v>
      </c>
      <c r="E316" s="16" t="str">
        <f aca="false">$A316&amp;"."&amp;$D316&amp;".jpg"</f>
        <v>7898968541856.AP01.jpg</v>
      </c>
      <c r="F316" s="11" t="str">
        <f aca="false">IF(INDEX(PRODUTOS!$I$4:$I$63,MATCH($A316,PRODUTOS!$B$4:$B$63,0))="B",INDEX(MODELOS!$F$4:$F$11,MATCH($D316,MODELOS!$A$4:$A$11,0)),INDEX(MODELOS!$B$4:$B$11,MATCH($D316,MODELOS!$A$4:$A$11,0)))</f>
        <v>Módulo 1 · Banner</v>
      </c>
      <c r="G316" s="11" t="str">
        <f aca="false">IF(INDEX(PRODUTOS!$F$4:$F$63,MATCH($A316,PRODUTOS!$B$4:$B$63,0))="Ração",IF(INDEX(PRODUTOS!$I$4:$I$63,MATCH($A316,PRODUTOS!$B$4:$B$63,0))="B",INDEX(MODELOS!$G$4:$G$11,MATCH($D316,MODELOS!$A$4:$A$11,0)),INDEX(MODELOS!$C$4:$C$11,MATCH($D316,MODELOS!$A$4:$A$11,0))),IF(INDEX(PRODUTOS!$I$4:$I$63,MATCH($A316,PRODUTOS!$B$4:$B$63,0))="B",INDEX(MODELOS!$H$4:$H$11,MATCH($D316,MODELOS!$A$4:$A$11,0)),INDEX(MODELOS!$D$4:$D$11,MATCH($D316,MODELOS!$A$4:$A$11,0))))</f>
        <v>Produto + pet, com o nome da linha</v>
      </c>
      <c r="H316" s="11" t="str">
        <f aca="false">IF(INDEX(PRODUTOS!$I$4:$I$63,MATCH($A316,PRODUTOS!$B$4:$B$63,0))="B",INDEX(MODELOS!$I$4:$I$11,MATCH($D316,MODELOS!$A$4:$A$11,0)),INDEX(MODELOS!$E$4:$E$11,MATCH($D316,MODELOS!$A$4:$A$11,0)))</f>
        <v>970 × 600</v>
      </c>
      <c r="I316" s="11" t="str">
        <f aca="false">IF($D316="COMP","SIM",IF(INDEX(PRODUTOS!$J$4:$J$63,MATCH($A316,PRODUTOS!$B$4:$B$63,0))&lt;&gt;"","NÃO (usa o A+ do EAN "&amp;INDEX(PRODUTOS!$J$4:$J$63,MATCH($A316,PRODUTOS!$B$4:$B$63,0))&amp;")",IF(AND(INDEX(PRODUTOS!$I$4:$I$63,MATCH($A316,PRODUTOS!$B$4:$B$63,0))="B",$D316="AP07"),"NÃO (modelo B)","SIM")))</f>
        <v>SIM</v>
      </c>
      <c r="J316" s="13" t="s">
        <v>318</v>
      </c>
      <c r="K316" s="13"/>
    </row>
    <row r="317" customFormat="false" ht="15" hidden="false" customHeight="false" outlineLevel="0" collapsed="false">
      <c r="A317" s="15" t="s">
        <v>210</v>
      </c>
      <c r="B317" s="11" t="str">
        <f aca="false">INDEX(PRODUTOS!$E$4:$E$63,MATCH($A317,PRODUTOS!$B$4:$B$63,0))</f>
        <v>Bifinhos New Dots Cães Churrasco 50 g</v>
      </c>
      <c r="C317" s="11" t="str">
        <f aca="false">INDEX(PRODUTOS!$H$4:$H$63,MATCH($A317,PRODUTOS!$B$4:$B$63,0))</f>
        <v>50 g</v>
      </c>
      <c r="D317" s="11" t="s">
        <v>319</v>
      </c>
      <c r="E317" s="16" t="str">
        <f aca="false">$A317&amp;"."&amp;$D317&amp;".jpg"</f>
        <v>7898968541856.AP02.jpg</v>
      </c>
      <c r="F317" s="11" t="str">
        <f aca="false">IF(INDEX(PRODUTOS!$I$4:$I$63,MATCH($A317,PRODUTOS!$B$4:$B$63,0))="B",INDEX(MODELOS!$F$4:$F$11,MATCH($D317,MODELOS!$A$4:$A$11,0)),INDEX(MODELOS!$B$4:$B$11,MATCH($D317,MODELOS!$A$4:$A$11,0)))</f>
        <v>Módulo 2 · Texto sobreposto</v>
      </c>
      <c r="G317" s="11" t="str">
        <f aca="false">IF(INDEX(PRODUTOS!$F$4:$F$63,MATCH($A317,PRODUTOS!$B$4:$B$63,0))="Ração",IF(INDEX(PRODUTOS!$I$4:$I$63,MATCH($A317,PRODUTOS!$B$4:$B$63,0))="B",INDEX(MODELOS!$G$4:$G$11,MATCH($D317,MODELOS!$A$4:$A$11,0)),INDEX(MODELOS!$C$4:$C$11,MATCH($D317,MODELOS!$A$4:$A$11,0))),IF(INDEX(PRODUTOS!$I$4:$I$63,MATCH($A317,PRODUTOS!$B$4:$B$63,0))="B",INDEX(MODELOS!$H$4:$H$11,MATCH($D317,MODELOS!$A$4:$A$11,0)),INDEX(MODELOS!$D$4:$D$11,MATCH($D317,MODELOS!$A$4:$A$11,0))))</f>
        <v>Principal diferencial; deixar o lado direito limpo</v>
      </c>
      <c r="H317" s="11" t="str">
        <f aca="false">IF(INDEX(PRODUTOS!$I$4:$I$63,MATCH($A317,PRODUTOS!$B$4:$B$63,0))="B",INDEX(MODELOS!$I$4:$I$11,MATCH($D317,MODELOS!$A$4:$A$11,0)),INDEX(MODELOS!$E$4:$E$11,MATCH($D317,MODELOS!$A$4:$A$11,0)))</f>
        <v>970 × 300</v>
      </c>
      <c r="I317" s="11" t="str">
        <f aca="false">IF($D317="COMP","SIM",IF(INDEX(PRODUTOS!$J$4:$J$63,MATCH($A317,PRODUTOS!$B$4:$B$63,0))&lt;&gt;"","NÃO (usa o A+ do EAN "&amp;INDEX(PRODUTOS!$J$4:$J$63,MATCH($A317,PRODUTOS!$B$4:$B$63,0))&amp;")",IF(AND(INDEX(PRODUTOS!$I$4:$I$63,MATCH($A317,PRODUTOS!$B$4:$B$63,0))="B",$D317="AP07"),"NÃO (modelo B)","SIM")))</f>
        <v>SIM</v>
      </c>
      <c r="J317" s="13" t="s">
        <v>318</v>
      </c>
      <c r="K317" s="13"/>
    </row>
    <row r="318" customFormat="false" ht="15" hidden="false" customHeight="false" outlineLevel="0" collapsed="false">
      <c r="A318" s="15" t="s">
        <v>210</v>
      </c>
      <c r="B318" s="11" t="str">
        <f aca="false">INDEX(PRODUTOS!$E$4:$E$63,MATCH($A318,PRODUTOS!$B$4:$B$63,0))</f>
        <v>Bifinhos New Dots Cães Churrasco 50 g</v>
      </c>
      <c r="C318" s="11" t="str">
        <f aca="false">INDEX(PRODUTOS!$H$4:$H$63,MATCH($A318,PRODUTOS!$B$4:$B$63,0))</f>
        <v>50 g</v>
      </c>
      <c r="D318" s="11" t="s">
        <v>320</v>
      </c>
      <c r="E318" s="16" t="str">
        <f aca="false">$A318&amp;"."&amp;$D318&amp;".jpg"</f>
        <v>7898968541856.AP03.jpg</v>
      </c>
      <c r="F318" s="11" t="str">
        <f aca="false">IF(INDEX(PRODUTOS!$I$4:$I$63,MATCH($A318,PRODUTOS!$B$4:$B$63,0))="B",INDEX(MODELOS!$F$4:$F$11,MATCH($D318,MODELOS!$A$4:$A$11,0)),INDEX(MODELOS!$B$4:$B$11,MATCH($D318,MODELOS!$A$4:$A$11,0)))</f>
        <v>Módulo 3 · Benefício 1 de 4</v>
      </c>
      <c r="G318" s="11" t="str">
        <f aca="false">IF(INDEX(PRODUTOS!$F$4:$F$63,MATCH($A318,PRODUTOS!$B$4:$B$63,0))="Ração",IF(INDEX(PRODUTOS!$I$4:$I$63,MATCH($A318,PRODUTOS!$B$4:$B$63,0))="B",INDEX(MODELOS!$G$4:$G$11,MATCH($D318,MODELOS!$A$4:$A$11,0)),INDEX(MODELOS!$C$4:$C$11,MATCH($D318,MODELOS!$A$4:$A$11,0))),IF(INDEX(PRODUTOS!$I$4:$I$63,MATCH($A318,PRODUTOS!$B$4:$B$63,0))="B",INDEX(MODELOS!$H$4:$H$11,MATCH($D318,MODELOS!$A$4:$A$11,0)),INDEX(MODELOS!$D$4:$D$11,MATCH($D318,MODELOS!$A$4:$A$11,0))))</f>
        <v>Foto/ilustração do benefício 1</v>
      </c>
      <c r="H318" s="11" t="str">
        <f aca="false">IF(INDEX(PRODUTOS!$I$4:$I$63,MATCH($A318,PRODUTOS!$B$4:$B$63,0))="B",INDEX(MODELOS!$I$4:$I$11,MATCH($D318,MODELOS!$A$4:$A$11,0)),INDEX(MODELOS!$E$4:$E$11,MATCH($D318,MODELOS!$A$4:$A$11,0)))</f>
        <v>220 × 200</v>
      </c>
      <c r="I318" s="11" t="str">
        <f aca="false">IF($D318="COMP","SIM",IF(INDEX(PRODUTOS!$J$4:$J$63,MATCH($A318,PRODUTOS!$B$4:$B$63,0))&lt;&gt;"","NÃO (usa o A+ do EAN "&amp;INDEX(PRODUTOS!$J$4:$J$63,MATCH($A318,PRODUTOS!$B$4:$B$63,0))&amp;")",IF(AND(INDEX(PRODUTOS!$I$4:$I$63,MATCH($A318,PRODUTOS!$B$4:$B$63,0))="B",$D318="AP07"),"NÃO (modelo B)","SIM")))</f>
        <v>SIM</v>
      </c>
      <c r="J318" s="13" t="s">
        <v>318</v>
      </c>
      <c r="K318" s="13"/>
    </row>
    <row r="319" customFormat="false" ht="15" hidden="false" customHeight="false" outlineLevel="0" collapsed="false">
      <c r="A319" s="15" t="s">
        <v>210</v>
      </c>
      <c r="B319" s="11" t="str">
        <f aca="false">INDEX(PRODUTOS!$E$4:$E$63,MATCH($A319,PRODUTOS!$B$4:$B$63,0))</f>
        <v>Bifinhos New Dots Cães Churrasco 50 g</v>
      </c>
      <c r="C319" s="11" t="str">
        <f aca="false">INDEX(PRODUTOS!$H$4:$H$63,MATCH($A319,PRODUTOS!$B$4:$B$63,0))</f>
        <v>50 g</v>
      </c>
      <c r="D319" s="11" t="s">
        <v>321</v>
      </c>
      <c r="E319" s="16" t="str">
        <f aca="false">$A319&amp;"."&amp;$D319&amp;".jpg"</f>
        <v>7898968541856.AP04.jpg</v>
      </c>
      <c r="F319" s="11" t="str">
        <f aca="false">IF(INDEX(PRODUTOS!$I$4:$I$63,MATCH($A319,PRODUTOS!$B$4:$B$63,0))="B",INDEX(MODELOS!$F$4:$F$11,MATCH($D319,MODELOS!$A$4:$A$11,0)),INDEX(MODELOS!$B$4:$B$11,MATCH($D319,MODELOS!$A$4:$A$11,0)))</f>
        <v>Módulo 3 · Benefício 2 de 4</v>
      </c>
      <c r="G319" s="11" t="str">
        <f aca="false">IF(INDEX(PRODUTOS!$F$4:$F$63,MATCH($A319,PRODUTOS!$B$4:$B$63,0))="Ração",IF(INDEX(PRODUTOS!$I$4:$I$63,MATCH($A319,PRODUTOS!$B$4:$B$63,0))="B",INDEX(MODELOS!$G$4:$G$11,MATCH($D319,MODELOS!$A$4:$A$11,0)),INDEX(MODELOS!$C$4:$C$11,MATCH($D319,MODELOS!$A$4:$A$11,0))),IF(INDEX(PRODUTOS!$I$4:$I$63,MATCH($A319,PRODUTOS!$B$4:$B$63,0))="B",INDEX(MODELOS!$H$4:$H$11,MATCH($D319,MODELOS!$A$4:$A$11,0)),INDEX(MODELOS!$D$4:$D$11,MATCH($D319,MODELOS!$A$4:$A$11,0))))</f>
        <v>Foto/ilustração do benefício 2</v>
      </c>
      <c r="H319" s="11" t="str">
        <f aca="false">IF(INDEX(PRODUTOS!$I$4:$I$63,MATCH($A319,PRODUTOS!$B$4:$B$63,0))="B",INDEX(MODELOS!$I$4:$I$11,MATCH($D319,MODELOS!$A$4:$A$11,0)),INDEX(MODELOS!$E$4:$E$11,MATCH($D319,MODELOS!$A$4:$A$11,0)))</f>
        <v>220 × 200</v>
      </c>
      <c r="I319" s="11" t="str">
        <f aca="false">IF($D319="COMP","SIM",IF(INDEX(PRODUTOS!$J$4:$J$63,MATCH($A319,PRODUTOS!$B$4:$B$63,0))&lt;&gt;"","NÃO (usa o A+ do EAN "&amp;INDEX(PRODUTOS!$J$4:$J$63,MATCH($A319,PRODUTOS!$B$4:$B$63,0))&amp;")",IF(AND(INDEX(PRODUTOS!$I$4:$I$63,MATCH($A319,PRODUTOS!$B$4:$B$63,0))="B",$D319="AP07"),"NÃO (modelo B)","SIM")))</f>
        <v>SIM</v>
      </c>
      <c r="J319" s="13" t="s">
        <v>318</v>
      </c>
      <c r="K319" s="13"/>
    </row>
    <row r="320" customFormat="false" ht="15" hidden="false" customHeight="false" outlineLevel="0" collapsed="false">
      <c r="A320" s="15" t="s">
        <v>210</v>
      </c>
      <c r="B320" s="11" t="str">
        <f aca="false">INDEX(PRODUTOS!$E$4:$E$63,MATCH($A320,PRODUTOS!$B$4:$B$63,0))</f>
        <v>Bifinhos New Dots Cães Churrasco 50 g</v>
      </c>
      <c r="C320" s="11" t="str">
        <f aca="false">INDEX(PRODUTOS!$H$4:$H$63,MATCH($A320,PRODUTOS!$B$4:$B$63,0))</f>
        <v>50 g</v>
      </c>
      <c r="D320" s="11" t="s">
        <v>322</v>
      </c>
      <c r="E320" s="16" t="str">
        <f aca="false">$A320&amp;"."&amp;$D320&amp;".jpg"</f>
        <v>7898968541856.AP05.jpg</v>
      </c>
      <c r="F320" s="11" t="str">
        <f aca="false">IF(INDEX(PRODUTOS!$I$4:$I$63,MATCH($A320,PRODUTOS!$B$4:$B$63,0))="B",INDEX(MODELOS!$F$4:$F$11,MATCH($D320,MODELOS!$A$4:$A$11,0)),INDEX(MODELOS!$B$4:$B$11,MATCH($D320,MODELOS!$A$4:$A$11,0)))</f>
        <v>Módulo 3 · Benefício 3 de 4</v>
      </c>
      <c r="G320" s="11" t="str">
        <f aca="false">IF(INDEX(PRODUTOS!$F$4:$F$63,MATCH($A320,PRODUTOS!$B$4:$B$63,0))="Ração",IF(INDEX(PRODUTOS!$I$4:$I$63,MATCH($A320,PRODUTOS!$B$4:$B$63,0))="B",INDEX(MODELOS!$G$4:$G$11,MATCH($D320,MODELOS!$A$4:$A$11,0)),INDEX(MODELOS!$C$4:$C$11,MATCH($D320,MODELOS!$A$4:$A$11,0))),IF(INDEX(PRODUTOS!$I$4:$I$63,MATCH($A320,PRODUTOS!$B$4:$B$63,0))="B",INDEX(MODELOS!$H$4:$H$11,MATCH($D320,MODELOS!$A$4:$A$11,0)),INDEX(MODELOS!$D$4:$D$11,MATCH($D320,MODELOS!$A$4:$A$11,0))))</f>
        <v>Foto/ilustração do benefício 3</v>
      </c>
      <c r="H320" s="11" t="str">
        <f aca="false">IF(INDEX(PRODUTOS!$I$4:$I$63,MATCH($A320,PRODUTOS!$B$4:$B$63,0))="B",INDEX(MODELOS!$I$4:$I$11,MATCH($D320,MODELOS!$A$4:$A$11,0)),INDEX(MODELOS!$E$4:$E$11,MATCH($D320,MODELOS!$A$4:$A$11,0)))</f>
        <v>220 × 200</v>
      </c>
      <c r="I320" s="11" t="str">
        <f aca="false">IF($D320="COMP","SIM",IF(INDEX(PRODUTOS!$J$4:$J$63,MATCH($A320,PRODUTOS!$B$4:$B$63,0))&lt;&gt;"","NÃO (usa o A+ do EAN "&amp;INDEX(PRODUTOS!$J$4:$J$63,MATCH($A320,PRODUTOS!$B$4:$B$63,0))&amp;")",IF(AND(INDEX(PRODUTOS!$I$4:$I$63,MATCH($A320,PRODUTOS!$B$4:$B$63,0))="B",$D320="AP07"),"NÃO (modelo B)","SIM")))</f>
        <v>SIM</v>
      </c>
      <c r="J320" s="13" t="s">
        <v>318</v>
      </c>
      <c r="K320" s="13"/>
    </row>
    <row r="321" customFormat="false" ht="15" hidden="false" customHeight="false" outlineLevel="0" collapsed="false">
      <c r="A321" s="15" t="s">
        <v>210</v>
      </c>
      <c r="B321" s="11" t="str">
        <f aca="false">INDEX(PRODUTOS!$E$4:$E$63,MATCH($A321,PRODUTOS!$B$4:$B$63,0))</f>
        <v>Bifinhos New Dots Cães Churrasco 50 g</v>
      </c>
      <c r="C321" s="11" t="str">
        <f aca="false">INDEX(PRODUTOS!$H$4:$H$63,MATCH($A321,PRODUTOS!$B$4:$B$63,0))</f>
        <v>50 g</v>
      </c>
      <c r="D321" s="11" t="s">
        <v>323</v>
      </c>
      <c r="E321" s="16" t="str">
        <f aca="false">$A321&amp;"."&amp;$D321&amp;".jpg"</f>
        <v>7898968541856.AP06.jpg</v>
      </c>
      <c r="F321" s="11" t="str">
        <f aca="false">IF(INDEX(PRODUTOS!$I$4:$I$63,MATCH($A321,PRODUTOS!$B$4:$B$63,0))="B",INDEX(MODELOS!$F$4:$F$11,MATCH($D321,MODELOS!$A$4:$A$11,0)),INDEX(MODELOS!$B$4:$B$11,MATCH($D321,MODELOS!$A$4:$A$11,0)))</f>
        <v>Módulo 3 · Benefício 4 de 4</v>
      </c>
      <c r="G321" s="11" t="str">
        <f aca="false">IF(INDEX(PRODUTOS!$F$4:$F$63,MATCH($A321,PRODUTOS!$B$4:$B$63,0))="Ração",IF(INDEX(PRODUTOS!$I$4:$I$63,MATCH($A321,PRODUTOS!$B$4:$B$63,0))="B",INDEX(MODELOS!$G$4:$G$11,MATCH($D321,MODELOS!$A$4:$A$11,0)),INDEX(MODELOS!$C$4:$C$11,MATCH($D321,MODELOS!$A$4:$A$11,0))),IF(INDEX(PRODUTOS!$I$4:$I$63,MATCH($A321,PRODUTOS!$B$4:$B$63,0))="B",INDEX(MODELOS!$H$4:$H$11,MATCH($D321,MODELOS!$A$4:$A$11,0)),INDEX(MODELOS!$D$4:$D$11,MATCH($D321,MODELOS!$A$4:$A$11,0))))</f>
        <v>Foto/ilustração do benefício 4</v>
      </c>
      <c r="H321" s="11" t="str">
        <f aca="false">IF(INDEX(PRODUTOS!$I$4:$I$63,MATCH($A321,PRODUTOS!$B$4:$B$63,0))="B",INDEX(MODELOS!$I$4:$I$11,MATCH($D321,MODELOS!$A$4:$A$11,0)),INDEX(MODELOS!$E$4:$E$11,MATCH($D321,MODELOS!$A$4:$A$11,0)))</f>
        <v>220 × 200</v>
      </c>
      <c r="I321" s="11" t="str">
        <f aca="false">IF($D321="COMP","SIM",IF(INDEX(PRODUTOS!$J$4:$J$63,MATCH($A321,PRODUTOS!$B$4:$B$63,0))&lt;&gt;"","NÃO (usa o A+ do EAN "&amp;INDEX(PRODUTOS!$J$4:$J$63,MATCH($A321,PRODUTOS!$B$4:$B$63,0))&amp;")",IF(AND(INDEX(PRODUTOS!$I$4:$I$63,MATCH($A321,PRODUTOS!$B$4:$B$63,0))="B",$D321="AP07"),"NÃO (modelo B)","SIM")))</f>
        <v>SIM</v>
      </c>
      <c r="J321" s="13" t="s">
        <v>318</v>
      </c>
      <c r="K321" s="13"/>
    </row>
    <row r="322" customFormat="false" ht="15" hidden="false" customHeight="false" outlineLevel="0" collapsed="false">
      <c r="A322" s="15" t="s">
        <v>210</v>
      </c>
      <c r="B322" s="11" t="str">
        <f aca="false">INDEX(PRODUTOS!$E$4:$E$63,MATCH($A322,PRODUTOS!$B$4:$B$63,0))</f>
        <v>Bifinhos New Dots Cães Churrasco 50 g</v>
      </c>
      <c r="C322" s="11" t="str">
        <f aca="false">INDEX(PRODUTOS!$H$4:$H$63,MATCH($A322,PRODUTOS!$B$4:$B$63,0))</f>
        <v>50 g</v>
      </c>
      <c r="D322" s="11" t="s">
        <v>324</v>
      </c>
      <c r="E322" s="16" t="str">
        <f aca="false">$A322&amp;"."&amp;$D322&amp;".jpg"</f>
        <v>7898968541856.AP07.jpg</v>
      </c>
      <c r="F322" s="11" t="str">
        <f aca="false">IF(INDEX(PRODUTOS!$I$4:$I$63,MATCH($A322,PRODUTOS!$B$4:$B$63,0))="B",INDEX(MODELOS!$F$4:$F$11,MATCH($D322,MODELOS!$A$4:$A$11,0)),INDEX(MODELOS!$B$4:$B$11,MATCH($D322,MODELOS!$A$4:$A$11,0)))</f>
        <v>Módulo 4 · Especificações</v>
      </c>
      <c r="G322" s="11" t="str">
        <f aca="false">IF(INDEX(PRODUTOS!$F$4:$F$63,MATCH($A322,PRODUTOS!$B$4:$B$63,0))="Ração",IF(INDEX(PRODUTOS!$I$4:$I$63,MATCH($A322,PRODUTOS!$B$4:$B$63,0))="B",INDEX(MODELOS!$G$4:$G$11,MATCH($D322,MODELOS!$A$4:$A$11,0)),INDEX(MODELOS!$C$4:$C$11,MATCH($D322,MODELOS!$A$4:$A$11,0))),IF(INDEX(PRODUTOS!$I$4:$I$63,MATCH($A322,PRODUTOS!$B$4:$B$63,0))="B",INDEX(MODELOS!$H$4:$H$11,MATCH($D322,MODELOS!$A$4:$A$11,0)),INDEX(MODELOS!$D$4:$D$11,MATCH($D322,MODELOS!$A$4:$A$11,0))))</f>
        <v>Produto em destaque</v>
      </c>
      <c r="H322" s="11" t="str">
        <f aca="false">IF(INDEX(PRODUTOS!$I$4:$I$63,MATCH($A322,PRODUTOS!$B$4:$B$63,0))="B",INDEX(MODELOS!$I$4:$I$11,MATCH($D322,MODELOS!$A$4:$A$11,0)),INDEX(MODELOS!$E$4:$E$11,MATCH($D322,MODELOS!$A$4:$A$11,0)))</f>
        <v>300 × 300</v>
      </c>
      <c r="I322" s="11" t="str">
        <f aca="false">IF($D322="COMP","SIM",IF(INDEX(PRODUTOS!$J$4:$J$63,MATCH($A322,PRODUTOS!$B$4:$B$63,0))&lt;&gt;"","NÃO (usa o A+ do EAN "&amp;INDEX(PRODUTOS!$J$4:$J$63,MATCH($A322,PRODUTOS!$B$4:$B$63,0))&amp;")",IF(AND(INDEX(PRODUTOS!$I$4:$I$63,MATCH($A322,PRODUTOS!$B$4:$B$63,0))="B",$D322="AP07"),"NÃO (modelo B)","SIM")))</f>
        <v>SIM</v>
      </c>
      <c r="J322" s="13" t="s">
        <v>318</v>
      </c>
      <c r="K322" s="13"/>
    </row>
    <row r="323" customFormat="false" ht="15" hidden="false" customHeight="false" outlineLevel="0" collapsed="false">
      <c r="A323" s="15" t="s">
        <v>210</v>
      </c>
      <c r="B323" s="11" t="str">
        <f aca="false">INDEX(PRODUTOS!$E$4:$E$63,MATCH($A323,PRODUTOS!$B$4:$B$63,0))</f>
        <v>Bifinhos New Dots Cães Churrasco 50 g</v>
      </c>
      <c r="C323" s="11" t="str">
        <f aca="false">INDEX(PRODUTOS!$H$4:$H$63,MATCH($A323,PRODUTOS!$B$4:$B$63,0))</f>
        <v>50 g</v>
      </c>
      <c r="D323" s="11" t="s">
        <v>325</v>
      </c>
      <c r="E323" s="16" t="str">
        <f aca="false">$A323&amp;"."&amp;$D323&amp;".jpg"</f>
        <v>7898968541856.COMP.jpg</v>
      </c>
      <c r="F323" s="11" t="str">
        <f aca="false">IF(INDEX(PRODUTOS!$I$4:$I$63,MATCH($A323,PRODUTOS!$B$4:$B$63,0))="B",INDEX(MODELOS!$F$4:$F$11,MATCH($D323,MODELOS!$A$4:$A$11,0)),INDEX(MODELOS!$B$4:$B$11,MATCH($D323,MODELOS!$A$4:$A$11,0)))</f>
        <v>Módulo 5 · Tabela comparativa</v>
      </c>
      <c r="G323" s="11" t="str">
        <f aca="false">IF(INDEX(PRODUTOS!$F$4:$F$63,MATCH($A323,PRODUTOS!$B$4:$B$63,0))="Ração",IF(INDEX(PRODUTOS!$I$4:$I$63,MATCH($A323,PRODUTOS!$B$4:$B$63,0))="B",INDEX(MODELOS!$G$4:$G$11,MATCH($D323,MODELOS!$A$4:$A$11,0)),INDEX(MODELOS!$C$4:$C$11,MATCH($D323,MODELOS!$A$4:$A$11,0))),IF(INDEX(PRODUTOS!$I$4:$I$63,MATCH($A323,PRODUTOS!$B$4:$B$63,0))="B",INDEX(MODELOS!$H$4:$H$11,MATCH($D323,MODELOS!$A$4:$A$11,0)),INDEX(MODELOS!$D$4:$D$11,MATCH($D323,MODELOS!$A$4:$A$11,0))))</f>
        <v>Produto na vertical, sem fundo colorido</v>
      </c>
      <c r="H323" s="11" t="str">
        <f aca="false">IF(INDEX(PRODUTOS!$I$4:$I$63,MATCH($A323,PRODUTOS!$B$4:$B$63,0))="B",INDEX(MODELOS!$I$4:$I$11,MATCH($D323,MODELOS!$A$4:$A$11,0)),INDEX(MODELOS!$E$4:$E$11,MATCH($D323,MODELOS!$A$4:$A$11,0)))</f>
        <v>150 × 300</v>
      </c>
      <c r="I323" s="11" t="str">
        <f aca="false">IF($D323="COMP","SIM",IF(INDEX(PRODUTOS!$J$4:$J$63,MATCH($A323,PRODUTOS!$B$4:$B$63,0))&lt;&gt;"","NÃO (usa o A+ do EAN "&amp;INDEX(PRODUTOS!$J$4:$J$63,MATCH($A323,PRODUTOS!$B$4:$B$63,0))&amp;")",IF(AND(INDEX(PRODUTOS!$I$4:$I$63,MATCH($A323,PRODUTOS!$B$4:$B$63,0))="B",$D323="AP07"),"NÃO (modelo B)","SIM")))</f>
        <v>SIM</v>
      </c>
      <c r="J323" s="13" t="s">
        <v>318</v>
      </c>
      <c r="K323" s="13"/>
    </row>
    <row r="324" customFormat="false" ht="15" hidden="false" customHeight="false" outlineLevel="0" collapsed="false">
      <c r="A324" s="15" t="s">
        <v>214</v>
      </c>
      <c r="B324" s="11" t="str">
        <f aca="false">INDEX(PRODUTOS!$E$4:$E$63,MATCH($A324,PRODUTOS!$B$4:$B$63,0))</f>
        <v>Bifinhos New Dots Cães RPM Cordeiro 50 g</v>
      </c>
      <c r="C324" s="11" t="str">
        <f aca="false">INDEX(PRODUTOS!$H$4:$H$63,MATCH($A324,PRODUTOS!$B$4:$B$63,0))</f>
        <v>50 g</v>
      </c>
      <c r="D324" s="11" t="s">
        <v>317</v>
      </c>
      <c r="E324" s="16" t="str">
        <f aca="false">$A324&amp;"."&amp;$D324&amp;".jpg"</f>
        <v>7898968541870.AP01.jpg</v>
      </c>
      <c r="F324" s="11" t="str">
        <f aca="false">IF(INDEX(PRODUTOS!$I$4:$I$63,MATCH($A324,PRODUTOS!$B$4:$B$63,0))="B",INDEX(MODELOS!$F$4:$F$11,MATCH($D324,MODELOS!$A$4:$A$11,0)),INDEX(MODELOS!$B$4:$B$11,MATCH($D324,MODELOS!$A$4:$A$11,0)))</f>
        <v>Módulo 1 · Banner</v>
      </c>
      <c r="G324" s="11" t="str">
        <f aca="false">IF(INDEX(PRODUTOS!$F$4:$F$63,MATCH($A324,PRODUTOS!$B$4:$B$63,0))="Ração",IF(INDEX(PRODUTOS!$I$4:$I$63,MATCH($A324,PRODUTOS!$B$4:$B$63,0))="B",INDEX(MODELOS!$G$4:$G$11,MATCH($D324,MODELOS!$A$4:$A$11,0)),INDEX(MODELOS!$C$4:$C$11,MATCH($D324,MODELOS!$A$4:$A$11,0))),IF(INDEX(PRODUTOS!$I$4:$I$63,MATCH($A324,PRODUTOS!$B$4:$B$63,0))="B",INDEX(MODELOS!$H$4:$H$11,MATCH($D324,MODELOS!$A$4:$A$11,0)),INDEX(MODELOS!$D$4:$D$11,MATCH($D324,MODELOS!$A$4:$A$11,0))))</f>
        <v>Produto + pet, com o nome da linha</v>
      </c>
      <c r="H324" s="11" t="str">
        <f aca="false">IF(INDEX(PRODUTOS!$I$4:$I$63,MATCH($A324,PRODUTOS!$B$4:$B$63,0))="B",INDEX(MODELOS!$I$4:$I$11,MATCH($D324,MODELOS!$A$4:$A$11,0)),INDEX(MODELOS!$E$4:$E$11,MATCH($D324,MODELOS!$A$4:$A$11,0)))</f>
        <v>970 × 600</v>
      </c>
      <c r="I324" s="11" t="str">
        <f aca="false">IF($D324="COMP","SIM",IF(INDEX(PRODUTOS!$J$4:$J$63,MATCH($A324,PRODUTOS!$B$4:$B$63,0))&lt;&gt;"","NÃO (usa o A+ do EAN "&amp;INDEX(PRODUTOS!$J$4:$J$63,MATCH($A324,PRODUTOS!$B$4:$B$63,0))&amp;")",IF(AND(INDEX(PRODUTOS!$I$4:$I$63,MATCH($A324,PRODUTOS!$B$4:$B$63,0))="B",$D324="AP07"),"NÃO (modelo B)","SIM")))</f>
        <v>SIM</v>
      </c>
      <c r="J324" s="13" t="s">
        <v>318</v>
      </c>
      <c r="K324" s="13"/>
    </row>
    <row r="325" customFormat="false" ht="15" hidden="false" customHeight="false" outlineLevel="0" collapsed="false">
      <c r="A325" s="15" t="s">
        <v>214</v>
      </c>
      <c r="B325" s="11" t="str">
        <f aca="false">INDEX(PRODUTOS!$E$4:$E$63,MATCH($A325,PRODUTOS!$B$4:$B$63,0))</f>
        <v>Bifinhos New Dots Cães RPM Cordeiro 50 g</v>
      </c>
      <c r="C325" s="11" t="str">
        <f aca="false">INDEX(PRODUTOS!$H$4:$H$63,MATCH($A325,PRODUTOS!$B$4:$B$63,0))</f>
        <v>50 g</v>
      </c>
      <c r="D325" s="11" t="s">
        <v>319</v>
      </c>
      <c r="E325" s="16" t="str">
        <f aca="false">$A325&amp;"."&amp;$D325&amp;".jpg"</f>
        <v>7898968541870.AP02.jpg</v>
      </c>
      <c r="F325" s="11" t="str">
        <f aca="false">IF(INDEX(PRODUTOS!$I$4:$I$63,MATCH($A325,PRODUTOS!$B$4:$B$63,0))="B",INDEX(MODELOS!$F$4:$F$11,MATCH($D325,MODELOS!$A$4:$A$11,0)),INDEX(MODELOS!$B$4:$B$11,MATCH($D325,MODELOS!$A$4:$A$11,0)))</f>
        <v>Módulo 2 · Texto sobreposto</v>
      </c>
      <c r="G325" s="11" t="str">
        <f aca="false">IF(INDEX(PRODUTOS!$F$4:$F$63,MATCH($A325,PRODUTOS!$B$4:$B$63,0))="Ração",IF(INDEX(PRODUTOS!$I$4:$I$63,MATCH($A325,PRODUTOS!$B$4:$B$63,0))="B",INDEX(MODELOS!$G$4:$G$11,MATCH($D325,MODELOS!$A$4:$A$11,0)),INDEX(MODELOS!$C$4:$C$11,MATCH($D325,MODELOS!$A$4:$A$11,0))),IF(INDEX(PRODUTOS!$I$4:$I$63,MATCH($A325,PRODUTOS!$B$4:$B$63,0))="B",INDEX(MODELOS!$H$4:$H$11,MATCH($D325,MODELOS!$A$4:$A$11,0)),INDEX(MODELOS!$D$4:$D$11,MATCH($D325,MODELOS!$A$4:$A$11,0))))</f>
        <v>Principal diferencial; deixar o lado direito limpo</v>
      </c>
      <c r="H325" s="11" t="str">
        <f aca="false">IF(INDEX(PRODUTOS!$I$4:$I$63,MATCH($A325,PRODUTOS!$B$4:$B$63,0))="B",INDEX(MODELOS!$I$4:$I$11,MATCH($D325,MODELOS!$A$4:$A$11,0)),INDEX(MODELOS!$E$4:$E$11,MATCH($D325,MODELOS!$A$4:$A$11,0)))</f>
        <v>970 × 300</v>
      </c>
      <c r="I325" s="11" t="str">
        <f aca="false">IF($D325="COMP","SIM",IF(INDEX(PRODUTOS!$J$4:$J$63,MATCH($A325,PRODUTOS!$B$4:$B$63,0))&lt;&gt;"","NÃO (usa o A+ do EAN "&amp;INDEX(PRODUTOS!$J$4:$J$63,MATCH($A325,PRODUTOS!$B$4:$B$63,0))&amp;")",IF(AND(INDEX(PRODUTOS!$I$4:$I$63,MATCH($A325,PRODUTOS!$B$4:$B$63,0))="B",$D325="AP07"),"NÃO (modelo B)","SIM")))</f>
        <v>SIM</v>
      </c>
      <c r="J325" s="13" t="s">
        <v>318</v>
      </c>
      <c r="K325" s="13"/>
    </row>
    <row r="326" customFormat="false" ht="15" hidden="false" customHeight="false" outlineLevel="0" collapsed="false">
      <c r="A326" s="15" t="s">
        <v>214</v>
      </c>
      <c r="B326" s="11" t="str">
        <f aca="false">INDEX(PRODUTOS!$E$4:$E$63,MATCH($A326,PRODUTOS!$B$4:$B$63,0))</f>
        <v>Bifinhos New Dots Cães RPM Cordeiro 50 g</v>
      </c>
      <c r="C326" s="11" t="str">
        <f aca="false">INDEX(PRODUTOS!$H$4:$H$63,MATCH($A326,PRODUTOS!$B$4:$B$63,0))</f>
        <v>50 g</v>
      </c>
      <c r="D326" s="11" t="s">
        <v>320</v>
      </c>
      <c r="E326" s="16" t="str">
        <f aca="false">$A326&amp;"."&amp;$D326&amp;".jpg"</f>
        <v>7898968541870.AP03.jpg</v>
      </c>
      <c r="F326" s="11" t="str">
        <f aca="false">IF(INDEX(PRODUTOS!$I$4:$I$63,MATCH($A326,PRODUTOS!$B$4:$B$63,0))="B",INDEX(MODELOS!$F$4:$F$11,MATCH($D326,MODELOS!$A$4:$A$11,0)),INDEX(MODELOS!$B$4:$B$11,MATCH($D326,MODELOS!$A$4:$A$11,0)))</f>
        <v>Módulo 3 · Benefício 1 de 4</v>
      </c>
      <c r="G326" s="11" t="str">
        <f aca="false">IF(INDEX(PRODUTOS!$F$4:$F$63,MATCH($A326,PRODUTOS!$B$4:$B$63,0))="Ração",IF(INDEX(PRODUTOS!$I$4:$I$63,MATCH($A326,PRODUTOS!$B$4:$B$63,0))="B",INDEX(MODELOS!$G$4:$G$11,MATCH($D326,MODELOS!$A$4:$A$11,0)),INDEX(MODELOS!$C$4:$C$11,MATCH($D326,MODELOS!$A$4:$A$11,0))),IF(INDEX(PRODUTOS!$I$4:$I$63,MATCH($A326,PRODUTOS!$B$4:$B$63,0))="B",INDEX(MODELOS!$H$4:$H$11,MATCH($D326,MODELOS!$A$4:$A$11,0)),INDEX(MODELOS!$D$4:$D$11,MATCH($D326,MODELOS!$A$4:$A$11,0))))</f>
        <v>Foto/ilustração do benefício 1</v>
      </c>
      <c r="H326" s="11" t="str">
        <f aca="false">IF(INDEX(PRODUTOS!$I$4:$I$63,MATCH($A326,PRODUTOS!$B$4:$B$63,0))="B",INDEX(MODELOS!$I$4:$I$11,MATCH($D326,MODELOS!$A$4:$A$11,0)),INDEX(MODELOS!$E$4:$E$11,MATCH($D326,MODELOS!$A$4:$A$11,0)))</f>
        <v>220 × 200</v>
      </c>
      <c r="I326" s="11" t="str">
        <f aca="false">IF($D326="COMP","SIM",IF(INDEX(PRODUTOS!$J$4:$J$63,MATCH($A326,PRODUTOS!$B$4:$B$63,0))&lt;&gt;"","NÃO (usa o A+ do EAN "&amp;INDEX(PRODUTOS!$J$4:$J$63,MATCH($A326,PRODUTOS!$B$4:$B$63,0))&amp;")",IF(AND(INDEX(PRODUTOS!$I$4:$I$63,MATCH($A326,PRODUTOS!$B$4:$B$63,0))="B",$D326="AP07"),"NÃO (modelo B)","SIM")))</f>
        <v>SIM</v>
      </c>
      <c r="J326" s="13" t="s">
        <v>318</v>
      </c>
      <c r="K326" s="13"/>
    </row>
    <row r="327" customFormat="false" ht="15" hidden="false" customHeight="false" outlineLevel="0" collapsed="false">
      <c r="A327" s="15" t="s">
        <v>214</v>
      </c>
      <c r="B327" s="11" t="str">
        <f aca="false">INDEX(PRODUTOS!$E$4:$E$63,MATCH($A327,PRODUTOS!$B$4:$B$63,0))</f>
        <v>Bifinhos New Dots Cães RPM Cordeiro 50 g</v>
      </c>
      <c r="C327" s="11" t="str">
        <f aca="false">INDEX(PRODUTOS!$H$4:$H$63,MATCH($A327,PRODUTOS!$B$4:$B$63,0))</f>
        <v>50 g</v>
      </c>
      <c r="D327" s="11" t="s">
        <v>321</v>
      </c>
      <c r="E327" s="16" t="str">
        <f aca="false">$A327&amp;"."&amp;$D327&amp;".jpg"</f>
        <v>7898968541870.AP04.jpg</v>
      </c>
      <c r="F327" s="11" t="str">
        <f aca="false">IF(INDEX(PRODUTOS!$I$4:$I$63,MATCH($A327,PRODUTOS!$B$4:$B$63,0))="B",INDEX(MODELOS!$F$4:$F$11,MATCH($D327,MODELOS!$A$4:$A$11,0)),INDEX(MODELOS!$B$4:$B$11,MATCH($D327,MODELOS!$A$4:$A$11,0)))</f>
        <v>Módulo 3 · Benefício 2 de 4</v>
      </c>
      <c r="G327" s="11" t="str">
        <f aca="false">IF(INDEX(PRODUTOS!$F$4:$F$63,MATCH($A327,PRODUTOS!$B$4:$B$63,0))="Ração",IF(INDEX(PRODUTOS!$I$4:$I$63,MATCH($A327,PRODUTOS!$B$4:$B$63,0))="B",INDEX(MODELOS!$G$4:$G$11,MATCH($D327,MODELOS!$A$4:$A$11,0)),INDEX(MODELOS!$C$4:$C$11,MATCH($D327,MODELOS!$A$4:$A$11,0))),IF(INDEX(PRODUTOS!$I$4:$I$63,MATCH($A327,PRODUTOS!$B$4:$B$63,0))="B",INDEX(MODELOS!$H$4:$H$11,MATCH($D327,MODELOS!$A$4:$A$11,0)),INDEX(MODELOS!$D$4:$D$11,MATCH($D327,MODELOS!$A$4:$A$11,0))))</f>
        <v>Foto/ilustração do benefício 2</v>
      </c>
      <c r="H327" s="11" t="str">
        <f aca="false">IF(INDEX(PRODUTOS!$I$4:$I$63,MATCH($A327,PRODUTOS!$B$4:$B$63,0))="B",INDEX(MODELOS!$I$4:$I$11,MATCH($D327,MODELOS!$A$4:$A$11,0)),INDEX(MODELOS!$E$4:$E$11,MATCH($D327,MODELOS!$A$4:$A$11,0)))</f>
        <v>220 × 200</v>
      </c>
      <c r="I327" s="11" t="str">
        <f aca="false">IF($D327="COMP","SIM",IF(INDEX(PRODUTOS!$J$4:$J$63,MATCH($A327,PRODUTOS!$B$4:$B$63,0))&lt;&gt;"","NÃO (usa o A+ do EAN "&amp;INDEX(PRODUTOS!$J$4:$J$63,MATCH($A327,PRODUTOS!$B$4:$B$63,0))&amp;")",IF(AND(INDEX(PRODUTOS!$I$4:$I$63,MATCH($A327,PRODUTOS!$B$4:$B$63,0))="B",$D327="AP07"),"NÃO (modelo B)","SIM")))</f>
        <v>SIM</v>
      </c>
      <c r="J327" s="13" t="s">
        <v>318</v>
      </c>
      <c r="K327" s="13"/>
    </row>
    <row r="328" customFormat="false" ht="15" hidden="false" customHeight="false" outlineLevel="0" collapsed="false">
      <c r="A328" s="15" t="s">
        <v>214</v>
      </c>
      <c r="B328" s="11" t="str">
        <f aca="false">INDEX(PRODUTOS!$E$4:$E$63,MATCH($A328,PRODUTOS!$B$4:$B$63,0))</f>
        <v>Bifinhos New Dots Cães RPM Cordeiro 50 g</v>
      </c>
      <c r="C328" s="11" t="str">
        <f aca="false">INDEX(PRODUTOS!$H$4:$H$63,MATCH($A328,PRODUTOS!$B$4:$B$63,0))</f>
        <v>50 g</v>
      </c>
      <c r="D328" s="11" t="s">
        <v>322</v>
      </c>
      <c r="E328" s="16" t="str">
        <f aca="false">$A328&amp;"."&amp;$D328&amp;".jpg"</f>
        <v>7898968541870.AP05.jpg</v>
      </c>
      <c r="F328" s="11" t="str">
        <f aca="false">IF(INDEX(PRODUTOS!$I$4:$I$63,MATCH($A328,PRODUTOS!$B$4:$B$63,0))="B",INDEX(MODELOS!$F$4:$F$11,MATCH($D328,MODELOS!$A$4:$A$11,0)),INDEX(MODELOS!$B$4:$B$11,MATCH($D328,MODELOS!$A$4:$A$11,0)))</f>
        <v>Módulo 3 · Benefício 3 de 4</v>
      </c>
      <c r="G328" s="11" t="str">
        <f aca="false">IF(INDEX(PRODUTOS!$F$4:$F$63,MATCH($A328,PRODUTOS!$B$4:$B$63,0))="Ração",IF(INDEX(PRODUTOS!$I$4:$I$63,MATCH($A328,PRODUTOS!$B$4:$B$63,0))="B",INDEX(MODELOS!$G$4:$G$11,MATCH($D328,MODELOS!$A$4:$A$11,0)),INDEX(MODELOS!$C$4:$C$11,MATCH($D328,MODELOS!$A$4:$A$11,0))),IF(INDEX(PRODUTOS!$I$4:$I$63,MATCH($A328,PRODUTOS!$B$4:$B$63,0))="B",INDEX(MODELOS!$H$4:$H$11,MATCH($D328,MODELOS!$A$4:$A$11,0)),INDEX(MODELOS!$D$4:$D$11,MATCH($D328,MODELOS!$A$4:$A$11,0))))</f>
        <v>Foto/ilustração do benefício 3</v>
      </c>
      <c r="H328" s="11" t="str">
        <f aca="false">IF(INDEX(PRODUTOS!$I$4:$I$63,MATCH($A328,PRODUTOS!$B$4:$B$63,0))="B",INDEX(MODELOS!$I$4:$I$11,MATCH($D328,MODELOS!$A$4:$A$11,0)),INDEX(MODELOS!$E$4:$E$11,MATCH($D328,MODELOS!$A$4:$A$11,0)))</f>
        <v>220 × 200</v>
      </c>
      <c r="I328" s="11" t="str">
        <f aca="false">IF($D328="COMP","SIM",IF(INDEX(PRODUTOS!$J$4:$J$63,MATCH($A328,PRODUTOS!$B$4:$B$63,0))&lt;&gt;"","NÃO (usa o A+ do EAN "&amp;INDEX(PRODUTOS!$J$4:$J$63,MATCH($A328,PRODUTOS!$B$4:$B$63,0))&amp;")",IF(AND(INDEX(PRODUTOS!$I$4:$I$63,MATCH($A328,PRODUTOS!$B$4:$B$63,0))="B",$D328="AP07"),"NÃO (modelo B)","SIM")))</f>
        <v>SIM</v>
      </c>
      <c r="J328" s="13" t="s">
        <v>318</v>
      </c>
      <c r="K328" s="13"/>
    </row>
    <row r="329" customFormat="false" ht="15" hidden="false" customHeight="false" outlineLevel="0" collapsed="false">
      <c r="A329" s="15" t="s">
        <v>214</v>
      </c>
      <c r="B329" s="11" t="str">
        <f aca="false">INDEX(PRODUTOS!$E$4:$E$63,MATCH($A329,PRODUTOS!$B$4:$B$63,0))</f>
        <v>Bifinhos New Dots Cães RPM Cordeiro 50 g</v>
      </c>
      <c r="C329" s="11" t="str">
        <f aca="false">INDEX(PRODUTOS!$H$4:$H$63,MATCH($A329,PRODUTOS!$B$4:$B$63,0))</f>
        <v>50 g</v>
      </c>
      <c r="D329" s="11" t="s">
        <v>323</v>
      </c>
      <c r="E329" s="16" t="str">
        <f aca="false">$A329&amp;"."&amp;$D329&amp;".jpg"</f>
        <v>7898968541870.AP06.jpg</v>
      </c>
      <c r="F329" s="11" t="str">
        <f aca="false">IF(INDEX(PRODUTOS!$I$4:$I$63,MATCH($A329,PRODUTOS!$B$4:$B$63,0))="B",INDEX(MODELOS!$F$4:$F$11,MATCH($D329,MODELOS!$A$4:$A$11,0)),INDEX(MODELOS!$B$4:$B$11,MATCH($D329,MODELOS!$A$4:$A$11,0)))</f>
        <v>Módulo 3 · Benefício 4 de 4</v>
      </c>
      <c r="G329" s="11" t="str">
        <f aca="false">IF(INDEX(PRODUTOS!$F$4:$F$63,MATCH($A329,PRODUTOS!$B$4:$B$63,0))="Ração",IF(INDEX(PRODUTOS!$I$4:$I$63,MATCH($A329,PRODUTOS!$B$4:$B$63,0))="B",INDEX(MODELOS!$G$4:$G$11,MATCH($D329,MODELOS!$A$4:$A$11,0)),INDEX(MODELOS!$C$4:$C$11,MATCH($D329,MODELOS!$A$4:$A$11,0))),IF(INDEX(PRODUTOS!$I$4:$I$63,MATCH($A329,PRODUTOS!$B$4:$B$63,0))="B",INDEX(MODELOS!$H$4:$H$11,MATCH($D329,MODELOS!$A$4:$A$11,0)),INDEX(MODELOS!$D$4:$D$11,MATCH($D329,MODELOS!$A$4:$A$11,0))))</f>
        <v>Foto/ilustração do benefício 4</v>
      </c>
      <c r="H329" s="11" t="str">
        <f aca="false">IF(INDEX(PRODUTOS!$I$4:$I$63,MATCH($A329,PRODUTOS!$B$4:$B$63,0))="B",INDEX(MODELOS!$I$4:$I$11,MATCH($D329,MODELOS!$A$4:$A$11,0)),INDEX(MODELOS!$E$4:$E$11,MATCH($D329,MODELOS!$A$4:$A$11,0)))</f>
        <v>220 × 200</v>
      </c>
      <c r="I329" s="11" t="str">
        <f aca="false">IF($D329="COMP","SIM",IF(INDEX(PRODUTOS!$J$4:$J$63,MATCH($A329,PRODUTOS!$B$4:$B$63,0))&lt;&gt;"","NÃO (usa o A+ do EAN "&amp;INDEX(PRODUTOS!$J$4:$J$63,MATCH($A329,PRODUTOS!$B$4:$B$63,0))&amp;")",IF(AND(INDEX(PRODUTOS!$I$4:$I$63,MATCH($A329,PRODUTOS!$B$4:$B$63,0))="B",$D329="AP07"),"NÃO (modelo B)","SIM")))</f>
        <v>SIM</v>
      </c>
      <c r="J329" s="13" t="s">
        <v>318</v>
      </c>
      <c r="K329" s="13"/>
    </row>
    <row r="330" customFormat="false" ht="15" hidden="false" customHeight="false" outlineLevel="0" collapsed="false">
      <c r="A330" s="15" t="s">
        <v>214</v>
      </c>
      <c r="B330" s="11" t="str">
        <f aca="false">INDEX(PRODUTOS!$E$4:$E$63,MATCH($A330,PRODUTOS!$B$4:$B$63,0))</f>
        <v>Bifinhos New Dots Cães RPM Cordeiro 50 g</v>
      </c>
      <c r="C330" s="11" t="str">
        <f aca="false">INDEX(PRODUTOS!$H$4:$H$63,MATCH($A330,PRODUTOS!$B$4:$B$63,0))</f>
        <v>50 g</v>
      </c>
      <c r="D330" s="11" t="s">
        <v>324</v>
      </c>
      <c r="E330" s="16" t="str">
        <f aca="false">$A330&amp;"."&amp;$D330&amp;".jpg"</f>
        <v>7898968541870.AP07.jpg</v>
      </c>
      <c r="F330" s="11" t="str">
        <f aca="false">IF(INDEX(PRODUTOS!$I$4:$I$63,MATCH($A330,PRODUTOS!$B$4:$B$63,0))="B",INDEX(MODELOS!$F$4:$F$11,MATCH($D330,MODELOS!$A$4:$A$11,0)),INDEX(MODELOS!$B$4:$B$11,MATCH($D330,MODELOS!$A$4:$A$11,0)))</f>
        <v>Módulo 4 · Especificações</v>
      </c>
      <c r="G330" s="11" t="str">
        <f aca="false">IF(INDEX(PRODUTOS!$F$4:$F$63,MATCH($A330,PRODUTOS!$B$4:$B$63,0))="Ração",IF(INDEX(PRODUTOS!$I$4:$I$63,MATCH($A330,PRODUTOS!$B$4:$B$63,0))="B",INDEX(MODELOS!$G$4:$G$11,MATCH($D330,MODELOS!$A$4:$A$11,0)),INDEX(MODELOS!$C$4:$C$11,MATCH($D330,MODELOS!$A$4:$A$11,0))),IF(INDEX(PRODUTOS!$I$4:$I$63,MATCH($A330,PRODUTOS!$B$4:$B$63,0))="B",INDEX(MODELOS!$H$4:$H$11,MATCH($D330,MODELOS!$A$4:$A$11,0)),INDEX(MODELOS!$D$4:$D$11,MATCH($D330,MODELOS!$A$4:$A$11,0))))</f>
        <v>Produto em destaque</v>
      </c>
      <c r="H330" s="11" t="str">
        <f aca="false">IF(INDEX(PRODUTOS!$I$4:$I$63,MATCH($A330,PRODUTOS!$B$4:$B$63,0))="B",INDEX(MODELOS!$I$4:$I$11,MATCH($D330,MODELOS!$A$4:$A$11,0)),INDEX(MODELOS!$E$4:$E$11,MATCH($D330,MODELOS!$A$4:$A$11,0)))</f>
        <v>300 × 300</v>
      </c>
      <c r="I330" s="11" t="str">
        <f aca="false">IF($D330="COMP","SIM",IF(INDEX(PRODUTOS!$J$4:$J$63,MATCH($A330,PRODUTOS!$B$4:$B$63,0))&lt;&gt;"","NÃO (usa o A+ do EAN "&amp;INDEX(PRODUTOS!$J$4:$J$63,MATCH($A330,PRODUTOS!$B$4:$B$63,0))&amp;")",IF(AND(INDEX(PRODUTOS!$I$4:$I$63,MATCH($A330,PRODUTOS!$B$4:$B$63,0))="B",$D330="AP07"),"NÃO (modelo B)","SIM")))</f>
        <v>SIM</v>
      </c>
      <c r="J330" s="13" t="s">
        <v>318</v>
      </c>
      <c r="K330" s="13"/>
    </row>
    <row r="331" customFormat="false" ht="15" hidden="false" customHeight="false" outlineLevel="0" collapsed="false">
      <c r="A331" s="15" t="s">
        <v>214</v>
      </c>
      <c r="B331" s="11" t="str">
        <f aca="false">INDEX(PRODUTOS!$E$4:$E$63,MATCH($A331,PRODUTOS!$B$4:$B$63,0))</f>
        <v>Bifinhos New Dots Cães RPM Cordeiro 50 g</v>
      </c>
      <c r="C331" s="11" t="str">
        <f aca="false">INDEX(PRODUTOS!$H$4:$H$63,MATCH($A331,PRODUTOS!$B$4:$B$63,0))</f>
        <v>50 g</v>
      </c>
      <c r="D331" s="11" t="s">
        <v>325</v>
      </c>
      <c r="E331" s="16" t="str">
        <f aca="false">$A331&amp;"."&amp;$D331&amp;".jpg"</f>
        <v>7898968541870.COMP.jpg</v>
      </c>
      <c r="F331" s="11" t="str">
        <f aca="false">IF(INDEX(PRODUTOS!$I$4:$I$63,MATCH($A331,PRODUTOS!$B$4:$B$63,0))="B",INDEX(MODELOS!$F$4:$F$11,MATCH($D331,MODELOS!$A$4:$A$11,0)),INDEX(MODELOS!$B$4:$B$11,MATCH($D331,MODELOS!$A$4:$A$11,0)))</f>
        <v>Módulo 5 · Tabela comparativa</v>
      </c>
      <c r="G331" s="11" t="str">
        <f aca="false">IF(INDEX(PRODUTOS!$F$4:$F$63,MATCH($A331,PRODUTOS!$B$4:$B$63,0))="Ração",IF(INDEX(PRODUTOS!$I$4:$I$63,MATCH($A331,PRODUTOS!$B$4:$B$63,0))="B",INDEX(MODELOS!$G$4:$G$11,MATCH($D331,MODELOS!$A$4:$A$11,0)),INDEX(MODELOS!$C$4:$C$11,MATCH($D331,MODELOS!$A$4:$A$11,0))),IF(INDEX(PRODUTOS!$I$4:$I$63,MATCH($A331,PRODUTOS!$B$4:$B$63,0))="B",INDEX(MODELOS!$H$4:$H$11,MATCH($D331,MODELOS!$A$4:$A$11,0)),INDEX(MODELOS!$D$4:$D$11,MATCH($D331,MODELOS!$A$4:$A$11,0))))</f>
        <v>Produto na vertical, sem fundo colorido</v>
      </c>
      <c r="H331" s="11" t="str">
        <f aca="false">IF(INDEX(PRODUTOS!$I$4:$I$63,MATCH($A331,PRODUTOS!$B$4:$B$63,0))="B",INDEX(MODELOS!$I$4:$I$11,MATCH($D331,MODELOS!$A$4:$A$11,0)),INDEX(MODELOS!$E$4:$E$11,MATCH($D331,MODELOS!$A$4:$A$11,0)))</f>
        <v>150 × 300</v>
      </c>
      <c r="I331" s="11" t="str">
        <f aca="false">IF($D331="COMP","SIM",IF(INDEX(PRODUTOS!$J$4:$J$63,MATCH($A331,PRODUTOS!$B$4:$B$63,0))&lt;&gt;"","NÃO (usa o A+ do EAN "&amp;INDEX(PRODUTOS!$J$4:$J$63,MATCH($A331,PRODUTOS!$B$4:$B$63,0))&amp;")",IF(AND(INDEX(PRODUTOS!$I$4:$I$63,MATCH($A331,PRODUTOS!$B$4:$B$63,0))="B",$D331="AP07"),"NÃO (modelo B)","SIM")))</f>
        <v>SIM</v>
      </c>
      <c r="J331" s="13" t="s">
        <v>318</v>
      </c>
      <c r="K331" s="13"/>
    </row>
    <row r="332" customFormat="false" ht="15" hidden="false" customHeight="false" outlineLevel="0" collapsed="false">
      <c r="A332" s="15" t="s">
        <v>218</v>
      </c>
      <c r="B332" s="11" t="str">
        <f aca="false">INDEX(PRODUTOS!$E$4:$E$63,MATCH($A332,PRODUTOS!$B$4:$B$63,0))</f>
        <v>Biscoito Cães Adultos New Dots 400 g</v>
      </c>
      <c r="C332" s="11" t="str">
        <f aca="false">INDEX(PRODUTOS!$H$4:$H$63,MATCH($A332,PRODUTOS!$B$4:$B$63,0))</f>
        <v>400 g</v>
      </c>
      <c r="D332" s="11" t="s">
        <v>317</v>
      </c>
      <c r="E332" s="16" t="str">
        <f aca="false">$A332&amp;"."&amp;$D332&amp;".jpg"</f>
        <v>7908591300000.AP01.jpg</v>
      </c>
      <c r="F332" s="11" t="str">
        <f aca="false">IF(INDEX(PRODUTOS!$I$4:$I$63,MATCH($A332,PRODUTOS!$B$4:$B$63,0))="B",INDEX(MODELOS!$F$4:$F$11,MATCH($D332,MODELOS!$A$4:$A$11,0)),INDEX(MODELOS!$B$4:$B$11,MATCH($D332,MODELOS!$A$4:$A$11,0)))</f>
        <v>Módulo 1 · Banner</v>
      </c>
      <c r="G332" s="11" t="str">
        <f aca="false">IF(INDEX(PRODUTOS!$F$4:$F$63,MATCH($A332,PRODUTOS!$B$4:$B$63,0))="Ração",IF(INDEX(PRODUTOS!$I$4:$I$63,MATCH($A332,PRODUTOS!$B$4:$B$63,0))="B",INDEX(MODELOS!$G$4:$G$11,MATCH($D332,MODELOS!$A$4:$A$11,0)),INDEX(MODELOS!$C$4:$C$11,MATCH($D332,MODELOS!$A$4:$A$11,0))),IF(INDEX(PRODUTOS!$I$4:$I$63,MATCH($A332,PRODUTOS!$B$4:$B$63,0))="B",INDEX(MODELOS!$H$4:$H$11,MATCH($D332,MODELOS!$A$4:$A$11,0)),INDEX(MODELOS!$D$4:$D$11,MATCH($D332,MODELOS!$A$4:$A$11,0))))</f>
        <v>Produto + pet, com o nome da linha</v>
      </c>
      <c r="H332" s="11" t="str">
        <f aca="false">IF(INDEX(PRODUTOS!$I$4:$I$63,MATCH($A332,PRODUTOS!$B$4:$B$63,0))="B",INDEX(MODELOS!$I$4:$I$11,MATCH($D332,MODELOS!$A$4:$A$11,0)),INDEX(MODELOS!$E$4:$E$11,MATCH($D332,MODELOS!$A$4:$A$11,0)))</f>
        <v>970 × 600</v>
      </c>
      <c r="I332" s="11" t="str">
        <f aca="false">IF($D332="COMP","SIM",IF(INDEX(PRODUTOS!$J$4:$J$63,MATCH($A332,PRODUTOS!$B$4:$B$63,0))&lt;&gt;"","NÃO (usa o A+ do EAN "&amp;INDEX(PRODUTOS!$J$4:$J$63,MATCH($A332,PRODUTOS!$B$4:$B$63,0))&amp;")",IF(AND(INDEX(PRODUTOS!$I$4:$I$63,MATCH($A332,PRODUTOS!$B$4:$B$63,0))="B",$D332="AP07"),"NÃO (modelo B)","SIM")))</f>
        <v>SIM</v>
      </c>
      <c r="J332" s="13" t="s">
        <v>318</v>
      </c>
      <c r="K332" s="13"/>
    </row>
    <row r="333" customFormat="false" ht="15" hidden="false" customHeight="false" outlineLevel="0" collapsed="false">
      <c r="A333" s="15" t="s">
        <v>218</v>
      </c>
      <c r="B333" s="11" t="str">
        <f aca="false">INDEX(PRODUTOS!$E$4:$E$63,MATCH($A333,PRODUTOS!$B$4:$B$63,0))</f>
        <v>Biscoito Cães Adultos New Dots 400 g</v>
      </c>
      <c r="C333" s="11" t="str">
        <f aca="false">INDEX(PRODUTOS!$H$4:$H$63,MATCH($A333,PRODUTOS!$B$4:$B$63,0))</f>
        <v>400 g</v>
      </c>
      <c r="D333" s="11" t="s">
        <v>319</v>
      </c>
      <c r="E333" s="16" t="str">
        <f aca="false">$A333&amp;"."&amp;$D333&amp;".jpg"</f>
        <v>7908591300000.AP02.jpg</v>
      </c>
      <c r="F333" s="11" t="str">
        <f aca="false">IF(INDEX(PRODUTOS!$I$4:$I$63,MATCH($A333,PRODUTOS!$B$4:$B$63,0))="B",INDEX(MODELOS!$F$4:$F$11,MATCH($D333,MODELOS!$A$4:$A$11,0)),INDEX(MODELOS!$B$4:$B$11,MATCH($D333,MODELOS!$A$4:$A$11,0)))</f>
        <v>Módulo 2 · Texto sobreposto</v>
      </c>
      <c r="G333" s="11" t="str">
        <f aca="false">IF(INDEX(PRODUTOS!$F$4:$F$63,MATCH($A333,PRODUTOS!$B$4:$B$63,0))="Ração",IF(INDEX(PRODUTOS!$I$4:$I$63,MATCH($A333,PRODUTOS!$B$4:$B$63,0))="B",INDEX(MODELOS!$G$4:$G$11,MATCH($D333,MODELOS!$A$4:$A$11,0)),INDEX(MODELOS!$C$4:$C$11,MATCH($D333,MODELOS!$A$4:$A$11,0))),IF(INDEX(PRODUTOS!$I$4:$I$63,MATCH($A333,PRODUTOS!$B$4:$B$63,0))="B",INDEX(MODELOS!$H$4:$H$11,MATCH($D333,MODELOS!$A$4:$A$11,0)),INDEX(MODELOS!$D$4:$D$11,MATCH($D333,MODELOS!$A$4:$A$11,0))))</f>
        <v>Principal diferencial; deixar o lado direito limpo</v>
      </c>
      <c r="H333" s="11" t="str">
        <f aca="false">IF(INDEX(PRODUTOS!$I$4:$I$63,MATCH($A333,PRODUTOS!$B$4:$B$63,0))="B",INDEX(MODELOS!$I$4:$I$11,MATCH($D333,MODELOS!$A$4:$A$11,0)),INDEX(MODELOS!$E$4:$E$11,MATCH($D333,MODELOS!$A$4:$A$11,0)))</f>
        <v>970 × 300</v>
      </c>
      <c r="I333" s="11" t="str">
        <f aca="false">IF($D333="COMP","SIM",IF(INDEX(PRODUTOS!$J$4:$J$63,MATCH($A333,PRODUTOS!$B$4:$B$63,0))&lt;&gt;"","NÃO (usa o A+ do EAN "&amp;INDEX(PRODUTOS!$J$4:$J$63,MATCH($A333,PRODUTOS!$B$4:$B$63,0))&amp;")",IF(AND(INDEX(PRODUTOS!$I$4:$I$63,MATCH($A333,PRODUTOS!$B$4:$B$63,0))="B",$D333="AP07"),"NÃO (modelo B)","SIM")))</f>
        <v>SIM</v>
      </c>
      <c r="J333" s="13" t="s">
        <v>318</v>
      </c>
      <c r="K333" s="13"/>
    </row>
    <row r="334" customFormat="false" ht="15" hidden="false" customHeight="false" outlineLevel="0" collapsed="false">
      <c r="A334" s="15" t="s">
        <v>218</v>
      </c>
      <c r="B334" s="11" t="str">
        <f aca="false">INDEX(PRODUTOS!$E$4:$E$63,MATCH($A334,PRODUTOS!$B$4:$B$63,0))</f>
        <v>Biscoito Cães Adultos New Dots 400 g</v>
      </c>
      <c r="C334" s="11" t="str">
        <f aca="false">INDEX(PRODUTOS!$H$4:$H$63,MATCH($A334,PRODUTOS!$B$4:$B$63,0))</f>
        <v>400 g</v>
      </c>
      <c r="D334" s="11" t="s">
        <v>320</v>
      </c>
      <c r="E334" s="16" t="str">
        <f aca="false">$A334&amp;"."&amp;$D334&amp;".jpg"</f>
        <v>7908591300000.AP03.jpg</v>
      </c>
      <c r="F334" s="11" t="str">
        <f aca="false">IF(INDEX(PRODUTOS!$I$4:$I$63,MATCH($A334,PRODUTOS!$B$4:$B$63,0))="B",INDEX(MODELOS!$F$4:$F$11,MATCH($D334,MODELOS!$A$4:$A$11,0)),INDEX(MODELOS!$B$4:$B$11,MATCH($D334,MODELOS!$A$4:$A$11,0)))</f>
        <v>Módulo 3 · Benefício 1 de 4</v>
      </c>
      <c r="G334" s="11" t="str">
        <f aca="false">IF(INDEX(PRODUTOS!$F$4:$F$63,MATCH($A334,PRODUTOS!$B$4:$B$63,0))="Ração",IF(INDEX(PRODUTOS!$I$4:$I$63,MATCH($A334,PRODUTOS!$B$4:$B$63,0))="B",INDEX(MODELOS!$G$4:$G$11,MATCH($D334,MODELOS!$A$4:$A$11,0)),INDEX(MODELOS!$C$4:$C$11,MATCH($D334,MODELOS!$A$4:$A$11,0))),IF(INDEX(PRODUTOS!$I$4:$I$63,MATCH($A334,PRODUTOS!$B$4:$B$63,0))="B",INDEX(MODELOS!$H$4:$H$11,MATCH($D334,MODELOS!$A$4:$A$11,0)),INDEX(MODELOS!$D$4:$D$11,MATCH($D334,MODELOS!$A$4:$A$11,0))))</f>
        <v>Foto/ilustração do benefício 1</v>
      </c>
      <c r="H334" s="11" t="str">
        <f aca="false">IF(INDEX(PRODUTOS!$I$4:$I$63,MATCH($A334,PRODUTOS!$B$4:$B$63,0))="B",INDEX(MODELOS!$I$4:$I$11,MATCH($D334,MODELOS!$A$4:$A$11,0)),INDEX(MODELOS!$E$4:$E$11,MATCH($D334,MODELOS!$A$4:$A$11,0)))</f>
        <v>220 × 200</v>
      </c>
      <c r="I334" s="11" t="str">
        <f aca="false">IF($D334="COMP","SIM",IF(INDEX(PRODUTOS!$J$4:$J$63,MATCH($A334,PRODUTOS!$B$4:$B$63,0))&lt;&gt;"","NÃO (usa o A+ do EAN "&amp;INDEX(PRODUTOS!$J$4:$J$63,MATCH($A334,PRODUTOS!$B$4:$B$63,0))&amp;")",IF(AND(INDEX(PRODUTOS!$I$4:$I$63,MATCH($A334,PRODUTOS!$B$4:$B$63,0))="B",$D334="AP07"),"NÃO (modelo B)","SIM")))</f>
        <v>SIM</v>
      </c>
      <c r="J334" s="13" t="s">
        <v>318</v>
      </c>
      <c r="K334" s="13"/>
    </row>
    <row r="335" customFormat="false" ht="15" hidden="false" customHeight="false" outlineLevel="0" collapsed="false">
      <c r="A335" s="15" t="s">
        <v>218</v>
      </c>
      <c r="B335" s="11" t="str">
        <f aca="false">INDEX(PRODUTOS!$E$4:$E$63,MATCH($A335,PRODUTOS!$B$4:$B$63,0))</f>
        <v>Biscoito Cães Adultos New Dots 400 g</v>
      </c>
      <c r="C335" s="11" t="str">
        <f aca="false">INDEX(PRODUTOS!$H$4:$H$63,MATCH($A335,PRODUTOS!$B$4:$B$63,0))</f>
        <v>400 g</v>
      </c>
      <c r="D335" s="11" t="s">
        <v>321</v>
      </c>
      <c r="E335" s="16" t="str">
        <f aca="false">$A335&amp;"."&amp;$D335&amp;".jpg"</f>
        <v>7908591300000.AP04.jpg</v>
      </c>
      <c r="F335" s="11" t="str">
        <f aca="false">IF(INDEX(PRODUTOS!$I$4:$I$63,MATCH($A335,PRODUTOS!$B$4:$B$63,0))="B",INDEX(MODELOS!$F$4:$F$11,MATCH($D335,MODELOS!$A$4:$A$11,0)),INDEX(MODELOS!$B$4:$B$11,MATCH($D335,MODELOS!$A$4:$A$11,0)))</f>
        <v>Módulo 3 · Benefício 2 de 4</v>
      </c>
      <c r="G335" s="11" t="str">
        <f aca="false">IF(INDEX(PRODUTOS!$F$4:$F$63,MATCH($A335,PRODUTOS!$B$4:$B$63,0))="Ração",IF(INDEX(PRODUTOS!$I$4:$I$63,MATCH($A335,PRODUTOS!$B$4:$B$63,0))="B",INDEX(MODELOS!$G$4:$G$11,MATCH($D335,MODELOS!$A$4:$A$11,0)),INDEX(MODELOS!$C$4:$C$11,MATCH($D335,MODELOS!$A$4:$A$11,0))),IF(INDEX(PRODUTOS!$I$4:$I$63,MATCH($A335,PRODUTOS!$B$4:$B$63,0))="B",INDEX(MODELOS!$H$4:$H$11,MATCH($D335,MODELOS!$A$4:$A$11,0)),INDEX(MODELOS!$D$4:$D$11,MATCH($D335,MODELOS!$A$4:$A$11,0))))</f>
        <v>Foto/ilustração do benefício 2</v>
      </c>
      <c r="H335" s="11" t="str">
        <f aca="false">IF(INDEX(PRODUTOS!$I$4:$I$63,MATCH($A335,PRODUTOS!$B$4:$B$63,0))="B",INDEX(MODELOS!$I$4:$I$11,MATCH($D335,MODELOS!$A$4:$A$11,0)),INDEX(MODELOS!$E$4:$E$11,MATCH($D335,MODELOS!$A$4:$A$11,0)))</f>
        <v>220 × 200</v>
      </c>
      <c r="I335" s="11" t="str">
        <f aca="false">IF($D335="COMP","SIM",IF(INDEX(PRODUTOS!$J$4:$J$63,MATCH($A335,PRODUTOS!$B$4:$B$63,0))&lt;&gt;"","NÃO (usa o A+ do EAN "&amp;INDEX(PRODUTOS!$J$4:$J$63,MATCH($A335,PRODUTOS!$B$4:$B$63,0))&amp;")",IF(AND(INDEX(PRODUTOS!$I$4:$I$63,MATCH($A335,PRODUTOS!$B$4:$B$63,0))="B",$D335="AP07"),"NÃO (modelo B)","SIM")))</f>
        <v>SIM</v>
      </c>
      <c r="J335" s="13" t="s">
        <v>318</v>
      </c>
      <c r="K335" s="13"/>
    </row>
    <row r="336" customFormat="false" ht="15" hidden="false" customHeight="false" outlineLevel="0" collapsed="false">
      <c r="A336" s="15" t="s">
        <v>218</v>
      </c>
      <c r="B336" s="11" t="str">
        <f aca="false">INDEX(PRODUTOS!$E$4:$E$63,MATCH($A336,PRODUTOS!$B$4:$B$63,0))</f>
        <v>Biscoito Cães Adultos New Dots 400 g</v>
      </c>
      <c r="C336" s="11" t="str">
        <f aca="false">INDEX(PRODUTOS!$H$4:$H$63,MATCH($A336,PRODUTOS!$B$4:$B$63,0))</f>
        <v>400 g</v>
      </c>
      <c r="D336" s="11" t="s">
        <v>322</v>
      </c>
      <c r="E336" s="16" t="str">
        <f aca="false">$A336&amp;"."&amp;$D336&amp;".jpg"</f>
        <v>7908591300000.AP05.jpg</v>
      </c>
      <c r="F336" s="11" t="str">
        <f aca="false">IF(INDEX(PRODUTOS!$I$4:$I$63,MATCH($A336,PRODUTOS!$B$4:$B$63,0))="B",INDEX(MODELOS!$F$4:$F$11,MATCH($D336,MODELOS!$A$4:$A$11,0)),INDEX(MODELOS!$B$4:$B$11,MATCH($D336,MODELOS!$A$4:$A$11,0)))</f>
        <v>Módulo 3 · Benefício 3 de 4</v>
      </c>
      <c r="G336" s="11" t="str">
        <f aca="false">IF(INDEX(PRODUTOS!$F$4:$F$63,MATCH($A336,PRODUTOS!$B$4:$B$63,0))="Ração",IF(INDEX(PRODUTOS!$I$4:$I$63,MATCH($A336,PRODUTOS!$B$4:$B$63,0))="B",INDEX(MODELOS!$G$4:$G$11,MATCH($D336,MODELOS!$A$4:$A$11,0)),INDEX(MODELOS!$C$4:$C$11,MATCH($D336,MODELOS!$A$4:$A$11,0))),IF(INDEX(PRODUTOS!$I$4:$I$63,MATCH($A336,PRODUTOS!$B$4:$B$63,0))="B",INDEX(MODELOS!$H$4:$H$11,MATCH($D336,MODELOS!$A$4:$A$11,0)),INDEX(MODELOS!$D$4:$D$11,MATCH($D336,MODELOS!$A$4:$A$11,0))))</f>
        <v>Foto/ilustração do benefício 3</v>
      </c>
      <c r="H336" s="11" t="str">
        <f aca="false">IF(INDEX(PRODUTOS!$I$4:$I$63,MATCH($A336,PRODUTOS!$B$4:$B$63,0))="B",INDEX(MODELOS!$I$4:$I$11,MATCH($D336,MODELOS!$A$4:$A$11,0)),INDEX(MODELOS!$E$4:$E$11,MATCH($D336,MODELOS!$A$4:$A$11,0)))</f>
        <v>220 × 200</v>
      </c>
      <c r="I336" s="11" t="str">
        <f aca="false">IF($D336="COMP","SIM",IF(INDEX(PRODUTOS!$J$4:$J$63,MATCH($A336,PRODUTOS!$B$4:$B$63,0))&lt;&gt;"","NÃO (usa o A+ do EAN "&amp;INDEX(PRODUTOS!$J$4:$J$63,MATCH($A336,PRODUTOS!$B$4:$B$63,0))&amp;")",IF(AND(INDEX(PRODUTOS!$I$4:$I$63,MATCH($A336,PRODUTOS!$B$4:$B$63,0))="B",$D336="AP07"),"NÃO (modelo B)","SIM")))</f>
        <v>SIM</v>
      </c>
      <c r="J336" s="13" t="s">
        <v>318</v>
      </c>
      <c r="K336" s="13"/>
    </row>
    <row r="337" customFormat="false" ht="15" hidden="false" customHeight="false" outlineLevel="0" collapsed="false">
      <c r="A337" s="15" t="s">
        <v>218</v>
      </c>
      <c r="B337" s="11" t="str">
        <f aca="false">INDEX(PRODUTOS!$E$4:$E$63,MATCH($A337,PRODUTOS!$B$4:$B$63,0))</f>
        <v>Biscoito Cães Adultos New Dots 400 g</v>
      </c>
      <c r="C337" s="11" t="str">
        <f aca="false">INDEX(PRODUTOS!$H$4:$H$63,MATCH($A337,PRODUTOS!$B$4:$B$63,0))</f>
        <v>400 g</v>
      </c>
      <c r="D337" s="11" t="s">
        <v>323</v>
      </c>
      <c r="E337" s="16" t="str">
        <f aca="false">$A337&amp;"."&amp;$D337&amp;".jpg"</f>
        <v>7908591300000.AP06.jpg</v>
      </c>
      <c r="F337" s="11" t="str">
        <f aca="false">IF(INDEX(PRODUTOS!$I$4:$I$63,MATCH($A337,PRODUTOS!$B$4:$B$63,0))="B",INDEX(MODELOS!$F$4:$F$11,MATCH($D337,MODELOS!$A$4:$A$11,0)),INDEX(MODELOS!$B$4:$B$11,MATCH($D337,MODELOS!$A$4:$A$11,0)))</f>
        <v>Módulo 3 · Benefício 4 de 4</v>
      </c>
      <c r="G337" s="11" t="str">
        <f aca="false">IF(INDEX(PRODUTOS!$F$4:$F$63,MATCH($A337,PRODUTOS!$B$4:$B$63,0))="Ração",IF(INDEX(PRODUTOS!$I$4:$I$63,MATCH($A337,PRODUTOS!$B$4:$B$63,0))="B",INDEX(MODELOS!$G$4:$G$11,MATCH($D337,MODELOS!$A$4:$A$11,0)),INDEX(MODELOS!$C$4:$C$11,MATCH($D337,MODELOS!$A$4:$A$11,0))),IF(INDEX(PRODUTOS!$I$4:$I$63,MATCH($A337,PRODUTOS!$B$4:$B$63,0))="B",INDEX(MODELOS!$H$4:$H$11,MATCH($D337,MODELOS!$A$4:$A$11,0)),INDEX(MODELOS!$D$4:$D$11,MATCH($D337,MODELOS!$A$4:$A$11,0))))</f>
        <v>Foto/ilustração do benefício 4</v>
      </c>
      <c r="H337" s="11" t="str">
        <f aca="false">IF(INDEX(PRODUTOS!$I$4:$I$63,MATCH($A337,PRODUTOS!$B$4:$B$63,0))="B",INDEX(MODELOS!$I$4:$I$11,MATCH($D337,MODELOS!$A$4:$A$11,0)),INDEX(MODELOS!$E$4:$E$11,MATCH($D337,MODELOS!$A$4:$A$11,0)))</f>
        <v>220 × 200</v>
      </c>
      <c r="I337" s="11" t="str">
        <f aca="false">IF($D337="COMP","SIM",IF(INDEX(PRODUTOS!$J$4:$J$63,MATCH($A337,PRODUTOS!$B$4:$B$63,0))&lt;&gt;"","NÃO (usa o A+ do EAN "&amp;INDEX(PRODUTOS!$J$4:$J$63,MATCH($A337,PRODUTOS!$B$4:$B$63,0))&amp;")",IF(AND(INDEX(PRODUTOS!$I$4:$I$63,MATCH($A337,PRODUTOS!$B$4:$B$63,0))="B",$D337="AP07"),"NÃO (modelo B)","SIM")))</f>
        <v>SIM</v>
      </c>
      <c r="J337" s="13" t="s">
        <v>318</v>
      </c>
      <c r="K337" s="13"/>
    </row>
    <row r="338" customFormat="false" ht="15" hidden="false" customHeight="false" outlineLevel="0" collapsed="false">
      <c r="A338" s="15" t="s">
        <v>218</v>
      </c>
      <c r="B338" s="11" t="str">
        <f aca="false">INDEX(PRODUTOS!$E$4:$E$63,MATCH($A338,PRODUTOS!$B$4:$B$63,0))</f>
        <v>Biscoito Cães Adultos New Dots 400 g</v>
      </c>
      <c r="C338" s="11" t="str">
        <f aca="false">INDEX(PRODUTOS!$H$4:$H$63,MATCH($A338,PRODUTOS!$B$4:$B$63,0))</f>
        <v>400 g</v>
      </c>
      <c r="D338" s="11" t="s">
        <v>324</v>
      </c>
      <c r="E338" s="16" t="str">
        <f aca="false">$A338&amp;"."&amp;$D338&amp;".jpg"</f>
        <v>7908591300000.AP07.jpg</v>
      </c>
      <c r="F338" s="11" t="str">
        <f aca="false">IF(INDEX(PRODUTOS!$I$4:$I$63,MATCH($A338,PRODUTOS!$B$4:$B$63,0))="B",INDEX(MODELOS!$F$4:$F$11,MATCH($D338,MODELOS!$A$4:$A$11,0)),INDEX(MODELOS!$B$4:$B$11,MATCH($D338,MODELOS!$A$4:$A$11,0)))</f>
        <v>Módulo 4 · Especificações</v>
      </c>
      <c r="G338" s="11" t="str">
        <f aca="false">IF(INDEX(PRODUTOS!$F$4:$F$63,MATCH($A338,PRODUTOS!$B$4:$B$63,0))="Ração",IF(INDEX(PRODUTOS!$I$4:$I$63,MATCH($A338,PRODUTOS!$B$4:$B$63,0))="B",INDEX(MODELOS!$G$4:$G$11,MATCH($D338,MODELOS!$A$4:$A$11,0)),INDEX(MODELOS!$C$4:$C$11,MATCH($D338,MODELOS!$A$4:$A$11,0))),IF(INDEX(PRODUTOS!$I$4:$I$63,MATCH($A338,PRODUTOS!$B$4:$B$63,0))="B",INDEX(MODELOS!$H$4:$H$11,MATCH($D338,MODELOS!$A$4:$A$11,0)),INDEX(MODELOS!$D$4:$D$11,MATCH($D338,MODELOS!$A$4:$A$11,0))))</f>
        <v>Produto em destaque</v>
      </c>
      <c r="H338" s="11" t="str">
        <f aca="false">IF(INDEX(PRODUTOS!$I$4:$I$63,MATCH($A338,PRODUTOS!$B$4:$B$63,0))="B",INDEX(MODELOS!$I$4:$I$11,MATCH($D338,MODELOS!$A$4:$A$11,0)),INDEX(MODELOS!$E$4:$E$11,MATCH($D338,MODELOS!$A$4:$A$11,0)))</f>
        <v>300 × 300</v>
      </c>
      <c r="I338" s="11" t="str">
        <f aca="false">IF($D338="COMP","SIM",IF(INDEX(PRODUTOS!$J$4:$J$63,MATCH($A338,PRODUTOS!$B$4:$B$63,0))&lt;&gt;"","NÃO (usa o A+ do EAN "&amp;INDEX(PRODUTOS!$J$4:$J$63,MATCH($A338,PRODUTOS!$B$4:$B$63,0))&amp;")",IF(AND(INDEX(PRODUTOS!$I$4:$I$63,MATCH($A338,PRODUTOS!$B$4:$B$63,0))="B",$D338="AP07"),"NÃO (modelo B)","SIM")))</f>
        <v>SIM</v>
      </c>
      <c r="J338" s="13" t="s">
        <v>318</v>
      </c>
      <c r="K338" s="13"/>
    </row>
    <row r="339" customFormat="false" ht="15" hidden="false" customHeight="false" outlineLevel="0" collapsed="false">
      <c r="A339" s="15" t="s">
        <v>218</v>
      </c>
      <c r="B339" s="11" t="str">
        <f aca="false">INDEX(PRODUTOS!$E$4:$E$63,MATCH($A339,PRODUTOS!$B$4:$B$63,0))</f>
        <v>Biscoito Cães Adultos New Dots 400 g</v>
      </c>
      <c r="C339" s="11" t="str">
        <f aca="false">INDEX(PRODUTOS!$H$4:$H$63,MATCH($A339,PRODUTOS!$B$4:$B$63,0))</f>
        <v>400 g</v>
      </c>
      <c r="D339" s="11" t="s">
        <v>325</v>
      </c>
      <c r="E339" s="16" t="str">
        <f aca="false">$A339&amp;"."&amp;$D339&amp;".jpg"</f>
        <v>7908591300000.COMP.jpg</v>
      </c>
      <c r="F339" s="11" t="str">
        <f aca="false">IF(INDEX(PRODUTOS!$I$4:$I$63,MATCH($A339,PRODUTOS!$B$4:$B$63,0))="B",INDEX(MODELOS!$F$4:$F$11,MATCH($D339,MODELOS!$A$4:$A$11,0)),INDEX(MODELOS!$B$4:$B$11,MATCH($D339,MODELOS!$A$4:$A$11,0)))</f>
        <v>Módulo 5 · Tabela comparativa</v>
      </c>
      <c r="G339" s="11" t="str">
        <f aca="false">IF(INDEX(PRODUTOS!$F$4:$F$63,MATCH($A339,PRODUTOS!$B$4:$B$63,0))="Ração",IF(INDEX(PRODUTOS!$I$4:$I$63,MATCH($A339,PRODUTOS!$B$4:$B$63,0))="B",INDEX(MODELOS!$G$4:$G$11,MATCH($D339,MODELOS!$A$4:$A$11,0)),INDEX(MODELOS!$C$4:$C$11,MATCH($D339,MODELOS!$A$4:$A$11,0))),IF(INDEX(PRODUTOS!$I$4:$I$63,MATCH($A339,PRODUTOS!$B$4:$B$63,0))="B",INDEX(MODELOS!$H$4:$H$11,MATCH($D339,MODELOS!$A$4:$A$11,0)),INDEX(MODELOS!$D$4:$D$11,MATCH($D339,MODELOS!$A$4:$A$11,0))))</f>
        <v>Produto na vertical, sem fundo colorido</v>
      </c>
      <c r="H339" s="11" t="str">
        <f aca="false">IF(INDEX(PRODUTOS!$I$4:$I$63,MATCH($A339,PRODUTOS!$B$4:$B$63,0))="B",INDEX(MODELOS!$I$4:$I$11,MATCH($D339,MODELOS!$A$4:$A$11,0)),INDEX(MODELOS!$E$4:$E$11,MATCH($D339,MODELOS!$A$4:$A$11,0)))</f>
        <v>150 × 300</v>
      </c>
      <c r="I339" s="11" t="str">
        <f aca="false">IF($D339="COMP","SIM",IF(INDEX(PRODUTOS!$J$4:$J$63,MATCH($A339,PRODUTOS!$B$4:$B$63,0))&lt;&gt;"","NÃO (usa o A+ do EAN "&amp;INDEX(PRODUTOS!$J$4:$J$63,MATCH($A339,PRODUTOS!$B$4:$B$63,0))&amp;")",IF(AND(INDEX(PRODUTOS!$I$4:$I$63,MATCH($A339,PRODUTOS!$B$4:$B$63,0))="B",$D339="AP07"),"NÃO (modelo B)","SIM")))</f>
        <v>SIM</v>
      </c>
      <c r="J339" s="13" t="s">
        <v>318</v>
      </c>
      <c r="K339" s="13"/>
    </row>
    <row r="340" customFormat="false" ht="15" hidden="false" customHeight="false" outlineLevel="0" collapsed="false">
      <c r="A340" s="15" t="s">
        <v>222</v>
      </c>
      <c r="B340" s="11" t="str">
        <f aca="false">INDEX(PRODUTOS!$E$4:$E$63,MATCH($A340,PRODUTOS!$B$4:$B$63,0))</f>
        <v>Biscoito Cães Raças Pequenas e Médias New Dots 400 g</v>
      </c>
      <c r="C340" s="11" t="str">
        <f aca="false">INDEX(PRODUTOS!$H$4:$H$63,MATCH($A340,PRODUTOS!$B$4:$B$63,0))</f>
        <v>400 g</v>
      </c>
      <c r="D340" s="11" t="s">
        <v>317</v>
      </c>
      <c r="E340" s="16" t="str">
        <f aca="false">$A340&amp;"."&amp;$D340&amp;".jpg"</f>
        <v>7908591300017.AP01.jpg</v>
      </c>
      <c r="F340" s="11" t="str">
        <f aca="false">IF(INDEX(PRODUTOS!$I$4:$I$63,MATCH($A340,PRODUTOS!$B$4:$B$63,0))="B",INDEX(MODELOS!$F$4:$F$11,MATCH($D340,MODELOS!$A$4:$A$11,0)),INDEX(MODELOS!$B$4:$B$11,MATCH($D340,MODELOS!$A$4:$A$11,0)))</f>
        <v>Módulo 1 · Banner</v>
      </c>
      <c r="G340" s="11" t="str">
        <f aca="false">IF(INDEX(PRODUTOS!$F$4:$F$63,MATCH($A340,PRODUTOS!$B$4:$B$63,0))="Ração",IF(INDEX(PRODUTOS!$I$4:$I$63,MATCH($A340,PRODUTOS!$B$4:$B$63,0))="B",INDEX(MODELOS!$G$4:$G$11,MATCH($D340,MODELOS!$A$4:$A$11,0)),INDEX(MODELOS!$C$4:$C$11,MATCH($D340,MODELOS!$A$4:$A$11,0))),IF(INDEX(PRODUTOS!$I$4:$I$63,MATCH($A340,PRODUTOS!$B$4:$B$63,0))="B",INDEX(MODELOS!$H$4:$H$11,MATCH($D340,MODELOS!$A$4:$A$11,0)),INDEX(MODELOS!$D$4:$D$11,MATCH($D340,MODELOS!$A$4:$A$11,0))))</f>
        <v>Produto + pet, com o nome da linha</v>
      </c>
      <c r="H340" s="11" t="str">
        <f aca="false">IF(INDEX(PRODUTOS!$I$4:$I$63,MATCH($A340,PRODUTOS!$B$4:$B$63,0))="B",INDEX(MODELOS!$I$4:$I$11,MATCH($D340,MODELOS!$A$4:$A$11,0)),INDEX(MODELOS!$E$4:$E$11,MATCH($D340,MODELOS!$A$4:$A$11,0)))</f>
        <v>970 × 600</v>
      </c>
      <c r="I340" s="11" t="str">
        <f aca="false">IF($D340="COMP","SIM",IF(INDEX(PRODUTOS!$J$4:$J$63,MATCH($A340,PRODUTOS!$B$4:$B$63,0))&lt;&gt;"","NÃO (usa o A+ do EAN "&amp;INDEX(PRODUTOS!$J$4:$J$63,MATCH($A340,PRODUTOS!$B$4:$B$63,0))&amp;")",IF(AND(INDEX(PRODUTOS!$I$4:$I$63,MATCH($A340,PRODUTOS!$B$4:$B$63,0))="B",$D340="AP07"),"NÃO (modelo B)","SIM")))</f>
        <v>SIM</v>
      </c>
      <c r="J340" s="13" t="s">
        <v>318</v>
      </c>
      <c r="K340" s="13"/>
    </row>
    <row r="341" customFormat="false" ht="15" hidden="false" customHeight="false" outlineLevel="0" collapsed="false">
      <c r="A341" s="15" t="s">
        <v>222</v>
      </c>
      <c r="B341" s="11" t="str">
        <f aca="false">INDEX(PRODUTOS!$E$4:$E$63,MATCH($A341,PRODUTOS!$B$4:$B$63,0))</f>
        <v>Biscoito Cães Raças Pequenas e Médias New Dots 400 g</v>
      </c>
      <c r="C341" s="11" t="str">
        <f aca="false">INDEX(PRODUTOS!$H$4:$H$63,MATCH($A341,PRODUTOS!$B$4:$B$63,0))</f>
        <v>400 g</v>
      </c>
      <c r="D341" s="11" t="s">
        <v>319</v>
      </c>
      <c r="E341" s="16" t="str">
        <f aca="false">$A341&amp;"."&amp;$D341&amp;".jpg"</f>
        <v>7908591300017.AP02.jpg</v>
      </c>
      <c r="F341" s="11" t="str">
        <f aca="false">IF(INDEX(PRODUTOS!$I$4:$I$63,MATCH($A341,PRODUTOS!$B$4:$B$63,0))="B",INDEX(MODELOS!$F$4:$F$11,MATCH($D341,MODELOS!$A$4:$A$11,0)),INDEX(MODELOS!$B$4:$B$11,MATCH($D341,MODELOS!$A$4:$A$11,0)))</f>
        <v>Módulo 2 · Texto sobreposto</v>
      </c>
      <c r="G341" s="11" t="str">
        <f aca="false">IF(INDEX(PRODUTOS!$F$4:$F$63,MATCH($A341,PRODUTOS!$B$4:$B$63,0))="Ração",IF(INDEX(PRODUTOS!$I$4:$I$63,MATCH($A341,PRODUTOS!$B$4:$B$63,0))="B",INDEX(MODELOS!$G$4:$G$11,MATCH($D341,MODELOS!$A$4:$A$11,0)),INDEX(MODELOS!$C$4:$C$11,MATCH($D341,MODELOS!$A$4:$A$11,0))),IF(INDEX(PRODUTOS!$I$4:$I$63,MATCH($A341,PRODUTOS!$B$4:$B$63,0))="B",INDEX(MODELOS!$H$4:$H$11,MATCH($D341,MODELOS!$A$4:$A$11,0)),INDEX(MODELOS!$D$4:$D$11,MATCH($D341,MODELOS!$A$4:$A$11,0))))</f>
        <v>Principal diferencial; deixar o lado direito limpo</v>
      </c>
      <c r="H341" s="11" t="str">
        <f aca="false">IF(INDEX(PRODUTOS!$I$4:$I$63,MATCH($A341,PRODUTOS!$B$4:$B$63,0))="B",INDEX(MODELOS!$I$4:$I$11,MATCH($D341,MODELOS!$A$4:$A$11,0)),INDEX(MODELOS!$E$4:$E$11,MATCH($D341,MODELOS!$A$4:$A$11,0)))</f>
        <v>970 × 300</v>
      </c>
      <c r="I341" s="11" t="str">
        <f aca="false">IF($D341="COMP","SIM",IF(INDEX(PRODUTOS!$J$4:$J$63,MATCH($A341,PRODUTOS!$B$4:$B$63,0))&lt;&gt;"","NÃO (usa o A+ do EAN "&amp;INDEX(PRODUTOS!$J$4:$J$63,MATCH($A341,PRODUTOS!$B$4:$B$63,0))&amp;")",IF(AND(INDEX(PRODUTOS!$I$4:$I$63,MATCH($A341,PRODUTOS!$B$4:$B$63,0))="B",$D341="AP07"),"NÃO (modelo B)","SIM")))</f>
        <v>SIM</v>
      </c>
      <c r="J341" s="13" t="s">
        <v>318</v>
      </c>
      <c r="K341" s="13"/>
    </row>
    <row r="342" customFormat="false" ht="15" hidden="false" customHeight="false" outlineLevel="0" collapsed="false">
      <c r="A342" s="15" t="s">
        <v>222</v>
      </c>
      <c r="B342" s="11" t="str">
        <f aca="false">INDEX(PRODUTOS!$E$4:$E$63,MATCH($A342,PRODUTOS!$B$4:$B$63,0))</f>
        <v>Biscoito Cães Raças Pequenas e Médias New Dots 400 g</v>
      </c>
      <c r="C342" s="11" t="str">
        <f aca="false">INDEX(PRODUTOS!$H$4:$H$63,MATCH($A342,PRODUTOS!$B$4:$B$63,0))</f>
        <v>400 g</v>
      </c>
      <c r="D342" s="11" t="s">
        <v>320</v>
      </c>
      <c r="E342" s="16" t="str">
        <f aca="false">$A342&amp;"."&amp;$D342&amp;".jpg"</f>
        <v>7908591300017.AP03.jpg</v>
      </c>
      <c r="F342" s="11" t="str">
        <f aca="false">IF(INDEX(PRODUTOS!$I$4:$I$63,MATCH($A342,PRODUTOS!$B$4:$B$63,0))="B",INDEX(MODELOS!$F$4:$F$11,MATCH($D342,MODELOS!$A$4:$A$11,0)),INDEX(MODELOS!$B$4:$B$11,MATCH($D342,MODELOS!$A$4:$A$11,0)))</f>
        <v>Módulo 3 · Benefício 1 de 4</v>
      </c>
      <c r="G342" s="11" t="str">
        <f aca="false">IF(INDEX(PRODUTOS!$F$4:$F$63,MATCH($A342,PRODUTOS!$B$4:$B$63,0))="Ração",IF(INDEX(PRODUTOS!$I$4:$I$63,MATCH($A342,PRODUTOS!$B$4:$B$63,0))="B",INDEX(MODELOS!$G$4:$G$11,MATCH($D342,MODELOS!$A$4:$A$11,0)),INDEX(MODELOS!$C$4:$C$11,MATCH($D342,MODELOS!$A$4:$A$11,0))),IF(INDEX(PRODUTOS!$I$4:$I$63,MATCH($A342,PRODUTOS!$B$4:$B$63,0))="B",INDEX(MODELOS!$H$4:$H$11,MATCH($D342,MODELOS!$A$4:$A$11,0)),INDEX(MODELOS!$D$4:$D$11,MATCH($D342,MODELOS!$A$4:$A$11,0))))</f>
        <v>Foto/ilustração do benefício 1</v>
      </c>
      <c r="H342" s="11" t="str">
        <f aca="false">IF(INDEX(PRODUTOS!$I$4:$I$63,MATCH($A342,PRODUTOS!$B$4:$B$63,0))="B",INDEX(MODELOS!$I$4:$I$11,MATCH($D342,MODELOS!$A$4:$A$11,0)),INDEX(MODELOS!$E$4:$E$11,MATCH($D342,MODELOS!$A$4:$A$11,0)))</f>
        <v>220 × 200</v>
      </c>
      <c r="I342" s="11" t="str">
        <f aca="false">IF($D342="COMP","SIM",IF(INDEX(PRODUTOS!$J$4:$J$63,MATCH($A342,PRODUTOS!$B$4:$B$63,0))&lt;&gt;"","NÃO (usa o A+ do EAN "&amp;INDEX(PRODUTOS!$J$4:$J$63,MATCH($A342,PRODUTOS!$B$4:$B$63,0))&amp;")",IF(AND(INDEX(PRODUTOS!$I$4:$I$63,MATCH($A342,PRODUTOS!$B$4:$B$63,0))="B",$D342="AP07"),"NÃO (modelo B)","SIM")))</f>
        <v>SIM</v>
      </c>
      <c r="J342" s="13" t="s">
        <v>318</v>
      </c>
      <c r="K342" s="13"/>
    </row>
    <row r="343" customFormat="false" ht="15" hidden="false" customHeight="false" outlineLevel="0" collapsed="false">
      <c r="A343" s="15" t="s">
        <v>222</v>
      </c>
      <c r="B343" s="11" t="str">
        <f aca="false">INDEX(PRODUTOS!$E$4:$E$63,MATCH($A343,PRODUTOS!$B$4:$B$63,0))</f>
        <v>Biscoito Cães Raças Pequenas e Médias New Dots 400 g</v>
      </c>
      <c r="C343" s="11" t="str">
        <f aca="false">INDEX(PRODUTOS!$H$4:$H$63,MATCH($A343,PRODUTOS!$B$4:$B$63,0))</f>
        <v>400 g</v>
      </c>
      <c r="D343" s="11" t="s">
        <v>321</v>
      </c>
      <c r="E343" s="16" t="str">
        <f aca="false">$A343&amp;"."&amp;$D343&amp;".jpg"</f>
        <v>7908591300017.AP04.jpg</v>
      </c>
      <c r="F343" s="11" t="str">
        <f aca="false">IF(INDEX(PRODUTOS!$I$4:$I$63,MATCH($A343,PRODUTOS!$B$4:$B$63,0))="B",INDEX(MODELOS!$F$4:$F$11,MATCH($D343,MODELOS!$A$4:$A$11,0)),INDEX(MODELOS!$B$4:$B$11,MATCH($D343,MODELOS!$A$4:$A$11,0)))</f>
        <v>Módulo 3 · Benefício 2 de 4</v>
      </c>
      <c r="G343" s="11" t="str">
        <f aca="false">IF(INDEX(PRODUTOS!$F$4:$F$63,MATCH($A343,PRODUTOS!$B$4:$B$63,0))="Ração",IF(INDEX(PRODUTOS!$I$4:$I$63,MATCH($A343,PRODUTOS!$B$4:$B$63,0))="B",INDEX(MODELOS!$G$4:$G$11,MATCH($D343,MODELOS!$A$4:$A$11,0)),INDEX(MODELOS!$C$4:$C$11,MATCH($D343,MODELOS!$A$4:$A$11,0))),IF(INDEX(PRODUTOS!$I$4:$I$63,MATCH($A343,PRODUTOS!$B$4:$B$63,0))="B",INDEX(MODELOS!$H$4:$H$11,MATCH($D343,MODELOS!$A$4:$A$11,0)),INDEX(MODELOS!$D$4:$D$11,MATCH($D343,MODELOS!$A$4:$A$11,0))))</f>
        <v>Foto/ilustração do benefício 2</v>
      </c>
      <c r="H343" s="11" t="str">
        <f aca="false">IF(INDEX(PRODUTOS!$I$4:$I$63,MATCH($A343,PRODUTOS!$B$4:$B$63,0))="B",INDEX(MODELOS!$I$4:$I$11,MATCH($D343,MODELOS!$A$4:$A$11,0)),INDEX(MODELOS!$E$4:$E$11,MATCH($D343,MODELOS!$A$4:$A$11,0)))</f>
        <v>220 × 200</v>
      </c>
      <c r="I343" s="11" t="str">
        <f aca="false">IF($D343="COMP","SIM",IF(INDEX(PRODUTOS!$J$4:$J$63,MATCH($A343,PRODUTOS!$B$4:$B$63,0))&lt;&gt;"","NÃO (usa o A+ do EAN "&amp;INDEX(PRODUTOS!$J$4:$J$63,MATCH($A343,PRODUTOS!$B$4:$B$63,0))&amp;")",IF(AND(INDEX(PRODUTOS!$I$4:$I$63,MATCH($A343,PRODUTOS!$B$4:$B$63,0))="B",$D343="AP07"),"NÃO (modelo B)","SIM")))</f>
        <v>SIM</v>
      </c>
      <c r="J343" s="13" t="s">
        <v>318</v>
      </c>
      <c r="K343" s="13"/>
    </row>
    <row r="344" customFormat="false" ht="15" hidden="false" customHeight="false" outlineLevel="0" collapsed="false">
      <c r="A344" s="15" t="s">
        <v>222</v>
      </c>
      <c r="B344" s="11" t="str">
        <f aca="false">INDEX(PRODUTOS!$E$4:$E$63,MATCH($A344,PRODUTOS!$B$4:$B$63,0))</f>
        <v>Biscoito Cães Raças Pequenas e Médias New Dots 400 g</v>
      </c>
      <c r="C344" s="11" t="str">
        <f aca="false">INDEX(PRODUTOS!$H$4:$H$63,MATCH($A344,PRODUTOS!$B$4:$B$63,0))</f>
        <v>400 g</v>
      </c>
      <c r="D344" s="11" t="s">
        <v>322</v>
      </c>
      <c r="E344" s="16" t="str">
        <f aca="false">$A344&amp;"."&amp;$D344&amp;".jpg"</f>
        <v>7908591300017.AP05.jpg</v>
      </c>
      <c r="F344" s="11" t="str">
        <f aca="false">IF(INDEX(PRODUTOS!$I$4:$I$63,MATCH($A344,PRODUTOS!$B$4:$B$63,0))="B",INDEX(MODELOS!$F$4:$F$11,MATCH($D344,MODELOS!$A$4:$A$11,0)),INDEX(MODELOS!$B$4:$B$11,MATCH($D344,MODELOS!$A$4:$A$11,0)))</f>
        <v>Módulo 3 · Benefício 3 de 4</v>
      </c>
      <c r="G344" s="11" t="str">
        <f aca="false">IF(INDEX(PRODUTOS!$F$4:$F$63,MATCH($A344,PRODUTOS!$B$4:$B$63,0))="Ração",IF(INDEX(PRODUTOS!$I$4:$I$63,MATCH($A344,PRODUTOS!$B$4:$B$63,0))="B",INDEX(MODELOS!$G$4:$G$11,MATCH($D344,MODELOS!$A$4:$A$11,0)),INDEX(MODELOS!$C$4:$C$11,MATCH($D344,MODELOS!$A$4:$A$11,0))),IF(INDEX(PRODUTOS!$I$4:$I$63,MATCH($A344,PRODUTOS!$B$4:$B$63,0))="B",INDEX(MODELOS!$H$4:$H$11,MATCH($D344,MODELOS!$A$4:$A$11,0)),INDEX(MODELOS!$D$4:$D$11,MATCH($D344,MODELOS!$A$4:$A$11,0))))</f>
        <v>Foto/ilustração do benefício 3</v>
      </c>
      <c r="H344" s="11" t="str">
        <f aca="false">IF(INDEX(PRODUTOS!$I$4:$I$63,MATCH($A344,PRODUTOS!$B$4:$B$63,0))="B",INDEX(MODELOS!$I$4:$I$11,MATCH($D344,MODELOS!$A$4:$A$11,0)),INDEX(MODELOS!$E$4:$E$11,MATCH($D344,MODELOS!$A$4:$A$11,0)))</f>
        <v>220 × 200</v>
      </c>
      <c r="I344" s="11" t="str">
        <f aca="false">IF($D344="COMP","SIM",IF(INDEX(PRODUTOS!$J$4:$J$63,MATCH($A344,PRODUTOS!$B$4:$B$63,0))&lt;&gt;"","NÃO (usa o A+ do EAN "&amp;INDEX(PRODUTOS!$J$4:$J$63,MATCH($A344,PRODUTOS!$B$4:$B$63,0))&amp;")",IF(AND(INDEX(PRODUTOS!$I$4:$I$63,MATCH($A344,PRODUTOS!$B$4:$B$63,0))="B",$D344="AP07"),"NÃO (modelo B)","SIM")))</f>
        <v>SIM</v>
      </c>
      <c r="J344" s="13" t="s">
        <v>318</v>
      </c>
      <c r="K344" s="13"/>
    </row>
    <row r="345" customFormat="false" ht="15" hidden="false" customHeight="false" outlineLevel="0" collapsed="false">
      <c r="A345" s="15" t="s">
        <v>222</v>
      </c>
      <c r="B345" s="11" t="str">
        <f aca="false">INDEX(PRODUTOS!$E$4:$E$63,MATCH($A345,PRODUTOS!$B$4:$B$63,0))</f>
        <v>Biscoito Cães Raças Pequenas e Médias New Dots 400 g</v>
      </c>
      <c r="C345" s="11" t="str">
        <f aca="false">INDEX(PRODUTOS!$H$4:$H$63,MATCH($A345,PRODUTOS!$B$4:$B$63,0))</f>
        <v>400 g</v>
      </c>
      <c r="D345" s="11" t="s">
        <v>323</v>
      </c>
      <c r="E345" s="16" t="str">
        <f aca="false">$A345&amp;"."&amp;$D345&amp;".jpg"</f>
        <v>7908591300017.AP06.jpg</v>
      </c>
      <c r="F345" s="11" t="str">
        <f aca="false">IF(INDEX(PRODUTOS!$I$4:$I$63,MATCH($A345,PRODUTOS!$B$4:$B$63,0))="B",INDEX(MODELOS!$F$4:$F$11,MATCH($D345,MODELOS!$A$4:$A$11,0)),INDEX(MODELOS!$B$4:$B$11,MATCH($D345,MODELOS!$A$4:$A$11,0)))</f>
        <v>Módulo 3 · Benefício 4 de 4</v>
      </c>
      <c r="G345" s="11" t="str">
        <f aca="false">IF(INDEX(PRODUTOS!$F$4:$F$63,MATCH($A345,PRODUTOS!$B$4:$B$63,0))="Ração",IF(INDEX(PRODUTOS!$I$4:$I$63,MATCH($A345,PRODUTOS!$B$4:$B$63,0))="B",INDEX(MODELOS!$G$4:$G$11,MATCH($D345,MODELOS!$A$4:$A$11,0)),INDEX(MODELOS!$C$4:$C$11,MATCH($D345,MODELOS!$A$4:$A$11,0))),IF(INDEX(PRODUTOS!$I$4:$I$63,MATCH($A345,PRODUTOS!$B$4:$B$63,0))="B",INDEX(MODELOS!$H$4:$H$11,MATCH($D345,MODELOS!$A$4:$A$11,0)),INDEX(MODELOS!$D$4:$D$11,MATCH($D345,MODELOS!$A$4:$A$11,0))))</f>
        <v>Foto/ilustração do benefício 4</v>
      </c>
      <c r="H345" s="11" t="str">
        <f aca="false">IF(INDEX(PRODUTOS!$I$4:$I$63,MATCH($A345,PRODUTOS!$B$4:$B$63,0))="B",INDEX(MODELOS!$I$4:$I$11,MATCH($D345,MODELOS!$A$4:$A$11,0)),INDEX(MODELOS!$E$4:$E$11,MATCH($D345,MODELOS!$A$4:$A$11,0)))</f>
        <v>220 × 200</v>
      </c>
      <c r="I345" s="11" t="str">
        <f aca="false">IF($D345="COMP","SIM",IF(INDEX(PRODUTOS!$J$4:$J$63,MATCH($A345,PRODUTOS!$B$4:$B$63,0))&lt;&gt;"","NÃO (usa o A+ do EAN "&amp;INDEX(PRODUTOS!$J$4:$J$63,MATCH($A345,PRODUTOS!$B$4:$B$63,0))&amp;")",IF(AND(INDEX(PRODUTOS!$I$4:$I$63,MATCH($A345,PRODUTOS!$B$4:$B$63,0))="B",$D345="AP07"),"NÃO (modelo B)","SIM")))</f>
        <v>SIM</v>
      </c>
      <c r="J345" s="13" t="s">
        <v>318</v>
      </c>
      <c r="K345" s="13"/>
    </row>
    <row r="346" customFormat="false" ht="15" hidden="false" customHeight="false" outlineLevel="0" collapsed="false">
      <c r="A346" s="15" t="s">
        <v>222</v>
      </c>
      <c r="B346" s="11" t="str">
        <f aca="false">INDEX(PRODUTOS!$E$4:$E$63,MATCH($A346,PRODUTOS!$B$4:$B$63,0))</f>
        <v>Biscoito Cães Raças Pequenas e Médias New Dots 400 g</v>
      </c>
      <c r="C346" s="11" t="str">
        <f aca="false">INDEX(PRODUTOS!$H$4:$H$63,MATCH($A346,PRODUTOS!$B$4:$B$63,0))</f>
        <v>400 g</v>
      </c>
      <c r="D346" s="11" t="s">
        <v>324</v>
      </c>
      <c r="E346" s="16" t="str">
        <f aca="false">$A346&amp;"."&amp;$D346&amp;".jpg"</f>
        <v>7908591300017.AP07.jpg</v>
      </c>
      <c r="F346" s="11" t="str">
        <f aca="false">IF(INDEX(PRODUTOS!$I$4:$I$63,MATCH($A346,PRODUTOS!$B$4:$B$63,0))="B",INDEX(MODELOS!$F$4:$F$11,MATCH($D346,MODELOS!$A$4:$A$11,0)),INDEX(MODELOS!$B$4:$B$11,MATCH($D346,MODELOS!$A$4:$A$11,0)))</f>
        <v>Módulo 4 · Especificações</v>
      </c>
      <c r="G346" s="11" t="str">
        <f aca="false">IF(INDEX(PRODUTOS!$F$4:$F$63,MATCH($A346,PRODUTOS!$B$4:$B$63,0))="Ração",IF(INDEX(PRODUTOS!$I$4:$I$63,MATCH($A346,PRODUTOS!$B$4:$B$63,0))="B",INDEX(MODELOS!$G$4:$G$11,MATCH($D346,MODELOS!$A$4:$A$11,0)),INDEX(MODELOS!$C$4:$C$11,MATCH($D346,MODELOS!$A$4:$A$11,0))),IF(INDEX(PRODUTOS!$I$4:$I$63,MATCH($A346,PRODUTOS!$B$4:$B$63,0))="B",INDEX(MODELOS!$H$4:$H$11,MATCH($D346,MODELOS!$A$4:$A$11,0)),INDEX(MODELOS!$D$4:$D$11,MATCH($D346,MODELOS!$A$4:$A$11,0))))</f>
        <v>Produto em destaque</v>
      </c>
      <c r="H346" s="11" t="str">
        <f aca="false">IF(INDEX(PRODUTOS!$I$4:$I$63,MATCH($A346,PRODUTOS!$B$4:$B$63,0))="B",INDEX(MODELOS!$I$4:$I$11,MATCH($D346,MODELOS!$A$4:$A$11,0)),INDEX(MODELOS!$E$4:$E$11,MATCH($D346,MODELOS!$A$4:$A$11,0)))</f>
        <v>300 × 300</v>
      </c>
      <c r="I346" s="11" t="str">
        <f aca="false">IF($D346="COMP","SIM",IF(INDEX(PRODUTOS!$J$4:$J$63,MATCH($A346,PRODUTOS!$B$4:$B$63,0))&lt;&gt;"","NÃO (usa o A+ do EAN "&amp;INDEX(PRODUTOS!$J$4:$J$63,MATCH($A346,PRODUTOS!$B$4:$B$63,0))&amp;")",IF(AND(INDEX(PRODUTOS!$I$4:$I$63,MATCH($A346,PRODUTOS!$B$4:$B$63,0))="B",$D346="AP07"),"NÃO (modelo B)","SIM")))</f>
        <v>SIM</v>
      </c>
      <c r="J346" s="13" t="s">
        <v>318</v>
      </c>
      <c r="K346" s="13"/>
    </row>
    <row r="347" customFormat="false" ht="15" hidden="false" customHeight="false" outlineLevel="0" collapsed="false">
      <c r="A347" s="15" t="s">
        <v>222</v>
      </c>
      <c r="B347" s="11" t="str">
        <f aca="false">INDEX(PRODUTOS!$E$4:$E$63,MATCH($A347,PRODUTOS!$B$4:$B$63,0))</f>
        <v>Biscoito Cães Raças Pequenas e Médias New Dots 400 g</v>
      </c>
      <c r="C347" s="11" t="str">
        <f aca="false">INDEX(PRODUTOS!$H$4:$H$63,MATCH($A347,PRODUTOS!$B$4:$B$63,0))</f>
        <v>400 g</v>
      </c>
      <c r="D347" s="11" t="s">
        <v>325</v>
      </c>
      <c r="E347" s="16" t="str">
        <f aca="false">$A347&amp;"."&amp;$D347&amp;".jpg"</f>
        <v>7908591300017.COMP.jpg</v>
      </c>
      <c r="F347" s="11" t="str">
        <f aca="false">IF(INDEX(PRODUTOS!$I$4:$I$63,MATCH($A347,PRODUTOS!$B$4:$B$63,0))="B",INDEX(MODELOS!$F$4:$F$11,MATCH($D347,MODELOS!$A$4:$A$11,0)),INDEX(MODELOS!$B$4:$B$11,MATCH($D347,MODELOS!$A$4:$A$11,0)))</f>
        <v>Módulo 5 · Tabela comparativa</v>
      </c>
      <c r="G347" s="11" t="str">
        <f aca="false">IF(INDEX(PRODUTOS!$F$4:$F$63,MATCH($A347,PRODUTOS!$B$4:$B$63,0))="Ração",IF(INDEX(PRODUTOS!$I$4:$I$63,MATCH($A347,PRODUTOS!$B$4:$B$63,0))="B",INDEX(MODELOS!$G$4:$G$11,MATCH($D347,MODELOS!$A$4:$A$11,0)),INDEX(MODELOS!$C$4:$C$11,MATCH($D347,MODELOS!$A$4:$A$11,0))),IF(INDEX(PRODUTOS!$I$4:$I$63,MATCH($A347,PRODUTOS!$B$4:$B$63,0))="B",INDEX(MODELOS!$H$4:$H$11,MATCH($D347,MODELOS!$A$4:$A$11,0)),INDEX(MODELOS!$D$4:$D$11,MATCH($D347,MODELOS!$A$4:$A$11,0))))</f>
        <v>Produto na vertical, sem fundo colorido</v>
      </c>
      <c r="H347" s="11" t="str">
        <f aca="false">IF(INDEX(PRODUTOS!$I$4:$I$63,MATCH($A347,PRODUTOS!$B$4:$B$63,0))="B",INDEX(MODELOS!$I$4:$I$11,MATCH($D347,MODELOS!$A$4:$A$11,0)),INDEX(MODELOS!$E$4:$E$11,MATCH($D347,MODELOS!$A$4:$A$11,0)))</f>
        <v>150 × 300</v>
      </c>
      <c r="I347" s="11" t="str">
        <f aca="false">IF($D347="COMP","SIM",IF(INDEX(PRODUTOS!$J$4:$J$63,MATCH($A347,PRODUTOS!$B$4:$B$63,0))&lt;&gt;"","NÃO (usa o A+ do EAN "&amp;INDEX(PRODUTOS!$J$4:$J$63,MATCH($A347,PRODUTOS!$B$4:$B$63,0))&amp;")",IF(AND(INDEX(PRODUTOS!$I$4:$I$63,MATCH($A347,PRODUTOS!$B$4:$B$63,0))="B",$D347="AP07"),"NÃO (modelo B)","SIM")))</f>
        <v>SIM</v>
      </c>
      <c r="J347" s="13" t="s">
        <v>318</v>
      </c>
      <c r="K347" s="13"/>
    </row>
    <row r="348" customFormat="false" ht="15" hidden="false" customHeight="false" outlineLevel="0" collapsed="false">
      <c r="A348" s="15" t="s">
        <v>226</v>
      </c>
      <c r="B348" s="11" t="str">
        <f aca="false">INDEX(PRODUTOS!$E$4:$E$63,MATCH($A348,PRODUTOS!$B$4:$B$63,0))</f>
        <v>Cookie Natural Dots Petisco para Pets Sabor Maracujá e Camomila 250 g</v>
      </c>
      <c r="C348" s="11" t="str">
        <f aca="false">INDEX(PRODUTOS!$H$4:$H$63,MATCH($A348,PRODUTOS!$B$4:$B$63,0))</f>
        <v>250 g</v>
      </c>
      <c r="D348" s="11" t="s">
        <v>317</v>
      </c>
      <c r="E348" s="16" t="str">
        <f aca="false">$A348&amp;"."&amp;$D348&amp;".jpg"</f>
        <v>7908591300758.AP01.jpg</v>
      </c>
      <c r="F348" s="11" t="str">
        <f aca="false">IF(INDEX(PRODUTOS!$I$4:$I$63,MATCH($A348,PRODUTOS!$B$4:$B$63,0))="B",INDEX(MODELOS!$F$4:$F$11,MATCH($D348,MODELOS!$A$4:$A$11,0)),INDEX(MODELOS!$B$4:$B$11,MATCH($D348,MODELOS!$A$4:$A$11,0)))</f>
        <v>Módulo 1 · Banner</v>
      </c>
      <c r="G348" s="11" t="str">
        <f aca="false">IF(INDEX(PRODUTOS!$F$4:$F$63,MATCH($A348,PRODUTOS!$B$4:$B$63,0))="Ração",IF(INDEX(PRODUTOS!$I$4:$I$63,MATCH($A348,PRODUTOS!$B$4:$B$63,0))="B",INDEX(MODELOS!$G$4:$G$11,MATCH($D348,MODELOS!$A$4:$A$11,0)),INDEX(MODELOS!$C$4:$C$11,MATCH($D348,MODELOS!$A$4:$A$11,0))),IF(INDEX(PRODUTOS!$I$4:$I$63,MATCH($A348,PRODUTOS!$B$4:$B$63,0))="B",INDEX(MODELOS!$H$4:$H$11,MATCH($D348,MODELOS!$A$4:$A$11,0)),INDEX(MODELOS!$D$4:$D$11,MATCH($D348,MODELOS!$A$4:$A$11,0))))</f>
        <v>Produto + pet, com o nome da linha</v>
      </c>
      <c r="H348" s="11" t="str">
        <f aca="false">IF(INDEX(PRODUTOS!$I$4:$I$63,MATCH($A348,PRODUTOS!$B$4:$B$63,0))="B",INDEX(MODELOS!$I$4:$I$11,MATCH($D348,MODELOS!$A$4:$A$11,0)),INDEX(MODELOS!$E$4:$E$11,MATCH($D348,MODELOS!$A$4:$A$11,0)))</f>
        <v>970 × 600</v>
      </c>
      <c r="I348" s="11" t="str">
        <f aca="false">IF($D348="COMP","SIM",IF(INDEX(PRODUTOS!$J$4:$J$63,MATCH($A348,PRODUTOS!$B$4:$B$63,0))&lt;&gt;"","NÃO (usa o A+ do EAN "&amp;INDEX(PRODUTOS!$J$4:$J$63,MATCH($A348,PRODUTOS!$B$4:$B$63,0))&amp;")",IF(AND(INDEX(PRODUTOS!$I$4:$I$63,MATCH($A348,PRODUTOS!$B$4:$B$63,0))="B",$D348="AP07"),"NÃO (modelo B)","SIM")))</f>
        <v>SIM</v>
      </c>
      <c r="J348" s="13" t="s">
        <v>318</v>
      </c>
      <c r="K348" s="13"/>
    </row>
    <row r="349" customFormat="false" ht="15" hidden="false" customHeight="false" outlineLevel="0" collapsed="false">
      <c r="A349" s="15" t="s">
        <v>226</v>
      </c>
      <c r="B349" s="11" t="str">
        <f aca="false">INDEX(PRODUTOS!$E$4:$E$63,MATCH($A349,PRODUTOS!$B$4:$B$63,0))</f>
        <v>Cookie Natural Dots Petisco para Pets Sabor Maracujá e Camomila 250 g</v>
      </c>
      <c r="C349" s="11" t="str">
        <f aca="false">INDEX(PRODUTOS!$H$4:$H$63,MATCH($A349,PRODUTOS!$B$4:$B$63,0))</f>
        <v>250 g</v>
      </c>
      <c r="D349" s="11" t="s">
        <v>319</v>
      </c>
      <c r="E349" s="16" t="str">
        <f aca="false">$A349&amp;"."&amp;$D349&amp;".jpg"</f>
        <v>7908591300758.AP02.jpg</v>
      </c>
      <c r="F349" s="11" t="str">
        <f aca="false">IF(INDEX(PRODUTOS!$I$4:$I$63,MATCH($A349,PRODUTOS!$B$4:$B$63,0))="B",INDEX(MODELOS!$F$4:$F$11,MATCH($D349,MODELOS!$A$4:$A$11,0)),INDEX(MODELOS!$B$4:$B$11,MATCH($D349,MODELOS!$A$4:$A$11,0)))</f>
        <v>Módulo 2 · Texto sobreposto</v>
      </c>
      <c r="G349" s="11" t="str">
        <f aca="false">IF(INDEX(PRODUTOS!$F$4:$F$63,MATCH($A349,PRODUTOS!$B$4:$B$63,0))="Ração",IF(INDEX(PRODUTOS!$I$4:$I$63,MATCH($A349,PRODUTOS!$B$4:$B$63,0))="B",INDEX(MODELOS!$G$4:$G$11,MATCH($D349,MODELOS!$A$4:$A$11,0)),INDEX(MODELOS!$C$4:$C$11,MATCH($D349,MODELOS!$A$4:$A$11,0))),IF(INDEX(PRODUTOS!$I$4:$I$63,MATCH($A349,PRODUTOS!$B$4:$B$63,0))="B",INDEX(MODELOS!$H$4:$H$11,MATCH($D349,MODELOS!$A$4:$A$11,0)),INDEX(MODELOS!$D$4:$D$11,MATCH($D349,MODELOS!$A$4:$A$11,0))))</f>
        <v>Principal diferencial; deixar o lado direito limpo</v>
      </c>
      <c r="H349" s="11" t="str">
        <f aca="false">IF(INDEX(PRODUTOS!$I$4:$I$63,MATCH($A349,PRODUTOS!$B$4:$B$63,0))="B",INDEX(MODELOS!$I$4:$I$11,MATCH($D349,MODELOS!$A$4:$A$11,0)),INDEX(MODELOS!$E$4:$E$11,MATCH($D349,MODELOS!$A$4:$A$11,0)))</f>
        <v>970 × 300</v>
      </c>
      <c r="I349" s="11" t="str">
        <f aca="false">IF($D349="COMP","SIM",IF(INDEX(PRODUTOS!$J$4:$J$63,MATCH($A349,PRODUTOS!$B$4:$B$63,0))&lt;&gt;"","NÃO (usa o A+ do EAN "&amp;INDEX(PRODUTOS!$J$4:$J$63,MATCH($A349,PRODUTOS!$B$4:$B$63,0))&amp;")",IF(AND(INDEX(PRODUTOS!$I$4:$I$63,MATCH($A349,PRODUTOS!$B$4:$B$63,0))="B",$D349="AP07"),"NÃO (modelo B)","SIM")))</f>
        <v>SIM</v>
      </c>
      <c r="J349" s="13" t="s">
        <v>318</v>
      </c>
      <c r="K349" s="13"/>
    </row>
    <row r="350" customFormat="false" ht="15" hidden="false" customHeight="false" outlineLevel="0" collapsed="false">
      <c r="A350" s="15" t="s">
        <v>226</v>
      </c>
      <c r="B350" s="11" t="str">
        <f aca="false">INDEX(PRODUTOS!$E$4:$E$63,MATCH($A350,PRODUTOS!$B$4:$B$63,0))</f>
        <v>Cookie Natural Dots Petisco para Pets Sabor Maracujá e Camomila 250 g</v>
      </c>
      <c r="C350" s="11" t="str">
        <f aca="false">INDEX(PRODUTOS!$H$4:$H$63,MATCH($A350,PRODUTOS!$B$4:$B$63,0))</f>
        <v>250 g</v>
      </c>
      <c r="D350" s="11" t="s">
        <v>320</v>
      </c>
      <c r="E350" s="16" t="str">
        <f aca="false">$A350&amp;"."&amp;$D350&amp;".jpg"</f>
        <v>7908591300758.AP03.jpg</v>
      </c>
      <c r="F350" s="11" t="str">
        <f aca="false">IF(INDEX(PRODUTOS!$I$4:$I$63,MATCH($A350,PRODUTOS!$B$4:$B$63,0))="B",INDEX(MODELOS!$F$4:$F$11,MATCH($D350,MODELOS!$A$4:$A$11,0)),INDEX(MODELOS!$B$4:$B$11,MATCH($D350,MODELOS!$A$4:$A$11,0)))</f>
        <v>Módulo 3 · Benefício 1 de 4</v>
      </c>
      <c r="G350" s="11" t="str">
        <f aca="false">IF(INDEX(PRODUTOS!$F$4:$F$63,MATCH($A350,PRODUTOS!$B$4:$B$63,0))="Ração",IF(INDEX(PRODUTOS!$I$4:$I$63,MATCH($A350,PRODUTOS!$B$4:$B$63,0))="B",INDEX(MODELOS!$G$4:$G$11,MATCH($D350,MODELOS!$A$4:$A$11,0)),INDEX(MODELOS!$C$4:$C$11,MATCH($D350,MODELOS!$A$4:$A$11,0))),IF(INDEX(PRODUTOS!$I$4:$I$63,MATCH($A350,PRODUTOS!$B$4:$B$63,0))="B",INDEX(MODELOS!$H$4:$H$11,MATCH($D350,MODELOS!$A$4:$A$11,0)),INDEX(MODELOS!$D$4:$D$11,MATCH($D350,MODELOS!$A$4:$A$11,0))))</f>
        <v>Foto/ilustração do benefício 1</v>
      </c>
      <c r="H350" s="11" t="str">
        <f aca="false">IF(INDEX(PRODUTOS!$I$4:$I$63,MATCH($A350,PRODUTOS!$B$4:$B$63,0))="B",INDEX(MODELOS!$I$4:$I$11,MATCH($D350,MODELOS!$A$4:$A$11,0)),INDEX(MODELOS!$E$4:$E$11,MATCH($D350,MODELOS!$A$4:$A$11,0)))</f>
        <v>220 × 200</v>
      </c>
      <c r="I350" s="11" t="str">
        <f aca="false">IF($D350="COMP","SIM",IF(INDEX(PRODUTOS!$J$4:$J$63,MATCH($A350,PRODUTOS!$B$4:$B$63,0))&lt;&gt;"","NÃO (usa o A+ do EAN "&amp;INDEX(PRODUTOS!$J$4:$J$63,MATCH($A350,PRODUTOS!$B$4:$B$63,0))&amp;")",IF(AND(INDEX(PRODUTOS!$I$4:$I$63,MATCH($A350,PRODUTOS!$B$4:$B$63,0))="B",$D350="AP07"),"NÃO (modelo B)","SIM")))</f>
        <v>SIM</v>
      </c>
      <c r="J350" s="13" t="s">
        <v>318</v>
      </c>
      <c r="K350" s="13"/>
    </row>
    <row r="351" customFormat="false" ht="15" hidden="false" customHeight="false" outlineLevel="0" collapsed="false">
      <c r="A351" s="15" t="s">
        <v>226</v>
      </c>
      <c r="B351" s="11" t="str">
        <f aca="false">INDEX(PRODUTOS!$E$4:$E$63,MATCH($A351,PRODUTOS!$B$4:$B$63,0))</f>
        <v>Cookie Natural Dots Petisco para Pets Sabor Maracujá e Camomila 250 g</v>
      </c>
      <c r="C351" s="11" t="str">
        <f aca="false">INDEX(PRODUTOS!$H$4:$H$63,MATCH($A351,PRODUTOS!$B$4:$B$63,0))</f>
        <v>250 g</v>
      </c>
      <c r="D351" s="11" t="s">
        <v>321</v>
      </c>
      <c r="E351" s="16" t="str">
        <f aca="false">$A351&amp;"."&amp;$D351&amp;".jpg"</f>
        <v>7908591300758.AP04.jpg</v>
      </c>
      <c r="F351" s="11" t="str">
        <f aca="false">IF(INDEX(PRODUTOS!$I$4:$I$63,MATCH($A351,PRODUTOS!$B$4:$B$63,0))="B",INDEX(MODELOS!$F$4:$F$11,MATCH($D351,MODELOS!$A$4:$A$11,0)),INDEX(MODELOS!$B$4:$B$11,MATCH($D351,MODELOS!$A$4:$A$11,0)))</f>
        <v>Módulo 3 · Benefício 2 de 4</v>
      </c>
      <c r="G351" s="11" t="str">
        <f aca="false">IF(INDEX(PRODUTOS!$F$4:$F$63,MATCH($A351,PRODUTOS!$B$4:$B$63,0))="Ração",IF(INDEX(PRODUTOS!$I$4:$I$63,MATCH($A351,PRODUTOS!$B$4:$B$63,0))="B",INDEX(MODELOS!$G$4:$G$11,MATCH($D351,MODELOS!$A$4:$A$11,0)),INDEX(MODELOS!$C$4:$C$11,MATCH($D351,MODELOS!$A$4:$A$11,0))),IF(INDEX(PRODUTOS!$I$4:$I$63,MATCH($A351,PRODUTOS!$B$4:$B$63,0))="B",INDEX(MODELOS!$H$4:$H$11,MATCH($D351,MODELOS!$A$4:$A$11,0)),INDEX(MODELOS!$D$4:$D$11,MATCH($D351,MODELOS!$A$4:$A$11,0))))</f>
        <v>Foto/ilustração do benefício 2</v>
      </c>
      <c r="H351" s="11" t="str">
        <f aca="false">IF(INDEX(PRODUTOS!$I$4:$I$63,MATCH($A351,PRODUTOS!$B$4:$B$63,0))="B",INDEX(MODELOS!$I$4:$I$11,MATCH($D351,MODELOS!$A$4:$A$11,0)),INDEX(MODELOS!$E$4:$E$11,MATCH($D351,MODELOS!$A$4:$A$11,0)))</f>
        <v>220 × 200</v>
      </c>
      <c r="I351" s="11" t="str">
        <f aca="false">IF($D351="COMP","SIM",IF(INDEX(PRODUTOS!$J$4:$J$63,MATCH($A351,PRODUTOS!$B$4:$B$63,0))&lt;&gt;"","NÃO (usa o A+ do EAN "&amp;INDEX(PRODUTOS!$J$4:$J$63,MATCH($A351,PRODUTOS!$B$4:$B$63,0))&amp;")",IF(AND(INDEX(PRODUTOS!$I$4:$I$63,MATCH($A351,PRODUTOS!$B$4:$B$63,0))="B",$D351="AP07"),"NÃO (modelo B)","SIM")))</f>
        <v>SIM</v>
      </c>
      <c r="J351" s="13" t="s">
        <v>318</v>
      </c>
      <c r="K351" s="13"/>
    </row>
    <row r="352" customFormat="false" ht="15" hidden="false" customHeight="false" outlineLevel="0" collapsed="false">
      <c r="A352" s="15" t="s">
        <v>226</v>
      </c>
      <c r="B352" s="11" t="str">
        <f aca="false">INDEX(PRODUTOS!$E$4:$E$63,MATCH($A352,PRODUTOS!$B$4:$B$63,0))</f>
        <v>Cookie Natural Dots Petisco para Pets Sabor Maracujá e Camomila 250 g</v>
      </c>
      <c r="C352" s="11" t="str">
        <f aca="false">INDEX(PRODUTOS!$H$4:$H$63,MATCH($A352,PRODUTOS!$B$4:$B$63,0))</f>
        <v>250 g</v>
      </c>
      <c r="D352" s="11" t="s">
        <v>322</v>
      </c>
      <c r="E352" s="16" t="str">
        <f aca="false">$A352&amp;"."&amp;$D352&amp;".jpg"</f>
        <v>7908591300758.AP05.jpg</v>
      </c>
      <c r="F352" s="11" t="str">
        <f aca="false">IF(INDEX(PRODUTOS!$I$4:$I$63,MATCH($A352,PRODUTOS!$B$4:$B$63,0))="B",INDEX(MODELOS!$F$4:$F$11,MATCH($D352,MODELOS!$A$4:$A$11,0)),INDEX(MODELOS!$B$4:$B$11,MATCH($D352,MODELOS!$A$4:$A$11,0)))</f>
        <v>Módulo 3 · Benefício 3 de 4</v>
      </c>
      <c r="G352" s="11" t="str">
        <f aca="false">IF(INDEX(PRODUTOS!$F$4:$F$63,MATCH($A352,PRODUTOS!$B$4:$B$63,0))="Ração",IF(INDEX(PRODUTOS!$I$4:$I$63,MATCH($A352,PRODUTOS!$B$4:$B$63,0))="B",INDEX(MODELOS!$G$4:$G$11,MATCH($D352,MODELOS!$A$4:$A$11,0)),INDEX(MODELOS!$C$4:$C$11,MATCH($D352,MODELOS!$A$4:$A$11,0))),IF(INDEX(PRODUTOS!$I$4:$I$63,MATCH($A352,PRODUTOS!$B$4:$B$63,0))="B",INDEX(MODELOS!$H$4:$H$11,MATCH($D352,MODELOS!$A$4:$A$11,0)),INDEX(MODELOS!$D$4:$D$11,MATCH($D352,MODELOS!$A$4:$A$11,0))))</f>
        <v>Foto/ilustração do benefício 3</v>
      </c>
      <c r="H352" s="11" t="str">
        <f aca="false">IF(INDEX(PRODUTOS!$I$4:$I$63,MATCH($A352,PRODUTOS!$B$4:$B$63,0))="B",INDEX(MODELOS!$I$4:$I$11,MATCH($D352,MODELOS!$A$4:$A$11,0)),INDEX(MODELOS!$E$4:$E$11,MATCH($D352,MODELOS!$A$4:$A$11,0)))</f>
        <v>220 × 200</v>
      </c>
      <c r="I352" s="11" t="str">
        <f aca="false">IF($D352="COMP","SIM",IF(INDEX(PRODUTOS!$J$4:$J$63,MATCH($A352,PRODUTOS!$B$4:$B$63,0))&lt;&gt;"","NÃO (usa o A+ do EAN "&amp;INDEX(PRODUTOS!$J$4:$J$63,MATCH($A352,PRODUTOS!$B$4:$B$63,0))&amp;")",IF(AND(INDEX(PRODUTOS!$I$4:$I$63,MATCH($A352,PRODUTOS!$B$4:$B$63,0))="B",$D352="AP07"),"NÃO (modelo B)","SIM")))</f>
        <v>SIM</v>
      </c>
      <c r="J352" s="13" t="s">
        <v>318</v>
      </c>
      <c r="K352" s="13"/>
    </row>
    <row r="353" customFormat="false" ht="15" hidden="false" customHeight="false" outlineLevel="0" collapsed="false">
      <c r="A353" s="15" t="s">
        <v>226</v>
      </c>
      <c r="B353" s="11" t="str">
        <f aca="false">INDEX(PRODUTOS!$E$4:$E$63,MATCH($A353,PRODUTOS!$B$4:$B$63,0))</f>
        <v>Cookie Natural Dots Petisco para Pets Sabor Maracujá e Camomila 250 g</v>
      </c>
      <c r="C353" s="11" t="str">
        <f aca="false">INDEX(PRODUTOS!$H$4:$H$63,MATCH($A353,PRODUTOS!$B$4:$B$63,0))</f>
        <v>250 g</v>
      </c>
      <c r="D353" s="11" t="s">
        <v>323</v>
      </c>
      <c r="E353" s="16" t="str">
        <f aca="false">$A353&amp;"."&amp;$D353&amp;".jpg"</f>
        <v>7908591300758.AP06.jpg</v>
      </c>
      <c r="F353" s="11" t="str">
        <f aca="false">IF(INDEX(PRODUTOS!$I$4:$I$63,MATCH($A353,PRODUTOS!$B$4:$B$63,0))="B",INDEX(MODELOS!$F$4:$F$11,MATCH($D353,MODELOS!$A$4:$A$11,0)),INDEX(MODELOS!$B$4:$B$11,MATCH($D353,MODELOS!$A$4:$A$11,0)))</f>
        <v>Módulo 3 · Benefício 4 de 4</v>
      </c>
      <c r="G353" s="11" t="str">
        <f aca="false">IF(INDEX(PRODUTOS!$F$4:$F$63,MATCH($A353,PRODUTOS!$B$4:$B$63,0))="Ração",IF(INDEX(PRODUTOS!$I$4:$I$63,MATCH($A353,PRODUTOS!$B$4:$B$63,0))="B",INDEX(MODELOS!$G$4:$G$11,MATCH($D353,MODELOS!$A$4:$A$11,0)),INDEX(MODELOS!$C$4:$C$11,MATCH($D353,MODELOS!$A$4:$A$11,0))),IF(INDEX(PRODUTOS!$I$4:$I$63,MATCH($A353,PRODUTOS!$B$4:$B$63,0))="B",INDEX(MODELOS!$H$4:$H$11,MATCH($D353,MODELOS!$A$4:$A$11,0)),INDEX(MODELOS!$D$4:$D$11,MATCH($D353,MODELOS!$A$4:$A$11,0))))</f>
        <v>Foto/ilustração do benefício 4</v>
      </c>
      <c r="H353" s="11" t="str">
        <f aca="false">IF(INDEX(PRODUTOS!$I$4:$I$63,MATCH($A353,PRODUTOS!$B$4:$B$63,0))="B",INDEX(MODELOS!$I$4:$I$11,MATCH($D353,MODELOS!$A$4:$A$11,0)),INDEX(MODELOS!$E$4:$E$11,MATCH($D353,MODELOS!$A$4:$A$11,0)))</f>
        <v>220 × 200</v>
      </c>
      <c r="I353" s="11" t="str">
        <f aca="false">IF($D353="COMP","SIM",IF(INDEX(PRODUTOS!$J$4:$J$63,MATCH($A353,PRODUTOS!$B$4:$B$63,0))&lt;&gt;"","NÃO (usa o A+ do EAN "&amp;INDEX(PRODUTOS!$J$4:$J$63,MATCH($A353,PRODUTOS!$B$4:$B$63,0))&amp;")",IF(AND(INDEX(PRODUTOS!$I$4:$I$63,MATCH($A353,PRODUTOS!$B$4:$B$63,0))="B",$D353="AP07"),"NÃO (modelo B)","SIM")))</f>
        <v>SIM</v>
      </c>
      <c r="J353" s="13" t="s">
        <v>318</v>
      </c>
      <c r="K353" s="13"/>
    </row>
    <row r="354" customFormat="false" ht="15" hidden="false" customHeight="false" outlineLevel="0" collapsed="false">
      <c r="A354" s="15" t="s">
        <v>226</v>
      </c>
      <c r="B354" s="11" t="str">
        <f aca="false">INDEX(PRODUTOS!$E$4:$E$63,MATCH($A354,PRODUTOS!$B$4:$B$63,0))</f>
        <v>Cookie Natural Dots Petisco para Pets Sabor Maracujá e Camomila 250 g</v>
      </c>
      <c r="C354" s="11" t="str">
        <f aca="false">INDEX(PRODUTOS!$H$4:$H$63,MATCH($A354,PRODUTOS!$B$4:$B$63,0))</f>
        <v>250 g</v>
      </c>
      <c r="D354" s="11" t="s">
        <v>324</v>
      </c>
      <c r="E354" s="16" t="str">
        <f aca="false">$A354&amp;"."&amp;$D354&amp;".jpg"</f>
        <v>7908591300758.AP07.jpg</v>
      </c>
      <c r="F354" s="11" t="str">
        <f aca="false">IF(INDEX(PRODUTOS!$I$4:$I$63,MATCH($A354,PRODUTOS!$B$4:$B$63,0))="B",INDEX(MODELOS!$F$4:$F$11,MATCH($D354,MODELOS!$A$4:$A$11,0)),INDEX(MODELOS!$B$4:$B$11,MATCH($D354,MODELOS!$A$4:$A$11,0)))</f>
        <v>Módulo 4 · Especificações</v>
      </c>
      <c r="G354" s="11" t="str">
        <f aca="false">IF(INDEX(PRODUTOS!$F$4:$F$63,MATCH($A354,PRODUTOS!$B$4:$B$63,0))="Ração",IF(INDEX(PRODUTOS!$I$4:$I$63,MATCH($A354,PRODUTOS!$B$4:$B$63,0))="B",INDEX(MODELOS!$G$4:$G$11,MATCH($D354,MODELOS!$A$4:$A$11,0)),INDEX(MODELOS!$C$4:$C$11,MATCH($D354,MODELOS!$A$4:$A$11,0))),IF(INDEX(PRODUTOS!$I$4:$I$63,MATCH($A354,PRODUTOS!$B$4:$B$63,0))="B",INDEX(MODELOS!$H$4:$H$11,MATCH($D354,MODELOS!$A$4:$A$11,0)),INDEX(MODELOS!$D$4:$D$11,MATCH($D354,MODELOS!$A$4:$A$11,0))))</f>
        <v>Produto em destaque</v>
      </c>
      <c r="H354" s="11" t="str">
        <f aca="false">IF(INDEX(PRODUTOS!$I$4:$I$63,MATCH($A354,PRODUTOS!$B$4:$B$63,0))="B",INDEX(MODELOS!$I$4:$I$11,MATCH($D354,MODELOS!$A$4:$A$11,0)),INDEX(MODELOS!$E$4:$E$11,MATCH($D354,MODELOS!$A$4:$A$11,0)))</f>
        <v>300 × 300</v>
      </c>
      <c r="I354" s="11" t="str">
        <f aca="false">IF($D354="COMP","SIM",IF(INDEX(PRODUTOS!$J$4:$J$63,MATCH($A354,PRODUTOS!$B$4:$B$63,0))&lt;&gt;"","NÃO (usa o A+ do EAN "&amp;INDEX(PRODUTOS!$J$4:$J$63,MATCH($A354,PRODUTOS!$B$4:$B$63,0))&amp;")",IF(AND(INDEX(PRODUTOS!$I$4:$I$63,MATCH($A354,PRODUTOS!$B$4:$B$63,0))="B",$D354="AP07"),"NÃO (modelo B)","SIM")))</f>
        <v>SIM</v>
      </c>
      <c r="J354" s="13" t="s">
        <v>318</v>
      </c>
      <c r="K354" s="13"/>
    </row>
    <row r="355" customFormat="false" ht="15" hidden="false" customHeight="false" outlineLevel="0" collapsed="false">
      <c r="A355" s="15" t="s">
        <v>226</v>
      </c>
      <c r="B355" s="11" t="str">
        <f aca="false">INDEX(PRODUTOS!$E$4:$E$63,MATCH($A355,PRODUTOS!$B$4:$B$63,0))</f>
        <v>Cookie Natural Dots Petisco para Pets Sabor Maracujá e Camomila 250 g</v>
      </c>
      <c r="C355" s="11" t="str">
        <f aca="false">INDEX(PRODUTOS!$H$4:$H$63,MATCH($A355,PRODUTOS!$B$4:$B$63,0))</f>
        <v>250 g</v>
      </c>
      <c r="D355" s="11" t="s">
        <v>325</v>
      </c>
      <c r="E355" s="16" t="str">
        <f aca="false">$A355&amp;"."&amp;$D355&amp;".jpg"</f>
        <v>7908591300758.COMP.jpg</v>
      </c>
      <c r="F355" s="11" t="str">
        <f aca="false">IF(INDEX(PRODUTOS!$I$4:$I$63,MATCH($A355,PRODUTOS!$B$4:$B$63,0))="B",INDEX(MODELOS!$F$4:$F$11,MATCH($D355,MODELOS!$A$4:$A$11,0)),INDEX(MODELOS!$B$4:$B$11,MATCH($D355,MODELOS!$A$4:$A$11,0)))</f>
        <v>Módulo 5 · Tabela comparativa</v>
      </c>
      <c r="G355" s="11" t="str">
        <f aca="false">IF(INDEX(PRODUTOS!$F$4:$F$63,MATCH($A355,PRODUTOS!$B$4:$B$63,0))="Ração",IF(INDEX(PRODUTOS!$I$4:$I$63,MATCH($A355,PRODUTOS!$B$4:$B$63,0))="B",INDEX(MODELOS!$G$4:$G$11,MATCH($D355,MODELOS!$A$4:$A$11,0)),INDEX(MODELOS!$C$4:$C$11,MATCH($D355,MODELOS!$A$4:$A$11,0))),IF(INDEX(PRODUTOS!$I$4:$I$63,MATCH($A355,PRODUTOS!$B$4:$B$63,0))="B",INDEX(MODELOS!$H$4:$H$11,MATCH($D355,MODELOS!$A$4:$A$11,0)),INDEX(MODELOS!$D$4:$D$11,MATCH($D355,MODELOS!$A$4:$A$11,0))))</f>
        <v>Produto na vertical, sem fundo colorido</v>
      </c>
      <c r="H355" s="11" t="str">
        <f aca="false">IF(INDEX(PRODUTOS!$I$4:$I$63,MATCH($A355,PRODUTOS!$B$4:$B$63,0))="B",INDEX(MODELOS!$I$4:$I$11,MATCH($D355,MODELOS!$A$4:$A$11,0)),INDEX(MODELOS!$E$4:$E$11,MATCH($D355,MODELOS!$A$4:$A$11,0)))</f>
        <v>150 × 300</v>
      </c>
      <c r="I355" s="11" t="str">
        <f aca="false">IF($D355="COMP","SIM",IF(INDEX(PRODUTOS!$J$4:$J$63,MATCH($A355,PRODUTOS!$B$4:$B$63,0))&lt;&gt;"","NÃO (usa o A+ do EAN "&amp;INDEX(PRODUTOS!$J$4:$J$63,MATCH($A355,PRODUTOS!$B$4:$B$63,0))&amp;")",IF(AND(INDEX(PRODUTOS!$I$4:$I$63,MATCH($A355,PRODUTOS!$B$4:$B$63,0))="B",$D355="AP07"),"NÃO (modelo B)","SIM")))</f>
        <v>SIM</v>
      </c>
      <c r="J355" s="13" t="s">
        <v>318</v>
      </c>
      <c r="K355" s="13"/>
    </row>
    <row r="356" customFormat="false" ht="15" hidden="false" customHeight="false" outlineLevel="0" collapsed="false">
      <c r="A356" s="15" t="s">
        <v>231</v>
      </c>
      <c r="B356" s="11" t="str">
        <f aca="false">INDEX(PRODUTOS!$E$4:$E$63,MATCH($A356,PRODUTOS!$B$4:$B$63,0))</f>
        <v>Nuggets Recheados Gatos New Dots Bolas de Pelo 40 g</v>
      </c>
      <c r="C356" s="11" t="str">
        <f aca="false">INDEX(PRODUTOS!$H$4:$H$63,MATCH($A356,PRODUTOS!$B$4:$B$63,0))</f>
        <v>40 g</v>
      </c>
      <c r="D356" s="11" t="s">
        <v>317</v>
      </c>
      <c r="E356" s="16" t="str">
        <f aca="false">$A356&amp;"."&amp;$D356&amp;".jpg"</f>
        <v>7908591300727.AP01.jpg</v>
      </c>
      <c r="F356" s="11" t="str">
        <f aca="false">IF(INDEX(PRODUTOS!$I$4:$I$63,MATCH($A356,PRODUTOS!$B$4:$B$63,0))="B",INDEX(MODELOS!$F$4:$F$11,MATCH($D356,MODELOS!$A$4:$A$11,0)),INDEX(MODELOS!$B$4:$B$11,MATCH($D356,MODELOS!$A$4:$A$11,0)))</f>
        <v>Módulo 1 · Banner</v>
      </c>
      <c r="G356" s="11" t="str">
        <f aca="false">IF(INDEX(PRODUTOS!$F$4:$F$63,MATCH($A356,PRODUTOS!$B$4:$B$63,0))="Ração",IF(INDEX(PRODUTOS!$I$4:$I$63,MATCH($A356,PRODUTOS!$B$4:$B$63,0))="B",INDEX(MODELOS!$G$4:$G$11,MATCH($D356,MODELOS!$A$4:$A$11,0)),INDEX(MODELOS!$C$4:$C$11,MATCH($D356,MODELOS!$A$4:$A$11,0))),IF(INDEX(PRODUTOS!$I$4:$I$63,MATCH($A356,PRODUTOS!$B$4:$B$63,0))="B",INDEX(MODELOS!$H$4:$H$11,MATCH($D356,MODELOS!$A$4:$A$11,0)),INDEX(MODELOS!$D$4:$D$11,MATCH($D356,MODELOS!$A$4:$A$11,0))))</f>
        <v>Produto + pet, com o nome da linha</v>
      </c>
      <c r="H356" s="11" t="str">
        <f aca="false">IF(INDEX(PRODUTOS!$I$4:$I$63,MATCH($A356,PRODUTOS!$B$4:$B$63,0))="B",INDEX(MODELOS!$I$4:$I$11,MATCH($D356,MODELOS!$A$4:$A$11,0)),INDEX(MODELOS!$E$4:$E$11,MATCH($D356,MODELOS!$A$4:$A$11,0)))</f>
        <v>970 × 600</v>
      </c>
      <c r="I356" s="11" t="str">
        <f aca="false">IF($D356="COMP","SIM",IF(INDEX(PRODUTOS!$J$4:$J$63,MATCH($A356,PRODUTOS!$B$4:$B$63,0))&lt;&gt;"","NÃO (usa o A+ do EAN "&amp;INDEX(PRODUTOS!$J$4:$J$63,MATCH($A356,PRODUTOS!$B$4:$B$63,0))&amp;")",IF(AND(INDEX(PRODUTOS!$I$4:$I$63,MATCH($A356,PRODUTOS!$B$4:$B$63,0))="B",$D356="AP07"),"NÃO (modelo B)","SIM")))</f>
        <v>SIM</v>
      </c>
      <c r="J356" s="13" t="s">
        <v>318</v>
      </c>
      <c r="K356" s="13"/>
    </row>
    <row r="357" customFormat="false" ht="15" hidden="false" customHeight="false" outlineLevel="0" collapsed="false">
      <c r="A357" s="15" t="s">
        <v>231</v>
      </c>
      <c r="B357" s="11" t="str">
        <f aca="false">INDEX(PRODUTOS!$E$4:$E$63,MATCH($A357,PRODUTOS!$B$4:$B$63,0))</f>
        <v>Nuggets Recheados Gatos New Dots Bolas de Pelo 40 g</v>
      </c>
      <c r="C357" s="11" t="str">
        <f aca="false">INDEX(PRODUTOS!$H$4:$H$63,MATCH($A357,PRODUTOS!$B$4:$B$63,0))</f>
        <v>40 g</v>
      </c>
      <c r="D357" s="11" t="s">
        <v>319</v>
      </c>
      <c r="E357" s="16" t="str">
        <f aca="false">$A357&amp;"."&amp;$D357&amp;".jpg"</f>
        <v>7908591300727.AP02.jpg</v>
      </c>
      <c r="F357" s="11" t="str">
        <f aca="false">IF(INDEX(PRODUTOS!$I$4:$I$63,MATCH($A357,PRODUTOS!$B$4:$B$63,0))="B",INDEX(MODELOS!$F$4:$F$11,MATCH($D357,MODELOS!$A$4:$A$11,0)),INDEX(MODELOS!$B$4:$B$11,MATCH($D357,MODELOS!$A$4:$A$11,0)))</f>
        <v>Módulo 2 · Texto sobreposto</v>
      </c>
      <c r="G357" s="11" t="str">
        <f aca="false">IF(INDEX(PRODUTOS!$F$4:$F$63,MATCH($A357,PRODUTOS!$B$4:$B$63,0))="Ração",IF(INDEX(PRODUTOS!$I$4:$I$63,MATCH($A357,PRODUTOS!$B$4:$B$63,0))="B",INDEX(MODELOS!$G$4:$G$11,MATCH($D357,MODELOS!$A$4:$A$11,0)),INDEX(MODELOS!$C$4:$C$11,MATCH($D357,MODELOS!$A$4:$A$11,0))),IF(INDEX(PRODUTOS!$I$4:$I$63,MATCH($A357,PRODUTOS!$B$4:$B$63,0))="B",INDEX(MODELOS!$H$4:$H$11,MATCH($D357,MODELOS!$A$4:$A$11,0)),INDEX(MODELOS!$D$4:$D$11,MATCH($D357,MODELOS!$A$4:$A$11,0))))</f>
        <v>Principal diferencial; deixar o lado direito limpo</v>
      </c>
      <c r="H357" s="11" t="str">
        <f aca="false">IF(INDEX(PRODUTOS!$I$4:$I$63,MATCH($A357,PRODUTOS!$B$4:$B$63,0))="B",INDEX(MODELOS!$I$4:$I$11,MATCH($D357,MODELOS!$A$4:$A$11,0)),INDEX(MODELOS!$E$4:$E$11,MATCH($D357,MODELOS!$A$4:$A$11,0)))</f>
        <v>970 × 300</v>
      </c>
      <c r="I357" s="11" t="str">
        <f aca="false">IF($D357="COMP","SIM",IF(INDEX(PRODUTOS!$J$4:$J$63,MATCH($A357,PRODUTOS!$B$4:$B$63,0))&lt;&gt;"","NÃO (usa o A+ do EAN "&amp;INDEX(PRODUTOS!$J$4:$J$63,MATCH($A357,PRODUTOS!$B$4:$B$63,0))&amp;")",IF(AND(INDEX(PRODUTOS!$I$4:$I$63,MATCH($A357,PRODUTOS!$B$4:$B$63,0))="B",$D357="AP07"),"NÃO (modelo B)","SIM")))</f>
        <v>SIM</v>
      </c>
      <c r="J357" s="13" t="s">
        <v>318</v>
      </c>
      <c r="K357" s="13"/>
    </row>
    <row r="358" customFormat="false" ht="15" hidden="false" customHeight="false" outlineLevel="0" collapsed="false">
      <c r="A358" s="15" t="s">
        <v>231</v>
      </c>
      <c r="B358" s="11" t="str">
        <f aca="false">INDEX(PRODUTOS!$E$4:$E$63,MATCH($A358,PRODUTOS!$B$4:$B$63,0))</f>
        <v>Nuggets Recheados Gatos New Dots Bolas de Pelo 40 g</v>
      </c>
      <c r="C358" s="11" t="str">
        <f aca="false">INDEX(PRODUTOS!$H$4:$H$63,MATCH($A358,PRODUTOS!$B$4:$B$63,0))</f>
        <v>40 g</v>
      </c>
      <c r="D358" s="11" t="s">
        <v>320</v>
      </c>
      <c r="E358" s="16" t="str">
        <f aca="false">$A358&amp;"."&amp;$D358&amp;".jpg"</f>
        <v>7908591300727.AP03.jpg</v>
      </c>
      <c r="F358" s="11" t="str">
        <f aca="false">IF(INDEX(PRODUTOS!$I$4:$I$63,MATCH($A358,PRODUTOS!$B$4:$B$63,0))="B",INDEX(MODELOS!$F$4:$F$11,MATCH($D358,MODELOS!$A$4:$A$11,0)),INDEX(MODELOS!$B$4:$B$11,MATCH($D358,MODELOS!$A$4:$A$11,0)))</f>
        <v>Módulo 3 · Benefício 1 de 4</v>
      </c>
      <c r="G358" s="11" t="str">
        <f aca="false">IF(INDEX(PRODUTOS!$F$4:$F$63,MATCH($A358,PRODUTOS!$B$4:$B$63,0))="Ração",IF(INDEX(PRODUTOS!$I$4:$I$63,MATCH($A358,PRODUTOS!$B$4:$B$63,0))="B",INDEX(MODELOS!$G$4:$G$11,MATCH($D358,MODELOS!$A$4:$A$11,0)),INDEX(MODELOS!$C$4:$C$11,MATCH($D358,MODELOS!$A$4:$A$11,0))),IF(INDEX(PRODUTOS!$I$4:$I$63,MATCH($A358,PRODUTOS!$B$4:$B$63,0))="B",INDEX(MODELOS!$H$4:$H$11,MATCH($D358,MODELOS!$A$4:$A$11,0)),INDEX(MODELOS!$D$4:$D$11,MATCH($D358,MODELOS!$A$4:$A$11,0))))</f>
        <v>Foto/ilustração do benefício 1</v>
      </c>
      <c r="H358" s="11" t="str">
        <f aca="false">IF(INDEX(PRODUTOS!$I$4:$I$63,MATCH($A358,PRODUTOS!$B$4:$B$63,0))="B",INDEX(MODELOS!$I$4:$I$11,MATCH($D358,MODELOS!$A$4:$A$11,0)),INDEX(MODELOS!$E$4:$E$11,MATCH($D358,MODELOS!$A$4:$A$11,0)))</f>
        <v>220 × 200</v>
      </c>
      <c r="I358" s="11" t="str">
        <f aca="false">IF($D358="COMP","SIM",IF(INDEX(PRODUTOS!$J$4:$J$63,MATCH($A358,PRODUTOS!$B$4:$B$63,0))&lt;&gt;"","NÃO (usa o A+ do EAN "&amp;INDEX(PRODUTOS!$J$4:$J$63,MATCH($A358,PRODUTOS!$B$4:$B$63,0))&amp;")",IF(AND(INDEX(PRODUTOS!$I$4:$I$63,MATCH($A358,PRODUTOS!$B$4:$B$63,0))="B",$D358="AP07"),"NÃO (modelo B)","SIM")))</f>
        <v>SIM</v>
      </c>
      <c r="J358" s="13" t="s">
        <v>318</v>
      </c>
      <c r="K358" s="13"/>
    </row>
    <row r="359" customFormat="false" ht="15" hidden="false" customHeight="false" outlineLevel="0" collapsed="false">
      <c r="A359" s="15" t="s">
        <v>231</v>
      </c>
      <c r="B359" s="11" t="str">
        <f aca="false">INDEX(PRODUTOS!$E$4:$E$63,MATCH($A359,PRODUTOS!$B$4:$B$63,0))</f>
        <v>Nuggets Recheados Gatos New Dots Bolas de Pelo 40 g</v>
      </c>
      <c r="C359" s="11" t="str">
        <f aca="false">INDEX(PRODUTOS!$H$4:$H$63,MATCH($A359,PRODUTOS!$B$4:$B$63,0))</f>
        <v>40 g</v>
      </c>
      <c r="D359" s="11" t="s">
        <v>321</v>
      </c>
      <c r="E359" s="16" t="str">
        <f aca="false">$A359&amp;"."&amp;$D359&amp;".jpg"</f>
        <v>7908591300727.AP04.jpg</v>
      </c>
      <c r="F359" s="11" t="str">
        <f aca="false">IF(INDEX(PRODUTOS!$I$4:$I$63,MATCH($A359,PRODUTOS!$B$4:$B$63,0))="B",INDEX(MODELOS!$F$4:$F$11,MATCH($D359,MODELOS!$A$4:$A$11,0)),INDEX(MODELOS!$B$4:$B$11,MATCH($D359,MODELOS!$A$4:$A$11,0)))</f>
        <v>Módulo 3 · Benefício 2 de 4</v>
      </c>
      <c r="G359" s="11" t="str">
        <f aca="false">IF(INDEX(PRODUTOS!$F$4:$F$63,MATCH($A359,PRODUTOS!$B$4:$B$63,0))="Ração",IF(INDEX(PRODUTOS!$I$4:$I$63,MATCH($A359,PRODUTOS!$B$4:$B$63,0))="B",INDEX(MODELOS!$G$4:$G$11,MATCH($D359,MODELOS!$A$4:$A$11,0)),INDEX(MODELOS!$C$4:$C$11,MATCH($D359,MODELOS!$A$4:$A$11,0))),IF(INDEX(PRODUTOS!$I$4:$I$63,MATCH($A359,PRODUTOS!$B$4:$B$63,0))="B",INDEX(MODELOS!$H$4:$H$11,MATCH($D359,MODELOS!$A$4:$A$11,0)),INDEX(MODELOS!$D$4:$D$11,MATCH($D359,MODELOS!$A$4:$A$11,0))))</f>
        <v>Foto/ilustração do benefício 2</v>
      </c>
      <c r="H359" s="11" t="str">
        <f aca="false">IF(INDEX(PRODUTOS!$I$4:$I$63,MATCH($A359,PRODUTOS!$B$4:$B$63,0))="B",INDEX(MODELOS!$I$4:$I$11,MATCH($D359,MODELOS!$A$4:$A$11,0)),INDEX(MODELOS!$E$4:$E$11,MATCH($D359,MODELOS!$A$4:$A$11,0)))</f>
        <v>220 × 200</v>
      </c>
      <c r="I359" s="11" t="str">
        <f aca="false">IF($D359="COMP","SIM",IF(INDEX(PRODUTOS!$J$4:$J$63,MATCH($A359,PRODUTOS!$B$4:$B$63,0))&lt;&gt;"","NÃO (usa o A+ do EAN "&amp;INDEX(PRODUTOS!$J$4:$J$63,MATCH($A359,PRODUTOS!$B$4:$B$63,0))&amp;")",IF(AND(INDEX(PRODUTOS!$I$4:$I$63,MATCH($A359,PRODUTOS!$B$4:$B$63,0))="B",$D359="AP07"),"NÃO (modelo B)","SIM")))</f>
        <v>SIM</v>
      </c>
      <c r="J359" s="13" t="s">
        <v>318</v>
      </c>
      <c r="K359" s="13"/>
    </row>
    <row r="360" customFormat="false" ht="15" hidden="false" customHeight="false" outlineLevel="0" collapsed="false">
      <c r="A360" s="15" t="s">
        <v>231</v>
      </c>
      <c r="B360" s="11" t="str">
        <f aca="false">INDEX(PRODUTOS!$E$4:$E$63,MATCH($A360,PRODUTOS!$B$4:$B$63,0))</f>
        <v>Nuggets Recheados Gatos New Dots Bolas de Pelo 40 g</v>
      </c>
      <c r="C360" s="11" t="str">
        <f aca="false">INDEX(PRODUTOS!$H$4:$H$63,MATCH($A360,PRODUTOS!$B$4:$B$63,0))</f>
        <v>40 g</v>
      </c>
      <c r="D360" s="11" t="s">
        <v>322</v>
      </c>
      <c r="E360" s="16" t="str">
        <f aca="false">$A360&amp;"."&amp;$D360&amp;".jpg"</f>
        <v>7908591300727.AP05.jpg</v>
      </c>
      <c r="F360" s="11" t="str">
        <f aca="false">IF(INDEX(PRODUTOS!$I$4:$I$63,MATCH($A360,PRODUTOS!$B$4:$B$63,0))="B",INDEX(MODELOS!$F$4:$F$11,MATCH($D360,MODELOS!$A$4:$A$11,0)),INDEX(MODELOS!$B$4:$B$11,MATCH($D360,MODELOS!$A$4:$A$11,0)))</f>
        <v>Módulo 3 · Benefício 3 de 4</v>
      </c>
      <c r="G360" s="11" t="str">
        <f aca="false">IF(INDEX(PRODUTOS!$F$4:$F$63,MATCH($A360,PRODUTOS!$B$4:$B$63,0))="Ração",IF(INDEX(PRODUTOS!$I$4:$I$63,MATCH($A360,PRODUTOS!$B$4:$B$63,0))="B",INDEX(MODELOS!$G$4:$G$11,MATCH($D360,MODELOS!$A$4:$A$11,0)),INDEX(MODELOS!$C$4:$C$11,MATCH($D360,MODELOS!$A$4:$A$11,0))),IF(INDEX(PRODUTOS!$I$4:$I$63,MATCH($A360,PRODUTOS!$B$4:$B$63,0))="B",INDEX(MODELOS!$H$4:$H$11,MATCH($D360,MODELOS!$A$4:$A$11,0)),INDEX(MODELOS!$D$4:$D$11,MATCH($D360,MODELOS!$A$4:$A$11,0))))</f>
        <v>Foto/ilustração do benefício 3</v>
      </c>
      <c r="H360" s="11" t="str">
        <f aca="false">IF(INDEX(PRODUTOS!$I$4:$I$63,MATCH($A360,PRODUTOS!$B$4:$B$63,0))="B",INDEX(MODELOS!$I$4:$I$11,MATCH($D360,MODELOS!$A$4:$A$11,0)),INDEX(MODELOS!$E$4:$E$11,MATCH($D360,MODELOS!$A$4:$A$11,0)))</f>
        <v>220 × 200</v>
      </c>
      <c r="I360" s="11" t="str">
        <f aca="false">IF($D360="COMP","SIM",IF(INDEX(PRODUTOS!$J$4:$J$63,MATCH($A360,PRODUTOS!$B$4:$B$63,0))&lt;&gt;"","NÃO (usa o A+ do EAN "&amp;INDEX(PRODUTOS!$J$4:$J$63,MATCH($A360,PRODUTOS!$B$4:$B$63,0))&amp;")",IF(AND(INDEX(PRODUTOS!$I$4:$I$63,MATCH($A360,PRODUTOS!$B$4:$B$63,0))="B",$D360="AP07"),"NÃO (modelo B)","SIM")))</f>
        <v>SIM</v>
      </c>
      <c r="J360" s="13" t="s">
        <v>318</v>
      </c>
      <c r="K360" s="13"/>
    </row>
    <row r="361" customFormat="false" ht="15" hidden="false" customHeight="false" outlineLevel="0" collapsed="false">
      <c r="A361" s="15" t="s">
        <v>231</v>
      </c>
      <c r="B361" s="11" t="str">
        <f aca="false">INDEX(PRODUTOS!$E$4:$E$63,MATCH($A361,PRODUTOS!$B$4:$B$63,0))</f>
        <v>Nuggets Recheados Gatos New Dots Bolas de Pelo 40 g</v>
      </c>
      <c r="C361" s="11" t="str">
        <f aca="false">INDEX(PRODUTOS!$H$4:$H$63,MATCH($A361,PRODUTOS!$B$4:$B$63,0))</f>
        <v>40 g</v>
      </c>
      <c r="D361" s="11" t="s">
        <v>323</v>
      </c>
      <c r="E361" s="16" t="str">
        <f aca="false">$A361&amp;"."&amp;$D361&amp;".jpg"</f>
        <v>7908591300727.AP06.jpg</v>
      </c>
      <c r="F361" s="11" t="str">
        <f aca="false">IF(INDEX(PRODUTOS!$I$4:$I$63,MATCH($A361,PRODUTOS!$B$4:$B$63,0))="B",INDEX(MODELOS!$F$4:$F$11,MATCH($D361,MODELOS!$A$4:$A$11,0)),INDEX(MODELOS!$B$4:$B$11,MATCH($D361,MODELOS!$A$4:$A$11,0)))</f>
        <v>Módulo 3 · Benefício 4 de 4</v>
      </c>
      <c r="G361" s="11" t="str">
        <f aca="false">IF(INDEX(PRODUTOS!$F$4:$F$63,MATCH($A361,PRODUTOS!$B$4:$B$63,0))="Ração",IF(INDEX(PRODUTOS!$I$4:$I$63,MATCH($A361,PRODUTOS!$B$4:$B$63,0))="B",INDEX(MODELOS!$G$4:$G$11,MATCH($D361,MODELOS!$A$4:$A$11,0)),INDEX(MODELOS!$C$4:$C$11,MATCH($D361,MODELOS!$A$4:$A$11,0))),IF(INDEX(PRODUTOS!$I$4:$I$63,MATCH($A361,PRODUTOS!$B$4:$B$63,0))="B",INDEX(MODELOS!$H$4:$H$11,MATCH($D361,MODELOS!$A$4:$A$11,0)),INDEX(MODELOS!$D$4:$D$11,MATCH($D361,MODELOS!$A$4:$A$11,0))))</f>
        <v>Foto/ilustração do benefício 4</v>
      </c>
      <c r="H361" s="11" t="str">
        <f aca="false">IF(INDEX(PRODUTOS!$I$4:$I$63,MATCH($A361,PRODUTOS!$B$4:$B$63,0))="B",INDEX(MODELOS!$I$4:$I$11,MATCH($D361,MODELOS!$A$4:$A$11,0)),INDEX(MODELOS!$E$4:$E$11,MATCH($D361,MODELOS!$A$4:$A$11,0)))</f>
        <v>220 × 200</v>
      </c>
      <c r="I361" s="11" t="str">
        <f aca="false">IF($D361="COMP","SIM",IF(INDEX(PRODUTOS!$J$4:$J$63,MATCH($A361,PRODUTOS!$B$4:$B$63,0))&lt;&gt;"","NÃO (usa o A+ do EAN "&amp;INDEX(PRODUTOS!$J$4:$J$63,MATCH($A361,PRODUTOS!$B$4:$B$63,0))&amp;")",IF(AND(INDEX(PRODUTOS!$I$4:$I$63,MATCH($A361,PRODUTOS!$B$4:$B$63,0))="B",$D361="AP07"),"NÃO (modelo B)","SIM")))</f>
        <v>SIM</v>
      </c>
      <c r="J361" s="13" t="s">
        <v>318</v>
      </c>
      <c r="K361" s="13"/>
    </row>
    <row r="362" customFormat="false" ht="15" hidden="false" customHeight="false" outlineLevel="0" collapsed="false">
      <c r="A362" s="15" t="s">
        <v>231</v>
      </c>
      <c r="B362" s="11" t="str">
        <f aca="false">INDEX(PRODUTOS!$E$4:$E$63,MATCH($A362,PRODUTOS!$B$4:$B$63,0))</f>
        <v>Nuggets Recheados Gatos New Dots Bolas de Pelo 40 g</v>
      </c>
      <c r="C362" s="11" t="str">
        <f aca="false">INDEX(PRODUTOS!$H$4:$H$63,MATCH($A362,PRODUTOS!$B$4:$B$63,0))</f>
        <v>40 g</v>
      </c>
      <c r="D362" s="11" t="s">
        <v>324</v>
      </c>
      <c r="E362" s="16" t="str">
        <f aca="false">$A362&amp;"."&amp;$D362&amp;".jpg"</f>
        <v>7908591300727.AP07.jpg</v>
      </c>
      <c r="F362" s="11" t="str">
        <f aca="false">IF(INDEX(PRODUTOS!$I$4:$I$63,MATCH($A362,PRODUTOS!$B$4:$B$63,0))="B",INDEX(MODELOS!$F$4:$F$11,MATCH($D362,MODELOS!$A$4:$A$11,0)),INDEX(MODELOS!$B$4:$B$11,MATCH($D362,MODELOS!$A$4:$A$11,0)))</f>
        <v>Módulo 4 · Especificações</v>
      </c>
      <c r="G362" s="11" t="str">
        <f aca="false">IF(INDEX(PRODUTOS!$F$4:$F$63,MATCH($A362,PRODUTOS!$B$4:$B$63,0))="Ração",IF(INDEX(PRODUTOS!$I$4:$I$63,MATCH($A362,PRODUTOS!$B$4:$B$63,0))="B",INDEX(MODELOS!$G$4:$G$11,MATCH($D362,MODELOS!$A$4:$A$11,0)),INDEX(MODELOS!$C$4:$C$11,MATCH($D362,MODELOS!$A$4:$A$11,0))),IF(INDEX(PRODUTOS!$I$4:$I$63,MATCH($A362,PRODUTOS!$B$4:$B$63,0))="B",INDEX(MODELOS!$H$4:$H$11,MATCH($D362,MODELOS!$A$4:$A$11,0)),INDEX(MODELOS!$D$4:$D$11,MATCH($D362,MODELOS!$A$4:$A$11,0))))</f>
        <v>Produto em destaque</v>
      </c>
      <c r="H362" s="11" t="str">
        <f aca="false">IF(INDEX(PRODUTOS!$I$4:$I$63,MATCH($A362,PRODUTOS!$B$4:$B$63,0))="B",INDEX(MODELOS!$I$4:$I$11,MATCH($D362,MODELOS!$A$4:$A$11,0)),INDEX(MODELOS!$E$4:$E$11,MATCH($D362,MODELOS!$A$4:$A$11,0)))</f>
        <v>300 × 300</v>
      </c>
      <c r="I362" s="11" t="str">
        <f aca="false">IF($D362="COMP","SIM",IF(INDEX(PRODUTOS!$J$4:$J$63,MATCH($A362,PRODUTOS!$B$4:$B$63,0))&lt;&gt;"","NÃO (usa o A+ do EAN "&amp;INDEX(PRODUTOS!$J$4:$J$63,MATCH($A362,PRODUTOS!$B$4:$B$63,0))&amp;")",IF(AND(INDEX(PRODUTOS!$I$4:$I$63,MATCH($A362,PRODUTOS!$B$4:$B$63,0))="B",$D362="AP07"),"NÃO (modelo B)","SIM")))</f>
        <v>SIM</v>
      </c>
      <c r="J362" s="13" t="s">
        <v>318</v>
      </c>
      <c r="K362" s="13"/>
    </row>
    <row r="363" customFormat="false" ht="15" hidden="false" customHeight="false" outlineLevel="0" collapsed="false">
      <c r="A363" s="15" t="s">
        <v>231</v>
      </c>
      <c r="B363" s="11" t="str">
        <f aca="false">INDEX(PRODUTOS!$E$4:$E$63,MATCH($A363,PRODUTOS!$B$4:$B$63,0))</f>
        <v>Nuggets Recheados Gatos New Dots Bolas de Pelo 40 g</v>
      </c>
      <c r="C363" s="11" t="str">
        <f aca="false">INDEX(PRODUTOS!$H$4:$H$63,MATCH($A363,PRODUTOS!$B$4:$B$63,0))</f>
        <v>40 g</v>
      </c>
      <c r="D363" s="11" t="s">
        <v>325</v>
      </c>
      <c r="E363" s="16" t="str">
        <f aca="false">$A363&amp;"."&amp;$D363&amp;".jpg"</f>
        <v>7908591300727.COMP.jpg</v>
      </c>
      <c r="F363" s="11" t="str">
        <f aca="false">IF(INDEX(PRODUTOS!$I$4:$I$63,MATCH($A363,PRODUTOS!$B$4:$B$63,0))="B",INDEX(MODELOS!$F$4:$F$11,MATCH($D363,MODELOS!$A$4:$A$11,0)),INDEX(MODELOS!$B$4:$B$11,MATCH($D363,MODELOS!$A$4:$A$11,0)))</f>
        <v>Módulo 5 · Tabela comparativa</v>
      </c>
      <c r="G363" s="11" t="str">
        <f aca="false">IF(INDEX(PRODUTOS!$F$4:$F$63,MATCH($A363,PRODUTOS!$B$4:$B$63,0))="Ração",IF(INDEX(PRODUTOS!$I$4:$I$63,MATCH($A363,PRODUTOS!$B$4:$B$63,0))="B",INDEX(MODELOS!$G$4:$G$11,MATCH($D363,MODELOS!$A$4:$A$11,0)),INDEX(MODELOS!$C$4:$C$11,MATCH($D363,MODELOS!$A$4:$A$11,0))),IF(INDEX(PRODUTOS!$I$4:$I$63,MATCH($A363,PRODUTOS!$B$4:$B$63,0))="B",INDEX(MODELOS!$H$4:$H$11,MATCH($D363,MODELOS!$A$4:$A$11,0)),INDEX(MODELOS!$D$4:$D$11,MATCH($D363,MODELOS!$A$4:$A$11,0))))</f>
        <v>Produto na vertical, sem fundo colorido</v>
      </c>
      <c r="H363" s="11" t="str">
        <f aca="false">IF(INDEX(PRODUTOS!$I$4:$I$63,MATCH($A363,PRODUTOS!$B$4:$B$63,0))="B",INDEX(MODELOS!$I$4:$I$11,MATCH($D363,MODELOS!$A$4:$A$11,0)),INDEX(MODELOS!$E$4:$E$11,MATCH($D363,MODELOS!$A$4:$A$11,0)))</f>
        <v>150 × 300</v>
      </c>
      <c r="I363" s="11" t="str">
        <f aca="false">IF($D363="COMP","SIM",IF(INDEX(PRODUTOS!$J$4:$J$63,MATCH($A363,PRODUTOS!$B$4:$B$63,0))&lt;&gt;"","NÃO (usa o A+ do EAN "&amp;INDEX(PRODUTOS!$J$4:$J$63,MATCH($A363,PRODUTOS!$B$4:$B$63,0))&amp;")",IF(AND(INDEX(PRODUTOS!$I$4:$I$63,MATCH($A363,PRODUTOS!$B$4:$B$63,0))="B",$D363="AP07"),"NÃO (modelo B)","SIM")))</f>
        <v>SIM</v>
      </c>
      <c r="J363" s="13" t="s">
        <v>318</v>
      </c>
      <c r="K363" s="13"/>
    </row>
    <row r="364" customFormat="false" ht="15" hidden="false" customHeight="false" outlineLevel="0" collapsed="false">
      <c r="A364" s="15" t="s">
        <v>236</v>
      </c>
      <c r="B364" s="11" t="str">
        <f aca="false">INDEX(PRODUTOS!$E$4:$E$63,MATCH($A364,PRODUTOS!$B$4:$B$63,0))</f>
        <v>Nuggets Recheados Gatos New Dots Controle PH Urinário 40 g</v>
      </c>
      <c r="C364" s="11" t="str">
        <f aca="false">INDEX(PRODUTOS!$H$4:$H$63,MATCH($A364,PRODUTOS!$B$4:$B$63,0))</f>
        <v>40 g</v>
      </c>
      <c r="D364" s="11" t="s">
        <v>317</v>
      </c>
      <c r="E364" s="16" t="str">
        <f aca="false">$A364&amp;"."&amp;$D364&amp;".jpg"</f>
        <v>7908591300741.AP01.jpg</v>
      </c>
      <c r="F364" s="11" t="str">
        <f aca="false">IF(INDEX(PRODUTOS!$I$4:$I$63,MATCH($A364,PRODUTOS!$B$4:$B$63,0))="B",INDEX(MODELOS!$F$4:$F$11,MATCH($D364,MODELOS!$A$4:$A$11,0)),INDEX(MODELOS!$B$4:$B$11,MATCH($D364,MODELOS!$A$4:$A$11,0)))</f>
        <v>Módulo 1 · Banner</v>
      </c>
      <c r="G364" s="11" t="str">
        <f aca="false">IF(INDEX(PRODUTOS!$F$4:$F$63,MATCH($A364,PRODUTOS!$B$4:$B$63,0))="Ração",IF(INDEX(PRODUTOS!$I$4:$I$63,MATCH($A364,PRODUTOS!$B$4:$B$63,0))="B",INDEX(MODELOS!$G$4:$G$11,MATCH($D364,MODELOS!$A$4:$A$11,0)),INDEX(MODELOS!$C$4:$C$11,MATCH($D364,MODELOS!$A$4:$A$11,0))),IF(INDEX(PRODUTOS!$I$4:$I$63,MATCH($A364,PRODUTOS!$B$4:$B$63,0))="B",INDEX(MODELOS!$H$4:$H$11,MATCH($D364,MODELOS!$A$4:$A$11,0)),INDEX(MODELOS!$D$4:$D$11,MATCH($D364,MODELOS!$A$4:$A$11,0))))</f>
        <v>Produto + pet, com o nome da linha</v>
      </c>
      <c r="H364" s="11" t="str">
        <f aca="false">IF(INDEX(PRODUTOS!$I$4:$I$63,MATCH($A364,PRODUTOS!$B$4:$B$63,0))="B",INDEX(MODELOS!$I$4:$I$11,MATCH($D364,MODELOS!$A$4:$A$11,0)),INDEX(MODELOS!$E$4:$E$11,MATCH($D364,MODELOS!$A$4:$A$11,0)))</f>
        <v>970 × 600</v>
      </c>
      <c r="I364" s="11" t="str">
        <f aca="false">IF($D364="COMP","SIM",IF(INDEX(PRODUTOS!$J$4:$J$63,MATCH($A364,PRODUTOS!$B$4:$B$63,0))&lt;&gt;"","NÃO (usa o A+ do EAN "&amp;INDEX(PRODUTOS!$J$4:$J$63,MATCH($A364,PRODUTOS!$B$4:$B$63,0))&amp;")",IF(AND(INDEX(PRODUTOS!$I$4:$I$63,MATCH($A364,PRODUTOS!$B$4:$B$63,0))="B",$D364="AP07"),"NÃO (modelo B)","SIM")))</f>
        <v>SIM</v>
      </c>
      <c r="J364" s="13" t="s">
        <v>318</v>
      </c>
      <c r="K364" s="13"/>
    </row>
    <row r="365" customFormat="false" ht="15" hidden="false" customHeight="false" outlineLevel="0" collapsed="false">
      <c r="A365" s="15" t="s">
        <v>236</v>
      </c>
      <c r="B365" s="11" t="str">
        <f aca="false">INDEX(PRODUTOS!$E$4:$E$63,MATCH($A365,PRODUTOS!$B$4:$B$63,0))</f>
        <v>Nuggets Recheados Gatos New Dots Controle PH Urinário 40 g</v>
      </c>
      <c r="C365" s="11" t="str">
        <f aca="false">INDEX(PRODUTOS!$H$4:$H$63,MATCH($A365,PRODUTOS!$B$4:$B$63,0))</f>
        <v>40 g</v>
      </c>
      <c r="D365" s="11" t="s">
        <v>319</v>
      </c>
      <c r="E365" s="16" t="str">
        <f aca="false">$A365&amp;"."&amp;$D365&amp;".jpg"</f>
        <v>7908591300741.AP02.jpg</v>
      </c>
      <c r="F365" s="11" t="str">
        <f aca="false">IF(INDEX(PRODUTOS!$I$4:$I$63,MATCH($A365,PRODUTOS!$B$4:$B$63,0))="B",INDEX(MODELOS!$F$4:$F$11,MATCH($D365,MODELOS!$A$4:$A$11,0)),INDEX(MODELOS!$B$4:$B$11,MATCH($D365,MODELOS!$A$4:$A$11,0)))</f>
        <v>Módulo 2 · Texto sobreposto</v>
      </c>
      <c r="G365" s="11" t="str">
        <f aca="false">IF(INDEX(PRODUTOS!$F$4:$F$63,MATCH($A365,PRODUTOS!$B$4:$B$63,0))="Ração",IF(INDEX(PRODUTOS!$I$4:$I$63,MATCH($A365,PRODUTOS!$B$4:$B$63,0))="B",INDEX(MODELOS!$G$4:$G$11,MATCH($D365,MODELOS!$A$4:$A$11,0)),INDEX(MODELOS!$C$4:$C$11,MATCH($D365,MODELOS!$A$4:$A$11,0))),IF(INDEX(PRODUTOS!$I$4:$I$63,MATCH($A365,PRODUTOS!$B$4:$B$63,0))="B",INDEX(MODELOS!$H$4:$H$11,MATCH($D365,MODELOS!$A$4:$A$11,0)),INDEX(MODELOS!$D$4:$D$11,MATCH($D365,MODELOS!$A$4:$A$11,0))))</f>
        <v>Principal diferencial; deixar o lado direito limpo</v>
      </c>
      <c r="H365" s="11" t="str">
        <f aca="false">IF(INDEX(PRODUTOS!$I$4:$I$63,MATCH($A365,PRODUTOS!$B$4:$B$63,0))="B",INDEX(MODELOS!$I$4:$I$11,MATCH($D365,MODELOS!$A$4:$A$11,0)),INDEX(MODELOS!$E$4:$E$11,MATCH($D365,MODELOS!$A$4:$A$11,0)))</f>
        <v>970 × 300</v>
      </c>
      <c r="I365" s="11" t="str">
        <f aca="false">IF($D365="COMP","SIM",IF(INDEX(PRODUTOS!$J$4:$J$63,MATCH($A365,PRODUTOS!$B$4:$B$63,0))&lt;&gt;"","NÃO (usa o A+ do EAN "&amp;INDEX(PRODUTOS!$J$4:$J$63,MATCH($A365,PRODUTOS!$B$4:$B$63,0))&amp;")",IF(AND(INDEX(PRODUTOS!$I$4:$I$63,MATCH($A365,PRODUTOS!$B$4:$B$63,0))="B",$D365="AP07"),"NÃO (modelo B)","SIM")))</f>
        <v>SIM</v>
      </c>
      <c r="J365" s="13" t="s">
        <v>318</v>
      </c>
      <c r="K365" s="13"/>
    </row>
    <row r="366" customFormat="false" ht="15" hidden="false" customHeight="false" outlineLevel="0" collapsed="false">
      <c r="A366" s="15" t="s">
        <v>236</v>
      </c>
      <c r="B366" s="11" t="str">
        <f aca="false">INDEX(PRODUTOS!$E$4:$E$63,MATCH($A366,PRODUTOS!$B$4:$B$63,0))</f>
        <v>Nuggets Recheados Gatos New Dots Controle PH Urinário 40 g</v>
      </c>
      <c r="C366" s="11" t="str">
        <f aca="false">INDEX(PRODUTOS!$H$4:$H$63,MATCH($A366,PRODUTOS!$B$4:$B$63,0))</f>
        <v>40 g</v>
      </c>
      <c r="D366" s="11" t="s">
        <v>320</v>
      </c>
      <c r="E366" s="16" t="str">
        <f aca="false">$A366&amp;"."&amp;$D366&amp;".jpg"</f>
        <v>7908591300741.AP03.jpg</v>
      </c>
      <c r="F366" s="11" t="str">
        <f aca="false">IF(INDEX(PRODUTOS!$I$4:$I$63,MATCH($A366,PRODUTOS!$B$4:$B$63,0))="B",INDEX(MODELOS!$F$4:$F$11,MATCH($D366,MODELOS!$A$4:$A$11,0)),INDEX(MODELOS!$B$4:$B$11,MATCH($D366,MODELOS!$A$4:$A$11,0)))</f>
        <v>Módulo 3 · Benefício 1 de 4</v>
      </c>
      <c r="G366" s="11" t="str">
        <f aca="false">IF(INDEX(PRODUTOS!$F$4:$F$63,MATCH($A366,PRODUTOS!$B$4:$B$63,0))="Ração",IF(INDEX(PRODUTOS!$I$4:$I$63,MATCH($A366,PRODUTOS!$B$4:$B$63,0))="B",INDEX(MODELOS!$G$4:$G$11,MATCH($D366,MODELOS!$A$4:$A$11,0)),INDEX(MODELOS!$C$4:$C$11,MATCH($D366,MODELOS!$A$4:$A$11,0))),IF(INDEX(PRODUTOS!$I$4:$I$63,MATCH($A366,PRODUTOS!$B$4:$B$63,0))="B",INDEX(MODELOS!$H$4:$H$11,MATCH($D366,MODELOS!$A$4:$A$11,0)),INDEX(MODELOS!$D$4:$D$11,MATCH($D366,MODELOS!$A$4:$A$11,0))))</f>
        <v>Foto/ilustração do benefício 1</v>
      </c>
      <c r="H366" s="11" t="str">
        <f aca="false">IF(INDEX(PRODUTOS!$I$4:$I$63,MATCH($A366,PRODUTOS!$B$4:$B$63,0))="B",INDEX(MODELOS!$I$4:$I$11,MATCH($D366,MODELOS!$A$4:$A$11,0)),INDEX(MODELOS!$E$4:$E$11,MATCH($D366,MODELOS!$A$4:$A$11,0)))</f>
        <v>220 × 200</v>
      </c>
      <c r="I366" s="11" t="str">
        <f aca="false">IF($D366="COMP","SIM",IF(INDEX(PRODUTOS!$J$4:$J$63,MATCH($A366,PRODUTOS!$B$4:$B$63,0))&lt;&gt;"","NÃO (usa o A+ do EAN "&amp;INDEX(PRODUTOS!$J$4:$J$63,MATCH($A366,PRODUTOS!$B$4:$B$63,0))&amp;")",IF(AND(INDEX(PRODUTOS!$I$4:$I$63,MATCH($A366,PRODUTOS!$B$4:$B$63,0))="B",$D366="AP07"),"NÃO (modelo B)","SIM")))</f>
        <v>SIM</v>
      </c>
      <c r="J366" s="13" t="s">
        <v>318</v>
      </c>
      <c r="K366" s="13"/>
    </row>
    <row r="367" customFormat="false" ht="15" hidden="false" customHeight="false" outlineLevel="0" collapsed="false">
      <c r="A367" s="15" t="s">
        <v>236</v>
      </c>
      <c r="B367" s="11" t="str">
        <f aca="false">INDEX(PRODUTOS!$E$4:$E$63,MATCH($A367,PRODUTOS!$B$4:$B$63,0))</f>
        <v>Nuggets Recheados Gatos New Dots Controle PH Urinário 40 g</v>
      </c>
      <c r="C367" s="11" t="str">
        <f aca="false">INDEX(PRODUTOS!$H$4:$H$63,MATCH($A367,PRODUTOS!$B$4:$B$63,0))</f>
        <v>40 g</v>
      </c>
      <c r="D367" s="11" t="s">
        <v>321</v>
      </c>
      <c r="E367" s="16" t="str">
        <f aca="false">$A367&amp;"."&amp;$D367&amp;".jpg"</f>
        <v>7908591300741.AP04.jpg</v>
      </c>
      <c r="F367" s="11" t="str">
        <f aca="false">IF(INDEX(PRODUTOS!$I$4:$I$63,MATCH($A367,PRODUTOS!$B$4:$B$63,0))="B",INDEX(MODELOS!$F$4:$F$11,MATCH($D367,MODELOS!$A$4:$A$11,0)),INDEX(MODELOS!$B$4:$B$11,MATCH($D367,MODELOS!$A$4:$A$11,0)))</f>
        <v>Módulo 3 · Benefício 2 de 4</v>
      </c>
      <c r="G367" s="11" t="str">
        <f aca="false">IF(INDEX(PRODUTOS!$F$4:$F$63,MATCH($A367,PRODUTOS!$B$4:$B$63,0))="Ração",IF(INDEX(PRODUTOS!$I$4:$I$63,MATCH($A367,PRODUTOS!$B$4:$B$63,0))="B",INDEX(MODELOS!$G$4:$G$11,MATCH($D367,MODELOS!$A$4:$A$11,0)),INDEX(MODELOS!$C$4:$C$11,MATCH($D367,MODELOS!$A$4:$A$11,0))),IF(INDEX(PRODUTOS!$I$4:$I$63,MATCH($A367,PRODUTOS!$B$4:$B$63,0))="B",INDEX(MODELOS!$H$4:$H$11,MATCH($D367,MODELOS!$A$4:$A$11,0)),INDEX(MODELOS!$D$4:$D$11,MATCH($D367,MODELOS!$A$4:$A$11,0))))</f>
        <v>Foto/ilustração do benefício 2</v>
      </c>
      <c r="H367" s="11" t="str">
        <f aca="false">IF(INDEX(PRODUTOS!$I$4:$I$63,MATCH($A367,PRODUTOS!$B$4:$B$63,0))="B",INDEX(MODELOS!$I$4:$I$11,MATCH($D367,MODELOS!$A$4:$A$11,0)),INDEX(MODELOS!$E$4:$E$11,MATCH($D367,MODELOS!$A$4:$A$11,0)))</f>
        <v>220 × 200</v>
      </c>
      <c r="I367" s="11" t="str">
        <f aca="false">IF($D367="COMP","SIM",IF(INDEX(PRODUTOS!$J$4:$J$63,MATCH($A367,PRODUTOS!$B$4:$B$63,0))&lt;&gt;"","NÃO (usa o A+ do EAN "&amp;INDEX(PRODUTOS!$J$4:$J$63,MATCH($A367,PRODUTOS!$B$4:$B$63,0))&amp;")",IF(AND(INDEX(PRODUTOS!$I$4:$I$63,MATCH($A367,PRODUTOS!$B$4:$B$63,0))="B",$D367="AP07"),"NÃO (modelo B)","SIM")))</f>
        <v>SIM</v>
      </c>
      <c r="J367" s="13" t="s">
        <v>318</v>
      </c>
      <c r="K367" s="13"/>
    </row>
    <row r="368" customFormat="false" ht="15" hidden="false" customHeight="false" outlineLevel="0" collapsed="false">
      <c r="A368" s="15" t="s">
        <v>236</v>
      </c>
      <c r="B368" s="11" t="str">
        <f aca="false">INDEX(PRODUTOS!$E$4:$E$63,MATCH($A368,PRODUTOS!$B$4:$B$63,0))</f>
        <v>Nuggets Recheados Gatos New Dots Controle PH Urinário 40 g</v>
      </c>
      <c r="C368" s="11" t="str">
        <f aca="false">INDEX(PRODUTOS!$H$4:$H$63,MATCH($A368,PRODUTOS!$B$4:$B$63,0))</f>
        <v>40 g</v>
      </c>
      <c r="D368" s="11" t="s">
        <v>322</v>
      </c>
      <c r="E368" s="16" t="str">
        <f aca="false">$A368&amp;"."&amp;$D368&amp;".jpg"</f>
        <v>7908591300741.AP05.jpg</v>
      </c>
      <c r="F368" s="11" t="str">
        <f aca="false">IF(INDEX(PRODUTOS!$I$4:$I$63,MATCH($A368,PRODUTOS!$B$4:$B$63,0))="B",INDEX(MODELOS!$F$4:$F$11,MATCH($D368,MODELOS!$A$4:$A$11,0)),INDEX(MODELOS!$B$4:$B$11,MATCH($D368,MODELOS!$A$4:$A$11,0)))</f>
        <v>Módulo 3 · Benefício 3 de 4</v>
      </c>
      <c r="G368" s="11" t="str">
        <f aca="false">IF(INDEX(PRODUTOS!$F$4:$F$63,MATCH($A368,PRODUTOS!$B$4:$B$63,0))="Ração",IF(INDEX(PRODUTOS!$I$4:$I$63,MATCH($A368,PRODUTOS!$B$4:$B$63,0))="B",INDEX(MODELOS!$G$4:$G$11,MATCH($D368,MODELOS!$A$4:$A$11,0)),INDEX(MODELOS!$C$4:$C$11,MATCH($D368,MODELOS!$A$4:$A$11,0))),IF(INDEX(PRODUTOS!$I$4:$I$63,MATCH($A368,PRODUTOS!$B$4:$B$63,0))="B",INDEX(MODELOS!$H$4:$H$11,MATCH($D368,MODELOS!$A$4:$A$11,0)),INDEX(MODELOS!$D$4:$D$11,MATCH($D368,MODELOS!$A$4:$A$11,0))))</f>
        <v>Foto/ilustração do benefício 3</v>
      </c>
      <c r="H368" s="11" t="str">
        <f aca="false">IF(INDEX(PRODUTOS!$I$4:$I$63,MATCH($A368,PRODUTOS!$B$4:$B$63,0))="B",INDEX(MODELOS!$I$4:$I$11,MATCH($D368,MODELOS!$A$4:$A$11,0)),INDEX(MODELOS!$E$4:$E$11,MATCH($D368,MODELOS!$A$4:$A$11,0)))</f>
        <v>220 × 200</v>
      </c>
      <c r="I368" s="11" t="str">
        <f aca="false">IF($D368="COMP","SIM",IF(INDEX(PRODUTOS!$J$4:$J$63,MATCH($A368,PRODUTOS!$B$4:$B$63,0))&lt;&gt;"","NÃO (usa o A+ do EAN "&amp;INDEX(PRODUTOS!$J$4:$J$63,MATCH($A368,PRODUTOS!$B$4:$B$63,0))&amp;")",IF(AND(INDEX(PRODUTOS!$I$4:$I$63,MATCH($A368,PRODUTOS!$B$4:$B$63,0))="B",$D368="AP07"),"NÃO (modelo B)","SIM")))</f>
        <v>SIM</v>
      </c>
      <c r="J368" s="13" t="s">
        <v>318</v>
      </c>
      <c r="K368" s="13"/>
    </row>
    <row r="369" customFormat="false" ht="15" hidden="false" customHeight="false" outlineLevel="0" collapsed="false">
      <c r="A369" s="15" t="s">
        <v>236</v>
      </c>
      <c r="B369" s="11" t="str">
        <f aca="false">INDEX(PRODUTOS!$E$4:$E$63,MATCH($A369,PRODUTOS!$B$4:$B$63,0))</f>
        <v>Nuggets Recheados Gatos New Dots Controle PH Urinário 40 g</v>
      </c>
      <c r="C369" s="11" t="str">
        <f aca="false">INDEX(PRODUTOS!$H$4:$H$63,MATCH($A369,PRODUTOS!$B$4:$B$63,0))</f>
        <v>40 g</v>
      </c>
      <c r="D369" s="11" t="s">
        <v>323</v>
      </c>
      <c r="E369" s="16" t="str">
        <f aca="false">$A369&amp;"."&amp;$D369&amp;".jpg"</f>
        <v>7908591300741.AP06.jpg</v>
      </c>
      <c r="F369" s="11" t="str">
        <f aca="false">IF(INDEX(PRODUTOS!$I$4:$I$63,MATCH($A369,PRODUTOS!$B$4:$B$63,0))="B",INDEX(MODELOS!$F$4:$F$11,MATCH($D369,MODELOS!$A$4:$A$11,0)),INDEX(MODELOS!$B$4:$B$11,MATCH($D369,MODELOS!$A$4:$A$11,0)))</f>
        <v>Módulo 3 · Benefício 4 de 4</v>
      </c>
      <c r="G369" s="11" t="str">
        <f aca="false">IF(INDEX(PRODUTOS!$F$4:$F$63,MATCH($A369,PRODUTOS!$B$4:$B$63,0))="Ração",IF(INDEX(PRODUTOS!$I$4:$I$63,MATCH($A369,PRODUTOS!$B$4:$B$63,0))="B",INDEX(MODELOS!$G$4:$G$11,MATCH($D369,MODELOS!$A$4:$A$11,0)),INDEX(MODELOS!$C$4:$C$11,MATCH($D369,MODELOS!$A$4:$A$11,0))),IF(INDEX(PRODUTOS!$I$4:$I$63,MATCH($A369,PRODUTOS!$B$4:$B$63,0))="B",INDEX(MODELOS!$H$4:$H$11,MATCH($D369,MODELOS!$A$4:$A$11,0)),INDEX(MODELOS!$D$4:$D$11,MATCH($D369,MODELOS!$A$4:$A$11,0))))</f>
        <v>Foto/ilustração do benefício 4</v>
      </c>
      <c r="H369" s="11" t="str">
        <f aca="false">IF(INDEX(PRODUTOS!$I$4:$I$63,MATCH($A369,PRODUTOS!$B$4:$B$63,0))="B",INDEX(MODELOS!$I$4:$I$11,MATCH($D369,MODELOS!$A$4:$A$11,0)),INDEX(MODELOS!$E$4:$E$11,MATCH($D369,MODELOS!$A$4:$A$11,0)))</f>
        <v>220 × 200</v>
      </c>
      <c r="I369" s="11" t="str">
        <f aca="false">IF($D369="COMP","SIM",IF(INDEX(PRODUTOS!$J$4:$J$63,MATCH($A369,PRODUTOS!$B$4:$B$63,0))&lt;&gt;"","NÃO (usa o A+ do EAN "&amp;INDEX(PRODUTOS!$J$4:$J$63,MATCH($A369,PRODUTOS!$B$4:$B$63,0))&amp;")",IF(AND(INDEX(PRODUTOS!$I$4:$I$63,MATCH($A369,PRODUTOS!$B$4:$B$63,0))="B",$D369="AP07"),"NÃO (modelo B)","SIM")))</f>
        <v>SIM</v>
      </c>
      <c r="J369" s="13" t="s">
        <v>318</v>
      </c>
      <c r="K369" s="13"/>
    </row>
    <row r="370" customFormat="false" ht="15" hidden="false" customHeight="false" outlineLevel="0" collapsed="false">
      <c r="A370" s="15" t="s">
        <v>236</v>
      </c>
      <c r="B370" s="11" t="str">
        <f aca="false">INDEX(PRODUTOS!$E$4:$E$63,MATCH($A370,PRODUTOS!$B$4:$B$63,0))</f>
        <v>Nuggets Recheados Gatos New Dots Controle PH Urinário 40 g</v>
      </c>
      <c r="C370" s="11" t="str">
        <f aca="false">INDEX(PRODUTOS!$H$4:$H$63,MATCH($A370,PRODUTOS!$B$4:$B$63,0))</f>
        <v>40 g</v>
      </c>
      <c r="D370" s="11" t="s">
        <v>324</v>
      </c>
      <c r="E370" s="16" t="str">
        <f aca="false">$A370&amp;"."&amp;$D370&amp;".jpg"</f>
        <v>7908591300741.AP07.jpg</v>
      </c>
      <c r="F370" s="11" t="str">
        <f aca="false">IF(INDEX(PRODUTOS!$I$4:$I$63,MATCH($A370,PRODUTOS!$B$4:$B$63,0))="B",INDEX(MODELOS!$F$4:$F$11,MATCH($D370,MODELOS!$A$4:$A$11,0)),INDEX(MODELOS!$B$4:$B$11,MATCH($D370,MODELOS!$A$4:$A$11,0)))</f>
        <v>Módulo 4 · Especificações</v>
      </c>
      <c r="G370" s="11" t="str">
        <f aca="false">IF(INDEX(PRODUTOS!$F$4:$F$63,MATCH($A370,PRODUTOS!$B$4:$B$63,0))="Ração",IF(INDEX(PRODUTOS!$I$4:$I$63,MATCH($A370,PRODUTOS!$B$4:$B$63,0))="B",INDEX(MODELOS!$G$4:$G$11,MATCH($D370,MODELOS!$A$4:$A$11,0)),INDEX(MODELOS!$C$4:$C$11,MATCH($D370,MODELOS!$A$4:$A$11,0))),IF(INDEX(PRODUTOS!$I$4:$I$63,MATCH($A370,PRODUTOS!$B$4:$B$63,0))="B",INDEX(MODELOS!$H$4:$H$11,MATCH($D370,MODELOS!$A$4:$A$11,0)),INDEX(MODELOS!$D$4:$D$11,MATCH($D370,MODELOS!$A$4:$A$11,0))))</f>
        <v>Produto em destaque</v>
      </c>
      <c r="H370" s="11" t="str">
        <f aca="false">IF(INDEX(PRODUTOS!$I$4:$I$63,MATCH($A370,PRODUTOS!$B$4:$B$63,0))="B",INDEX(MODELOS!$I$4:$I$11,MATCH($D370,MODELOS!$A$4:$A$11,0)),INDEX(MODELOS!$E$4:$E$11,MATCH($D370,MODELOS!$A$4:$A$11,0)))</f>
        <v>300 × 300</v>
      </c>
      <c r="I370" s="11" t="str">
        <f aca="false">IF($D370="COMP","SIM",IF(INDEX(PRODUTOS!$J$4:$J$63,MATCH($A370,PRODUTOS!$B$4:$B$63,0))&lt;&gt;"","NÃO (usa o A+ do EAN "&amp;INDEX(PRODUTOS!$J$4:$J$63,MATCH($A370,PRODUTOS!$B$4:$B$63,0))&amp;")",IF(AND(INDEX(PRODUTOS!$I$4:$I$63,MATCH($A370,PRODUTOS!$B$4:$B$63,0))="B",$D370="AP07"),"NÃO (modelo B)","SIM")))</f>
        <v>SIM</v>
      </c>
      <c r="J370" s="13" t="s">
        <v>318</v>
      </c>
      <c r="K370" s="13"/>
    </row>
    <row r="371" customFormat="false" ht="15" hidden="false" customHeight="false" outlineLevel="0" collapsed="false">
      <c r="A371" s="15" t="s">
        <v>236</v>
      </c>
      <c r="B371" s="11" t="str">
        <f aca="false">INDEX(PRODUTOS!$E$4:$E$63,MATCH($A371,PRODUTOS!$B$4:$B$63,0))</f>
        <v>Nuggets Recheados Gatos New Dots Controle PH Urinário 40 g</v>
      </c>
      <c r="C371" s="11" t="str">
        <f aca="false">INDEX(PRODUTOS!$H$4:$H$63,MATCH($A371,PRODUTOS!$B$4:$B$63,0))</f>
        <v>40 g</v>
      </c>
      <c r="D371" s="11" t="s">
        <v>325</v>
      </c>
      <c r="E371" s="16" t="str">
        <f aca="false">$A371&amp;"."&amp;$D371&amp;".jpg"</f>
        <v>7908591300741.COMP.jpg</v>
      </c>
      <c r="F371" s="11" t="str">
        <f aca="false">IF(INDEX(PRODUTOS!$I$4:$I$63,MATCH($A371,PRODUTOS!$B$4:$B$63,0))="B",INDEX(MODELOS!$F$4:$F$11,MATCH($D371,MODELOS!$A$4:$A$11,0)),INDEX(MODELOS!$B$4:$B$11,MATCH($D371,MODELOS!$A$4:$A$11,0)))</f>
        <v>Módulo 5 · Tabela comparativa</v>
      </c>
      <c r="G371" s="11" t="str">
        <f aca="false">IF(INDEX(PRODUTOS!$F$4:$F$63,MATCH($A371,PRODUTOS!$B$4:$B$63,0))="Ração",IF(INDEX(PRODUTOS!$I$4:$I$63,MATCH($A371,PRODUTOS!$B$4:$B$63,0))="B",INDEX(MODELOS!$G$4:$G$11,MATCH($D371,MODELOS!$A$4:$A$11,0)),INDEX(MODELOS!$C$4:$C$11,MATCH($D371,MODELOS!$A$4:$A$11,0))),IF(INDEX(PRODUTOS!$I$4:$I$63,MATCH($A371,PRODUTOS!$B$4:$B$63,0))="B",INDEX(MODELOS!$H$4:$H$11,MATCH($D371,MODELOS!$A$4:$A$11,0)),INDEX(MODELOS!$D$4:$D$11,MATCH($D371,MODELOS!$A$4:$A$11,0))))</f>
        <v>Produto na vertical, sem fundo colorido</v>
      </c>
      <c r="H371" s="11" t="str">
        <f aca="false">IF(INDEX(PRODUTOS!$I$4:$I$63,MATCH($A371,PRODUTOS!$B$4:$B$63,0))="B",INDEX(MODELOS!$I$4:$I$11,MATCH($D371,MODELOS!$A$4:$A$11,0)),INDEX(MODELOS!$E$4:$E$11,MATCH($D371,MODELOS!$A$4:$A$11,0)))</f>
        <v>150 × 300</v>
      </c>
      <c r="I371" s="11" t="str">
        <f aca="false">IF($D371="COMP","SIM",IF(INDEX(PRODUTOS!$J$4:$J$63,MATCH($A371,PRODUTOS!$B$4:$B$63,0))&lt;&gt;"","NÃO (usa o A+ do EAN "&amp;INDEX(PRODUTOS!$J$4:$J$63,MATCH($A371,PRODUTOS!$B$4:$B$63,0))&amp;")",IF(AND(INDEX(PRODUTOS!$I$4:$I$63,MATCH($A371,PRODUTOS!$B$4:$B$63,0))="B",$D371="AP07"),"NÃO (modelo B)","SIM")))</f>
        <v>SIM</v>
      </c>
      <c r="J371" s="13" t="s">
        <v>318</v>
      </c>
      <c r="K371" s="13"/>
    </row>
    <row r="372" customFormat="false" ht="15" hidden="false" customHeight="false" outlineLevel="0" collapsed="false">
      <c r="A372" s="15" t="s">
        <v>240</v>
      </c>
      <c r="B372" s="11" t="str">
        <f aca="false">INDEX(PRODUTOS!$E$4:$E$63,MATCH($A372,PRODUTOS!$B$4:$B$63,0))</f>
        <v>Nuggets Recheados Gatos New Dots Dental 40 g</v>
      </c>
      <c r="C372" s="11" t="str">
        <f aca="false">INDEX(PRODUTOS!$H$4:$H$63,MATCH($A372,PRODUTOS!$B$4:$B$63,0))</f>
        <v>40 g</v>
      </c>
      <c r="D372" s="11" t="s">
        <v>317</v>
      </c>
      <c r="E372" s="16" t="str">
        <f aca="false">$A372&amp;"."&amp;$D372&amp;".jpg"</f>
        <v>7908591300734.AP01.jpg</v>
      </c>
      <c r="F372" s="11" t="str">
        <f aca="false">IF(INDEX(PRODUTOS!$I$4:$I$63,MATCH($A372,PRODUTOS!$B$4:$B$63,0))="B",INDEX(MODELOS!$F$4:$F$11,MATCH($D372,MODELOS!$A$4:$A$11,0)),INDEX(MODELOS!$B$4:$B$11,MATCH($D372,MODELOS!$A$4:$A$11,0)))</f>
        <v>Módulo 1 · Banner</v>
      </c>
      <c r="G372" s="11" t="str">
        <f aca="false">IF(INDEX(PRODUTOS!$F$4:$F$63,MATCH($A372,PRODUTOS!$B$4:$B$63,0))="Ração",IF(INDEX(PRODUTOS!$I$4:$I$63,MATCH($A372,PRODUTOS!$B$4:$B$63,0))="B",INDEX(MODELOS!$G$4:$G$11,MATCH($D372,MODELOS!$A$4:$A$11,0)),INDEX(MODELOS!$C$4:$C$11,MATCH($D372,MODELOS!$A$4:$A$11,0))),IF(INDEX(PRODUTOS!$I$4:$I$63,MATCH($A372,PRODUTOS!$B$4:$B$63,0))="B",INDEX(MODELOS!$H$4:$H$11,MATCH($D372,MODELOS!$A$4:$A$11,0)),INDEX(MODELOS!$D$4:$D$11,MATCH($D372,MODELOS!$A$4:$A$11,0))))</f>
        <v>Produto + pet, com o nome da linha</v>
      </c>
      <c r="H372" s="11" t="str">
        <f aca="false">IF(INDEX(PRODUTOS!$I$4:$I$63,MATCH($A372,PRODUTOS!$B$4:$B$63,0))="B",INDEX(MODELOS!$I$4:$I$11,MATCH($D372,MODELOS!$A$4:$A$11,0)),INDEX(MODELOS!$E$4:$E$11,MATCH($D372,MODELOS!$A$4:$A$11,0)))</f>
        <v>970 × 600</v>
      </c>
      <c r="I372" s="11" t="str">
        <f aca="false">IF($D372="COMP","SIM",IF(INDEX(PRODUTOS!$J$4:$J$63,MATCH($A372,PRODUTOS!$B$4:$B$63,0))&lt;&gt;"","NÃO (usa o A+ do EAN "&amp;INDEX(PRODUTOS!$J$4:$J$63,MATCH($A372,PRODUTOS!$B$4:$B$63,0))&amp;")",IF(AND(INDEX(PRODUTOS!$I$4:$I$63,MATCH($A372,PRODUTOS!$B$4:$B$63,0))="B",$D372="AP07"),"NÃO (modelo B)","SIM")))</f>
        <v>SIM</v>
      </c>
      <c r="J372" s="13" t="s">
        <v>318</v>
      </c>
      <c r="K372" s="13"/>
    </row>
    <row r="373" customFormat="false" ht="15" hidden="false" customHeight="false" outlineLevel="0" collapsed="false">
      <c r="A373" s="15" t="s">
        <v>240</v>
      </c>
      <c r="B373" s="11" t="str">
        <f aca="false">INDEX(PRODUTOS!$E$4:$E$63,MATCH($A373,PRODUTOS!$B$4:$B$63,0))</f>
        <v>Nuggets Recheados Gatos New Dots Dental 40 g</v>
      </c>
      <c r="C373" s="11" t="str">
        <f aca="false">INDEX(PRODUTOS!$H$4:$H$63,MATCH($A373,PRODUTOS!$B$4:$B$63,0))</f>
        <v>40 g</v>
      </c>
      <c r="D373" s="11" t="s">
        <v>319</v>
      </c>
      <c r="E373" s="16" t="str">
        <f aca="false">$A373&amp;"."&amp;$D373&amp;".jpg"</f>
        <v>7908591300734.AP02.jpg</v>
      </c>
      <c r="F373" s="11" t="str">
        <f aca="false">IF(INDEX(PRODUTOS!$I$4:$I$63,MATCH($A373,PRODUTOS!$B$4:$B$63,0))="B",INDEX(MODELOS!$F$4:$F$11,MATCH($D373,MODELOS!$A$4:$A$11,0)),INDEX(MODELOS!$B$4:$B$11,MATCH($D373,MODELOS!$A$4:$A$11,0)))</f>
        <v>Módulo 2 · Texto sobreposto</v>
      </c>
      <c r="G373" s="11" t="str">
        <f aca="false">IF(INDEX(PRODUTOS!$F$4:$F$63,MATCH($A373,PRODUTOS!$B$4:$B$63,0))="Ração",IF(INDEX(PRODUTOS!$I$4:$I$63,MATCH($A373,PRODUTOS!$B$4:$B$63,0))="B",INDEX(MODELOS!$G$4:$G$11,MATCH($D373,MODELOS!$A$4:$A$11,0)),INDEX(MODELOS!$C$4:$C$11,MATCH($D373,MODELOS!$A$4:$A$11,0))),IF(INDEX(PRODUTOS!$I$4:$I$63,MATCH($A373,PRODUTOS!$B$4:$B$63,0))="B",INDEX(MODELOS!$H$4:$H$11,MATCH($D373,MODELOS!$A$4:$A$11,0)),INDEX(MODELOS!$D$4:$D$11,MATCH($D373,MODELOS!$A$4:$A$11,0))))</f>
        <v>Principal diferencial; deixar o lado direito limpo</v>
      </c>
      <c r="H373" s="11" t="str">
        <f aca="false">IF(INDEX(PRODUTOS!$I$4:$I$63,MATCH($A373,PRODUTOS!$B$4:$B$63,0))="B",INDEX(MODELOS!$I$4:$I$11,MATCH($D373,MODELOS!$A$4:$A$11,0)),INDEX(MODELOS!$E$4:$E$11,MATCH($D373,MODELOS!$A$4:$A$11,0)))</f>
        <v>970 × 300</v>
      </c>
      <c r="I373" s="11" t="str">
        <f aca="false">IF($D373="COMP","SIM",IF(INDEX(PRODUTOS!$J$4:$J$63,MATCH($A373,PRODUTOS!$B$4:$B$63,0))&lt;&gt;"","NÃO (usa o A+ do EAN "&amp;INDEX(PRODUTOS!$J$4:$J$63,MATCH($A373,PRODUTOS!$B$4:$B$63,0))&amp;")",IF(AND(INDEX(PRODUTOS!$I$4:$I$63,MATCH($A373,PRODUTOS!$B$4:$B$63,0))="B",$D373="AP07"),"NÃO (modelo B)","SIM")))</f>
        <v>SIM</v>
      </c>
      <c r="J373" s="13" t="s">
        <v>318</v>
      </c>
      <c r="K373" s="13"/>
    </row>
    <row r="374" customFormat="false" ht="15" hidden="false" customHeight="false" outlineLevel="0" collapsed="false">
      <c r="A374" s="15" t="s">
        <v>240</v>
      </c>
      <c r="B374" s="11" t="str">
        <f aca="false">INDEX(PRODUTOS!$E$4:$E$63,MATCH($A374,PRODUTOS!$B$4:$B$63,0))</f>
        <v>Nuggets Recheados Gatos New Dots Dental 40 g</v>
      </c>
      <c r="C374" s="11" t="str">
        <f aca="false">INDEX(PRODUTOS!$H$4:$H$63,MATCH($A374,PRODUTOS!$B$4:$B$63,0))</f>
        <v>40 g</v>
      </c>
      <c r="D374" s="11" t="s">
        <v>320</v>
      </c>
      <c r="E374" s="16" t="str">
        <f aca="false">$A374&amp;"."&amp;$D374&amp;".jpg"</f>
        <v>7908591300734.AP03.jpg</v>
      </c>
      <c r="F374" s="11" t="str">
        <f aca="false">IF(INDEX(PRODUTOS!$I$4:$I$63,MATCH($A374,PRODUTOS!$B$4:$B$63,0))="B",INDEX(MODELOS!$F$4:$F$11,MATCH($D374,MODELOS!$A$4:$A$11,0)),INDEX(MODELOS!$B$4:$B$11,MATCH($D374,MODELOS!$A$4:$A$11,0)))</f>
        <v>Módulo 3 · Benefício 1 de 4</v>
      </c>
      <c r="G374" s="11" t="str">
        <f aca="false">IF(INDEX(PRODUTOS!$F$4:$F$63,MATCH($A374,PRODUTOS!$B$4:$B$63,0))="Ração",IF(INDEX(PRODUTOS!$I$4:$I$63,MATCH($A374,PRODUTOS!$B$4:$B$63,0))="B",INDEX(MODELOS!$G$4:$G$11,MATCH($D374,MODELOS!$A$4:$A$11,0)),INDEX(MODELOS!$C$4:$C$11,MATCH($D374,MODELOS!$A$4:$A$11,0))),IF(INDEX(PRODUTOS!$I$4:$I$63,MATCH($A374,PRODUTOS!$B$4:$B$63,0))="B",INDEX(MODELOS!$H$4:$H$11,MATCH($D374,MODELOS!$A$4:$A$11,0)),INDEX(MODELOS!$D$4:$D$11,MATCH($D374,MODELOS!$A$4:$A$11,0))))</f>
        <v>Foto/ilustração do benefício 1</v>
      </c>
      <c r="H374" s="11" t="str">
        <f aca="false">IF(INDEX(PRODUTOS!$I$4:$I$63,MATCH($A374,PRODUTOS!$B$4:$B$63,0))="B",INDEX(MODELOS!$I$4:$I$11,MATCH($D374,MODELOS!$A$4:$A$11,0)),INDEX(MODELOS!$E$4:$E$11,MATCH($D374,MODELOS!$A$4:$A$11,0)))</f>
        <v>220 × 200</v>
      </c>
      <c r="I374" s="11" t="str">
        <f aca="false">IF($D374="COMP","SIM",IF(INDEX(PRODUTOS!$J$4:$J$63,MATCH($A374,PRODUTOS!$B$4:$B$63,0))&lt;&gt;"","NÃO (usa o A+ do EAN "&amp;INDEX(PRODUTOS!$J$4:$J$63,MATCH($A374,PRODUTOS!$B$4:$B$63,0))&amp;")",IF(AND(INDEX(PRODUTOS!$I$4:$I$63,MATCH($A374,PRODUTOS!$B$4:$B$63,0))="B",$D374="AP07"),"NÃO (modelo B)","SIM")))</f>
        <v>SIM</v>
      </c>
      <c r="J374" s="13" t="s">
        <v>318</v>
      </c>
      <c r="K374" s="13"/>
    </row>
    <row r="375" customFormat="false" ht="15" hidden="false" customHeight="false" outlineLevel="0" collapsed="false">
      <c r="A375" s="15" t="s">
        <v>240</v>
      </c>
      <c r="B375" s="11" t="str">
        <f aca="false">INDEX(PRODUTOS!$E$4:$E$63,MATCH($A375,PRODUTOS!$B$4:$B$63,0))</f>
        <v>Nuggets Recheados Gatos New Dots Dental 40 g</v>
      </c>
      <c r="C375" s="11" t="str">
        <f aca="false">INDEX(PRODUTOS!$H$4:$H$63,MATCH($A375,PRODUTOS!$B$4:$B$63,0))</f>
        <v>40 g</v>
      </c>
      <c r="D375" s="11" t="s">
        <v>321</v>
      </c>
      <c r="E375" s="16" t="str">
        <f aca="false">$A375&amp;"."&amp;$D375&amp;".jpg"</f>
        <v>7908591300734.AP04.jpg</v>
      </c>
      <c r="F375" s="11" t="str">
        <f aca="false">IF(INDEX(PRODUTOS!$I$4:$I$63,MATCH($A375,PRODUTOS!$B$4:$B$63,0))="B",INDEX(MODELOS!$F$4:$F$11,MATCH($D375,MODELOS!$A$4:$A$11,0)),INDEX(MODELOS!$B$4:$B$11,MATCH($D375,MODELOS!$A$4:$A$11,0)))</f>
        <v>Módulo 3 · Benefício 2 de 4</v>
      </c>
      <c r="G375" s="11" t="str">
        <f aca="false">IF(INDEX(PRODUTOS!$F$4:$F$63,MATCH($A375,PRODUTOS!$B$4:$B$63,0))="Ração",IF(INDEX(PRODUTOS!$I$4:$I$63,MATCH($A375,PRODUTOS!$B$4:$B$63,0))="B",INDEX(MODELOS!$G$4:$G$11,MATCH($D375,MODELOS!$A$4:$A$11,0)),INDEX(MODELOS!$C$4:$C$11,MATCH($D375,MODELOS!$A$4:$A$11,0))),IF(INDEX(PRODUTOS!$I$4:$I$63,MATCH($A375,PRODUTOS!$B$4:$B$63,0))="B",INDEX(MODELOS!$H$4:$H$11,MATCH($D375,MODELOS!$A$4:$A$11,0)),INDEX(MODELOS!$D$4:$D$11,MATCH($D375,MODELOS!$A$4:$A$11,0))))</f>
        <v>Foto/ilustração do benefício 2</v>
      </c>
      <c r="H375" s="11" t="str">
        <f aca="false">IF(INDEX(PRODUTOS!$I$4:$I$63,MATCH($A375,PRODUTOS!$B$4:$B$63,0))="B",INDEX(MODELOS!$I$4:$I$11,MATCH($D375,MODELOS!$A$4:$A$11,0)),INDEX(MODELOS!$E$4:$E$11,MATCH($D375,MODELOS!$A$4:$A$11,0)))</f>
        <v>220 × 200</v>
      </c>
      <c r="I375" s="11" t="str">
        <f aca="false">IF($D375="COMP","SIM",IF(INDEX(PRODUTOS!$J$4:$J$63,MATCH($A375,PRODUTOS!$B$4:$B$63,0))&lt;&gt;"","NÃO (usa o A+ do EAN "&amp;INDEX(PRODUTOS!$J$4:$J$63,MATCH($A375,PRODUTOS!$B$4:$B$63,0))&amp;")",IF(AND(INDEX(PRODUTOS!$I$4:$I$63,MATCH($A375,PRODUTOS!$B$4:$B$63,0))="B",$D375="AP07"),"NÃO (modelo B)","SIM")))</f>
        <v>SIM</v>
      </c>
      <c r="J375" s="13" t="s">
        <v>318</v>
      </c>
      <c r="K375" s="13"/>
    </row>
    <row r="376" customFormat="false" ht="15" hidden="false" customHeight="false" outlineLevel="0" collapsed="false">
      <c r="A376" s="15" t="s">
        <v>240</v>
      </c>
      <c r="B376" s="11" t="str">
        <f aca="false">INDEX(PRODUTOS!$E$4:$E$63,MATCH($A376,PRODUTOS!$B$4:$B$63,0))</f>
        <v>Nuggets Recheados Gatos New Dots Dental 40 g</v>
      </c>
      <c r="C376" s="11" t="str">
        <f aca="false">INDEX(PRODUTOS!$H$4:$H$63,MATCH($A376,PRODUTOS!$B$4:$B$63,0))</f>
        <v>40 g</v>
      </c>
      <c r="D376" s="11" t="s">
        <v>322</v>
      </c>
      <c r="E376" s="16" t="str">
        <f aca="false">$A376&amp;"."&amp;$D376&amp;".jpg"</f>
        <v>7908591300734.AP05.jpg</v>
      </c>
      <c r="F376" s="11" t="str">
        <f aca="false">IF(INDEX(PRODUTOS!$I$4:$I$63,MATCH($A376,PRODUTOS!$B$4:$B$63,0))="B",INDEX(MODELOS!$F$4:$F$11,MATCH($D376,MODELOS!$A$4:$A$11,0)),INDEX(MODELOS!$B$4:$B$11,MATCH($D376,MODELOS!$A$4:$A$11,0)))</f>
        <v>Módulo 3 · Benefício 3 de 4</v>
      </c>
      <c r="G376" s="11" t="str">
        <f aca="false">IF(INDEX(PRODUTOS!$F$4:$F$63,MATCH($A376,PRODUTOS!$B$4:$B$63,0))="Ração",IF(INDEX(PRODUTOS!$I$4:$I$63,MATCH($A376,PRODUTOS!$B$4:$B$63,0))="B",INDEX(MODELOS!$G$4:$G$11,MATCH($D376,MODELOS!$A$4:$A$11,0)),INDEX(MODELOS!$C$4:$C$11,MATCH($D376,MODELOS!$A$4:$A$11,0))),IF(INDEX(PRODUTOS!$I$4:$I$63,MATCH($A376,PRODUTOS!$B$4:$B$63,0))="B",INDEX(MODELOS!$H$4:$H$11,MATCH($D376,MODELOS!$A$4:$A$11,0)),INDEX(MODELOS!$D$4:$D$11,MATCH($D376,MODELOS!$A$4:$A$11,0))))</f>
        <v>Foto/ilustração do benefício 3</v>
      </c>
      <c r="H376" s="11" t="str">
        <f aca="false">IF(INDEX(PRODUTOS!$I$4:$I$63,MATCH($A376,PRODUTOS!$B$4:$B$63,0))="B",INDEX(MODELOS!$I$4:$I$11,MATCH($D376,MODELOS!$A$4:$A$11,0)),INDEX(MODELOS!$E$4:$E$11,MATCH($D376,MODELOS!$A$4:$A$11,0)))</f>
        <v>220 × 200</v>
      </c>
      <c r="I376" s="11" t="str">
        <f aca="false">IF($D376="COMP","SIM",IF(INDEX(PRODUTOS!$J$4:$J$63,MATCH($A376,PRODUTOS!$B$4:$B$63,0))&lt;&gt;"","NÃO (usa o A+ do EAN "&amp;INDEX(PRODUTOS!$J$4:$J$63,MATCH($A376,PRODUTOS!$B$4:$B$63,0))&amp;")",IF(AND(INDEX(PRODUTOS!$I$4:$I$63,MATCH($A376,PRODUTOS!$B$4:$B$63,0))="B",$D376="AP07"),"NÃO (modelo B)","SIM")))</f>
        <v>SIM</v>
      </c>
      <c r="J376" s="13" t="s">
        <v>318</v>
      </c>
      <c r="K376" s="13"/>
    </row>
    <row r="377" customFormat="false" ht="15" hidden="false" customHeight="false" outlineLevel="0" collapsed="false">
      <c r="A377" s="15" t="s">
        <v>240</v>
      </c>
      <c r="B377" s="11" t="str">
        <f aca="false">INDEX(PRODUTOS!$E$4:$E$63,MATCH($A377,PRODUTOS!$B$4:$B$63,0))</f>
        <v>Nuggets Recheados Gatos New Dots Dental 40 g</v>
      </c>
      <c r="C377" s="11" t="str">
        <f aca="false">INDEX(PRODUTOS!$H$4:$H$63,MATCH($A377,PRODUTOS!$B$4:$B$63,0))</f>
        <v>40 g</v>
      </c>
      <c r="D377" s="11" t="s">
        <v>323</v>
      </c>
      <c r="E377" s="16" t="str">
        <f aca="false">$A377&amp;"."&amp;$D377&amp;".jpg"</f>
        <v>7908591300734.AP06.jpg</v>
      </c>
      <c r="F377" s="11" t="str">
        <f aca="false">IF(INDEX(PRODUTOS!$I$4:$I$63,MATCH($A377,PRODUTOS!$B$4:$B$63,0))="B",INDEX(MODELOS!$F$4:$F$11,MATCH($D377,MODELOS!$A$4:$A$11,0)),INDEX(MODELOS!$B$4:$B$11,MATCH($D377,MODELOS!$A$4:$A$11,0)))</f>
        <v>Módulo 3 · Benefício 4 de 4</v>
      </c>
      <c r="G377" s="11" t="str">
        <f aca="false">IF(INDEX(PRODUTOS!$F$4:$F$63,MATCH($A377,PRODUTOS!$B$4:$B$63,0))="Ração",IF(INDEX(PRODUTOS!$I$4:$I$63,MATCH($A377,PRODUTOS!$B$4:$B$63,0))="B",INDEX(MODELOS!$G$4:$G$11,MATCH($D377,MODELOS!$A$4:$A$11,0)),INDEX(MODELOS!$C$4:$C$11,MATCH($D377,MODELOS!$A$4:$A$11,0))),IF(INDEX(PRODUTOS!$I$4:$I$63,MATCH($A377,PRODUTOS!$B$4:$B$63,0))="B",INDEX(MODELOS!$H$4:$H$11,MATCH($D377,MODELOS!$A$4:$A$11,0)),INDEX(MODELOS!$D$4:$D$11,MATCH($D377,MODELOS!$A$4:$A$11,0))))</f>
        <v>Foto/ilustração do benefício 4</v>
      </c>
      <c r="H377" s="11" t="str">
        <f aca="false">IF(INDEX(PRODUTOS!$I$4:$I$63,MATCH($A377,PRODUTOS!$B$4:$B$63,0))="B",INDEX(MODELOS!$I$4:$I$11,MATCH($D377,MODELOS!$A$4:$A$11,0)),INDEX(MODELOS!$E$4:$E$11,MATCH($D377,MODELOS!$A$4:$A$11,0)))</f>
        <v>220 × 200</v>
      </c>
      <c r="I377" s="11" t="str">
        <f aca="false">IF($D377="COMP","SIM",IF(INDEX(PRODUTOS!$J$4:$J$63,MATCH($A377,PRODUTOS!$B$4:$B$63,0))&lt;&gt;"","NÃO (usa o A+ do EAN "&amp;INDEX(PRODUTOS!$J$4:$J$63,MATCH($A377,PRODUTOS!$B$4:$B$63,0))&amp;")",IF(AND(INDEX(PRODUTOS!$I$4:$I$63,MATCH($A377,PRODUTOS!$B$4:$B$63,0))="B",$D377="AP07"),"NÃO (modelo B)","SIM")))</f>
        <v>SIM</v>
      </c>
      <c r="J377" s="13" t="s">
        <v>318</v>
      </c>
      <c r="K377" s="13"/>
    </row>
    <row r="378" customFormat="false" ht="15" hidden="false" customHeight="false" outlineLevel="0" collapsed="false">
      <c r="A378" s="15" t="s">
        <v>240</v>
      </c>
      <c r="B378" s="11" t="str">
        <f aca="false">INDEX(PRODUTOS!$E$4:$E$63,MATCH($A378,PRODUTOS!$B$4:$B$63,0))</f>
        <v>Nuggets Recheados Gatos New Dots Dental 40 g</v>
      </c>
      <c r="C378" s="11" t="str">
        <f aca="false">INDEX(PRODUTOS!$H$4:$H$63,MATCH($A378,PRODUTOS!$B$4:$B$63,0))</f>
        <v>40 g</v>
      </c>
      <c r="D378" s="11" t="s">
        <v>324</v>
      </c>
      <c r="E378" s="16" t="str">
        <f aca="false">$A378&amp;"."&amp;$D378&amp;".jpg"</f>
        <v>7908591300734.AP07.jpg</v>
      </c>
      <c r="F378" s="11" t="str">
        <f aca="false">IF(INDEX(PRODUTOS!$I$4:$I$63,MATCH($A378,PRODUTOS!$B$4:$B$63,0))="B",INDEX(MODELOS!$F$4:$F$11,MATCH($D378,MODELOS!$A$4:$A$11,0)),INDEX(MODELOS!$B$4:$B$11,MATCH($D378,MODELOS!$A$4:$A$11,0)))</f>
        <v>Módulo 4 · Especificações</v>
      </c>
      <c r="G378" s="11" t="str">
        <f aca="false">IF(INDEX(PRODUTOS!$F$4:$F$63,MATCH($A378,PRODUTOS!$B$4:$B$63,0))="Ração",IF(INDEX(PRODUTOS!$I$4:$I$63,MATCH($A378,PRODUTOS!$B$4:$B$63,0))="B",INDEX(MODELOS!$G$4:$G$11,MATCH($D378,MODELOS!$A$4:$A$11,0)),INDEX(MODELOS!$C$4:$C$11,MATCH($D378,MODELOS!$A$4:$A$11,0))),IF(INDEX(PRODUTOS!$I$4:$I$63,MATCH($A378,PRODUTOS!$B$4:$B$63,0))="B",INDEX(MODELOS!$H$4:$H$11,MATCH($D378,MODELOS!$A$4:$A$11,0)),INDEX(MODELOS!$D$4:$D$11,MATCH($D378,MODELOS!$A$4:$A$11,0))))</f>
        <v>Produto em destaque</v>
      </c>
      <c r="H378" s="11" t="str">
        <f aca="false">IF(INDEX(PRODUTOS!$I$4:$I$63,MATCH($A378,PRODUTOS!$B$4:$B$63,0))="B",INDEX(MODELOS!$I$4:$I$11,MATCH($D378,MODELOS!$A$4:$A$11,0)),INDEX(MODELOS!$E$4:$E$11,MATCH($D378,MODELOS!$A$4:$A$11,0)))</f>
        <v>300 × 300</v>
      </c>
      <c r="I378" s="11" t="str">
        <f aca="false">IF($D378="COMP","SIM",IF(INDEX(PRODUTOS!$J$4:$J$63,MATCH($A378,PRODUTOS!$B$4:$B$63,0))&lt;&gt;"","NÃO (usa o A+ do EAN "&amp;INDEX(PRODUTOS!$J$4:$J$63,MATCH($A378,PRODUTOS!$B$4:$B$63,0))&amp;")",IF(AND(INDEX(PRODUTOS!$I$4:$I$63,MATCH($A378,PRODUTOS!$B$4:$B$63,0))="B",$D378="AP07"),"NÃO (modelo B)","SIM")))</f>
        <v>SIM</v>
      </c>
      <c r="J378" s="13" t="s">
        <v>318</v>
      </c>
      <c r="K378" s="13"/>
    </row>
    <row r="379" customFormat="false" ht="15" hidden="false" customHeight="false" outlineLevel="0" collapsed="false">
      <c r="A379" s="15" t="s">
        <v>240</v>
      </c>
      <c r="B379" s="11" t="str">
        <f aca="false">INDEX(PRODUTOS!$E$4:$E$63,MATCH($A379,PRODUTOS!$B$4:$B$63,0))</f>
        <v>Nuggets Recheados Gatos New Dots Dental 40 g</v>
      </c>
      <c r="C379" s="11" t="str">
        <f aca="false">INDEX(PRODUTOS!$H$4:$H$63,MATCH($A379,PRODUTOS!$B$4:$B$63,0))</f>
        <v>40 g</v>
      </c>
      <c r="D379" s="11" t="s">
        <v>325</v>
      </c>
      <c r="E379" s="16" t="str">
        <f aca="false">$A379&amp;"."&amp;$D379&amp;".jpg"</f>
        <v>7908591300734.COMP.jpg</v>
      </c>
      <c r="F379" s="11" t="str">
        <f aca="false">IF(INDEX(PRODUTOS!$I$4:$I$63,MATCH($A379,PRODUTOS!$B$4:$B$63,0))="B",INDEX(MODELOS!$F$4:$F$11,MATCH($D379,MODELOS!$A$4:$A$11,0)),INDEX(MODELOS!$B$4:$B$11,MATCH($D379,MODELOS!$A$4:$A$11,0)))</f>
        <v>Módulo 5 · Tabela comparativa</v>
      </c>
      <c r="G379" s="11" t="str">
        <f aca="false">IF(INDEX(PRODUTOS!$F$4:$F$63,MATCH($A379,PRODUTOS!$B$4:$B$63,0))="Ração",IF(INDEX(PRODUTOS!$I$4:$I$63,MATCH($A379,PRODUTOS!$B$4:$B$63,0))="B",INDEX(MODELOS!$G$4:$G$11,MATCH($D379,MODELOS!$A$4:$A$11,0)),INDEX(MODELOS!$C$4:$C$11,MATCH($D379,MODELOS!$A$4:$A$11,0))),IF(INDEX(PRODUTOS!$I$4:$I$63,MATCH($A379,PRODUTOS!$B$4:$B$63,0))="B",INDEX(MODELOS!$H$4:$H$11,MATCH($D379,MODELOS!$A$4:$A$11,0)),INDEX(MODELOS!$D$4:$D$11,MATCH($D379,MODELOS!$A$4:$A$11,0))))</f>
        <v>Produto na vertical, sem fundo colorido</v>
      </c>
      <c r="H379" s="11" t="str">
        <f aca="false">IF(INDEX(PRODUTOS!$I$4:$I$63,MATCH($A379,PRODUTOS!$B$4:$B$63,0))="B",INDEX(MODELOS!$I$4:$I$11,MATCH($D379,MODELOS!$A$4:$A$11,0)),INDEX(MODELOS!$E$4:$E$11,MATCH($D379,MODELOS!$A$4:$A$11,0)))</f>
        <v>150 × 300</v>
      </c>
      <c r="I379" s="11" t="str">
        <f aca="false">IF($D379="COMP","SIM",IF(INDEX(PRODUTOS!$J$4:$J$63,MATCH($A379,PRODUTOS!$B$4:$B$63,0))&lt;&gt;"","NÃO (usa o A+ do EAN "&amp;INDEX(PRODUTOS!$J$4:$J$63,MATCH($A379,PRODUTOS!$B$4:$B$63,0))&amp;")",IF(AND(INDEX(PRODUTOS!$I$4:$I$63,MATCH($A379,PRODUTOS!$B$4:$B$63,0))="B",$D379="AP07"),"NÃO (modelo B)","SIM")))</f>
        <v>SIM</v>
      </c>
      <c r="J379" s="13" t="s">
        <v>318</v>
      </c>
      <c r="K379" s="13"/>
    </row>
    <row r="380" customFormat="false" ht="15" hidden="false" customHeight="false" outlineLevel="0" collapsed="false">
      <c r="A380" s="15" t="s">
        <v>244</v>
      </c>
      <c r="B380" s="11" t="str">
        <f aca="false">INDEX(PRODUTOS!$E$4:$E$63,MATCH($A380,PRODUTOS!$B$4:$B$63,0))</f>
        <v>Palito 8 “ Rígido Natural Dots Encartelado 10 un</v>
      </c>
      <c r="C380" s="11" t="str">
        <f aca="false">INDEX(PRODUTOS!$H$4:$H$63,MATCH($A380,PRODUTOS!$B$4:$B$63,0))</f>
        <v>10 un.</v>
      </c>
      <c r="D380" s="11" t="s">
        <v>317</v>
      </c>
      <c r="E380" s="16" t="str">
        <f aca="false">$A380&amp;"."&amp;$D380&amp;".jpg"</f>
        <v>17908591301158.AP01.jpg</v>
      </c>
      <c r="F380" s="11" t="str">
        <f aca="false">IF(INDEX(PRODUTOS!$I$4:$I$63,MATCH($A380,PRODUTOS!$B$4:$B$63,0))="B",INDEX(MODELOS!$F$4:$F$11,MATCH($D380,MODELOS!$A$4:$A$11,0)),INDEX(MODELOS!$B$4:$B$11,MATCH($D380,MODELOS!$A$4:$A$11,0)))</f>
        <v>Módulo 1 · Banner</v>
      </c>
      <c r="G380" s="11" t="str">
        <f aca="false">IF(INDEX(PRODUTOS!$F$4:$F$63,MATCH($A380,PRODUTOS!$B$4:$B$63,0))="Ração",IF(INDEX(PRODUTOS!$I$4:$I$63,MATCH($A380,PRODUTOS!$B$4:$B$63,0))="B",INDEX(MODELOS!$G$4:$G$11,MATCH($D380,MODELOS!$A$4:$A$11,0)),INDEX(MODELOS!$C$4:$C$11,MATCH($D380,MODELOS!$A$4:$A$11,0))),IF(INDEX(PRODUTOS!$I$4:$I$63,MATCH($A380,PRODUTOS!$B$4:$B$63,0))="B",INDEX(MODELOS!$H$4:$H$11,MATCH($D380,MODELOS!$A$4:$A$11,0)),INDEX(MODELOS!$D$4:$D$11,MATCH($D380,MODELOS!$A$4:$A$11,0))))</f>
        <v>Produto + pet, com o nome da linha</v>
      </c>
      <c r="H380" s="11" t="str">
        <f aca="false">IF(INDEX(PRODUTOS!$I$4:$I$63,MATCH($A380,PRODUTOS!$B$4:$B$63,0))="B",INDEX(MODELOS!$I$4:$I$11,MATCH($D380,MODELOS!$A$4:$A$11,0)),INDEX(MODELOS!$E$4:$E$11,MATCH($D380,MODELOS!$A$4:$A$11,0)))</f>
        <v>970 × 600</v>
      </c>
      <c r="I380" s="11" t="str">
        <f aca="false">IF($D380="COMP","SIM",IF(INDEX(PRODUTOS!$J$4:$J$63,MATCH($A380,PRODUTOS!$B$4:$B$63,0))&lt;&gt;"","NÃO (usa o A+ do EAN "&amp;INDEX(PRODUTOS!$J$4:$J$63,MATCH($A380,PRODUTOS!$B$4:$B$63,0))&amp;")",IF(AND(INDEX(PRODUTOS!$I$4:$I$63,MATCH($A380,PRODUTOS!$B$4:$B$63,0))="B",$D380="AP07"),"NÃO (modelo B)","SIM")))</f>
        <v>SIM</v>
      </c>
      <c r="J380" s="13" t="s">
        <v>318</v>
      </c>
      <c r="K380" s="13"/>
    </row>
    <row r="381" customFormat="false" ht="15" hidden="false" customHeight="false" outlineLevel="0" collapsed="false">
      <c r="A381" s="15" t="s">
        <v>244</v>
      </c>
      <c r="B381" s="11" t="str">
        <f aca="false">INDEX(PRODUTOS!$E$4:$E$63,MATCH($A381,PRODUTOS!$B$4:$B$63,0))</f>
        <v>Palito 8 “ Rígido Natural Dots Encartelado 10 un</v>
      </c>
      <c r="C381" s="11" t="str">
        <f aca="false">INDEX(PRODUTOS!$H$4:$H$63,MATCH($A381,PRODUTOS!$B$4:$B$63,0))</f>
        <v>10 un.</v>
      </c>
      <c r="D381" s="11" t="s">
        <v>319</v>
      </c>
      <c r="E381" s="16" t="str">
        <f aca="false">$A381&amp;"."&amp;$D381&amp;".jpg"</f>
        <v>17908591301158.AP02.jpg</v>
      </c>
      <c r="F381" s="11" t="str">
        <f aca="false">IF(INDEX(PRODUTOS!$I$4:$I$63,MATCH($A381,PRODUTOS!$B$4:$B$63,0))="B",INDEX(MODELOS!$F$4:$F$11,MATCH($D381,MODELOS!$A$4:$A$11,0)),INDEX(MODELOS!$B$4:$B$11,MATCH($D381,MODELOS!$A$4:$A$11,0)))</f>
        <v>Módulo 2 · Texto sobreposto</v>
      </c>
      <c r="G381" s="11" t="str">
        <f aca="false">IF(INDEX(PRODUTOS!$F$4:$F$63,MATCH($A381,PRODUTOS!$B$4:$B$63,0))="Ração",IF(INDEX(PRODUTOS!$I$4:$I$63,MATCH($A381,PRODUTOS!$B$4:$B$63,0))="B",INDEX(MODELOS!$G$4:$G$11,MATCH($D381,MODELOS!$A$4:$A$11,0)),INDEX(MODELOS!$C$4:$C$11,MATCH($D381,MODELOS!$A$4:$A$11,0))),IF(INDEX(PRODUTOS!$I$4:$I$63,MATCH($A381,PRODUTOS!$B$4:$B$63,0))="B",INDEX(MODELOS!$H$4:$H$11,MATCH($D381,MODELOS!$A$4:$A$11,0)),INDEX(MODELOS!$D$4:$D$11,MATCH($D381,MODELOS!$A$4:$A$11,0))))</f>
        <v>Principal diferencial; deixar o lado direito limpo</v>
      </c>
      <c r="H381" s="11" t="str">
        <f aca="false">IF(INDEX(PRODUTOS!$I$4:$I$63,MATCH($A381,PRODUTOS!$B$4:$B$63,0))="B",INDEX(MODELOS!$I$4:$I$11,MATCH($D381,MODELOS!$A$4:$A$11,0)),INDEX(MODELOS!$E$4:$E$11,MATCH($D381,MODELOS!$A$4:$A$11,0)))</f>
        <v>970 × 300</v>
      </c>
      <c r="I381" s="11" t="str">
        <f aca="false">IF($D381="COMP","SIM",IF(INDEX(PRODUTOS!$J$4:$J$63,MATCH($A381,PRODUTOS!$B$4:$B$63,0))&lt;&gt;"","NÃO (usa o A+ do EAN "&amp;INDEX(PRODUTOS!$J$4:$J$63,MATCH($A381,PRODUTOS!$B$4:$B$63,0))&amp;")",IF(AND(INDEX(PRODUTOS!$I$4:$I$63,MATCH($A381,PRODUTOS!$B$4:$B$63,0))="B",$D381="AP07"),"NÃO (modelo B)","SIM")))</f>
        <v>SIM</v>
      </c>
      <c r="J381" s="13" t="s">
        <v>318</v>
      </c>
      <c r="K381" s="13"/>
    </row>
    <row r="382" customFormat="false" ht="15" hidden="false" customHeight="false" outlineLevel="0" collapsed="false">
      <c r="A382" s="15" t="s">
        <v>244</v>
      </c>
      <c r="B382" s="11" t="str">
        <f aca="false">INDEX(PRODUTOS!$E$4:$E$63,MATCH($A382,PRODUTOS!$B$4:$B$63,0))</f>
        <v>Palito 8 “ Rígido Natural Dots Encartelado 10 un</v>
      </c>
      <c r="C382" s="11" t="str">
        <f aca="false">INDEX(PRODUTOS!$H$4:$H$63,MATCH($A382,PRODUTOS!$B$4:$B$63,0))</f>
        <v>10 un.</v>
      </c>
      <c r="D382" s="11" t="s">
        <v>320</v>
      </c>
      <c r="E382" s="16" t="str">
        <f aca="false">$A382&amp;"."&amp;$D382&amp;".jpg"</f>
        <v>17908591301158.AP03.jpg</v>
      </c>
      <c r="F382" s="11" t="str">
        <f aca="false">IF(INDEX(PRODUTOS!$I$4:$I$63,MATCH($A382,PRODUTOS!$B$4:$B$63,0))="B",INDEX(MODELOS!$F$4:$F$11,MATCH($D382,MODELOS!$A$4:$A$11,0)),INDEX(MODELOS!$B$4:$B$11,MATCH($D382,MODELOS!$A$4:$A$11,0)))</f>
        <v>Módulo 3 · Benefício 1 de 4</v>
      </c>
      <c r="G382" s="11" t="str">
        <f aca="false">IF(INDEX(PRODUTOS!$F$4:$F$63,MATCH($A382,PRODUTOS!$B$4:$B$63,0))="Ração",IF(INDEX(PRODUTOS!$I$4:$I$63,MATCH($A382,PRODUTOS!$B$4:$B$63,0))="B",INDEX(MODELOS!$G$4:$G$11,MATCH($D382,MODELOS!$A$4:$A$11,0)),INDEX(MODELOS!$C$4:$C$11,MATCH($D382,MODELOS!$A$4:$A$11,0))),IF(INDEX(PRODUTOS!$I$4:$I$63,MATCH($A382,PRODUTOS!$B$4:$B$63,0))="B",INDEX(MODELOS!$H$4:$H$11,MATCH($D382,MODELOS!$A$4:$A$11,0)),INDEX(MODELOS!$D$4:$D$11,MATCH($D382,MODELOS!$A$4:$A$11,0))))</f>
        <v>Foto/ilustração do benefício 1</v>
      </c>
      <c r="H382" s="11" t="str">
        <f aca="false">IF(INDEX(PRODUTOS!$I$4:$I$63,MATCH($A382,PRODUTOS!$B$4:$B$63,0))="B",INDEX(MODELOS!$I$4:$I$11,MATCH($D382,MODELOS!$A$4:$A$11,0)),INDEX(MODELOS!$E$4:$E$11,MATCH($D382,MODELOS!$A$4:$A$11,0)))</f>
        <v>220 × 200</v>
      </c>
      <c r="I382" s="11" t="str">
        <f aca="false">IF($D382="COMP","SIM",IF(INDEX(PRODUTOS!$J$4:$J$63,MATCH($A382,PRODUTOS!$B$4:$B$63,0))&lt;&gt;"","NÃO (usa o A+ do EAN "&amp;INDEX(PRODUTOS!$J$4:$J$63,MATCH($A382,PRODUTOS!$B$4:$B$63,0))&amp;")",IF(AND(INDEX(PRODUTOS!$I$4:$I$63,MATCH($A382,PRODUTOS!$B$4:$B$63,0))="B",$D382="AP07"),"NÃO (modelo B)","SIM")))</f>
        <v>SIM</v>
      </c>
      <c r="J382" s="13" t="s">
        <v>318</v>
      </c>
      <c r="K382" s="13"/>
    </row>
    <row r="383" customFormat="false" ht="15" hidden="false" customHeight="false" outlineLevel="0" collapsed="false">
      <c r="A383" s="15" t="s">
        <v>244</v>
      </c>
      <c r="B383" s="11" t="str">
        <f aca="false">INDEX(PRODUTOS!$E$4:$E$63,MATCH($A383,PRODUTOS!$B$4:$B$63,0))</f>
        <v>Palito 8 “ Rígido Natural Dots Encartelado 10 un</v>
      </c>
      <c r="C383" s="11" t="str">
        <f aca="false">INDEX(PRODUTOS!$H$4:$H$63,MATCH($A383,PRODUTOS!$B$4:$B$63,0))</f>
        <v>10 un.</v>
      </c>
      <c r="D383" s="11" t="s">
        <v>321</v>
      </c>
      <c r="E383" s="16" t="str">
        <f aca="false">$A383&amp;"."&amp;$D383&amp;".jpg"</f>
        <v>17908591301158.AP04.jpg</v>
      </c>
      <c r="F383" s="11" t="str">
        <f aca="false">IF(INDEX(PRODUTOS!$I$4:$I$63,MATCH($A383,PRODUTOS!$B$4:$B$63,0))="B",INDEX(MODELOS!$F$4:$F$11,MATCH($D383,MODELOS!$A$4:$A$11,0)),INDEX(MODELOS!$B$4:$B$11,MATCH($D383,MODELOS!$A$4:$A$11,0)))</f>
        <v>Módulo 3 · Benefício 2 de 4</v>
      </c>
      <c r="G383" s="11" t="str">
        <f aca="false">IF(INDEX(PRODUTOS!$F$4:$F$63,MATCH($A383,PRODUTOS!$B$4:$B$63,0))="Ração",IF(INDEX(PRODUTOS!$I$4:$I$63,MATCH($A383,PRODUTOS!$B$4:$B$63,0))="B",INDEX(MODELOS!$G$4:$G$11,MATCH($D383,MODELOS!$A$4:$A$11,0)),INDEX(MODELOS!$C$4:$C$11,MATCH($D383,MODELOS!$A$4:$A$11,0))),IF(INDEX(PRODUTOS!$I$4:$I$63,MATCH($A383,PRODUTOS!$B$4:$B$63,0))="B",INDEX(MODELOS!$H$4:$H$11,MATCH($D383,MODELOS!$A$4:$A$11,0)),INDEX(MODELOS!$D$4:$D$11,MATCH($D383,MODELOS!$A$4:$A$11,0))))</f>
        <v>Foto/ilustração do benefício 2</v>
      </c>
      <c r="H383" s="11" t="str">
        <f aca="false">IF(INDEX(PRODUTOS!$I$4:$I$63,MATCH($A383,PRODUTOS!$B$4:$B$63,0))="B",INDEX(MODELOS!$I$4:$I$11,MATCH($D383,MODELOS!$A$4:$A$11,0)),INDEX(MODELOS!$E$4:$E$11,MATCH($D383,MODELOS!$A$4:$A$11,0)))</f>
        <v>220 × 200</v>
      </c>
      <c r="I383" s="11" t="str">
        <f aca="false">IF($D383="COMP","SIM",IF(INDEX(PRODUTOS!$J$4:$J$63,MATCH($A383,PRODUTOS!$B$4:$B$63,0))&lt;&gt;"","NÃO (usa o A+ do EAN "&amp;INDEX(PRODUTOS!$J$4:$J$63,MATCH($A383,PRODUTOS!$B$4:$B$63,0))&amp;")",IF(AND(INDEX(PRODUTOS!$I$4:$I$63,MATCH($A383,PRODUTOS!$B$4:$B$63,0))="B",$D383="AP07"),"NÃO (modelo B)","SIM")))</f>
        <v>SIM</v>
      </c>
      <c r="J383" s="13" t="s">
        <v>318</v>
      </c>
      <c r="K383" s="13"/>
    </row>
    <row r="384" customFormat="false" ht="15" hidden="false" customHeight="false" outlineLevel="0" collapsed="false">
      <c r="A384" s="15" t="s">
        <v>244</v>
      </c>
      <c r="B384" s="11" t="str">
        <f aca="false">INDEX(PRODUTOS!$E$4:$E$63,MATCH($A384,PRODUTOS!$B$4:$B$63,0))</f>
        <v>Palito 8 “ Rígido Natural Dots Encartelado 10 un</v>
      </c>
      <c r="C384" s="11" t="str">
        <f aca="false">INDEX(PRODUTOS!$H$4:$H$63,MATCH($A384,PRODUTOS!$B$4:$B$63,0))</f>
        <v>10 un.</v>
      </c>
      <c r="D384" s="11" t="s">
        <v>322</v>
      </c>
      <c r="E384" s="16" t="str">
        <f aca="false">$A384&amp;"."&amp;$D384&amp;".jpg"</f>
        <v>17908591301158.AP05.jpg</v>
      </c>
      <c r="F384" s="11" t="str">
        <f aca="false">IF(INDEX(PRODUTOS!$I$4:$I$63,MATCH($A384,PRODUTOS!$B$4:$B$63,0))="B",INDEX(MODELOS!$F$4:$F$11,MATCH($D384,MODELOS!$A$4:$A$11,0)),INDEX(MODELOS!$B$4:$B$11,MATCH($D384,MODELOS!$A$4:$A$11,0)))</f>
        <v>Módulo 3 · Benefício 3 de 4</v>
      </c>
      <c r="G384" s="11" t="str">
        <f aca="false">IF(INDEX(PRODUTOS!$F$4:$F$63,MATCH($A384,PRODUTOS!$B$4:$B$63,0))="Ração",IF(INDEX(PRODUTOS!$I$4:$I$63,MATCH($A384,PRODUTOS!$B$4:$B$63,0))="B",INDEX(MODELOS!$G$4:$G$11,MATCH($D384,MODELOS!$A$4:$A$11,0)),INDEX(MODELOS!$C$4:$C$11,MATCH($D384,MODELOS!$A$4:$A$11,0))),IF(INDEX(PRODUTOS!$I$4:$I$63,MATCH($A384,PRODUTOS!$B$4:$B$63,0))="B",INDEX(MODELOS!$H$4:$H$11,MATCH($D384,MODELOS!$A$4:$A$11,0)),INDEX(MODELOS!$D$4:$D$11,MATCH($D384,MODELOS!$A$4:$A$11,0))))</f>
        <v>Foto/ilustração do benefício 3</v>
      </c>
      <c r="H384" s="11" t="str">
        <f aca="false">IF(INDEX(PRODUTOS!$I$4:$I$63,MATCH($A384,PRODUTOS!$B$4:$B$63,0))="B",INDEX(MODELOS!$I$4:$I$11,MATCH($D384,MODELOS!$A$4:$A$11,0)),INDEX(MODELOS!$E$4:$E$11,MATCH($D384,MODELOS!$A$4:$A$11,0)))</f>
        <v>220 × 200</v>
      </c>
      <c r="I384" s="11" t="str">
        <f aca="false">IF($D384="COMP","SIM",IF(INDEX(PRODUTOS!$J$4:$J$63,MATCH($A384,PRODUTOS!$B$4:$B$63,0))&lt;&gt;"","NÃO (usa o A+ do EAN "&amp;INDEX(PRODUTOS!$J$4:$J$63,MATCH($A384,PRODUTOS!$B$4:$B$63,0))&amp;")",IF(AND(INDEX(PRODUTOS!$I$4:$I$63,MATCH($A384,PRODUTOS!$B$4:$B$63,0))="B",$D384="AP07"),"NÃO (modelo B)","SIM")))</f>
        <v>SIM</v>
      </c>
      <c r="J384" s="13" t="s">
        <v>318</v>
      </c>
      <c r="K384" s="13"/>
    </row>
    <row r="385" customFormat="false" ht="15" hidden="false" customHeight="false" outlineLevel="0" collapsed="false">
      <c r="A385" s="15" t="s">
        <v>244</v>
      </c>
      <c r="B385" s="11" t="str">
        <f aca="false">INDEX(PRODUTOS!$E$4:$E$63,MATCH($A385,PRODUTOS!$B$4:$B$63,0))</f>
        <v>Palito 8 “ Rígido Natural Dots Encartelado 10 un</v>
      </c>
      <c r="C385" s="11" t="str">
        <f aca="false">INDEX(PRODUTOS!$H$4:$H$63,MATCH($A385,PRODUTOS!$B$4:$B$63,0))</f>
        <v>10 un.</v>
      </c>
      <c r="D385" s="11" t="s">
        <v>323</v>
      </c>
      <c r="E385" s="16" t="str">
        <f aca="false">$A385&amp;"."&amp;$D385&amp;".jpg"</f>
        <v>17908591301158.AP06.jpg</v>
      </c>
      <c r="F385" s="11" t="str">
        <f aca="false">IF(INDEX(PRODUTOS!$I$4:$I$63,MATCH($A385,PRODUTOS!$B$4:$B$63,0))="B",INDEX(MODELOS!$F$4:$F$11,MATCH($D385,MODELOS!$A$4:$A$11,0)),INDEX(MODELOS!$B$4:$B$11,MATCH($D385,MODELOS!$A$4:$A$11,0)))</f>
        <v>Módulo 3 · Benefício 4 de 4</v>
      </c>
      <c r="G385" s="11" t="str">
        <f aca="false">IF(INDEX(PRODUTOS!$F$4:$F$63,MATCH($A385,PRODUTOS!$B$4:$B$63,0))="Ração",IF(INDEX(PRODUTOS!$I$4:$I$63,MATCH($A385,PRODUTOS!$B$4:$B$63,0))="B",INDEX(MODELOS!$G$4:$G$11,MATCH($D385,MODELOS!$A$4:$A$11,0)),INDEX(MODELOS!$C$4:$C$11,MATCH($D385,MODELOS!$A$4:$A$11,0))),IF(INDEX(PRODUTOS!$I$4:$I$63,MATCH($A385,PRODUTOS!$B$4:$B$63,0))="B",INDEX(MODELOS!$H$4:$H$11,MATCH($D385,MODELOS!$A$4:$A$11,0)),INDEX(MODELOS!$D$4:$D$11,MATCH($D385,MODELOS!$A$4:$A$11,0))))</f>
        <v>Foto/ilustração do benefício 4</v>
      </c>
      <c r="H385" s="11" t="str">
        <f aca="false">IF(INDEX(PRODUTOS!$I$4:$I$63,MATCH($A385,PRODUTOS!$B$4:$B$63,0))="B",INDEX(MODELOS!$I$4:$I$11,MATCH($D385,MODELOS!$A$4:$A$11,0)),INDEX(MODELOS!$E$4:$E$11,MATCH($D385,MODELOS!$A$4:$A$11,0)))</f>
        <v>220 × 200</v>
      </c>
      <c r="I385" s="11" t="str">
        <f aca="false">IF($D385="COMP","SIM",IF(INDEX(PRODUTOS!$J$4:$J$63,MATCH($A385,PRODUTOS!$B$4:$B$63,0))&lt;&gt;"","NÃO (usa o A+ do EAN "&amp;INDEX(PRODUTOS!$J$4:$J$63,MATCH($A385,PRODUTOS!$B$4:$B$63,0))&amp;")",IF(AND(INDEX(PRODUTOS!$I$4:$I$63,MATCH($A385,PRODUTOS!$B$4:$B$63,0))="B",$D385="AP07"),"NÃO (modelo B)","SIM")))</f>
        <v>SIM</v>
      </c>
      <c r="J385" s="13" t="s">
        <v>318</v>
      </c>
      <c r="K385" s="13"/>
    </row>
    <row r="386" customFormat="false" ht="15" hidden="false" customHeight="false" outlineLevel="0" collapsed="false">
      <c r="A386" s="15" t="s">
        <v>244</v>
      </c>
      <c r="B386" s="11" t="str">
        <f aca="false">INDEX(PRODUTOS!$E$4:$E$63,MATCH($A386,PRODUTOS!$B$4:$B$63,0))</f>
        <v>Palito 8 “ Rígido Natural Dots Encartelado 10 un</v>
      </c>
      <c r="C386" s="11" t="str">
        <f aca="false">INDEX(PRODUTOS!$H$4:$H$63,MATCH($A386,PRODUTOS!$B$4:$B$63,0))</f>
        <v>10 un.</v>
      </c>
      <c r="D386" s="11" t="s">
        <v>324</v>
      </c>
      <c r="E386" s="16" t="str">
        <f aca="false">$A386&amp;"."&amp;$D386&amp;".jpg"</f>
        <v>17908591301158.AP07.jpg</v>
      </c>
      <c r="F386" s="11" t="str">
        <f aca="false">IF(INDEX(PRODUTOS!$I$4:$I$63,MATCH($A386,PRODUTOS!$B$4:$B$63,0))="B",INDEX(MODELOS!$F$4:$F$11,MATCH($D386,MODELOS!$A$4:$A$11,0)),INDEX(MODELOS!$B$4:$B$11,MATCH($D386,MODELOS!$A$4:$A$11,0)))</f>
        <v>Módulo 4 · Especificações</v>
      </c>
      <c r="G386" s="11" t="str">
        <f aca="false">IF(INDEX(PRODUTOS!$F$4:$F$63,MATCH($A386,PRODUTOS!$B$4:$B$63,0))="Ração",IF(INDEX(PRODUTOS!$I$4:$I$63,MATCH($A386,PRODUTOS!$B$4:$B$63,0))="B",INDEX(MODELOS!$G$4:$G$11,MATCH($D386,MODELOS!$A$4:$A$11,0)),INDEX(MODELOS!$C$4:$C$11,MATCH($D386,MODELOS!$A$4:$A$11,0))),IF(INDEX(PRODUTOS!$I$4:$I$63,MATCH($A386,PRODUTOS!$B$4:$B$63,0))="B",INDEX(MODELOS!$H$4:$H$11,MATCH($D386,MODELOS!$A$4:$A$11,0)),INDEX(MODELOS!$D$4:$D$11,MATCH($D386,MODELOS!$A$4:$A$11,0))))</f>
        <v>Produto em destaque</v>
      </c>
      <c r="H386" s="11" t="str">
        <f aca="false">IF(INDEX(PRODUTOS!$I$4:$I$63,MATCH($A386,PRODUTOS!$B$4:$B$63,0))="B",INDEX(MODELOS!$I$4:$I$11,MATCH($D386,MODELOS!$A$4:$A$11,0)),INDEX(MODELOS!$E$4:$E$11,MATCH($D386,MODELOS!$A$4:$A$11,0)))</f>
        <v>300 × 300</v>
      </c>
      <c r="I386" s="11" t="str">
        <f aca="false">IF($D386="COMP","SIM",IF(INDEX(PRODUTOS!$J$4:$J$63,MATCH($A386,PRODUTOS!$B$4:$B$63,0))&lt;&gt;"","NÃO (usa o A+ do EAN "&amp;INDEX(PRODUTOS!$J$4:$J$63,MATCH($A386,PRODUTOS!$B$4:$B$63,0))&amp;")",IF(AND(INDEX(PRODUTOS!$I$4:$I$63,MATCH($A386,PRODUTOS!$B$4:$B$63,0))="B",$D386="AP07"),"NÃO (modelo B)","SIM")))</f>
        <v>SIM</v>
      </c>
      <c r="J386" s="13" t="s">
        <v>318</v>
      </c>
      <c r="K386" s="13"/>
    </row>
    <row r="387" customFormat="false" ht="15" hidden="false" customHeight="false" outlineLevel="0" collapsed="false">
      <c r="A387" s="15" t="s">
        <v>244</v>
      </c>
      <c r="B387" s="11" t="str">
        <f aca="false">INDEX(PRODUTOS!$E$4:$E$63,MATCH($A387,PRODUTOS!$B$4:$B$63,0))</f>
        <v>Palito 8 “ Rígido Natural Dots Encartelado 10 un</v>
      </c>
      <c r="C387" s="11" t="str">
        <f aca="false">INDEX(PRODUTOS!$H$4:$H$63,MATCH($A387,PRODUTOS!$B$4:$B$63,0))</f>
        <v>10 un.</v>
      </c>
      <c r="D387" s="11" t="s">
        <v>325</v>
      </c>
      <c r="E387" s="16" t="str">
        <f aca="false">$A387&amp;"."&amp;$D387&amp;".jpg"</f>
        <v>17908591301158.COMP.jpg</v>
      </c>
      <c r="F387" s="11" t="str">
        <f aca="false">IF(INDEX(PRODUTOS!$I$4:$I$63,MATCH($A387,PRODUTOS!$B$4:$B$63,0))="B",INDEX(MODELOS!$F$4:$F$11,MATCH($D387,MODELOS!$A$4:$A$11,0)),INDEX(MODELOS!$B$4:$B$11,MATCH($D387,MODELOS!$A$4:$A$11,0)))</f>
        <v>Módulo 5 · Tabela comparativa</v>
      </c>
      <c r="G387" s="11" t="str">
        <f aca="false">IF(INDEX(PRODUTOS!$F$4:$F$63,MATCH($A387,PRODUTOS!$B$4:$B$63,0))="Ração",IF(INDEX(PRODUTOS!$I$4:$I$63,MATCH($A387,PRODUTOS!$B$4:$B$63,0))="B",INDEX(MODELOS!$G$4:$G$11,MATCH($D387,MODELOS!$A$4:$A$11,0)),INDEX(MODELOS!$C$4:$C$11,MATCH($D387,MODELOS!$A$4:$A$11,0))),IF(INDEX(PRODUTOS!$I$4:$I$63,MATCH($A387,PRODUTOS!$B$4:$B$63,0))="B",INDEX(MODELOS!$H$4:$H$11,MATCH($D387,MODELOS!$A$4:$A$11,0)),INDEX(MODELOS!$D$4:$D$11,MATCH($D387,MODELOS!$A$4:$A$11,0))))</f>
        <v>Produto na vertical, sem fundo colorido</v>
      </c>
      <c r="H387" s="11" t="str">
        <f aca="false">IF(INDEX(PRODUTOS!$I$4:$I$63,MATCH($A387,PRODUTOS!$B$4:$B$63,0))="B",INDEX(MODELOS!$I$4:$I$11,MATCH($D387,MODELOS!$A$4:$A$11,0)),INDEX(MODELOS!$E$4:$E$11,MATCH($D387,MODELOS!$A$4:$A$11,0)))</f>
        <v>150 × 300</v>
      </c>
      <c r="I387" s="11" t="str">
        <f aca="false">IF($D387="COMP","SIM",IF(INDEX(PRODUTOS!$J$4:$J$63,MATCH($A387,PRODUTOS!$B$4:$B$63,0))&lt;&gt;"","NÃO (usa o A+ do EAN "&amp;INDEX(PRODUTOS!$J$4:$J$63,MATCH($A387,PRODUTOS!$B$4:$B$63,0))&amp;")",IF(AND(INDEX(PRODUTOS!$I$4:$I$63,MATCH($A387,PRODUTOS!$B$4:$B$63,0))="B",$D387="AP07"),"NÃO (modelo B)","SIM")))</f>
        <v>SIM</v>
      </c>
      <c r="J387" s="13" t="s">
        <v>318</v>
      </c>
      <c r="K387" s="13"/>
    </row>
    <row r="388" customFormat="false" ht="15" hidden="false" customHeight="false" outlineLevel="0" collapsed="false">
      <c r="A388" s="15" t="s">
        <v>250</v>
      </c>
      <c r="B388" s="11" t="str">
        <f aca="false">INDEX(PRODUTOS!$E$4:$E$63,MATCH($A388,PRODUTOS!$B$4:$B$63,0))</f>
        <v>Palito 8 ” Rígido Bacon Natural Dots Encartelado 10 un</v>
      </c>
      <c r="C388" s="11" t="str">
        <f aca="false">INDEX(PRODUTOS!$H$4:$H$63,MATCH($A388,PRODUTOS!$B$4:$B$63,0))</f>
        <v>10 un.</v>
      </c>
      <c r="D388" s="11" t="s">
        <v>317</v>
      </c>
      <c r="E388" s="16" t="str">
        <f aca="false">$A388&amp;"."&amp;$D388&amp;".jpg"</f>
        <v>7908591301168.AP01.jpg</v>
      </c>
      <c r="F388" s="11" t="str">
        <f aca="false">IF(INDEX(PRODUTOS!$I$4:$I$63,MATCH($A388,PRODUTOS!$B$4:$B$63,0))="B",INDEX(MODELOS!$F$4:$F$11,MATCH($D388,MODELOS!$A$4:$A$11,0)),INDEX(MODELOS!$B$4:$B$11,MATCH($D388,MODELOS!$A$4:$A$11,0)))</f>
        <v>Módulo 1 · Banner</v>
      </c>
      <c r="G388" s="11" t="str">
        <f aca="false">IF(INDEX(PRODUTOS!$F$4:$F$63,MATCH($A388,PRODUTOS!$B$4:$B$63,0))="Ração",IF(INDEX(PRODUTOS!$I$4:$I$63,MATCH($A388,PRODUTOS!$B$4:$B$63,0))="B",INDEX(MODELOS!$G$4:$G$11,MATCH($D388,MODELOS!$A$4:$A$11,0)),INDEX(MODELOS!$C$4:$C$11,MATCH($D388,MODELOS!$A$4:$A$11,0))),IF(INDEX(PRODUTOS!$I$4:$I$63,MATCH($A388,PRODUTOS!$B$4:$B$63,0))="B",INDEX(MODELOS!$H$4:$H$11,MATCH($D388,MODELOS!$A$4:$A$11,0)),INDEX(MODELOS!$D$4:$D$11,MATCH($D388,MODELOS!$A$4:$A$11,0))))</f>
        <v>Produto + pet, com o nome da linha</v>
      </c>
      <c r="H388" s="11" t="str">
        <f aca="false">IF(INDEX(PRODUTOS!$I$4:$I$63,MATCH($A388,PRODUTOS!$B$4:$B$63,0))="B",INDEX(MODELOS!$I$4:$I$11,MATCH($D388,MODELOS!$A$4:$A$11,0)),INDEX(MODELOS!$E$4:$E$11,MATCH($D388,MODELOS!$A$4:$A$11,0)))</f>
        <v>970 × 600</v>
      </c>
      <c r="I388" s="11" t="str">
        <f aca="false">IF($D388="COMP","SIM",IF(INDEX(PRODUTOS!$J$4:$J$63,MATCH($A388,PRODUTOS!$B$4:$B$63,0))&lt;&gt;"","NÃO (usa o A+ do EAN "&amp;INDEX(PRODUTOS!$J$4:$J$63,MATCH($A388,PRODUTOS!$B$4:$B$63,0))&amp;")",IF(AND(INDEX(PRODUTOS!$I$4:$I$63,MATCH($A388,PRODUTOS!$B$4:$B$63,0))="B",$D388="AP07"),"NÃO (modelo B)","SIM")))</f>
        <v>SIM</v>
      </c>
      <c r="J388" s="13" t="s">
        <v>318</v>
      </c>
      <c r="K388" s="13"/>
    </row>
    <row r="389" customFormat="false" ht="15" hidden="false" customHeight="false" outlineLevel="0" collapsed="false">
      <c r="A389" s="15" t="s">
        <v>250</v>
      </c>
      <c r="B389" s="11" t="str">
        <f aca="false">INDEX(PRODUTOS!$E$4:$E$63,MATCH($A389,PRODUTOS!$B$4:$B$63,0))</f>
        <v>Palito 8 ” Rígido Bacon Natural Dots Encartelado 10 un</v>
      </c>
      <c r="C389" s="11" t="str">
        <f aca="false">INDEX(PRODUTOS!$H$4:$H$63,MATCH($A389,PRODUTOS!$B$4:$B$63,0))</f>
        <v>10 un.</v>
      </c>
      <c r="D389" s="11" t="s">
        <v>319</v>
      </c>
      <c r="E389" s="16" t="str">
        <f aca="false">$A389&amp;"."&amp;$D389&amp;".jpg"</f>
        <v>7908591301168.AP02.jpg</v>
      </c>
      <c r="F389" s="11" t="str">
        <f aca="false">IF(INDEX(PRODUTOS!$I$4:$I$63,MATCH($A389,PRODUTOS!$B$4:$B$63,0))="B",INDEX(MODELOS!$F$4:$F$11,MATCH($D389,MODELOS!$A$4:$A$11,0)),INDEX(MODELOS!$B$4:$B$11,MATCH($D389,MODELOS!$A$4:$A$11,0)))</f>
        <v>Módulo 2 · Texto sobreposto</v>
      </c>
      <c r="G389" s="11" t="str">
        <f aca="false">IF(INDEX(PRODUTOS!$F$4:$F$63,MATCH($A389,PRODUTOS!$B$4:$B$63,0))="Ração",IF(INDEX(PRODUTOS!$I$4:$I$63,MATCH($A389,PRODUTOS!$B$4:$B$63,0))="B",INDEX(MODELOS!$G$4:$G$11,MATCH($D389,MODELOS!$A$4:$A$11,0)),INDEX(MODELOS!$C$4:$C$11,MATCH($D389,MODELOS!$A$4:$A$11,0))),IF(INDEX(PRODUTOS!$I$4:$I$63,MATCH($A389,PRODUTOS!$B$4:$B$63,0))="B",INDEX(MODELOS!$H$4:$H$11,MATCH($D389,MODELOS!$A$4:$A$11,0)),INDEX(MODELOS!$D$4:$D$11,MATCH($D389,MODELOS!$A$4:$A$11,0))))</f>
        <v>Principal diferencial; deixar o lado direito limpo</v>
      </c>
      <c r="H389" s="11" t="str">
        <f aca="false">IF(INDEX(PRODUTOS!$I$4:$I$63,MATCH($A389,PRODUTOS!$B$4:$B$63,0))="B",INDEX(MODELOS!$I$4:$I$11,MATCH($D389,MODELOS!$A$4:$A$11,0)),INDEX(MODELOS!$E$4:$E$11,MATCH($D389,MODELOS!$A$4:$A$11,0)))</f>
        <v>970 × 300</v>
      </c>
      <c r="I389" s="11" t="str">
        <f aca="false">IF($D389="COMP","SIM",IF(INDEX(PRODUTOS!$J$4:$J$63,MATCH($A389,PRODUTOS!$B$4:$B$63,0))&lt;&gt;"","NÃO (usa o A+ do EAN "&amp;INDEX(PRODUTOS!$J$4:$J$63,MATCH($A389,PRODUTOS!$B$4:$B$63,0))&amp;")",IF(AND(INDEX(PRODUTOS!$I$4:$I$63,MATCH($A389,PRODUTOS!$B$4:$B$63,0))="B",$D389="AP07"),"NÃO (modelo B)","SIM")))</f>
        <v>SIM</v>
      </c>
      <c r="J389" s="13" t="s">
        <v>318</v>
      </c>
      <c r="K389" s="13"/>
    </row>
    <row r="390" customFormat="false" ht="15" hidden="false" customHeight="false" outlineLevel="0" collapsed="false">
      <c r="A390" s="15" t="s">
        <v>250</v>
      </c>
      <c r="B390" s="11" t="str">
        <f aca="false">INDEX(PRODUTOS!$E$4:$E$63,MATCH($A390,PRODUTOS!$B$4:$B$63,0))</f>
        <v>Palito 8 ” Rígido Bacon Natural Dots Encartelado 10 un</v>
      </c>
      <c r="C390" s="11" t="str">
        <f aca="false">INDEX(PRODUTOS!$H$4:$H$63,MATCH($A390,PRODUTOS!$B$4:$B$63,0))</f>
        <v>10 un.</v>
      </c>
      <c r="D390" s="11" t="s">
        <v>320</v>
      </c>
      <c r="E390" s="16" t="str">
        <f aca="false">$A390&amp;"."&amp;$D390&amp;".jpg"</f>
        <v>7908591301168.AP03.jpg</v>
      </c>
      <c r="F390" s="11" t="str">
        <f aca="false">IF(INDEX(PRODUTOS!$I$4:$I$63,MATCH($A390,PRODUTOS!$B$4:$B$63,0))="B",INDEX(MODELOS!$F$4:$F$11,MATCH($D390,MODELOS!$A$4:$A$11,0)),INDEX(MODELOS!$B$4:$B$11,MATCH($D390,MODELOS!$A$4:$A$11,0)))</f>
        <v>Módulo 3 · Benefício 1 de 4</v>
      </c>
      <c r="G390" s="11" t="str">
        <f aca="false">IF(INDEX(PRODUTOS!$F$4:$F$63,MATCH($A390,PRODUTOS!$B$4:$B$63,0))="Ração",IF(INDEX(PRODUTOS!$I$4:$I$63,MATCH($A390,PRODUTOS!$B$4:$B$63,0))="B",INDEX(MODELOS!$G$4:$G$11,MATCH($D390,MODELOS!$A$4:$A$11,0)),INDEX(MODELOS!$C$4:$C$11,MATCH($D390,MODELOS!$A$4:$A$11,0))),IF(INDEX(PRODUTOS!$I$4:$I$63,MATCH($A390,PRODUTOS!$B$4:$B$63,0))="B",INDEX(MODELOS!$H$4:$H$11,MATCH($D390,MODELOS!$A$4:$A$11,0)),INDEX(MODELOS!$D$4:$D$11,MATCH($D390,MODELOS!$A$4:$A$11,0))))</f>
        <v>Foto/ilustração do benefício 1</v>
      </c>
      <c r="H390" s="11" t="str">
        <f aca="false">IF(INDEX(PRODUTOS!$I$4:$I$63,MATCH($A390,PRODUTOS!$B$4:$B$63,0))="B",INDEX(MODELOS!$I$4:$I$11,MATCH($D390,MODELOS!$A$4:$A$11,0)),INDEX(MODELOS!$E$4:$E$11,MATCH($D390,MODELOS!$A$4:$A$11,0)))</f>
        <v>220 × 200</v>
      </c>
      <c r="I390" s="11" t="str">
        <f aca="false">IF($D390="COMP","SIM",IF(INDEX(PRODUTOS!$J$4:$J$63,MATCH($A390,PRODUTOS!$B$4:$B$63,0))&lt;&gt;"","NÃO (usa o A+ do EAN "&amp;INDEX(PRODUTOS!$J$4:$J$63,MATCH($A390,PRODUTOS!$B$4:$B$63,0))&amp;")",IF(AND(INDEX(PRODUTOS!$I$4:$I$63,MATCH($A390,PRODUTOS!$B$4:$B$63,0))="B",$D390="AP07"),"NÃO (modelo B)","SIM")))</f>
        <v>SIM</v>
      </c>
      <c r="J390" s="13" t="s">
        <v>318</v>
      </c>
      <c r="K390" s="13"/>
    </row>
    <row r="391" customFormat="false" ht="15" hidden="false" customHeight="false" outlineLevel="0" collapsed="false">
      <c r="A391" s="15" t="s">
        <v>250</v>
      </c>
      <c r="B391" s="11" t="str">
        <f aca="false">INDEX(PRODUTOS!$E$4:$E$63,MATCH($A391,PRODUTOS!$B$4:$B$63,0))</f>
        <v>Palito 8 ” Rígido Bacon Natural Dots Encartelado 10 un</v>
      </c>
      <c r="C391" s="11" t="str">
        <f aca="false">INDEX(PRODUTOS!$H$4:$H$63,MATCH($A391,PRODUTOS!$B$4:$B$63,0))</f>
        <v>10 un.</v>
      </c>
      <c r="D391" s="11" t="s">
        <v>321</v>
      </c>
      <c r="E391" s="16" t="str">
        <f aca="false">$A391&amp;"."&amp;$D391&amp;".jpg"</f>
        <v>7908591301168.AP04.jpg</v>
      </c>
      <c r="F391" s="11" t="str">
        <f aca="false">IF(INDEX(PRODUTOS!$I$4:$I$63,MATCH($A391,PRODUTOS!$B$4:$B$63,0))="B",INDEX(MODELOS!$F$4:$F$11,MATCH($D391,MODELOS!$A$4:$A$11,0)),INDEX(MODELOS!$B$4:$B$11,MATCH($D391,MODELOS!$A$4:$A$11,0)))</f>
        <v>Módulo 3 · Benefício 2 de 4</v>
      </c>
      <c r="G391" s="11" t="str">
        <f aca="false">IF(INDEX(PRODUTOS!$F$4:$F$63,MATCH($A391,PRODUTOS!$B$4:$B$63,0))="Ração",IF(INDEX(PRODUTOS!$I$4:$I$63,MATCH($A391,PRODUTOS!$B$4:$B$63,0))="B",INDEX(MODELOS!$G$4:$G$11,MATCH($D391,MODELOS!$A$4:$A$11,0)),INDEX(MODELOS!$C$4:$C$11,MATCH($D391,MODELOS!$A$4:$A$11,0))),IF(INDEX(PRODUTOS!$I$4:$I$63,MATCH($A391,PRODUTOS!$B$4:$B$63,0))="B",INDEX(MODELOS!$H$4:$H$11,MATCH($D391,MODELOS!$A$4:$A$11,0)),INDEX(MODELOS!$D$4:$D$11,MATCH($D391,MODELOS!$A$4:$A$11,0))))</f>
        <v>Foto/ilustração do benefício 2</v>
      </c>
      <c r="H391" s="11" t="str">
        <f aca="false">IF(INDEX(PRODUTOS!$I$4:$I$63,MATCH($A391,PRODUTOS!$B$4:$B$63,0))="B",INDEX(MODELOS!$I$4:$I$11,MATCH($D391,MODELOS!$A$4:$A$11,0)),INDEX(MODELOS!$E$4:$E$11,MATCH($D391,MODELOS!$A$4:$A$11,0)))</f>
        <v>220 × 200</v>
      </c>
      <c r="I391" s="11" t="str">
        <f aca="false">IF($D391="COMP","SIM",IF(INDEX(PRODUTOS!$J$4:$J$63,MATCH($A391,PRODUTOS!$B$4:$B$63,0))&lt;&gt;"","NÃO (usa o A+ do EAN "&amp;INDEX(PRODUTOS!$J$4:$J$63,MATCH($A391,PRODUTOS!$B$4:$B$63,0))&amp;")",IF(AND(INDEX(PRODUTOS!$I$4:$I$63,MATCH($A391,PRODUTOS!$B$4:$B$63,0))="B",$D391="AP07"),"NÃO (modelo B)","SIM")))</f>
        <v>SIM</v>
      </c>
      <c r="J391" s="13" t="s">
        <v>318</v>
      </c>
      <c r="K391" s="13"/>
    </row>
    <row r="392" customFormat="false" ht="15" hidden="false" customHeight="false" outlineLevel="0" collapsed="false">
      <c r="A392" s="15" t="s">
        <v>250</v>
      </c>
      <c r="B392" s="11" t="str">
        <f aca="false">INDEX(PRODUTOS!$E$4:$E$63,MATCH($A392,PRODUTOS!$B$4:$B$63,0))</f>
        <v>Palito 8 ” Rígido Bacon Natural Dots Encartelado 10 un</v>
      </c>
      <c r="C392" s="11" t="str">
        <f aca="false">INDEX(PRODUTOS!$H$4:$H$63,MATCH($A392,PRODUTOS!$B$4:$B$63,0))</f>
        <v>10 un.</v>
      </c>
      <c r="D392" s="11" t="s">
        <v>322</v>
      </c>
      <c r="E392" s="16" t="str">
        <f aca="false">$A392&amp;"."&amp;$D392&amp;".jpg"</f>
        <v>7908591301168.AP05.jpg</v>
      </c>
      <c r="F392" s="11" t="str">
        <f aca="false">IF(INDEX(PRODUTOS!$I$4:$I$63,MATCH($A392,PRODUTOS!$B$4:$B$63,0))="B",INDEX(MODELOS!$F$4:$F$11,MATCH($D392,MODELOS!$A$4:$A$11,0)),INDEX(MODELOS!$B$4:$B$11,MATCH($D392,MODELOS!$A$4:$A$11,0)))</f>
        <v>Módulo 3 · Benefício 3 de 4</v>
      </c>
      <c r="G392" s="11" t="str">
        <f aca="false">IF(INDEX(PRODUTOS!$F$4:$F$63,MATCH($A392,PRODUTOS!$B$4:$B$63,0))="Ração",IF(INDEX(PRODUTOS!$I$4:$I$63,MATCH($A392,PRODUTOS!$B$4:$B$63,0))="B",INDEX(MODELOS!$G$4:$G$11,MATCH($D392,MODELOS!$A$4:$A$11,0)),INDEX(MODELOS!$C$4:$C$11,MATCH($D392,MODELOS!$A$4:$A$11,0))),IF(INDEX(PRODUTOS!$I$4:$I$63,MATCH($A392,PRODUTOS!$B$4:$B$63,0))="B",INDEX(MODELOS!$H$4:$H$11,MATCH($D392,MODELOS!$A$4:$A$11,0)),INDEX(MODELOS!$D$4:$D$11,MATCH($D392,MODELOS!$A$4:$A$11,0))))</f>
        <v>Foto/ilustração do benefício 3</v>
      </c>
      <c r="H392" s="11" t="str">
        <f aca="false">IF(INDEX(PRODUTOS!$I$4:$I$63,MATCH($A392,PRODUTOS!$B$4:$B$63,0))="B",INDEX(MODELOS!$I$4:$I$11,MATCH($D392,MODELOS!$A$4:$A$11,0)),INDEX(MODELOS!$E$4:$E$11,MATCH($D392,MODELOS!$A$4:$A$11,0)))</f>
        <v>220 × 200</v>
      </c>
      <c r="I392" s="11" t="str">
        <f aca="false">IF($D392="COMP","SIM",IF(INDEX(PRODUTOS!$J$4:$J$63,MATCH($A392,PRODUTOS!$B$4:$B$63,0))&lt;&gt;"","NÃO (usa o A+ do EAN "&amp;INDEX(PRODUTOS!$J$4:$J$63,MATCH($A392,PRODUTOS!$B$4:$B$63,0))&amp;")",IF(AND(INDEX(PRODUTOS!$I$4:$I$63,MATCH($A392,PRODUTOS!$B$4:$B$63,0))="B",$D392="AP07"),"NÃO (modelo B)","SIM")))</f>
        <v>SIM</v>
      </c>
      <c r="J392" s="13" t="s">
        <v>318</v>
      </c>
      <c r="K392" s="13"/>
    </row>
    <row r="393" customFormat="false" ht="15" hidden="false" customHeight="false" outlineLevel="0" collapsed="false">
      <c r="A393" s="15" t="s">
        <v>250</v>
      </c>
      <c r="B393" s="11" t="str">
        <f aca="false">INDEX(PRODUTOS!$E$4:$E$63,MATCH($A393,PRODUTOS!$B$4:$B$63,0))</f>
        <v>Palito 8 ” Rígido Bacon Natural Dots Encartelado 10 un</v>
      </c>
      <c r="C393" s="11" t="str">
        <f aca="false">INDEX(PRODUTOS!$H$4:$H$63,MATCH($A393,PRODUTOS!$B$4:$B$63,0))</f>
        <v>10 un.</v>
      </c>
      <c r="D393" s="11" t="s">
        <v>323</v>
      </c>
      <c r="E393" s="16" t="str">
        <f aca="false">$A393&amp;"."&amp;$D393&amp;".jpg"</f>
        <v>7908591301168.AP06.jpg</v>
      </c>
      <c r="F393" s="11" t="str">
        <f aca="false">IF(INDEX(PRODUTOS!$I$4:$I$63,MATCH($A393,PRODUTOS!$B$4:$B$63,0))="B",INDEX(MODELOS!$F$4:$F$11,MATCH($D393,MODELOS!$A$4:$A$11,0)),INDEX(MODELOS!$B$4:$B$11,MATCH($D393,MODELOS!$A$4:$A$11,0)))</f>
        <v>Módulo 3 · Benefício 4 de 4</v>
      </c>
      <c r="G393" s="11" t="str">
        <f aca="false">IF(INDEX(PRODUTOS!$F$4:$F$63,MATCH($A393,PRODUTOS!$B$4:$B$63,0))="Ração",IF(INDEX(PRODUTOS!$I$4:$I$63,MATCH($A393,PRODUTOS!$B$4:$B$63,0))="B",INDEX(MODELOS!$G$4:$G$11,MATCH($D393,MODELOS!$A$4:$A$11,0)),INDEX(MODELOS!$C$4:$C$11,MATCH($D393,MODELOS!$A$4:$A$11,0))),IF(INDEX(PRODUTOS!$I$4:$I$63,MATCH($A393,PRODUTOS!$B$4:$B$63,0))="B",INDEX(MODELOS!$H$4:$H$11,MATCH($D393,MODELOS!$A$4:$A$11,0)),INDEX(MODELOS!$D$4:$D$11,MATCH($D393,MODELOS!$A$4:$A$11,0))))</f>
        <v>Foto/ilustração do benefício 4</v>
      </c>
      <c r="H393" s="11" t="str">
        <f aca="false">IF(INDEX(PRODUTOS!$I$4:$I$63,MATCH($A393,PRODUTOS!$B$4:$B$63,0))="B",INDEX(MODELOS!$I$4:$I$11,MATCH($D393,MODELOS!$A$4:$A$11,0)),INDEX(MODELOS!$E$4:$E$11,MATCH($D393,MODELOS!$A$4:$A$11,0)))</f>
        <v>220 × 200</v>
      </c>
      <c r="I393" s="11" t="str">
        <f aca="false">IF($D393="COMP","SIM",IF(INDEX(PRODUTOS!$J$4:$J$63,MATCH($A393,PRODUTOS!$B$4:$B$63,0))&lt;&gt;"","NÃO (usa o A+ do EAN "&amp;INDEX(PRODUTOS!$J$4:$J$63,MATCH($A393,PRODUTOS!$B$4:$B$63,0))&amp;")",IF(AND(INDEX(PRODUTOS!$I$4:$I$63,MATCH($A393,PRODUTOS!$B$4:$B$63,0))="B",$D393="AP07"),"NÃO (modelo B)","SIM")))</f>
        <v>SIM</v>
      </c>
      <c r="J393" s="13" t="s">
        <v>318</v>
      </c>
      <c r="K393" s="13"/>
    </row>
    <row r="394" customFormat="false" ht="15" hidden="false" customHeight="false" outlineLevel="0" collapsed="false">
      <c r="A394" s="15" t="s">
        <v>250</v>
      </c>
      <c r="B394" s="11" t="str">
        <f aca="false">INDEX(PRODUTOS!$E$4:$E$63,MATCH($A394,PRODUTOS!$B$4:$B$63,0))</f>
        <v>Palito 8 ” Rígido Bacon Natural Dots Encartelado 10 un</v>
      </c>
      <c r="C394" s="11" t="str">
        <f aca="false">INDEX(PRODUTOS!$H$4:$H$63,MATCH($A394,PRODUTOS!$B$4:$B$63,0))</f>
        <v>10 un.</v>
      </c>
      <c r="D394" s="11" t="s">
        <v>324</v>
      </c>
      <c r="E394" s="16" t="str">
        <f aca="false">$A394&amp;"."&amp;$D394&amp;".jpg"</f>
        <v>7908591301168.AP07.jpg</v>
      </c>
      <c r="F394" s="11" t="str">
        <f aca="false">IF(INDEX(PRODUTOS!$I$4:$I$63,MATCH($A394,PRODUTOS!$B$4:$B$63,0))="B",INDEX(MODELOS!$F$4:$F$11,MATCH($D394,MODELOS!$A$4:$A$11,0)),INDEX(MODELOS!$B$4:$B$11,MATCH($D394,MODELOS!$A$4:$A$11,0)))</f>
        <v>Módulo 4 · Especificações</v>
      </c>
      <c r="G394" s="11" t="str">
        <f aca="false">IF(INDEX(PRODUTOS!$F$4:$F$63,MATCH($A394,PRODUTOS!$B$4:$B$63,0))="Ração",IF(INDEX(PRODUTOS!$I$4:$I$63,MATCH($A394,PRODUTOS!$B$4:$B$63,0))="B",INDEX(MODELOS!$G$4:$G$11,MATCH($D394,MODELOS!$A$4:$A$11,0)),INDEX(MODELOS!$C$4:$C$11,MATCH($D394,MODELOS!$A$4:$A$11,0))),IF(INDEX(PRODUTOS!$I$4:$I$63,MATCH($A394,PRODUTOS!$B$4:$B$63,0))="B",INDEX(MODELOS!$H$4:$H$11,MATCH($D394,MODELOS!$A$4:$A$11,0)),INDEX(MODELOS!$D$4:$D$11,MATCH($D394,MODELOS!$A$4:$A$11,0))))</f>
        <v>Produto em destaque</v>
      </c>
      <c r="H394" s="11" t="str">
        <f aca="false">IF(INDEX(PRODUTOS!$I$4:$I$63,MATCH($A394,PRODUTOS!$B$4:$B$63,0))="B",INDEX(MODELOS!$I$4:$I$11,MATCH($D394,MODELOS!$A$4:$A$11,0)),INDEX(MODELOS!$E$4:$E$11,MATCH($D394,MODELOS!$A$4:$A$11,0)))</f>
        <v>300 × 300</v>
      </c>
      <c r="I394" s="11" t="str">
        <f aca="false">IF($D394="COMP","SIM",IF(INDEX(PRODUTOS!$J$4:$J$63,MATCH($A394,PRODUTOS!$B$4:$B$63,0))&lt;&gt;"","NÃO (usa o A+ do EAN "&amp;INDEX(PRODUTOS!$J$4:$J$63,MATCH($A394,PRODUTOS!$B$4:$B$63,0))&amp;")",IF(AND(INDEX(PRODUTOS!$I$4:$I$63,MATCH($A394,PRODUTOS!$B$4:$B$63,0))="B",$D394="AP07"),"NÃO (modelo B)","SIM")))</f>
        <v>SIM</v>
      </c>
      <c r="J394" s="13" t="s">
        <v>318</v>
      </c>
      <c r="K394" s="13"/>
    </row>
    <row r="395" customFormat="false" ht="15" hidden="false" customHeight="false" outlineLevel="0" collapsed="false">
      <c r="A395" s="15" t="s">
        <v>250</v>
      </c>
      <c r="B395" s="11" t="str">
        <f aca="false">INDEX(PRODUTOS!$E$4:$E$63,MATCH($A395,PRODUTOS!$B$4:$B$63,0))</f>
        <v>Palito 8 ” Rígido Bacon Natural Dots Encartelado 10 un</v>
      </c>
      <c r="C395" s="11" t="str">
        <f aca="false">INDEX(PRODUTOS!$H$4:$H$63,MATCH($A395,PRODUTOS!$B$4:$B$63,0))</f>
        <v>10 un.</v>
      </c>
      <c r="D395" s="11" t="s">
        <v>325</v>
      </c>
      <c r="E395" s="16" t="str">
        <f aca="false">$A395&amp;"."&amp;$D395&amp;".jpg"</f>
        <v>7908591301168.COMP.jpg</v>
      </c>
      <c r="F395" s="11" t="str">
        <f aca="false">IF(INDEX(PRODUTOS!$I$4:$I$63,MATCH($A395,PRODUTOS!$B$4:$B$63,0))="B",INDEX(MODELOS!$F$4:$F$11,MATCH($D395,MODELOS!$A$4:$A$11,0)),INDEX(MODELOS!$B$4:$B$11,MATCH($D395,MODELOS!$A$4:$A$11,0)))</f>
        <v>Módulo 5 · Tabela comparativa</v>
      </c>
      <c r="G395" s="11" t="str">
        <f aca="false">IF(INDEX(PRODUTOS!$F$4:$F$63,MATCH($A395,PRODUTOS!$B$4:$B$63,0))="Ração",IF(INDEX(PRODUTOS!$I$4:$I$63,MATCH($A395,PRODUTOS!$B$4:$B$63,0))="B",INDEX(MODELOS!$G$4:$G$11,MATCH($D395,MODELOS!$A$4:$A$11,0)),INDEX(MODELOS!$C$4:$C$11,MATCH($D395,MODELOS!$A$4:$A$11,0))),IF(INDEX(PRODUTOS!$I$4:$I$63,MATCH($A395,PRODUTOS!$B$4:$B$63,0))="B",INDEX(MODELOS!$H$4:$H$11,MATCH($D395,MODELOS!$A$4:$A$11,0)),INDEX(MODELOS!$D$4:$D$11,MATCH($D395,MODELOS!$A$4:$A$11,0))))</f>
        <v>Produto na vertical, sem fundo colorido</v>
      </c>
      <c r="H395" s="11" t="str">
        <f aca="false">IF(INDEX(PRODUTOS!$I$4:$I$63,MATCH($A395,PRODUTOS!$B$4:$B$63,0))="B",INDEX(MODELOS!$I$4:$I$11,MATCH($D395,MODELOS!$A$4:$A$11,0)),INDEX(MODELOS!$E$4:$E$11,MATCH($D395,MODELOS!$A$4:$A$11,0)))</f>
        <v>150 × 300</v>
      </c>
      <c r="I395" s="11" t="str">
        <f aca="false">IF($D395="COMP","SIM",IF(INDEX(PRODUTOS!$J$4:$J$63,MATCH($A395,PRODUTOS!$B$4:$B$63,0))&lt;&gt;"","NÃO (usa o A+ do EAN "&amp;INDEX(PRODUTOS!$J$4:$J$63,MATCH($A395,PRODUTOS!$B$4:$B$63,0))&amp;")",IF(AND(INDEX(PRODUTOS!$I$4:$I$63,MATCH($A395,PRODUTOS!$B$4:$B$63,0))="B",$D395="AP07"),"NÃO (modelo B)","SIM")))</f>
        <v>SIM</v>
      </c>
      <c r="J395" s="13" t="s">
        <v>318</v>
      </c>
      <c r="K395" s="13"/>
    </row>
    <row r="396" customFormat="false" ht="15" hidden="false" customHeight="false" outlineLevel="0" collapsed="false">
      <c r="A396" s="15" t="s">
        <v>254</v>
      </c>
      <c r="B396" s="11" t="str">
        <f aca="false">INDEX(PRODUTOS!$E$4:$E$63,MATCH($A396,PRODUTOS!$B$4:$B$63,0))</f>
        <v>Palito Flex Natural Dots Hortelã 70 g</v>
      </c>
      <c r="C396" s="11" t="str">
        <f aca="false">INDEX(PRODUTOS!$H$4:$H$63,MATCH($A396,PRODUTOS!$B$4:$B$63,0))</f>
        <v>70 g</v>
      </c>
      <c r="D396" s="11" t="s">
        <v>317</v>
      </c>
      <c r="E396" s="16" t="str">
        <f aca="false">$A396&amp;"."&amp;$D396&amp;".jpg"</f>
        <v>7908591301113.AP01.jpg</v>
      </c>
      <c r="F396" s="11" t="str">
        <f aca="false">IF(INDEX(PRODUTOS!$I$4:$I$63,MATCH($A396,PRODUTOS!$B$4:$B$63,0))="B",INDEX(MODELOS!$F$4:$F$11,MATCH($D396,MODELOS!$A$4:$A$11,0)),INDEX(MODELOS!$B$4:$B$11,MATCH($D396,MODELOS!$A$4:$A$11,0)))</f>
        <v>Módulo 1 · Banner</v>
      </c>
      <c r="G396" s="11" t="str">
        <f aca="false">IF(INDEX(PRODUTOS!$F$4:$F$63,MATCH($A396,PRODUTOS!$B$4:$B$63,0))="Ração",IF(INDEX(PRODUTOS!$I$4:$I$63,MATCH($A396,PRODUTOS!$B$4:$B$63,0))="B",INDEX(MODELOS!$G$4:$G$11,MATCH($D396,MODELOS!$A$4:$A$11,0)),INDEX(MODELOS!$C$4:$C$11,MATCH($D396,MODELOS!$A$4:$A$11,0))),IF(INDEX(PRODUTOS!$I$4:$I$63,MATCH($A396,PRODUTOS!$B$4:$B$63,0))="B",INDEX(MODELOS!$H$4:$H$11,MATCH($D396,MODELOS!$A$4:$A$11,0)),INDEX(MODELOS!$D$4:$D$11,MATCH($D396,MODELOS!$A$4:$A$11,0))))</f>
        <v>Produto + pet, com o nome da linha</v>
      </c>
      <c r="H396" s="11" t="str">
        <f aca="false">IF(INDEX(PRODUTOS!$I$4:$I$63,MATCH($A396,PRODUTOS!$B$4:$B$63,0))="B",INDEX(MODELOS!$I$4:$I$11,MATCH($D396,MODELOS!$A$4:$A$11,0)),INDEX(MODELOS!$E$4:$E$11,MATCH($D396,MODELOS!$A$4:$A$11,0)))</f>
        <v>970 × 600</v>
      </c>
      <c r="I396" s="11" t="str">
        <f aca="false">IF($D396="COMP","SIM",IF(INDEX(PRODUTOS!$J$4:$J$63,MATCH($A396,PRODUTOS!$B$4:$B$63,0))&lt;&gt;"","NÃO (usa o A+ do EAN "&amp;INDEX(PRODUTOS!$J$4:$J$63,MATCH($A396,PRODUTOS!$B$4:$B$63,0))&amp;")",IF(AND(INDEX(PRODUTOS!$I$4:$I$63,MATCH($A396,PRODUTOS!$B$4:$B$63,0))="B",$D396="AP07"),"NÃO (modelo B)","SIM")))</f>
        <v>SIM</v>
      </c>
      <c r="J396" s="13" t="s">
        <v>318</v>
      </c>
      <c r="K396" s="13"/>
    </row>
    <row r="397" customFormat="false" ht="15" hidden="false" customHeight="false" outlineLevel="0" collapsed="false">
      <c r="A397" s="15" t="s">
        <v>254</v>
      </c>
      <c r="B397" s="11" t="str">
        <f aca="false">INDEX(PRODUTOS!$E$4:$E$63,MATCH($A397,PRODUTOS!$B$4:$B$63,0))</f>
        <v>Palito Flex Natural Dots Hortelã 70 g</v>
      </c>
      <c r="C397" s="11" t="str">
        <f aca="false">INDEX(PRODUTOS!$H$4:$H$63,MATCH($A397,PRODUTOS!$B$4:$B$63,0))</f>
        <v>70 g</v>
      </c>
      <c r="D397" s="11" t="s">
        <v>319</v>
      </c>
      <c r="E397" s="16" t="str">
        <f aca="false">$A397&amp;"."&amp;$D397&amp;".jpg"</f>
        <v>7908591301113.AP02.jpg</v>
      </c>
      <c r="F397" s="11" t="str">
        <f aca="false">IF(INDEX(PRODUTOS!$I$4:$I$63,MATCH($A397,PRODUTOS!$B$4:$B$63,0))="B",INDEX(MODELOS!$F$4:$F$11,MATCH($D397,MODELOS!$A$4:$A$11,0)),INDEX(MODELOS!$B$4:$B$11,MATCH($D397,MODELOS!$A$4:$A$11,0)))</f>
        <v>Módulo 2 · Texto sobreposto</v>
      </c>
      <c r="G397" s="11" t="str">
        <f aca="false">IF(INDEX(PRODUTOS!$F$4:$F$63,MATCH($A397,PRODUTOS!$B$4:$B$63,0))="Ração",IF(INDEX(PRODUTOS!$I$4:$I$63,MATCH($A397,PRODUTOS!$B$4:$B$63,0))="B",INDEX(MODELOS!$G$4:$G$11,MATCH($D397,MODELOS!$A$4:$A$11,0)),INDEX(MODELOS!$C$4:$C$11,MATCH($D397,MODELOS!$A$4:$A$11,0))),IF(INDEX(PRODUTOS!$I$4:$I$63,MATCH($A397,PRODUTOS!$B$4:$B$63,0))="B",INDEX(MODELOS!$H$4:$H$11,MATCH($D397,MODELOS!$A$4:$A$11,0)),INDEX(MODELOS!$D$4:$D$11,MATCH($D397,MODELOS!$A$4:$A$11,0))))</f>
        <v>Principal diferencial; deixar o lado direito limpo</v>
      </c>
      <c r="H397" s="11" t="str">
        <f aca="false">IF(INDEX(PRODUTOS!$I$4:$I$63,MATCH($A397,PRODUTOS!$B$4:$B$63,0))="B",INDEX(MODELOS!$I$4:$I$11,MATCH($D397,MODELOS!$A$4:$A$11,0)),INDEX(MODELOS!$E$4:$E$11,MATCH($D397,MODELOS!$A$4:$A$11,0)))</f>
        <v>970 × 300</v>
      </c>
      <c r="I397" s="11" t="str">
        <f aca="false">IF($D397="COMP","SIM",IF(INDEX(PRODUTOS!$J$4:$J$63,MATCH($A397,PRODUTOS!$B$4:$B$63,0))&lt;&gt;"","NÃO (usa o A+ do EAN "&amp;INDEX(PRODUTOS!$J$4:$J$63,MATCH($A397,PRODUTOS!$B$4:$B$63,0))&amp;")",IF(AND(INDEX(PRODUTOS!$I$4:$I$63,MATCH($A397,PRODUTOS!$B$4:$B$63,0))="B",$D397="AP07"),"NÃO (modelo B)","SIM")))</f>
        <v>SIM</v>
      </c>
      <c r="J397" s="13" t="s">
        <v>318</v>
      </c>
      <c r="K397" s="13"/>
    </row>
    <row r="398" customFormat="false" ht="15" hidden="false" customHeight="false" outlineLevel="0" collapsed="false">
      <c r="A398" s="15" t="s">
        <v>254</v>
      </c>
      <c r="B398" s="11" t="str">
        <f aca="false">INDEX(PRODUTOS!$E$4:$E$63,MATCH($A398,PRODUTOS!$B$4:$B$63,0))</f>
        <v>Palito Flex Natural Dots Hortelã 70 g</v>
      </c>
      <c r="C398" s="11" t="str">
        <f aca="false">INDEX(PRODUTOS!$H$4:$H$63,MATCH($A398,PRODUTOS!$B$4:$B$63,0))</f>
        <v>70 g</v>
      </c>
      <c r="D398" s="11" t="s">
        <v>320</v>
      </c>
      <c r="E398" s="16" t="str">
        <f aca="false">$A398&amp;"."&amp;$D398&amp;".jpg"</f>
        <v>7908591301113.AP03.jpg</v>
      </c>
      <c r="F398" s="11" t="str">
        <f aca="false">IF(INDEX(PRODUTOS!$I$4:$I$63,MATCH($A398,PRODUTOS!$B$4:$B$63,0))="B",INDEX(MODELOS!$F$4:$F$11,MATCH($D398,MODELOS!$A$4:$A$11,0)),INDEX(MODELOS!$B$4:$B$11,MATCH($D398,MODELOS!$A$4:$A$11,0)))</f>
        <v>Módulo 3 · Benefício 1 de 4</v>
      </c>
      <c r="G398" s="11" t="str">
        <f aca="false">IF(INDEX(PRODUTOS!$F$4:$F$63,MATCH($A398,PRODUTOS!$B$4:$B$63,0))="Ração",IF(INDEX(PRODUTOS!$I$4:$I$63,MATCH($A398,PRODUTOS!$B$4:$B$63,0))="B",INDEX(MODELOS!$G$4:$G$11,MATCH($D398,MODELOS!$A$4:$A$11,0)),INDEX(MODELOS!$C$4:$C$11,MATCH($D398,MODELOS!$A$4:$A$11,0))),IF(INDEX(PRODUTOS!$I$4:$I$63,MATCH($A398,PRODUTOS!$B$4:$B$63,0))="B",INDEX(MODELOS!$H$4:$H$11,MATCH($D398,MODELOS!$A$4:$A$11,0)),INDEX(MODELOS!$D$4:$D$11,MATCH($D398,MODELOS!$A$4:$A$11,0))))</f>
        <v>Foto/ilustração do benefício 1</v>
      </c>
      <c r="H398" s="11" t="str">
        <f aca="false">IF(INDEX(PRODUTOS!$I$4:$I$63,MATCH($A398,PRODUTOS!$B$4:$B$63,0))="B",INDEX(MODELOS!$I$4:$I$11,MATCH($D398,MODELOS!$A$4:$A$11,0)),INDEX(MODELOS!$E$4:$E$11,MATCH($D398,MODELOS!$A$4:$A$11,0)))</f>
        <v>220 × 200</v>
      </c>
      <c r="I398" s="11" t="str">
        <f aca="false">IF($D398="COMP","SIM",IF(INDEX(PRODUTOS!$J$4:$J$63,MATCH($A398,PRODUTOS!$B$4:$B$63,0))&lt;&gt;"","NÃO (usa o A+ do EAN "&amp;INDEX(PRODUTOS!$J$4:$J$63,MATCH($A398,PRODUTOS!$B$4:$B$63,0))&amp;")",IF(AND(INDEX(PRODUTOS!$I$4:$I$63,MATCH($A398,PRODUTOS!$B$4:$B$63,0))="B",$D398="AP07"),"NÃO (modelo B)","SIM")))</f>
        <v>SIM</v>
      </c>
      <c r="J398" s="13" t="s">
        <v>318</v>
      </c>
      <c r="K398" s="13"/>
    </row>
    <row r="399" customFormat="false" ht="15" hidden="false" customHeight="false" outlineLevel="0" collapsed="false">
      <c r="A399" s="15" t="s">
        <v>254</v>
      </c>
      <c r="B399" s="11" t="str">
        <f aca="false">INDEX(PRODUTOS!$E$4:$E$63,MATCH($A399,PRODUTOS!$B$4:$B$63,0))</f>
        <v>Palito Flex Natural Dots Hortelã 70 g</v>
      </c>
      <c r="C399" s="11" t="str">
        <f aca="false">INDEX(PRODUTOS!$H$4:$H$63,MATCH($A399,PRODUTOS!$B$4:$B$63,0))</f>
        <v>70 g</v>
      </c>
      <c r="D399" s="11" t="s">
        <v>321</v>
      </c>
      <c r="E399" s="16" t="str">
        <f aca="false">$A399&amp;"."&amp;$D399&amp;".jpg"</f>
        <v>7908591301113.AP04.jpg</v>
      </c>
      <c r="F399" s="11" t="str">
        <f aca="false">IF(INDEX(PRODUTOS!$I$4:$I$63,MATCH($A399,PRODUTOS!$B$4:$B$63,0))="B",INDEX(MODELOS!$F$4:$F$11,MATCH($D399,MODELOS!$A$4:$A$11,0)),INDEX(MODELOS!$B$4:$B$11,MATCH($D399,MODELOS!$A$4:$A$11,0)))</f>
        <v>Módulo 3 · Benefício 2 de 4</v>
      </c>
      <c r="G399" s="11" t="str">
        <f aca="false">IF(INDEX(PRODUTOS!$F$4:$F$63,MATCH($A399,PRODUTOS!$B$4:$B$63,0))="Ração",IF(INDEX(PRODUTOS!$I$4:$I$63,MATCH($A399,PRODUTOS!$B$4:$B$63,0))="B",INDEX(MODELOS!$G$4:$G$11,MATCH($D399,MODELOS!$A$4:$A$11,0)),INDEX(MODELOS!$C$4:$C$11,MATCH($D399,MODELOS!$A$4:$A$11,0))),IF(INDEX(PRODUTOS!$I$4:$I$63,MATCH($A399,PRODUTOS!$B$4:$B$63,0))="B",INDEX(MODELOS!$H$4:$H$11,MATCH($D399,MODELOS!$A$4:$A$11,0)),INDEX(MODELOS!$D$4:$D$11,MATCH($D399,MODELOS!$A$4:$A$11,0))))</f>
        <v>Foto/ilustração do benefício 2</v>
      </c>
      <c r="H399" s="11" t="str">
        <f aca="false">IF(INDEX(PRODUTOS!$I$4:$I$63,MATCH($A399,PRODUTOS!$B$4:$B$63,0))="B",INDEX(MODELOS!$I$4:$I$11,MATCH($D399,MODELOS!$A$4:$A$11,0)),INDEX(MODELOS!$E$4:$E$11,MATCH($D399,MODELOS!$A$4:$A$11,0)))</f>
        <v>220 × 200</v>
      </c>
      <c r="I399" s="11" t="str">
        <f aca="false">IF($D399="COMP","SIM",IF(INDEX(PRODUTOS!$J$4:$J$63,MATCH($A399,PRODUTOS!$B$4:$B$63,0))&lt;&gt;"","NÃO (usa o A+ do EAN "&amp;INDEX(PRODUTOS!$J$4:$J$63,MATCH($A399,PRODUTOS!$B$4:$B$63,0))&amp;")",IF(AND(INDEX(PRODUTOS!$I$4:$I$63,MATCH($A399,PRODUTOS!$B$4:$B$63,0))="B",$D399="AP07"),"NÃO (modelo B)","SIM")))</f>
        <v>SIM</v>
      </c>
      <c r="J399" s="13" t="s">
        <v>318</v>
      </c>
      <c r="K399" s="13"/>
    </row>
    <row r="400" customFormat="false" ht="15" hidden="false" customHeight="false" outlineLevel="0" collapsed="false">
      <c r="A400" s="15" t="s">
        <v>254</v>
      </c>
      <c r="B400" s="11" t="str">
        <f aca="false">INDEX(PRODUTOS!$E$4:$E$63,MATCH($A400,PRODUTOS!$B$4:$B$63,0))</f>
        <v>Palito Flex Natural Dots Hortelã 70 g</v>
      </c>
      <c r="C400" s="11" t="str">
        <f aca="false">INDEX(PRODUTOS!$H$4:$H$63,MATCH($A400,PRODUTOS!$B$4:$B$63,0))</f>
        <v>70 g</v>
      </c>
      <c r="D400" s="11" t="s">
        <v>322</v>
      </c>
      <c r="E400" s="16" t="str">
        <f aca="false">$A400&amp;"."&amp;$D400&amp;".jpg"</f>
        <v>7908591301113.AP05.jpg</v>
      </c>
      <c r="F400" s="11" t="str">
        <f aca="false">IF(INDEX(PRODUTOS!$I$4:$I$63,MATCH($A400,PRODUTOS!$B$4:$B$63,0))="B",INDEX(MODELOS!$F$4:$F$11,MATCH($D400,MODELOS!$A$4:$A$11,0)),INDEX(MODELOS!$B$4:$B$11,MATCH($D400,MODELOS!$A$4:$A$11,0)))</f>
        <v>Módulo 3 · Benefício 3 de 4</v>
      </c>
      <c r="G400" s="11" t="str">
        <f aca="false">IF(INDEX(PRODUTOS!$F$4:$F$63,MATCH($A400,PRODUTOS!$B$4:$B$63,0))="Ração",IF(INDEX(PRODUTOS!$I$4:$I$63,MATCH($A400,PRODUTOS!$B$4:$B$63,0))="B",INDEX(MODELOS!$G$4:$G$11,MATCH($D400,MODELOS!$A$4:$A$11,0)),INDEX(MODELOS!$C$4:$C$11,MATCH($D400,MODELOS!$A$4:$A$11,0))),IF(INDEX(PRODUTOS!$I$4:$I$63,MATCH($A400,PRODUTOS!$B$4:$B$63,0))="B",INDEX(MODELOS!$H$4:$H$11,MATCH($D400,MODELOS!$A$4:$A$11,0)),INDEX(MODELOS!$D$4:$D$11,MATCH($D400,MODELOS!$A$4:$A$11,0))))</f>
        <v>Foto/ilustração do benefício 3</v>
      </c>
      <c r="H400" s="11" t="str">
        <f aca="false">IF(INDEX(PRODUTOS!$I$4:$I$63,MATCH($A400,PRODUTOS!$B$4:$B$63,0))="B",INDEX(MODELOS!$I$4:$I$11,MATCH($D400,MODELOS!$A$4:$A$11,0)),INDEX(MODELOS!$E$4:$E$11,MATCH($D400,MODELOS!$A$4:$A$11,0)))</f>
        <v>220 × 200</v>
      </c>
      <c r="I400" s="11" t="str">
        <f aca="false">IF($D400="COMP","SIM",IF(INDEX(PRODUTOS!$J$4:$J$63,MATCH($A400,PRODUTOS!$B$4:$B$63,0))&lt;&gt;"","NÃO (usa o A+ do EAN "&amp;INDEX(PRODUTOS!$J$4:$J$63,MATCH($A400,PRODUTOS!$B$4:$B$63,0))&amp;")",IF(AND(INDEX(PRODUTOS!$I$4:$I$63,MATCH($A400,PRODUTOS!$B$4:$B$63,0))="B",$D400="AP07"),"NÃO (modelo B)","SIM")))</f>
        <v>SIM</v>
      </c>
      <c r="J400" s="13" t="s">
        <v>318</v>
      </c>
      <c r="K400" s="13"/>
    </row>
    <row r="401" customFormat="false" ht="15" hidden="false" customHeight="false" outlineLevel="0" collapsed="false">
      <c r="A401" s="15" t="s">
        <v>254</v>
      </c>
      <c r="B401" s="11" t="str">
        <f aca="false">INDEX(PRODUTOS!$E$4:$E$63,MATCH($A401,PRODUTOS!$B$4:$B$63,0))</f>
        <v>Palito Flex Natural Dots Hortelã 70 g</v>
      </c>
      <c r="C401" s="11" t="str">
        <f aca="false">INDEX(PRODUTOS!$H$4:$H$63,MATCH($A401,PRODUTOS!$B$4:$B$63,0))</f>
        <v>70 g</v>
      </c>
      <c r="D401" s="11" t="s">
        <v>323</v>
      </c>
      <c r="E401" s="16" t="str">
        <f aca="false">$A401&amp;"."&amp;$D401&amp;".jpg"</f>
        <v>7908591301113.AP06.jpg</v>
      </c>
      <c r="F401" s="11" t="str">
        <f aca="false">IF(INDEX(PRODUTOS!$I$4:$I$63,MATCH($A401,PRODUTOS!$B$4:$B$63,0))="B",INDEX(MODELOS!$F$4:$F$11,MATCH($D401,MODELOS!$A$4:$A$11,0)),INDEX(MODELOS!$B$4:$B$11,MATCH($D401,MODELOS!$A$4:$A$11,0)))</f>
        <v>Módulo 3 · Benefício 4 de 4</v>
      </c>
      <c r="G401" s="11" t="str">
        <f aca="false">IF(INDEX(PRODUTOS!$F$4:$F$63,MATCH($A401,PRODUTOS!$B$4:$B$63,0))="Ração",IF(INDEX(PRODUTOS!$I$4:$I$63,MATCH($A401,PRODUTOS!$B$4:$B$63,0))="B",INDEX(MODELOS!$G$4:$G$11,MATCH($D401,MODELOS!$A$4:$A$11,0)),INDEX(MODELOS!$C$4:$C$11,MATCH($D401,MODELOS!$A$4:$A$11,0))),IF(INDEX(PRODUTOS!$I$4:$I$63,MATCH($A401,PRODUTOS!$B$4:$B$63,0))="B",INDEX(MODELOS!$H$4:$H$11,MATCH($D401,MODELOS!$A$4:$A$11,0)),INDEX(MODELOS!$D$4:$D$11,MATCH($D401,MODELOS!$A$4:$A$11,0))))</f>
        <v>Foto/ilustração do benefício 4</v>
      </c>
      <c r="H401" s="11" t="str">
        <f aca="false">IF(INDEX(PRODUTOS!$I$4:$I$63,MATCH($A401,PRODUTOS!$B$4:$B$63,0))="B",INDEX(MODELOS!$I$4:$I$11,MATCH($D401,MODELOS!$A$4:$A$11,0)),INDEX(MODELOS!$E$4:$E$11,MATCH($D401,MODELOS!$A$4:$A$11,0)))</f>
        <v>220 × 200</v>
      </c>
      <c r="I401" s="11" t="str">
        <f aca="false">IF($D401="COMP","SIM",IF(INDEX(PRODUTOS!$J$4:$J$63,MATCH($A401,PRODUTOS!$B$4:$B$63,0))&lt;&gt;"","NÃO (usa o A+ do EAN "&amp;INDEX(PRODUTOS!$J$4:$J$63,MATCH($A401,PRODUTOS!$B$4:$B$63,0))&amp;")",IF(AND(INDEX(PRODUTOS!$I$4:$I$63,MATCH($A401,PRODUTOS!$B$4:$B$63,0))="B",$D401="AP07"),"NÃO (modelo B)","SIM")))</f>
        <v>SIM</v>
      </c>
      <c r="J401" s="13" t="s">
        <v>318</v>
      </c>
      <c r="K401" s="13"/>
    </row>
    <row r="402" customFormat="false" ht="15" hidden="false" customHeight="false" outlineLevel="0" collapsed="false">
      <c r="A402" s="15" t="s">
        <v>254</v>
      </c>
      <c r="B402" s="11" t="str">
        <f aca="false">INDEX(PRODUTOS!$E$4:$E$63,MATCH($A402,PRODUTOS!$B$4:$B$63,0))</f>
        <v>Palito Flex Natural Dots Hortelã 70 g</v>
      </c>
      <c r="C402" s="11" t="str">
        <f aca="false">INDEX(PRODUTOS!$H$4:$H$63,MATCH($A402,PRODUTOS!$B$4:$B$63,0))</f>
        <v>70 g</v>
      </c>
      <c r="D402" s="11" t="s">
        <v>324</v>
      </c>
      <c r="E402" s="16" t="str">
        <f aca="false">$A402&amp;"."&amp;$D402&amp;".jpg"</f>
        <v>7908591301113.AP07.jpg</v>
      </c>
      <c r="F402" s="11" t="str">
        <f aca="false">IF(INDEX(PRODUTOS!$I$4:$I$63,MATCH($A402,PRODUTOS!$B$4:$B$63,0))="B",INDEX(MODELOS!$F$4:$F$11,MATCH($D402,MODELOS!$A$4:$A$11,0)),INDEX(MODELOS!$B$4:$B$11,MATCH($D402,MODELOS!$A$4:$A$11,0)))</f>
        <v>Módulo 4 · Especificações</v>
      </c>
      <c r="G402" s="11" t="str">
        <f aca="false">IF(INDEX(PRODUTOS!$F$4:$F$63,MATCH($A402,PRODUTOS!$B$4:$B$63,0))="Ração",IF(INDEX(PRODUTOS!$I$4:$I$63,MATCH($A402,PRODUTOS!$B$4:$B$63,0))="B",INDEX(MODELOS!$G$4:$G$11,MATCH($D402,MODELOS!$A$4:$A$11,0)),INDEX(MODELOS!$C$4:$C$11,MATCH($D402,MODELOS!$A$4:$A$11,0))),IF(INDEX(PRODUTOS!$I$4:$I$63,MATCH($A402,PRODUTOS!$B$4:$B$63,0))="B",INDEX(MODELOS!$H$4:$H$11,MATCH($D402,MODELOS!$A$4:$A$11,0)),INDEX(MODELOS!$D$4:$D$11,MATCH($D402,MODELOS!$A$4:$A$11,0))))</f>
        <v>Produto em destaque</v>
      </c>
      <c r="H402" s="11" t="str">
        <f aca="false">IF(INDEX(PRODUTOS!$I$4:$I$63,MATCH($A402,PRODUTOS!$B$4:$B$63,0))="B",INDEX(MODELOS!$I$4:$I$11,MATCH($D402,MODELOS!$A$4:$A$11,0)),INDEX(MODELOS!$E$4:$E$11,MATCH($D402,MODELOS!$A$4:$A$11,0)))</f>
        <v>300 × 300</v>
      </c>
      <c r="I402" s="11" t="str">
        <f aca="false">IF($D402="COMP","SIM",IF(INDEX(PRODUTOS!$J$4:$J$63,MATCH($A402,PRODUTOS!$B$4:$B$63,0))&lt;&gt;"","NÃO (usa o A+ do EAN "&amp;INDEX(PRODUTOS!$J$4:$J$63,MATCH($A402,PRODUTOS!$B$4:$B$63,0))&amp;")",IF(AND(INDEX(PRODUTOS!$I$4:$I$63,MATCH($A402,PRODUTOS!$B$4:$B$63,0))="B",$D402="AP07"),"NÃO (modelo B)","SIM")))</f>
        <v>SIM</v>
      </c>
      <c r="J402" s="13" t="s">
        <v>318</v>
      </c>
      <c r="K402" s="13"/>
    </row>
    <row r="403" customFormat="false" ht="15" hidden="false" customHeight="false" outlineLevel="0" collapsed="false">
      <c r="A403" s="15" t="s">
        <v>254</v>
      </c>
      <c r="B403" s="11" t="str">
        <f aca="false">INDEX(PRODUTOS!$E$4:$E$63,MATCH($A403,PRODUTOS!$B$4:$B$63,0))</f>
        <v>Palito Flex Natural Dots Hortelã 70 g</v>
      </c>
      <c r="C403" s="11" t="str">
        <f aca="false">INDEX(PRODUTOS!$H$4:$H$63,MATCH($A403,PRODUTOS!$B$4:$B$63,0))</f>
        <v>70 g</v>
      </c>
      <c r="D403" s="11" t="s">
        <v>325</v>
      </c>
      <c r="E403" s="16" t="str">
        <f aca="false">$A403&amp;"."&amp;$D403&amp;".jpg"</f>
        <v>7908591301113.COMP.jpg</v>
      </c>
      <c r="F403" s="11" t="str">
        <f aca="false">IF(INDEX(PRODUTOS!$I$4:$I$63,MATCH($A403,PRODUTOS!$B$4:$B$63,0))="B",INDEX(MODELOS!$F$4:$F$11,MATCH($D403,MODELOS!$A$4:$A$11,0)),INDEX(MODELOS!$B$4:$B$11,MATCH($D403,MODELOS!$A$4:$A$11,0)))</f>
        <v>Módulo 5 · Tabela comparativa</v>
      </c>
      <c r="G403" s="11" t="str">
        <f aca="false">IF(INDEX(PRODUTOS!$F$4:$F$63,MATCH($A403,PRODUTOS!$B$4:$B$63,0))="Ração",IF(INDEX(PRODUTOS!$I$4:$I$63,MATCH($A403,PRODUTOS!$B$4:$B$63,0))="B",INDEX(MODELOS!$G$4:$G$11,MATCH($D403,MODELOS!$A$4:$A$11,0)),INDEX(MODELOS!$C$4:$C$11,MATCH($D403,MODELOS!$A$4:$A$11,0))),IF(INDEX(PRODUTOS!$I$4:$I$63,MATCH($A403,PRODUTOS!$B$4:$B$63,0))="B",INDEX(MODELOS!$H$4:$H$11,MATCH($D403,MODELOS!$A$4:$A$11,0)),INDEX(MODELOS!$D$4:$D$11,MATCH($D403,MODELOS!$A$4:$A$11,0))))</f>
        <v>Produto na vertical, sem fundo colorido</v>
      </c>
      <c r="H403" s="11" t="str">
        <f aca="false">IF(INDEX(PRODUTOS!$I$4:$I$63,MATCH($A403,PRODUTOS!$B$4:$B$63,0))="B",INDEX(MODELOS!$I$4:$I$11,MATCH($D403,MODELOS!$A$4:$A$11,0)),INDEX(MODELOS!$E$4:$E$11,MATCH($D403,MODELOS!$A$4:$A$11,0)))</f>
        <v>150 × 300</v>
      </c>
      <c r="I403" s="11" t="str">
        <f aca="false">IF($D403="COMP","SIM",IF(INDEX(PRODUTOS!$J$4:$J$63,MATCH($A403,PRODUTOS!$B$4:$B$63,0))&lt;&gt;"","NÃO (usa o A+ do EAN "&amp;INDEX(PRODUTOS!$J$4:$J$63,MATCH($A403,PRODUTOS!$B$4:$B$63,0))&amp;")",IF(AND(INDEX(PRODUTOS!$I$4:$I$63,MATCH($A403,PRODUTOS!$B$4:$B$63,0))="B",$D403="AP07"),"NÃO (modelo B)","SIM")))</f>
        <v>SIM</v>
      </c>
      <c r="J403" s="13" t="s">
        <v>318</v>
      </c>
      <c r="K403" s="13"/>
    </row>
    <row r="404" customFormat="false" ht="15" hidden="false" customHeight="false" outlineLevel="0" collapsed="false">
      <c r="A404" s="15" t="s">
        <v>259</v>
      </c>
      <c r="B404" s="11" t="str">
        <f aca="false">INDEX(PRODUTOS!$E$4:$E$63,MATCH($A404,PRODUTOS!$B$4:$B$63,0))</f>
        <v>Palito Flex Natural Dots Leite 70 g</v>
      </c>
      <c r="C404" s="11" t="str">
        <f aca="false">INDEX(PRODUTOS!$H$4:$H$63,MATCH($A404,PRODUTOS!$B$4:$B$63,0))</f>
        <v>70 g</v>
      </c>
      <c r="D404" s="11" t="s">
        <v>317</v>
      </c>
      <c r="E404" s="16" t="str">
        <f aca="false">$A404&amp;"."&amp;$D404&amp;".jpg"</f>
        <v>7908591301120.AP01.jpg</v>
      </c>
      <c r="F404" s="11" t="str">
        <f aca="false">IF(INDEX(PRODUTOS!$I$4:$I$63,MATCH($A404,PRODUTOS!$B$4:$B$63,0))="B",INDEX(MODELOS!$F$4:$F$11,MATCH($D404,MODELOS!$A$4:$A$11,0)),INDEX(MODELOS!$B$4:$B$11,MATCH($D404,MODELOS!$A$4:$A$11,0)))</f>
        <v>Módulo 1 · Banner</v>
      </c>
      <c r="G404" s="11" t="str">
        <f aca="false">IF(INDEX(PRODUTOS!$F$4:$F$63,MATCH($A404,PRODUTOS!$B$4:$B$63,0))="Ração",IF(INDEX(PRODUTOS!$I$4:$I$63,MATCH($A404,PRODUTOS!$B$4:$B$63,0))="B",INDEX(MODELOS!$G$4:$G$11,MATCH($D404,MODELOS!$A$4:$A$11,0)),INDEX(MODELOS!$C$4:$C$11,MATCH($D404,MODELOS!$A$4:$A$11,0))),IF(INDEX(PRODUTOS!$I$4:$I$63,MATCH($A404,PRODUTOS!$B$4:$B$63,0))="B",INDEX(MODELOS!$H$4:$H$11,MATCH($D404,MODELOS!$A$4:$A$11,0)),INDEX(MODELOS!$D$4:$D$11,MATCH($D404,MODELOS!$A$4:$A$11,0))))</f>
        <v>Produto + pet, com o nome da linha</v>
      </c>
      <c r="H404" s="11" t="str">
        <f aca="false">IF(INDEX(PRODUTOS!$I$4:$I$63,MATCH($A404,PRODUTOS!$B$4:$B$63,0))="B",INDEX(MODELOS!$I$4:$I$11,MATCH($D404,MODELOS!$A$4:$A$11,0)),INDEX(MODELOS!$E$4:$E$11,MATCH($D404,MODELOS!$A$4:$A$11,0)))</f>
        <v>970 × 600</v>
      </c>
      <c r="I404" s="11" t="str">
        <f aca="false">IF($D404="COMP","SIM",IF(INDEX(PRODUTOS!$J$4:$J$63,MATCH($A404,PRODUTOS!$B$4:$B$63,0))&lt;&gt;"","NÃO (usa o A+ do EAN "&amp;INDEX(PRODUTOS!$J$4:$J$63,MATCH($A404,PRODUTOS!$B$4:$B$63,0))&amp;")",IF(AND(INDEX(PRODUTOS!$I$4:$I$63,MATCH($A404,PRODUTOS!$B$4:$B$63,0))="B",$D404="AP07"),"NÃO (modelo B)","SIM")))</f>
        <v>SIM</v>
      </c>
      <c r="J404" s="13" t="s">
        <v>318</v>
      </c>
      <c r="K404" s="13"/>
    </row>
    <row r="405" customFormat="false" ht="15" hidden="false" customHeight="false" outlineLevel="0" collapsed="false">
      <c r="A405" s="15" t="s">
        <v>259</v>
      </c>
      <c r="B405" s="11" t="str">
        <f aca="false">INDEX(PRODUTOS!$E$4:$E$63,MATCH($A405,PRODUTOS!$B$4:$B$63,0))</f>
        <v>Palito Flex Natural Dots Leite 70 g</v>
      </c>
      <c r="C405" s="11" t="str">
        <f aca="false">INDEX(PRODUTOS!$H$4:$H$63,MATCH($A405,PRODUTOS!$B$4:$B$63,0))</f>
        <v>70 g</v>
      </c>
      <c r="D405" s="11" t="s">
        <v>319</v>
      </c>
      <c r="E405" s="16" t="str">
        <f aca="false">$A405&amp;"."&amp;$D405&amp;".jpg"</f>
        <v>7908591301120.AP02.jpg</v>
      </c>
      <c r="F405" s="11" t="str">
        <f aca="false">IF(INDEX(PRODUTOS!$I$4:$I$63,MATCH($A405,PRODUTOS!$B$4:$B$63,0))="B",INDEX(MODELOS!$F$4:$F$11,MATCH($D405,MODELOS!$A$4:$A$11,0)),INDEX(MODELOS!$B$4:$B$11,MATCH($D405,MODELOS!$A$4:$A$11,0)))</f>
        <v>Módulo 2 · Texto sobreposto</v>
      </c>
      <c r="G405" s="11" t="str">
        <f aca="false">IF(INDEX(PRODUTOS!$F$4:$F$63,MATCH($A405,PRODUTOS!$B$4:$B$63,0))="Ração",IF(INDEX(PRODUTOS!$I$4:$I$63,MATCH($A405,PRODUTOS!$B$4:$B$63,0))="B",INDEX(MODELOS!$G$4:$G$11,MATCH($D405,MODELOS!$A$4:$A$11,0)),INDEX(MODELOS!$C$4:$C$11,MATCH($D405,MODELOS!$A$4:$A$11,0))),IF(INDEX(PRODUTOS!$I$4:$I$63,MATCH($A405,PRODUTOS!$B$4:$B$63,0))="B",INDEX(MODELOS!$H$4:$H$11,MATCH($D405,MODELOS!$A$4:$A$11,0)),INDEX(MODELOS!$D$4:$D$11,MATCH($D405,MODELOS!$A$4:$A$11,0))))</f>
        <v>Principal diferencial; deixar o lado direito limpo</v>
      </c>
      <c r="H405" s="11" t="str">
        <f aca="false">IF(INDEX(PRODUTOS!$I$4:$I$63,MATCH($A405,PRODUTOS!$B$4:$B$63,0))="B",INDEX(MODELOS!$I$4:$I$11,MATCH($D405,MODELOS!$A$4:$A$11,0)),INDEX(MODELOS!$E$4:$E$11,MATCH($D405,MODELOS!$A$4:$A$11,0)))</f>
        <v>970 × 300</v>
      </c>
      <c r="I405" s="11" t="str">
        <f aca="false">IF($D405="COMP","SIM",IF(INDEX(PRODUTOS!$J$4:$J$63,MATCH($A405,PRODUTOS!$B$4:$B$63,0))&lt;&gt;"","NÃO (usa o A+ do EAN "&amp;INDEX(PRODUTOS!$J$4:$J$63,MATCH($A405,PRODUTOS!$B$4:$B$63,0))&amp;")",IF(AND(INDEX(PRODUTOS!$I$4:$I$63,MATCH($A405,PRODUTOS!$B$4:$B$63,0))="B",$D405="AP07"),"NÃO (modelo B)","SIM")))</f>
        <v>SIM</v>
      </c>
      <c r="J405" s="13" t="s">
        <v>318</v>
      </c>
      <c r="K405" s="13"/>
    </row>
    <row r="406" customFormat="false" ht="15" hidden="false" customHeight="false" outlineLevel="0" collapsed="false">
      <c r="A406" s="15" t="s">
        <v>259</v>
      </c>
      <c r="B406" s="11" t="str">
        <f aca="false">INDEX(PRODUTOS!$E$4:$E$63,MATCH($A406,PRODUTOS!$B$4:$B$63,0))</f>
        <v>Palito Flex Natural Dots Leite 70 g</v>
      </c>
      <c r="C406" s="11" t="str">
        <f aca="false">INDEX(PRODUTOS!$H$4:$H$63,MATCH($A406,PRODUTOS!$B$4:$B$63,0))</f>
        <v>70 g</v>
      </c>
      <c r="D406" s="11" t="s">
        <v>320</v>
      </c>
      <c r="E406" s="16" t="str">
        <f aca="false">$A406&amp;"."&amp;$D406&amp;".jpg"</f>
        <v>7908591301120.AP03.jpg</v>
      </c>
      <c r="F406" s="11" t="str">
        <f aca="false">IF(INDEX(PRODUTOS!$I$4:$I$63,MATCH($A406,PRODUTOS!$B$4:$B$63,0))="B",INDEX(MODELOS!$F$4:$F$11,MATCH($D406,MODELOS!$A$4:$A$11,0)),INDEX(MODELOS!$B$4:$B$11,MATCH($D406,MODELOS!$A$4:$A$11,0)))</f>
        <v>Módulo 3 · Benefício 1 de 4</v>
      </c>
      <c r="G406" s="11" t="str">
        <f aca="false">IF(INDEX(PRODUTOS!$F$4:$F$63,MATCH($A406,PRODUTOS!$B$4:$B$63,0))="Ração",IF(INDEX(PRODUTOS!$I$4:$I$63,MATCH($A406,PRODUTOS!$B$4:$B$63,0))="B",INDEX(MODELOS!$G$4:$G$11,MATCH($D406,MODELOS!$A$4:$A$11,0)),INDEX(MODELOS!$C$4:$C$11,MATCH($D406,MODELOS!$A$4:$A$11,0))),IF(INDEX(PRODUTOS!$I$4:$I$63,MATCH($A406,PRODUTOS!$B$4:$B$63,0))="B",INDEX(MODELOS!$H$4:$H$11,MATCH($D406,MODELOS!$A$4:$A$11,0)),INDEX(MODELOS!$D$4:$D$11,MATCH($D406,MODELOS!$A$4:$A$11,0))))</f>
        <v>Foto/ilustração do benefício 1</v>
      </c>
      <c r="H406" s="11" t="str">
        <f aca="false">IF(INDEX(PRODUTOS!$I$4:$I$63,MATCH($A406,PRODUTOS!$B$4:$B$63,0))="B",INDEX(MODELOS!$I$4:$I$11,MATCH($D406,MODELOS!$A$4:$A$11,0)),INDEX(MODELOS!$E$4:$E$11,MATCH($D406,MODELOS!$A$4:$A$11,0)))</f>
        <v>220 × 200</v>
      </c>
      <c r="I406" s="11" t="str">
        <f aca="false">IF($D406="COMP","SIM",IF(INDEX(PRODUTOS!$J$4:$J$63,MATCH($A406,PRODUTOS!$B$4:$B$63,0))&lt;&gt;"","NÃO (usa o A+ do EAN "&amp;INDEX(PRODUTOS!$J$4:$J$63,MATCH($A406,PRODUTOS!$B$4:$B$63,0))&amp;")",IF(AND(INDEX(PRODUTOS!$I$4:$I$63,MATCH($A406,PRODUTOS!$B$4:$B$63,0))="B",$D406="AP07"),"NÃO (modelo B)","SIM")))</f>
        <v>SIM</v>
      </c>
      <c r="J406" s="13" t="s">
        <v>318</v>
      </c>
      <c r="K406" s="13"/>
    </row>
    <row r="407" customFormat="false" ht="15" hidden="false" customHeight="false" outlineLevel="0" collapsed="false">
      <c r="A407" s="15" t="s">
        <v>259</v>
      </c>
      <c r="B407" s="11" t="str">
        <f aca="false">INDEX(PRODUTOS!$E$4:$E$63,MATCH($A407,PRODUTOS!$B$4:$B$63,0))</f>
        <v>Palito Flex Natural Dots Leite 70 g</v>
      </c>
      <c r="C407" s="11" t="str">
        <f aca="false">INDEX(PRODUTOS!$H$4:$H$63,MATCH($A407,PRODUTOS!$B$4:$B$63,0))</f>
        <v>70 g</v>
      </c>
      <c r="D407" s="11" t="s">
        <v>321</v>
      </c>
      <c r="E407" s="16" t="str">
        <f aca="false">$A407&amp;"."&amp;$D407&amp;".jpg"</f>
        <v>7908591301120.AP04.jpg</v>
      </c>
      <c r="F407" s="11" t="str">
        <f aca="false">IF(INDEX(PRODUTOS!$I$4:$I$63,MATCH($A407,PRODUTOS!$B$4:$B$63,0))="B",INDEX(MODELOS!$F$4:$F$11,MATCH($D407,MODELOS!$A$4:$A$11,0)),INDEX(MODELOS!$B$4:$B$11,MATCH($D407,MODELOS!$A$4:$A$11,0)))</f>
        <v>Módulo 3 · Benefício 2 de 4</v>
      </c>
      <c r="G407" s="11" t="str">
        <f aca="false">IF(INDEX(PRODUTOS!$F$4:$F$63,MATCH($A407,PRODUTOS!$B$4:$B$63,0))="Ração",IF(INDEX(PRODUTOS!$I$4:$I$63,MATCH($A407,PRODUTOS!$B$4:$B$63,0))="B",INDEX(MODELOS!$G$4:$G$11,MATCH($D407,MODELOS!$A$4:$A$11,0)),INDEX(MODELOS!$C$4:$C$11,MATCH($D407,MODELOS!$A$4:$A$11,0))),IF(INDEX(PRODUTOS!$I$4:$I$63,MATCH($A407,PRODUTOS!$B$4:$B$63,0))="B",INDEX(MODELOS!$H$4:$H$11,MATCH($D407,MODELOS!$A$4:$A$11,0)),INDEX(MODELOS!$D$4:$D$11,MATCH($D407,MODELOS!$A$4:$A$11,0))))</f>
        <v>Foto/ilustração do benefício 2</v>
      </c>
      <c r="H407" s="11" t="str">
        <f aca="false">IF(INDEX(PRODUTOS!$I$4:$I$63,MATCH($A407,PRODUTOS!$B$4:$B$63,0))="B",INDEX(MODELOS!$I$4:$I$11,MATCH($D407,MODELOS!$A$4:$A$11,0)),INDEX(MODELOS!$E$4:$E$11,MATCH($D407,MODELOS!$A$4:$A$11,0)))</f>
        <v>220 × 200</v>
      </c>
      <c r="I407" s="11" t="str">
        <f aca="false">IF($D407="COMP","SIM",IF(INDEX(PRODUTOS!$J$4:$J$63,MATCH($A407,PRODUTOS!$B$4:$B$63,0))&lt;&gt;"","NÃO (usa o A+ do EAN "&amp;INDEX(PRODUTOS!$J$4:$J$63,MATCH($A407,PRODUTOS!$B$4:$B$63,0))&amp;")",IF(AND(INDEX(PRODUTOS!$I$4:$I$63,MATCH($A407,PRODUTOS!$B$4:$B$63,0))="B",$D407="AP07"),"NÃO (modelo B)","SIM")))</f>
        <v>SIM</v>
      </c>
      <c r="J407" s="13" t="s">
        <v>318</v>
      </c>
      <c r="K407" s="13"/>
    </row>
    <row r="408" customFormat="false" ht="15" hidden="false" customHeight="false" outlineLevel="0" collapsed="false">
      <c r="A408" s="15" t="s">
        <v>259</v>
      </c>
      <c r="B408" s="11" t="str">
        <f aca="false">INDEX(PRODUTOS!$E$4:$E$63,MATCH($A408,PRODUTOS!$B$4:$B$63,0))</f>
        <v>Palito Flex Natural Dots Leite 70 g</v>
      </c>
      <c r="C408" s="11" t="str">
        <f aca="false">INDEX(PRODUTOS!$H$4:$H$63,MATCH($A408,PRODUTOS!$B$4:$B$63,0))</f>
        <v>70 g</v>
      </c>
      <c r="D408" s="11" t="s">
        <v>322</v>
      </c>
      <c r="E408" s="16" t="str">
        <f aca="false">$A408&amp;"."&amp;$D408&amp;".jpg"</f>
        <v>7908591301120.AP05.jpg</v>
      </c>
      <c r="F408" s="11" t="str">
        <f aca="false">IF(INDEX(PRODUTOS!$I$4:$I$63,MATCH($A408,PRODUTOS!$B$4:$B$63,0))="B",INDEX(MODELOS!$F$4:$F$11,MATCH($D408,MODELOS!$A$4:$A$11,0)),INDEX(MODELOS!$B$4:$B$11,MATCH($D408,MODELOS!$A$4:$A$11,0)))</f>
        <v>Módulo 3 · Benefício 3 de 4</v>
      </c>
      <c r="G408" s="11" t="str">
        <f aca="false">IF(INDEX(PRODUTOS!$F$4:$F$63,MATCH($A408,PRODUTOS!$B$4:$B$63,0))="Ração",IF(INDEX(PRODUTOS!$I$4:$I$63,MATCH($A408,PRODUTOS!$B$4:$B$63,0))="B",INDEX(MODELOS!$G$4:$G$11,MATCH($D408,MODELOS!$A$4:$A$11,0)),INDEX(MODELOS!$C$4:$C$11,MATCH($D408,MODELOS!$A$4:$A$11,0))),IF(INDEX(PRODUTOS!$I$4:$I$63,MATCH($A408,PRODUTOS!$B$4:$B$63,0))="B",INDEX(MODELOS!$H$4:$H$11,MATCH($D408,MODELOS!$A$4:$A$11,0)),INDEX(MODELOS!$D$4:$D$11,MATCH($D408,MODELOS!$A$4:$A$11,0))))</f>
        <v>Foto/ilustração do benefício 3</v>
      </c>
      <c r="H408" s="11" t="str">
        <f aca="false">IF(INDEX(PRODUTOS!$I$4:$I$63,MATCH($A408,PRODUTOS!$B$4:$B$63,0))="B",INDEX(MODELOS!$I$4:$I$11,MATCH($D408,MODELOS!$A$4:$A$11,0)),INDEX(MODELOS!$E$4:$E$11,MATCH($D408,MODELOS!$A$4:$A$11,0)))</f>
        <v>220 × 200</v>
      </c>
      <c r="I408" s="11" t="str">
        <f aca="false">IF($D408="COMP","SIM",IF(INDEX(PRODUTOS!$J$4:$J$63,MATCH($A408,PRODUTOS!$B$4:$B$63,0))&lt;&gt;"","NÃO (usa o A+ do EAN "&amp;INDEX(PRODUTOS!$J$4:$J$63,MATCH($A408,PRODUTOS!$B$4:$B$63,0))&amp;")",IF(AND(INDEX(PRODUTOS!$I$4:$I$63,MATCH($A408,PRODUTOS!$B$4:$B$63,0))="B",$D408="AP07"),"NÃO (modelo B)","SIM")))</f>
        <v>SIM</v>
      </c>
      <c r="J408" s="13" t="s">
        <v>318</v>
      </c>
      <c r="K408" s="13"/>
    </row>
    <row r="409" customFormat="false" ht="15" hidden="false" customHeight="false" outlineLevel="0" collapsed="false">
      <c r="A409" s="15" t="s">
        <v>259</v>
      </c>
      <c r="B409" s="11" t="str">
        <f aca="false">INDEX(PRODUTOS!$E$4:$E$63,MATCH($A409,PRODUTOS!$B$4:$B$63,0))</f>
        <v>Palito Flex Natural Dots Leite 70 g</v>
      </c>
      <c r="C409" s="11" t="str">
        <f aca="false">INDEX(PRODUTOS!$H$4:$H$63,MATCH($A409,PRODUTOS!$B$4:$B$63,0))</f>
        <v>70 g</v>
      </c>
      <c r="D409" s="11" t="s">
        <v>323</v>
      </c>
      <c r="E409" s="16" t="str">
        <f aca="false">$A409&amp;"."&amp;$D409&amp;".jpg"</f>
        <v>7908591301120.AP06.jpg</v>
      </c>
      <c r="F409" s="11" t="str">
        <f aca="false">IF(INDEX(PRODUTOS!$I$4:$I$63,MATCH($A409,PRODUTOS!$B$4:$B$63,0))="B",INDEX(MODELOS!$F$4:$F$11,MATCH($D409,MODELOS!$A$4:$A$11,0)),INDEX(MODELOS!$B$4:$B$11,MATCH($D409,MODELOS!$A$4:$A$11,0)))</f>
        <v>Módulo 3 · Benefício 4 de 4</v>
      </c>
      <c r="G409" s="11" t="str">
        <f aca="false">IF(INDEX(PRODUTOS!$F$4:$F$63,MATCH($A409,PRODUTOS!$B$4:$B$63,0))="Ração",IF(INDEX(PRODUTOS!$I$4:$I$63,MATCH($A409,PRODUTOS!$B$4:$B$63,0))="B",INDEX(MODELOS!$G$4:$G$11,MATCH($D409,MODELOS!$A$4:$A$11,0)),INDEX(MODELOS!$C$4:$C$11,MATCH($D409,MODELOS!$A$4:$A$11,0))),IF(INDEX(PRODUTOS!$I$4:$I$63,MATCH($A409,PRODUTOS!$B$4:$B$63,0))="B",INDEX(MODELOS!$H$4:$H$11,MATCH($D409,MODELOS!$A$4:$A$11,0)),INDEX(MODELOS!$D$4:$D$11,MATCH($D409,MODELOS!$A$4:$A$11,0))))</f>
        <v>Foto/ilustração do benefício 4</v>
      </c>
      <c r="H409" s="11" t="str">
        <f aca="false">IF(INDEX(PRODUTOS!$I$4:$I$63,MATCH($A409,PRODUTOS!$B$4:$B$63,0))="B",INDEX(MODELOS!$I$4:$I$11,MATCH($D409,MODELOS!$A$4:$A$11,0)),INDEX(MODELOS!$E$4:$E$11,MATCH($D409,MODELOS!$A$4:$A$11,0)))</f>
        <v>220 × 200</v>
      </c>
      <c r="I409" s="11" t="str">
        <f aca="false">IF($D409="COMP","SIM",IF(INDEX(PRODUTOS!$J$4:$J$63,MATCH($A409,PRODUTOS!$B$4:$B$63,0))&lt;&gt;"","NÃO (usa o A+ do EAN "&amp;INDEX(PRODUTOS!$J$4:$J$63,MATCH($A409,PRODUTOS!$B$4:$B$63,0))&amp;")",IF(AND(INDEX(PRODUTOS!$I$4:$I$63,MATCH($A409,PRODUTOS!$B$4:$B$63,0))="B",$D409="AP07"),"NÃO (modelo B)","SIM")))</f>
        <v>SIM</v>
      </c>
      <c r="J409" s="13" t="s">
        <v>318</v>
      </c>
      <c r="K409" s="13"/>
    </row>
    <row r="410" customFormat="false" ht="15" hidden="false" customHeight="false" outlineLevel="0" collapsed="false">
      <c r="A410" s="15" t="s">
        <v>259</v>
      </c>
      <c r="B410" s="11" t="str">
        <f aca="false">INDEX(PRODUTOS!$E$4:$E$63,MATCH($A410,PRODUTOS!$B$4:$B$63,0))</f>
        <v>Palito Flex Natural Dots Leite 70 g</v>
      </c>
      <c r="C410" s="11" t="str">
        <f aca="false">INDEX(PRODUTOS!$H$4:$H$63,MATCH($A410,PRODUTOS!$B$4:$B$63,0))</f>
        <v>70 g</v>
      </c>
      <c r="D410" s="11" t="s">
        <v>324</v>
      </c>
      <c r="E410" s="16" t="str">
        <f aca="false">$A410&amp;"."&amp;$D410&amp;".jpg"</f>
        <v>7908591301120.AP07.jpg</v>
      </c>
      <c r="F410" s="11" t="str">
        <f aca="false">IF(INDEX(PRODUTOS!$I$4:$I$63,MATCH($A410,PRODUTOS!$B$4:$B$63,0))="B",INDEX(MODELOS!$F$4:$F$11,MATCH($D410,MODELOS!$A$4:$A$11,0)),INDEX(MODELOS!$B$4:$B$11,MATCH($D410,MODELOS!$A$4:$A$11,0)))</f>
        <v>Módulo 4 · Especificações</v>
      </c>
      <c r="G410" s="11" t="str">
        <f aca="false">IF(INDEX(PRODUTOS!$F$4:$F$63,MATCH($A410,PRODUTOS!$B$4:$B$63,0))="Ração",IF(INDEX(PRODUTOS!$I$4:$I$63,MATCH($A410,PRODUTOS!$B$4:$B$63,0))="B",INDEX(MODELOS!$G$4:$G$11,MATCH($D410,MODELOS!$A$4:$A$11,0)),INDEX(MODELOS!$C$4:$C$11,MATCH($D410,MODELOS!$A$4:$A$11,0))),IF(INDEX(PRODUTOS!$I$4:$I$63,MATCH($A410,PRODUTOS!$B$4:$B$63,0))="B",INDEX(MODELOS!$H$4:$H$11,MATCH($D410,MODELOS!$A$4:$A$11,0)),INDEX(MODELOS!$D$4:$D$11,MATCH($D410,MODELOS!$A$4:$A$11,0))))</f>
        <v>Produto em destaque</v>
      </c>
      <c r="H410" s="11" t="str">
        <f aca="false">IF(INDEX(PRODUTOS!$I$4:$I$63,MATCH($A410,PRODUTOS!$B$4:$B$63,0))="B",INDEX(MODELOS!$I$4:$I$11,MATCH($D410,MODELOS!$A$4:$A$11,0)),INDEX(MODELOS!$E$4:$E$11,MATCH($D410,MODELOS!$A$4:$A$11,0)))</f>
        <v>300 × 300</v>
      </c>
      <c r="I410" s="11" t="str">
        <f aca="false">IF($D410="COMP","SIM",IF(INDEX(PRODUTOS!$J$4:$J$63,MATCH($A410,PRODUTOS!$B$4:$B$63,0))&lt;&gt;"","NÃO (usa o A+ do EAN "&amp;INDEX(PRODUTOS!$J$4:$J$63,MATCH($A410,PRODUTOS!$B$4:$B$63,0))&amp;")",IF(AND(INDEX(PRODUTOS!$I$4:$I$63,MATCH($A410,PRODUTOS!$B$4:$B$63,0))="B",$D410="AP07"),"NÃO (modelo B)","SIM")))</f>
        <v>SIM</v>
      </c>
      <c r="J410" s="13" t="s">
        <v>318</v>
      </c>
      <c r="K410" s="13"/>
    </row>
    <row r="411" customFormat="false" ht="15" hidden="false" customHeight="false" outlineLevel="0" collapsed="false">
      <c r="A411" s="15" t="s">
        <v>259</v>
      </c>
      <c r="B411" s="11" t="str">
        <f aca="false">INDEX(PRODUTOS!$E$4:$E$63,MATCH($A411,PRODUTOS!$B$4:$B$63,0))</f>
        <v>Palito Flex Natural Dots Leite 70 g</v>
      </c>
      <c r="C411" s="11" t="str">
        <f aca="false">INDEX(PRODUTOS!$H$4:$H$63,MATCH($A411,PRODUTOS!$B$4:$B$63,0))</f>
        <v>70 g</v>
      </c>
      <c r="D411" s="11" t="s">
        <v>325</v>
      </c>
      <c r="E411" s="16" t="str">
        <f aca="false">$A411&amp;"."&amp;$D411&amp;".jpg"</f>
        <v>7908591301120.COMP.jpg</v>
      </c>
      <c r="F411" s="11" t="str">
        <f aca="false">IF(INDEX(PRODUTOS!$I$4:$I$63,MATCH($A411,PRODUTOS!$B$4:$B$63,0))="B",INDEX(MODELOS!$F$4:$F$11,MATCH($D411,MODELOS!$A$4:$A$11,0)),INDEX(MODELOS!$B$4:$B$11,MATCH($D411,MODELOS!$A$4:$A$11,0)))</f>
        <v>Módulo 5 · Tabela comparativa</v>
      </c>
      <c r="G411" s="11" t="str">
        <f aca="false">IF(INDEX(PRODUTOS!$F$4:$F$63,MATCH($A411,PRODUTOS!$B$4:$B$63,0))="Ração",IF(INDEX(PRODUTOS!$I$4:$I$63,MATCH($A411,PRODUTOS!$B$4:$B$63,0))="B",INDEX(MODELOS!$G$4:$G$11,MATCH($D411,MODELOS!$A$4:$A$11,0)),INDEX(MODELOS!$C$4:$C$11,MATCH($D411,MODELOS!$A$4:$A$11,0))),IF(INDEX(PRODUTOS!$I$4:$I$63,MATCH($A411,PRODUTOS!$B$4:$B$63,0))="B",INDEX(MODELOS!$H$4:$H$11,MATCH($D411,MODELOS!$A$4:$A$11,0)),INDEX(MODELOS!$D$4:$D$11,MATCH($D411,MODELOS!$A$4:$A$11,0))))</f>
        <v>Produto na vertical, sem fundo colorido</v>
      </c>
      <c r="H411" s="11" t="str">
        <f aca="false">IF(INDEX(PRODUTOS!$I$4:$I$63,MATCH($A411,PRODUTOS!$B$4:$B$63,0))="B",INDEX(MODELOS!$I$4:$I$11,MATCH($D411,MODELOS!$A$4:$A$11,0)),INDEX(MODELOS!$E$4:$E$11,MATCH($D411,MODELOS!$A$4:$A$11,0)))</f>
        <v>150 × 300</v>
      </c>
      <c r="I411" s="11" t="str">
        <f aca="false">IF($D411="COMP","SIM",IF(INDEX(PRODUTOS!$J$4:$J$63,MATCH($A411,PRODUTOS!$B$4:$B$63,0))&lt;&gt;"","NÃO (usa o A+ do EAN "&amp;INDEX(PRODUTOS!$J$4:$J$63,MATCH($A411,PRODUTOS!$B$4:$B$63,0))&amp;")",IF(AND(INDEX(PRODUTOS!$I$4:$I$63,MATCH($A411,PRODUTOS!$B$4:$B$63,0))="B",$D411="AP07"),"NÃO (modelo B)","SIM")))</f>
        <v>SIM</v>
      </c>
      <c r="J411" s="13" t="s">
        <v>318</v>
      </c>
      <c r="K411" s="13"/>
    </row>
    <row r="412" customFormat="false" ht="15" hidden="false" customHeight="false" outlineLevel="0" collapsed="false">
      <c r="A412" s="15" t="s">
        <v>263</v>
      </c>
      <c r="B412" s="11" t="str">
        <f aca="false">INDEX(PRODUTOS!$E$4:$E$63,MATCH($A412,PRODUTOS!$B$4:$B$63,0))</f>
        <v>Palito Flex Natural Dots Maracujá 70 g</v>
      </c>
      <c r="C412" s="11" t="str">
        <f aca="false">INDEX(PRODUTOS!$H$4:$H$63,MATCH($A412,PRODUTOS!$B$4:$B$63,0))</f>
        <v>70 g</v>
      </c>
      <c r="D412" s="11" t="s">
        <v>317</v>
      </c>
      <c r="E412" s="16" t="str">
        <f aca="false">$A412&amp;"."&amp;$D412&amp;".jpg"</f>
        <v>7908591301137.AP01.jpg</v>
      </c>
      <c r="F412" s="11" t="str">
        <f aca="false">IF(INDEX(PRODUTOS!$I$4:$I$63,MATCH($A412,PRODUTOS!$B$4:$B$63,0))="B",INDEX(MODELOS!$F$4:$F$11,MATCH($D412,MODELOS!$A$4:$A$11,0)),INDEX(MODELOS!$B$4:$B$11,MATCH($D412,MODELOS!$A$4:$A$11,0)))</f>
        <v>Módulo 1 · Banner</v>
      </c>
      <c r="G412" s="11" t="str">
        <f aca="false">IF(INDEX(PRODUTOS!$F$4:$F$63,MATCH($A412,PRODUTOS!$B$4:$B$63,0))="Ração",IF(INDEX(PRODUTOS!$I$4:$I$63,MATCH($A412,PRODUTOS!$B$4:$B$63,0))="B",INDEX(MODELOS!$G$4:$G$11,MATCH($D412,MODELOS!$A$4:$A$11,0)),INDEX(MODELOS!$C$4:$C$11,MATCH($D412,MODELOS!$A$4:$A$11,0))),IF(INDEX(PRODUTOS!$I$4:$I$63,MATCH($A412,PRODUTOS!$B$4:$B$63,0))="B",INDEX(MODELOS!$H$4:$H$11,MATCH($D412,MODELOS!$A$4:$A$11,0)),INDEX(MODELOS!$D$4:$D$11,MATCH($D412,MODELOS!$A$4:$A$11,0))))</f>
        <v>Produto + pet, com o nome da linha</v>
      </c>
      <c r="H412" s="11" t="str">
        <f aca="false">IF(INDEX(PRODUTOS!$I$4:$I$63,MATCH($A412,PRODUTOS!$B$4:$B$63,0))="B",INDEX(MODELOS!$I$4:$I$11,MATCH($D412,MODELOS!$A$4:$A$11,0)),INDEX(MODELOS!$E$4:$E$11,MATCH($D412,MODELOS!$A$4:$A$11,0)))</f>
        <v>970 × 600</v>
      </c>
      <c r="I412" s="11" t="str">
        <f aca="false">IF($D412="COMP","SIM",IF(INDEX(PRODUTOS!$J$4:$J$63,MATCH($A412,PRODUTOS!$B$4:$B$63,0))&lt;&gt;"","NÃO (usa o A+ do EAN "&amp;INDEX(PRODUTOS!$J$4:$J$63,MATCH($A412,PRODUTOS!$B$4:$B$63,0))&amp;")",IF(AND(INDEX(PRODUTOS!$I$4:$I$63,MATCH($A412,PRODUTOS!$B$4:$B$63,0))="B",$D412="AP07"),"NÃO (modelo B)","SIM")))</f>
        <v>SIM</v>
      </c>
      <c r="J412" s="13" t="s">
        <v>318</v>
      </c>
      <c r="K412" s="13"/>
    </row>
    <row r="413" customFormat="false" ht="15" hidden="false" customHeight="false" outlineLevel="0" collapsed="false">
      <c r="A413" s="15" t="s">
        <v>263</v>
      </c>
      <c r="B413" s="11" t="str">
        <f aca="false">INDEX(PRODUTOS!$E$4:$E$63,MATCH($A413,PRODUTOS!$B$4:$B$63,0))</f>
        <v>Palito Flex Natural Dots Maracujá 70 g</v>
      </c>
      <c r="C413" s="11" t="str">
        <f aca="false">INDEX(PRODUTOS!$H$4:$H$63,MATCH($A413,PRODUTOS!$B$4:$B$63,0))</f>
        <v>70 g</v>
      </c>
      <c r="D413" s="11" t="s">
        <v>319</v>
      </c>
      <c r="E413" s="16" t="str">
        <f aca="false">$A413&amp;"."&amp;$D413&amp;".jpg"</f>
        <v>7908591301137.AP02.jpg</v>
      </c>
      <c r="F413" s="11" t="str">
        <f aca="false">IF(INDEX(PRODUTOS!$I$4:$I$63,MATCH($A413,PRODUTOS!$B$4:$B$63,0))="B",INDEX(MODELOS!$F$4:$F$11,MATCH($D413,MODELOS!$A$4:$A$11,0)),INDEX(MODELOS!$B$4:$B$11,MATCH($D413,MODELOS!$A$4:$A$11,0)))</f>
        <v>Módulo 2 · Texto sobreposto</v>
      </c>
      <c r="G413" s="11" t="str">
        <f aca="false">IF(INDEX(PRODUTOS!$F$4:$F$63,MATCH($A413,PRODUTOS!$B$4:$B$63,0))="Ração",IF(INDEX(PRODUTOS!$I$4:$I$63,MATCH($A413,PRODUTOS!$B$4:$B$63,0))="B",INDEX(MODELOS!$G$4:$G$11,MATCH($D413,MODELOS!$A$4:$A$11,0)),INDEX(MODELOS!$C$4:$C$11,MATCH($D413,MODELOS!$A$4:$A$11,0))),IF(INDEX(PRODUTOS!$I$4:$I$63,MATCH($A413,PRODUTOS!$B$4:$B$63,0))="B",INDEX(MODELOS!$H$4:$H$11,MATCH($D413,MODELOS!$A$4:$A$11,0)),INDEX(MODELOS!$D$4:$D$11,MATCH($D413,MODELOS!$A$4:$A$11,0))))</f>
        <v>Principal diferencial; deixar o lado direito limpo</v>
      </c>
      <c r="H413" s="11" t="str">
        <f aca="false">IF(INDEX(PRODUTOS!$I$4:$I$63,MATCH($A413,PRODUTOS!$B$4:$B$63,0))="B",INDEX(MODELOS!$I$4:$I$11,MATCH($D413,MODELOS!$A$4:$A$11,0)),INDEX(MODELOS!$E$4:$E$11,MATCH($D413,MODELOS!$A$4:$A$11,0)))</f>
        <v>970 × 300</v>
      </c>
      <c r="I413" s="11" t="str">
        <f aca="false">IF($D413="COMP","SIM",IF(INDEX(PRODUTOS!$J$4:$J$63,MATCH($A413,PRODUTOS!$B$4:$B$63,0))&lt;&gt;"","NÃO (usa o A+ do EAN "&amp;INDEX(PRODUTOS!$J$4:$J$63,MATCH($A413,PRODUTOS!$B$4:$B$63,0))&amp;")",IF(AND(INDEX(PRODUTOS!$I$4:$I$63,MATCH($A413,PRODUTOS!$B$4:$B$63,0))="B",$D413="AP07"),"NÃO (modelo B)","SIM")))</f>
        <v>SIM</v>
      </c>
      <c r="J413" s="13" t="s">
        <v>318</v>
      </c>
      <c r="K413" s="13"/>
    </row>
    <row r="414" customFormat="false" ht="15" hidden="false" customHeight="false" outlineLevel="0" collapsed="false">
      <c r="A414" s="15" t="s">
        <v>263</v>
      </c>
      <c r="B414" s="11" t="str">
        <f aca="false">INDEX(PRODUTOS!$E$4:$E$63,MATCH($A414,PRODUTOS!$B$4:$B$63,0))</f>
        <v>Palito Flex Natural Dots Maracujá 70 g</v>
      </c>
      <c r="C414" s="11" t="str">
        <f aca="false">INDEX(PRODUTOS!$H$4:$H$63,MATCH($A414,PRODUTOS!$B$4:$B$63,0))</f>
        <v>70 g</v>
      </c>
      <c r="D414" s="11" t="s">
        <v>320</v>
      </c>
      <c r="E414" s="16" t="str">
        <f aca="false">$A414&amp;"."&amp;$D414&amp;".jpg"</f>
        <v>7908591301137.AP03.jpg</v>
      </c>
      <c r="F414" s="11" t="str">
        <f aca="false">IF(INDEX(PRODUTOS!$I$4:$I$63,MATCH($A414,PRODUTOS!$B$4:$B$63,0))="B",INDEX(MODELOS!$F$4:$F$11,MATCH($D414,MODELOS!$A$4:$A$11,0)),INDEX(MODELOS!$B$4:$B$11,MATCH($D414,MODELOS!$A$4:$A$11,0)))</f>
        <v>Módulo 3 · Benefício 1 de 4</v>
      </c>
      <c r="G414" s="11" t="str">
        <f aca="false">IF(INDEX(PRODUTOS!$F$4:$F$63,MATCH($A414,PRODUTOS!$B$4:$B$63,0))="Ração",IF(INDEX(PRODUTOS!$I$4:$I$63,MATCH($A414,PRODUTOS!$B$4:$B$63,0))="B",INDEX(MODELOS!$G$4:$G$11,MATCH($D414,MODELOS!$A$4:$A$11,0)),INDEX(MODELOS!$C$4:$C$11,MATCH($D414,MODELOS!$A$4:$A$11,0))),IF(INDEX(PRODUTOS!$I$4:$I$63,MATCH($A414,PRODUTOS!$B$4:$B$63,0))="B",INDEX(MODELOS!$H$4:$H$11,MATCH($D414,MODELOS!$A$4:$A$11,0)),INDEX(MODELOS!$D$4:$D$11,MATCH($D414,MODELOS!$A$4:$A$11,0))))</f>
        <v>Foto/ilustração do benefício 1</v>
      </c>
      <c r="H414" s="11" t="str">
        <f aca="false">IF(INDEX(PRODUTOS!$I$4:$I$63,MATCH($A414,PRODUTOS!$B$4:$B$63,0))="B",INDEX(MODELOS!$I$4:$I$11,MATCH($D414,MODELOS!$A$4:$A$11,0)),INDEX(MODELOS!$E$4:$E$11,MATCH($D414,MODELOS!$A$4:$A$11,0)))</f>
        <v>220 × 200</v>
      </c>
      <c r="I414" s="11" t="str">
        <f aca="false">IF($D414="COMP","SIM",IF(INDEX(PRODUTOS!$J$4:$J$63,MATCH($A414,PRODUTOS!$B$4:$B$63,0))&lt;&gt;"","NÃO (usa o A+ do EAN "&amp;INDEX(PRODUTOS!$J$4:$J$63,MATCH($A414,PRODUTOS!$B$4:$B$63,0))&amp;")",IF(AND(INDEX(PRODUTOS!$I$4:$I$63,MATCH($A414,PRODUTOS!$B$4:$B$63,0))="B",$D414="AP07"),"NÃO (modelo B)","SIM")))</f>
        <v>SIM</v>
      </c>
      <c r="J414" s="13" t="s">
        <v>318</v>
      </c>
      <c r="K414" s="13"/>
    </row>
    <row r="415" customFormat="false" ht="15" hidden="false" customHeight="false" outlineLevel="0" collapsed="false">
      <c r="A415" s="15" t="s">
        <v>263</v>
      </c>
      <c r="B415" s="11" t="str">
        <f aca="false">INDEX(PRODUTOS!$E$4:$E$63,MATCH($A415,PRODUTOS!$B$4:$B$63,0))</f>
        <v>Palito Flex Natural Dots Maracujá 70 g</v>
      </c>
      <c r="C415" s="11" t="str">
        <f aca="false">INDEX(PRODUTOS!$H$4:$H$63,MATCH($A415,PRODUTOS!$B$4:$B$63,0))</f>
        <v>70 g</v>
      </c>
      <c r="D415" s="11" t="s">
        <v>321</v>
      </c>
      <c r="E415" s="16" t="str">
        <f aca="false">$A415&amp;"."&amp;$D415&amp;".jpg"</f>
        <v>7908591301137.AP04.jpg</v>
      </c>
      <c r="F415" s="11" t="str">
        <f aca="false">IF(INDEX(PRODUTOS!$I$4:$I$63,MATCH($A415,PRODUTOS!$B$4:$B$63,0))="B",INDEX(MODELOS!$F$4:$F$11,MATCH($D415,MODELOS!$A$4:$A$11,0)),INDEX(MODELOS!$B$4:$B$11,MATCH($D415,MODELOS!$A$4:$A$11,0)))</f>
        <v>Módulo 3 · Benefício 2 de 4</v>
      </c>
      <c r="G415" s="11" t="str">
        <f aca="false">IF(INDEX(PRODUTOS!$F$4:$F$63,MATCH($A415,PRODUTOS!$B$4:$B$63,0))="Ração",IF(INDEX(PRODUTOS!$I$4:$I$63,MATCH($A415,PRODUTOS!$B$4:$B$63,0))="B",INDEX(MODELOS!$G$4:$G$11,MATCH($D415,MODELOS!$A$4:$A$11,0)),INDEX(MODELOS!$C$4:$C$11,MATCH($D415,MODELOS!$A$4:$A$11,0))),IF(INDEX(PRODUTOS!$I$4:$I$63,MATCH($A415,PRODUTOS!$B$4:$B$63,0))="B",INDEX(MODELOS!$H$4:$H$11,MATCH($D415,MODELOS!$A$4:$A$11,0)),INDEX(MODELOS!$D$4:$D$11,MATCH($D415,MODELOS!$A$4:$A$11,0))))</f>
        <v>Foto/ilustração do benefício 2</v>
      </c>
      <c r="H415" s="11" t="str">
        <f aca="false">IF(INDEX(PRODUTOS!$I$4:$I$63,MATCH($A415,PRODUTOS!$B$4:$B$63,0))="B",INDEX(MODELOS!$I$4:$I$11,MATCH($D415,MODELOS!$A$4:$A$11,0)),INDEX(MODELOS!$E$4:$E$11,MATCH($D415,MODELOS!$A$4:$A$11,0)))</f>
        <v>220 × 200</v>
      </c>
      <c r="I415" s="11" t="str">
        <f aca="false">IF($D415="COMP","SIM",IF(INDEX(PRODUTOS!$J$4:$J$63,MATCH($A415,PRODUTOS!$B$4:$B$63,0))&lt;&gt;"","NÃO (usa o A+ do EAN "&amp;INDEX(PRODUTOS!$J$4:$J$63,MATCH($A415,PRODUTOS!$B$4:$B$63,0))&amp;")",IF(AND(INDEX(PRODUTOS!$I$4:$I$63,MATCH($A415,PRODUTOS!$B$4:$B$63,0))="B",$D415="AP07"),"NÃO (modelo B)","SIM")))</f>
        <v>SIM</v>
      </c>
      <c r="J415" s="13" t="s">
        <v>318</v>
      </c>
      <c r="K415" s="13"/>
    </row>
    <row r="416" customFormat="false" ht="15" hidden="false" customHeight="false" outlineLevel="0" collapsed="false">
      <c r="A416" s="15" t="s">
        <v>263</v>
      </c>
      <c r="B416" s="11" t="str">
        <f aca="false">INDEX(PRODUTOS!$E$4:$E$63,MATCH($A416,PRODUTOS!$B$4:$B$63,0))</f>
        <v>Palito Flex Natural Dots Maracujá 70 g</v>
      </c>
      <c r="C416" s="11" t="str">
        <f aca="false">INDEX(PRODUTOS!$H$4:$H$63,MATCH($A416,PRODUTOS!$B$4:$B$63,0))</f>
        <v>70 g</v>
      </c>
      <c r="D416" s="11" t="s">
        <v>322</v>
      </c>
      <c r="E416" s="16" t="str">
        <f aca="false">$A416&amp;"."&amp;$D416&amp;".jpg"</f>
        <v>7908591301137.AP05.jpg</v>
      </c>
      <c r="F416" s="11" t="str">
        <f aca="false">IF(INDEX(PRODUTOS!$I$4:$I$63,MATCH($A416,PRODUTOS!$B$4:$B$63,0))="B",INDEX(MODELOS!$F$4:$F$11,MATCH($D416,MODELOS!$A$4:$A$11,0)),INDEX(MODELOS!$B$4:$B$11,MATCH($D416,MODELOS!$A$4:$A$11,0)))</f>
        <v>Módulo 3 · Benefício 3 de 4</v>
      </c>
      <c r="G416" s="11" t="str">
        <f aca="false">IF(INDEX(PRODUTOS!$F$4:$F$63,MATCH($A416,PRODUTOS!$B$4:$B$63,0))="Ração",IF(INDEX(PRODUTOS!$I$4:$I$63,MATCH($A416,PRODUTOS!$B$4:$B$63,0))="B",INDEX(MODELOS!$G$4:$G$11,MATCH($D416,MODELOS!$A$4:$A$11,0)),INDEX(MODELOS!$C$4:$C$11,MATCH($D416,MODELOS!$A$4:$A$11,0))),IF(INDEX(PRODUTOS!$I$4:$I$63,MATCH($A416,PRODUTOS!$B$4:$B$63,0))="B",INDEX(MODELOS!$H$4:$H$11,MATCH($D416,MODELOS!$A$4:$A$11,0)),INDEX(MODELOS!$D$4:$D$11,MATCH($D416,MODELOS!$A$4:$A$11,0))))</f>
        <v>Foto/ilustração do benefício 3</v>
      </c>
      <c r="H416" s="11" t="str">
        <f aca="false">IF(INDEX(PRODUTOS!$I$4:$I$63,MATCH($A416,PRODUTOS!$B$4:$B$63,0))="B",INDEX(MODELOS!$I$4:$I$11,MATCH($D416,MODELOS!$A$4:$A$11,0)),INDEX(MODELOS!$E$4:$E$11,MATCH($D416,MODELOS!$A$4:$A$11,0)))</f>
        <v>220 × 200</v>
      </c>
      <c r="I416" s="11" t="str">
        <f aca="false">IF($D416="COMP","SIM",IF(INDEX(PRODUTOS!$J$4:$J$63,MATCH($A416,PRODUTOS!$B$4:$B$63,0))&lt;&gt;"","NÃO (usa o A+ do EAN "&amp;INDEX(PRODUTOS!$J$4:$J$63,MATCH($A416,PRODUTOS!$B$4:$B$63,0))&amp;")",IF(AND(INDEX(PRODUTOS!$I$4:$I$63,MATCH($A416,PRODUTOS!$B$4:$B$63,0))="B",$D416="AP07"),"NÃO (modelo B)","SIM")))</f>
        <v>SIM</v>
      </c>
      <c r="J416" s="13" t="s">
        <v>318</v>
      </c>
      <c r="K416" s="13"/>
    </row>
    <row r="417" customFormat="false" ht="15" hidden="false" customHeight="false" outlineLevel="0" collapsed="false">
      <c r="A417" s="15" t="s">
        <v>263</v>
      </c>
      <c r="B417" s="11" t="str">
        <f aca="false">INDEX(PRODUTOS!$E$4:$E$63,MATCH($A417,PRODUTOS!$B$4:$B$63,0))</f>
        <v>Palito Flex Natural Dots Maracujá 70 g</v>
      </c>
      <c r="C417" s="11" t="str">
        <f aca="false">INDEX(PRODUTOS!$H$4:$H$63,MATCH($A417,PRODUTOS!$B$4:$B$63,0))</f>
        <v>70 g</v>
      </c>
      <c r="D417" s="11" t="s">
        <v>323</v>
      </c>
      <c r="E417" s="16" t="str">
        <f aca="false">$A417&amp;"."&amp;$D417&amp;".jpg"</f>
        <v>7908591301137.AP06.jpg</v>
      </c>
      <c r="F417" s="11" t="str">
        <f aca="false">IF(INDEX(PRODUTOS!$I$4:$I$63,MATCH($A417,PRODUTOS!$B$4:$B$63,0))="B",INDEX(MODELOS!$F$4:$F$11,MATCH($D417,MODELOS!$A$4:$A$11,0)),INDEX(MODELOS!$B$4:$B$11,MATCH($D417,MODELOS!$A$4:$A$11,0)))</f>
        <v>Módulo 3 · Benefício 4 de 4</v>
      </c>
      <c r="G417" s="11" t="str">
        <f aca="false">IF(INDEX(PRODUTOS!$F$4:$F$63,MATCH($A417,PRODUTOS!$B$4:$B$63,0))="Ração",IF(INDEX(PRODUTOS!$I$4:$I$63,MATCH($A417,PRODUTOS!$B$4:$B$63,0))="B",INDEX(MODELOS!$G$4:$G$11,MATCH($D417,MODELOS!$A$4:$A$11,0)),INDEX(MODELOS!$C$4:$C$11,MATCH($D417,MODELOS!$A$4:$A$11,0))),IF(INDEX(PRODUTOS!$I$4:$I$63,MATCH($A417,PRODUTOS!$B$4:$B$63,0))="B",INDEX(MODELOS!$H$4:$H$11,MATCH($D417,MODELOS!$A$4:$A$11,0)),INDEX(MODELOS!$D$4:$D$11,MATCH($D417,MODELOS!$A$4:$A$11,0))))</f>
        <v>Foto/ilustração do benefício 4</v>
      </c>
      <c r="H417" s="11" t="str">
        <f aca="false">IF(INDEX(PRODUTOS!$I$4:$I$63,MATCH($A417,PRODUTOS!$B$4:$B$63,0))="B",INDEX(MODELOS!$I$4:$I$11,MATCH($D417,MODELOS!$A$4:$A$11,0)),INDEX(MODELOS!$E$4:$E$11,MATCH($D417,MODELOS!$A$4:$A$11,0)))</f>
        <v>220 × 200</v>
      </c>
      <c r="I417" s="11" t="str">
        <f aca="false">IF($D417="COMP","SIM",IF(INDEX(PRODUTOS!$J$4:$J$63,MATCH($A417,PRODUTOS!$B$4:$B$63,0))&lt;&gt;"","NÃO (usa o A+ do EAN "&amp;INDEX(PRODUTOS!$J$4:$J$63,MATCH($A417,PRODUTOS!$B$4:$B$63,0))&amp;")",IF(AND(INDEX(PRODUTOS!$I$4:$I$63,MATCH($A417,PRODUTOS!$B$4:$B$63,0))="B",$D417="AP07"),"NÃO (modelo B)","SIM")))</f>
        <v>SIM</v>
      </c>
      <c r="J417" s="13" t="s">
        <v>318</v>
      </c>
      <c r="K417" s="13"/>
    </row>
    <row r="418" customFormat="false" ht="15" hidden="false" customHeight="false" outlineLevel="0" collapsed="false">
      <c r="A418" s="15" t="s">
        <v>263</v>
      </c>
      <c r="B418" s="11" t="str">
        <f aca="false">INDEX(PRODUTOS!$E$4:$E$63,MATCH($A418,PRODUTOS!$B$4:$B$63,0))</f>
        <v>Palito Flex Natural Dots Maracujá 70 g</v>
      </c>
      <c r="C418" s="11" t="str">
        <f aca="false">INDEX(PRODUTOS!$H$4:$H$63,MATCH($A418,PRODUTOS!$B$4:$B$63,0))</f>
        <v>70 g</v>
      </c>
      <c r="D418" s="11" t="s">
        <v>324</v>
      </c>
      <c r="E418" s="16" t="str">
        <f aca="false">$A418&amp;"."&amp;$D418&amp;".jpg"</f>
        <v>7908591301137.AP07.jpg</v>
      </c>
      <c r="F418" s="11" t="str">
        <f aca="false">IF(INDEX(PRODUTOS!$I$4:$I$63,MATCH($A418,PRODUTOS!$B$4:$B$63,0))="B",INDEX(MODELOS!$F$4:$F$11,MATCH($D418,MODELOS!$A$4:$A$11,0)),INDEX(MODELOS!$B$4:$B$11,MATCH($D418,MODELOS!$A$4:$A$11,0)))</f>
        <v>Módulo 4 · Especificações</v>
      </c>
      <c r="G418" s="11" t="str">
        <f aca="false">IF(INDEX(PRODUTOS!$F$4:$F$63,MATCH($A418,PRODUTOS!$B$4:$B$63,0))="Ração",IF(INDEX(PRODUTOS!$I$4:$I$63,MATCH($A418,PRODUTOS!$B$4:$B$63,0))="B",INDEX(MODELOS!$G$4:$G$11,MATCH($D418,MODELOS!$A$4:$A$11,0)),INDEX(MODELOS!$C$4:$C$11,MATCH($D418,MODELOS!$A$4:$A$11,0))),IF(INDEX(PRODUTOS!$I$4:$I$63,MATCH($A418,PRODUTOS!$B$4:$B$63,0))="B",INDEX(MODELOS!$H$4:$H$11,MATCH($D418,MODELOS!$A$4:$A$11,0)),INDEX(MODELOS!$D$4:$D$11,MATCH($D418,MODELOS!$A$4:$A$11,0))))</f>
        <v>Produto em destaque</v>
      </c>
      <c r="H418" s="11" t="str">
        <f aca="false">IF(INDEX(PRODUTOS!$I$4:$I$63,MATCH($A418,PRODUTOS!$B$4:$B$63,0))="B",INDEX(MODELOS!$I$4:$I$11,MATCH($D418,MODELOS!$A$4:$A$11,0)),INDEX(MODELOS!$E$4:$E$11,MATCH($D418,MODELOS!$A$4:$A$11,0)))</f>
        <v>300 × 300</v>
      </c>
      <c r="I418" s="11" t="str">
        <f aca="false">IF($D418="COMP","SIM",IF(INDEX(PRODUTOS!$J$4:$J$63,MATCH($A418,PRODUTOS!$B$4:$B$63,0))&lt;&gt;"","NÃO (usa o A+ do EAN "&amp;INDEX(PRODUTOS!$J$4:$J$63,MATCH($A418,PRODUTOS!$B$4:$B$63,0))&amp;")",IF(AND(INDEX(PRODUTOS!$I$4:$I$63,MATCH($A418,PRODUTOS!$B$4:$B$63,0))="B",$D418="AP07"),"NÃO (modelo B)","SIM")))</f>
        <v>SIM</v>
      </c>
      <c r="J418" s="13" t="s">
        <v>318</v>
      </c>
      <c r="K418" s="13"/>
    </row>
    <row r="419" customFormat="false" ht="15" hidden="false" customHeight="false" outlineLevel="0" collapsed="false">
      <c r="A419" s="15" t="s">
        <v>263</v>
      </c>
      <c r="B419" s="11" t="str">
        <f aca="false">INDEX(PRODUTOS!$E$4:$E$63,MATCH($A419,PRODUTOS!$B$4:$B$63,0))</f>
        <v>Palito Flex Natural Dots Maracujá 70 g</v>
      </c>
      <c r="C419" s="11" t="str">
        <f aca="false">INDEX(PRODUTOS!$H$4:$H$63,MATCH($A419,PRODUTOS!$B$4:$B$63,0))</f>
        <v>70 g</v>
      </c>
      <c r="D419" s="11" t="s">
        <v>325</v>
      </c>
      <c r="E419" s="16" t="str">
        <f aca="false">$A419&amp;"."&amp;$D419&amp;".jpg"</f>
        <v>7908591301137.COMP.jpg</v>
      </c>
      <c r="F419" s="11" t="str">
        <f aca="false">IF(INDEX(PRODUTOS!$I$4:$I$63,MATCH($A419,PRODUTOS!$B$4:$B$63,0))="B",INDEX(MODELOS!$F$4:$F$11,MATCH($D419,MODELOS!$A$4:$A$11,0)),INDEX(MODELOS!$B$4:$B$11,MATCH($D419,MODELOS!$A$4:$A$11,0)))</f>
        <v>Módulo 5 · Tabela comparativa</v>
      </c>
      <c r="G419" s="11" t="str">
        <f aca="false">IF(INDEX(PRODUTOS!$F$4:$F$63,MATCH($A419,PRODUTOS!$B$4:$B$63,0))="Ração",IF(INDEX(PRODUTOS!$I$4:$I$63,MATCH($A419,PRODUTOS!$B$4:$B$63,0))="B",INDEX(MODELOS!$G$4:$G$11,MATCH($D419,MODELOS!$A$4:$A$11,0)),INDEX(MODELOS!$C$4:$C$11,MATCH($D419,MODELOS!$A$4:$A$11,0))),IF(INDEX(PRODUTOS!$I$4:$I$63,MATCH($A419,PRODUTOS!$B$4:$B$63,0))="B",INDEX(MODELOS!$H$4:$H$11,MATCH($D419,MODELOS!$A$4:$A$11,0)),INDEX(MODELOS!$D$4:$D$11,MATCH($D419,MODELOS!$A$4:$A$11,0))))</f>
        <v>Produto na vertical, sem fundo colorido</v>
      </c>
      <c r="H419" s="11" t="str">
        <f aca="false">IF(INDEX(PRODUTOS!$I$4:$I$63,MATCH($A419,PRODUTOS!$B$4:$B$63,0))="B",INDEX(MODELOS!$I$4:$I$11,MATCH($D419,MODELOS!$A$4:$A$11,0)),INDEX(MODELOS!$E$4:$E$11,MATCH($D419,MODELOS!$A$4:$A$11,0)))</f>
        <v>150 × 300</v>
      </c>
      <c r="I419" s="11" t="str">
        <f aca="false">IF($D419="COMP","SIM",IF(INDEX(PRODUTOS!$J$4:$J$63,MATCH($A419,PRODUTOS!$B$4:$B$63,0))&lt;&gt;"","NÃO (usa o A+ do EAN "&amp;INDEX(PRODUTOS!$J$4:$J$63,MATCH($A419,PRODUTOS!$B$4:$B$63,0))&amp;")",IF(AND(INDEX(PRODUTOS!$I$4:$I$63,MATCH($A419,PRODUTOS!$B$4:$B$63,0))="B",$D419="AP07"),"NÃO (modelo B)","SIM")))</f>
        <v>SIM</v>
      </c>
      <c r="J419" s="13" t="s">
        <v>318</v>
      </c>
      <c r="K419" s="13"/>
    </row>
    <row r="420" customFormat="false" ht="15" hidden="false" customHeight="false" outlineLevel="0" collapsed="false">
      <c r="A420" s="15" t="s">
        <v>267</v>
      </c>
      <c r="B420" s="11" t="str">
        <f aca="false">INDEX(PRODUTOS!$E$4:$E$63,MATCH($A420,PRODUTOS!$B$4:$B$63,0))</f>
        <v>Granulado Higiênico de Madeira Natural Dots para Pets - Pacote 20 kg</v>
      </c>
      <c r="C420" s="11" t="str">
        <f aca="false">INDEX(PRODUTOS!$H$4:$H$63,MATCH($A420,PRODUTOS!$B$4:$B$63,0))</f>
        <v>20 kg</v>
      </c>
      <c r="D420" s="11" t="s">
        <v>317</v>
      </c>
      <c r="E420" s="16" t="str">
        <f aca="false">$A420&amp;"."&amp;$D420&amp;".jpg"</f>
        <v>7908591300239.AP01.jpg</v>
      </c>
      <c r="F420" s="11" t="str">
        <f aca="false">IF(INDEX(PRODUTOS!$I$4:$I$63,MATCH($A420,PRODUTOS!$B$4:$B$63,0))="B",INDEX(MODELOS!$F$4:$F$11,MATCH($D420,MODELOS!$A$4:$A$11,0)),INDEX(MODELOS!$B$4:$B$11,MATCH($D420,MODELOS!$A$4:$A$11,0)))</f>
        <v>Módulo 1 · Banner</v>
      </c>
      <c r="G420" s="11" t="str">
        <f aca="false">IF(INDEX(PRODUTOS!$F$4:$F$63,MATCH($A420,PRODUTOS!$B$4:$B$63,0))="Ração",IF(INDEX(PRODUTOS!$I$4:$I$63,MATCH($A420,PRODUTOS!$B$4:$B$63,0))="B",INDEX(MODELOS!$G$4:$G$11,MATCH($D420,MODELOS!$A$4:$A$11,0)),INDEX(MODELOS!$C$4:$C$11,MATCH($D420,MODELOS!$A$4:$A$11,0))),IF(INDEX(PRODUTOS!$I$4:$I$63,MATCH($A420,PRODUTOS!$B$4:$B$63,0))="B",INDEX(MODELOS!$H$4:$H$11,MATCH($D420,MODELOS!$A$4:$A$11,0)),INDEX(MODELOS!$D$4:$D$11,MATCH($D420,MODELOS!$A$4:$A$11,0))))</f>
        <v>Produto + pet, com o nome da linha</v>
      </c>
      <c r="H420" s="11" t="str">
        <f aca="false">IF(INDEX(PRODUTOS!$I$4:$I$63,MATCH($A420,PRODUTOS!$B$4:$B$63,0))="B",INDEX(MODELOS!$I$4:$I$11,MATCH($D420,MODELOS!$A$4:$A$11,0)),INDEX(MODELOS!$E$4:$E$11,MATCH($D420,MODELOS!$A$4:$A$11,0)))</f>
        <v>970 × 600</v>
      </c>
      <c r="I420" s="11" t="str">
        <f aca="false">IF($D420="COMP","SIM",IF(INDEX(PRODUTOS!$J$4:$J$63,MATCH($A420,PRODUTOS!$B$4:$B$63,0))&lt;&gt;"","NÃO (usa o A+ do EAN "&amp;INDEX(PRODUTOS!$J$4:$J$63,MATCH($A420,PRODUTOS!$B$4:$B$63,0))&amp;")",IF(AND(INDEX(PRODUTOS!$I$4:$I$63,MATCH($A420,PRODUTOS!$B$4:$B$63,0))="B",$D420="AP07"),"NÃO (modelo B)","SIM")))</f>
        <v>SIM</v>
      </c>
      <c r="J420" s="13" t="s">
        <v>318</v>
      </c>
      <c r="K420" s="13"/>
    </row>
    <row r="421" customFormat="false" ht="15" hidden="false" customHeight="false" outlineLevel="0" collapsed="false">
      <c r="A421" s="15" t="s">
        <v>267</v>
      </c>
      <c r="B421" s="11" t="str">
        <f aca="false">INDEX(PRODUTOS!$E$4:$E$63,MATCH($A421,PRODUTOS!$B$4:$B$63,0))</f>
        <v>Granulado Higiênico de Madeira Natural Dots para Pets - Pacote 20 kg</v>
      </c>
      <c r="C421" s="11" t="str">
        <f aca="false">INDEX(PRODUTOS!$H$4:$H$63,MATCH($A421,PRODUTOS!$B$4:$B$63,0))</f>
        <v>20 kg</v>
      </c>
      <c r="D421" s="11" t="s">
        <v>319</v>
      </c>
      <c r="E421" s="16" t="str">
        <f aca="false">$A421&amp;"."&amp;$D421&amp;".jpg"</f>
        <v>7908591300239.AP02.jpg</v>
      </c>
      <c r="F421" s="11" t="str">
        <f aca="false">IF(INDEX(PRODUTOS!$I$4:$I$63,MATCH($A421,PRODUTOS!$B$4:$B$63,0))="B",INDEX(MODELOS!$F$4:$F$11,MATCH($D421,MODELOS!$A$4:$A$11,0)),INDEX(MODELOS!$B$4:$B$11,MATCH($D421,MODELOS!$A$4:$A$11,0)))</f>
        <v>Módulo 2 · Texto sobreposto</v>
      </c>
      <c r="G421" s="11" t="str">
        <f aca="false">IF(INDEX(PRODUTOS!$F$4:$F$63,MATCH($A421,PRODUTOS!$B$4:$B$63,0))="Ração",IF(INDEX(PRODUTOS!$I$4:$I$63,MATCH($A421,PRODUTOS!$B$4:$B$63,0))="B",INDEX(MODELOS!$G$4:$G$11,MATCH($D421,MODELOS!$A$4:$A$11,0)),INDEX(MODELOS!$C$4:$C$11,MATCH($D421,MODELOS!$A$4:$A$11,0))),IF(INDEX(PRODUTOS!$I$4:$I$63,MATCH($A421,PRODUTOS!$B$4:$B$63,0))="B",INDEX(MODELOS!$H$4:$H$11,MATCH($D421,MODELOS!$A$4:$A$11,0)),INDEX(MODELOS!$D$4:$D$11,MATCH($D421,MODELOS!$A$4:$A$11,0))))</f>
        <v>Principal diferencial; deixar o lado direito limpo</v>
      </c>
      <c r="H421" s="11" t="str">
        <f aca="false">IF(INDEX(PRODUTOS!$I$4:$I$63,MATCH($A421,PRODUTOS!$B$4:$B$63,0))="B",INDEX(MODELOS!$I$4:$I$11,MATCH($D421,MODELOS!$A$4:$A$11,0)),INDEX(MODELOS!$E$4:$E$11,MATCH($D421,MODELOS!$A$4:$A$11,0)))</f>
        <v>970 × 300</v>
      </c>
      <c r="I421" s="11" t="str">
        <f aca="false">IF($D421="COMP","SIM",IF(INDEX(PRODUTOS!$J$4:$J$63,MATCH($A421,PRODUTOS!$B$4:$B$63,0))&lt;&gt;"","NÃO (usa o A+ do EAN "&amp;INDEX(PRODUTOS!$J$4:$J$63,MATCH($A421,PRODUTOS!$B$4:$B$63,0))&amp;")",IF(AND(INDEX(PRODUTOS!$I$4:$I$63,MATCH($A421,PRODUTOS!$B$4:$B$63,0))="B",$D421="AP07"),"NÃO (modelo B)","SIM")))</f>
        <v>SIM</v>
      </c>
      <c r="J421" s="13" t="s">
        <v>318</v>
      </c>
      <c r="K421" s="13"/>
    </row>
    <row r="422" customFormat="false" ht="15" hidden="false" customHeight="false" outlineLevel="0" collapsed="false">
      <c r="A422" s="15" t="s">
        <v>267</v>
      </c>
      <c r="B422" s="11" t="str">
        <f aca="false">INDEX(PRODUTOS!$E$4:$E$63,MATCH($A422,PRODUTOS!$B$4:$B$63,0))</f>
        <v>Granulado Higiênico de Madeira Natural Dots para Pets - Pacote 20 kg</v>
      </c>
      <c r="C422" s="11" t="str">
        <f aca="false">INDEX(PRODUTOS!$H$4:$H$63,MATCH($A422,PRODUTOS!$B$4:$B$63,0))</f>
        <v>20 kg</v>
      </c>
      <c r="D422" s="11" t="s">
        <v>320</v>
      </c>
      <c r="E422" s="16" t="str">
        <f aca="false">$A422&amp;"."&amp;$D422&amp;".jpg"</f>
        <v>7908591300239.AP03.jpg</v>
      </c>
      <c r="F422" s="11" t="str">
        <f aca="false">IF(INDEX(PRODUTOS!$I$4:$I$63,MATCH($A422,PRODUTOS!$B$4:$B$63,0))="B",INDEX(MODELOS!$F$4:$F$11,MATCH($D422,MODELOS!$A$4:$A$11,0)),INDEX(MODELOS!$B$4:$B$11,MATCH($D422,MODELOS!$A$4:$A$11,0)))</f>
        <v>Módulo 3 · Benefício 1 de 4</v>
      </c>
      <c r="G422" s="11" t="str">
        <f aca="false">IF(INDEX(PRODUTOS!$F$4:$F$63,MATCH($A422,PRODUTOS!$B$4:$B$63,0))="Ração",IF(INDEX(PRODUTOS!$I$4:$I$63,MATCH($A422,PRODUTOS!$B$4:$B$63,0))="B",INDEX(MODELOS!$G$4:$G$11,MATCH($D422,MODELOS!$A$4:$A$11,0)),INDEX(MODELOS!$C$4:$C$11,MATCH($D422,MODELOS!$A$4:$A$11,0))),IF(INDEX(PRODUTOS!$I$4:$I$63,MATCH($A422,PRODUTOS!$B$4:$B$63,0))="B",INDEX(MODELOS!$H$4:$H$11,MATCH($D422,MODELOS!$A$4:$A$11,0)),INDEX(MODELOS!$D$4:$D$11,MATCH($D422,MODELOS!$A$4:$A$11,0))))</f>
        <v>Foto/ilustração do benefício 1</v>
      </c>
      <c r="H422" s="11" t="str">
        <f aca="false">IF(INDEX(PRODUTOS!$I$4:$I$63,MATCH($A422,PRODUTOS!$B$4:$B$63,0))="B",INDEX(MODELOS!$I$4:$I$11,MATCH($D422,MODELOS!$A$4:$A$11,0)),INDEX(MODELOS!$E$4:$E$11,MATCH($D422,MODELOS!$A$4:$A$11,0)))</f>
        <v>220 × 200</v>
      </c>
      <c r="I422" s="11" t="str">
        <f aca="false">IF($D422="COMP","SIM",IF(INDEX(PRODUTOS!$J$4:$J$63,MATCH($A422,PRODUTOS!$B$4:$B$63,0))&lt;&gt;"","NÃO (usa o A+ do EAN "&amp;INDEX(PRODUTOS!$J$4:$J$63,MATCH($A422,PRODUTOS!$B$4:$B$63,0))&amp;")",IF(AND(INDEX(PRODUTOS!$I$4:$I$63,MATCH($A422,PRODUTOS!$B$4:$B$63,0))="B",$D422="AP07"),"NÃO (modelo B)","SIM")))</f>
        <v>SIM</v>
      </c>
      <c r="J422" s="13" t="s">
        <v>318</v>
      </c>
      <c r="K422" s="13"/>
    </row>
    <row r="423" customFormat="false" ht="15" hidden="false" customHeight="false" outlineLevel="0" collapsed="false">
      <c r="A423" s="15" t="s">
        <v>267</v>
      </c>
      <c r="B423" s="11" t="str">
        <f aca="false">INDEX(PRODUTOS!$E$4:$E$63,MATCH($A423,PRODUTOS!$B$4:$B$63,0))</f>
        <v>Granulado Higiênico de Madeira Natural Dots para Pets - Pacote 20 kg</v>
      </c>
      <c r="C423" s="11" t="str">
        <f aca="false">INDEX(PRODUTOS!$H$4:$H$63,MATCH($A423,PRODUTOS!$B$4:$B$63,0))</f>
        <v>20 kg</v>
      </c>
      <c r="D423" s="11" t="s">
        <v>321</v>
      </c>
      <c r="E423" s="16" t="str">
        <f aca="false">$A423&amp;"."&amp;$D423&amp;".jpg"</f>
        <v>7908591300239.AP04.jpg</v>
      </c>
      <c r="F423" s="11" t="str">
        <f aca="false">IF(INDEX(PRODUTOS!$I$4:$I$63,MATCH($A423,PRODUTOS!$B$4:$B$63,0))="B",INDEX(MODELOS!$F$4:$F$11,MATCH($D423,MODELOS!$A$4:$A$11,0)),INDEX(MODELOS!$B$4:$B$11,MATCH($D423,MODELOS!$A$4:$A$11,0)))</f>
        <v>Módulo 3 · Benefício 2 de 4</v>
      </c>
      <c r="G423" s="11" t="str">
        <f aca="false">IF(INDEX(PRODUTOS!$F$4:$F$63,MATCH($A423,PRODUTOS!$B$4:$B$63,0))="Ração",IF(INDEX(PRODUTOS!$I$4:$I$63,MATCH($A423,PRODUTOS!$B$4:$B$63,0))="B",INDEX(MODELOS!$G$4:$G$11,MATCH($D423,MODELOS!$A$4:$A$11,0)),INDEX(MODELOS!$C$4:$C$11,MATCH($D423,MODELOS!$A$4:$A$11,0))),IF(INDEX(PRODUTOS!$I$4:$I$63,MATCH($A423,PRODUTOS!$B$4:$B$63,0))="B",INDEX(MODELOS!$H$4:$H$11,MATCH($D423,MODELOS!$A$4:$A$11,0)),INDEX(MODELOS!$D$4:$D$11,MATCH($D423,MODELOS!$A$4:$A$11,0))))</f>
        <v>Foto/ilustração do benefício 2</v>
      </c>
      <c r="H423" s="11" t="str">
        <f aca="false">IF(INDEX(PRODUTOS!$I$4:$I$63,MATCH($A423,PRODUTOS!$B$4:$B$63,0))="B",INDEX(MODELOS!$I$4:$I$11,MATCH($D423,MODELOS!$A$4:$A$11,0)),INDEX(MODELOS!$E$4:$E$11,MATCH($D423,MODELOS!$A$4:$A$11,0)))</f>
        <v>220 × 200</v>
      </c>
      <c r="I423" s="11" t="str">
        <f aca="false">IF($D423="COMP","SIM",IF(INDEX(PRODUTOS!$J$4:$J$63,MATCH($A423,PRODUTOS!$B$4:$B$63,0))&lt;&gt;"","NÃO (usa o A+ do EAN "&amp;INDEX(PRODUTOS!$J$4:$J$63,MATCH($A423,PRODUTOS!$B$4:$B$63,0))&amp;")",IF(AND(INDEX(PRODUTOS!$I$4:$I$63,MATCH($A423,PRODUTOS!$B$4:$B$63,0))="B",$D423="AP07"),"NÃO (modelo B)","SIM")))</f>
        <v>SIM</v>
      </c>
      <c r="J423" s="13" t="s">
        <v>318</v>
      </c>
      <c r="K423" s="13"/>
    </row>
    <row r="424" customFormat="false" ht="15" hidden="false" customHeight="false" outlineLevel="0" collapsed="false">
      <c r="A424" s="15" t="s">
        <v>267</v>
      </c>
      <c r="B424" s="11" t="str">
        <f aca="false">INDEX(PRODUTOS!$E$4:$E$63,MATCH($A424,PRODUTOS!$B$4:$B$63,0))</f>
        <v>Granulado Higiênico de Madeira Natural Dots para Pets - Pacote 20 kg</v>
      </c>
      <c r="C424" s="11" t="str">
        <f aca="false">INDEX(PRODUTOS!$H$4:$H$63,MATCH($A424,PRODUTOS!$B$4:$B$63,0))</f>
        <v>20 kg</v>
      </c>
      <c r="D424" s="11" t="s">
        <v>322</v>
      </c>
      <c r="E424" s="16" t="str">
        <f aca="false">$A424&amp;"."&amp;$D424&amp;".jpg"</f>
        <v>7908591300239.AP05.jpg</v>
      </c>
      <c r="F424" s="11" t="str">
        <f aca="false">IF(INDEX(PRODUTOS!$I$4:$I$63,MATCH($A424,PRODUTOS!$B$4:$B$63,0))="B",INDEX(MODELOS!$F$4:$F$11,MATCH($D424,MODELOS!$A$4:$A$11,0)),INDEX(MODELOS!$B$4:$B$11,MATCH($D424,MODELOS!$A$4:$A$11,0)))</f>
        <v>Módulo 3 · Benefício 3 de 4</v>
      </c>
      <c r="G424" s="11" t="str">
        <f aca="false">IF(INDEX(PRODUTOS!$F$4:$F$63,MATCH($A424,PRODUTOS!$B$4:$B$63,0))="Ração",IF(INDEX(PRODUTOS!$I$4:$I$63,MATCH($A424,PRODUTOS!$B$4:$B$63,0))="B",INDEX(MODELOS!$G$4:$G$11,MATCH($D424,MODELOS!$A$4:$A$11,0)),INDEX(MODELOS!$C$4:$C$11,MATCH($D424,MODELOS!$A$4:$A$11,0))),IF(INDEX(PRODUTOS!$I$4:$I$63,MATCH($A424,PRODUTOS!$B$4:$B$63,0))="B",INDEX(MODELOS!$H$4:$H$11,MATCH($D424,MODELOS!$A$4:$A$11,0)),INDEX(MODELOS!$D$4:$D$11,MATCH($D424,MODELOS!$A$4:$A$11,0))))</f>
        <v>Foto/ilustração do benefício 3</v>
      </c>
      <c r="H424" s="11" t="str">
        <f aca="false">IF(INDEX(PRODUTOS!$I$4:$I$63,MATCH($A424,PRODUTOS!$B$4:$B$63,0))="B",INDEX(MODELOS!$I$4:$I$11,MATCH($D424,MODELOS!$A$4:$A$11,0)),INDEX(MODELOS!$E$4:$E$11,MATCH($D424,MODELOS!$A$4:$A$11,0)))</f>
        <v>220 × 200</v>
      </c>
      <c r="I424" s="11" t="str">
        <f aca="false">IF($D424="COMP","SIM",IF(INDEX(PRODUTOS!$J$4:$J$63,MATCH($A424,PRODUTOS!$B$4:$B$63,0))&lt;&gt;"","NÃO (usa o A+ do EAN "&amp;INDEX(PRODUTOS!$J$4:$J$63,MATCH($A424,PRODUTOS!$B$4:$B$63,0))&amp;")",IF(AND(INDEX(PRODUTOS!$I$4:$I$63,MATCH($A424,PRODUTOS!$B$4:$B$63,0))="B",$D424="AP07"),"NÃO (modelo B)","SIM")))</f>
        <v>SIM</v>
      </c>
      <c r="J424" s="13" t="s">
        <v>318</v>
      </c>
      <c r="K424" s="13"/>
    </row>
    <row r="425" customFormat="false" ht="15" hidden="false" customHeight="false" outlineLevel="0" collapsed="false">
      <c r="A425" s="15" t="s">
        <v>267</v>
      </c>
      <c r="B425" s="11" t="str">
        <f aca="false">INDEX(PRODUTOS!$E$4:$E$63,MATCH($A425,PRODUTOS!$B$4:$B$63,0))</f>
        <v>Granulado Higiênico de Madeira Natural Dots para Pets - Pacote 20 kg</v>
      </c>
      <c r="C425" s="11" t="str">
        <f aca="false">INDEX(PRODUTOS!$H$4:$H$63,MATCH($A425,PRODUTOS!$B$4:$B$63,0))</f>
        <v>20 kg</v>
      </c>
      <c r="D425" s="11" t="s">
        <v>323</v>
      </c>
      <c r="E425" s="16" t="str">
        <f aca="false">$A425&amp;"."&amp;$D425&amp;".jpg"</f>
        <v>7908591300239.AP06.jpg</v>
      </c>
      <c r="F425" s="11" t="str">
        <f aca="false">IF(INDEX(PRODUTOS!$I$4:$I$63,MATCH($A425,PRODUTOS!$B$4:$B$63,0))="B",INDEX(MODELOS!$F$4:$F$11,MATCH($D425,MODELOS!$A$4:$A$11,0)),INDEX(MODELOS!$B$4:$B$11,MATCH($D425,MODELOS!$A$4:$A$11,0)))</f>
        <v>Módulo 3 · Benefício 4 de 4</v>
      </c>
      <c r="G425" s="11" t="str">
        <f aca="false">IF(INDEX(PRODUTOS!$F$4:$F$63,MATCH($A425,PRODUTOS!$B$4:$B$63,0))="Ração",IF(INDEX(PRODUTOS!$I$4:$I$63,MATCH($A425,PRODUTOS!$B$4:$B$63,0))="B",INDEX(MODELOS!$G$4:$G$11,MATCH($D425,MODELOS!$A$4:$A$11,0)),INDEX(MODELOS!$C$4:$C$11,MATCH($D425,MODELOS!$A$4:$A$11,0))),IF(INDEX(PRODUTOS!$I$4:$I$63,MATCH($A425,PRODUTOS!$B$4:$B$63,0))="B",INDEX(MODELOS!$H$4:$H$11,MATCH($D425,MODELOS!$A$4:$A$11,0)),INDEX(MODELOS!$D$4:$D$11,MATCH($D425,MODELOS!$A$4:$A$11,0))))</f>
        <v>Foto/ilustração do benefício 4</v>
      </c>
      <c r="H425" s="11" t="str">
        <f aca="false">IF(INDEX(PRODUTOS!$I$4:$I$63,MATCH($A425,PRODUTOS!$B$4:$B$63,0))="B",INDEX(MODELOS!$I$4:$I$11,MATCH($D425,MODELOS!$A$4:$A$11,0)),INDEX(MODELOS!$E$4:$E$11,MATCH($D425,MODELOS!$A$4:$A$11,0)))</f>
        <v>220 × 200</v>
      </c>
      <c r="I425" s="11" t="str">
        <f aca="false">IF($D425="COMP","SIM",IF(INDEX(PRODUTOS!$J$4:$J$63,MATCH($A425,PRODUTOS!$B$4:$B$63,0))&lt;&gt;"","NÃO (usa o A+ do EAN "&amp;INDEX(PRODUTOS!$J$4:$J$63,MATCH($A425,PRODUTOS!$B$4:$B$63,0))&amp;")",IF(AND(INDEX(PRODUTOS!$I$4:$I$63,MATCH($A425,PRODUTOS!$B$4:$B$63,0))="B",$D425="AP07"),"NÃO (modelo B)","SIM")))</f>
        <v>SIM</v>
      </c>
      <c r="J425" s="13" t="s">
        <v>318</v>
      </c>
      <c r="K425" s="13"/>
    </row>
    <row r="426" customFormat="false" ht="15" hidden="false" customHeight="false" outlineLevel="0" collapsed="false">
      <c r="A426" s="15" t="s">
        <v>267</v>
      </c>
      <c r="B426" s="11" t="str">
        <f aca="false">INDEX(PRODUTOS!$E$4:$E$63,MATCH($A426,PRODUTOS!$B$4:$B$63,0))</f>
        <v>Granulado Higiênico de Madeira Natural Dots para Pets - Pacote 20 kg</v>
      </c>
      <c r="C426" s="11" t="str">
        <f aca="false">INDEX(PRODUTOS!$H$4:$H$63,MATCH($A426,PRODUTOS!$B$4:$B$63,0))</f>
        <v>20 kg</v>
      </c>
      <c r="D426" s="11" t="s">
        <v>324</v>
      </c>
      <c r="E426" s="16" t="str">
        <f aca="false">$A426&amp;"."&amp;$D426&amp;".jpg"</f>
        <v>7908591300239.AP07.jpg</v>
      </c>
      <c r="F426" s="11" t="str">
        <f aca="false">IF(INDEX(PRODUTOS!$I$4:$I$63,MATCH($A426,PRODUTOS!$B$4:$B$63,0))="B",INDEX(MODELOS!$F$4:$F$11,MATCH($D426,MODELOS!$A$4:$A$11,0)),INDEX(MODELOS!$B$4:$B$11,MATCH($D426,MODELOS!$A$4:$A$11,0)))</f>
        <v>Módulo 4 · Especificações</v>
      </c>
      <c r="G426" s="11" t="str">
        <f aca="false">IF(INDEX(PRODUTOS!$F$4:$F$63,MATCH($A426,PRODUTOS!$B$4:$B$63,0))="Ração",IF(INDEX(PRODUTOS!$I$4:$I$63,MATCH($A426,PRODUTOS!$B$4:$B$63,0))="B",INDEX(MODELOS!$G$4:$G$11,MATCH($D426,MODELOS!$A$4:$A$11,0)),INDEX(MODELOS!$C$4:$C$11,MATCH($D426,MODELOS!$A$4:$A$11,0))),IF(INDEX(PRODUTOS!$I$4:$I$63,MATCH($A426,PRODUTOS!$B$4:$B$63,0))="B",INDEX(MODELOS!$H$4:$H$11,MATCH($D426,MODELOS!$A$4:$A$11,0)),INDEX(MODELOS!$D$4:$D$11,MATCH($D426,MODELOS!$A$4:$A$11,0))))</f>
        <v>Produto em destaque</v>
      </c>
      <c r="H426" s="11" t="str">
        <f aca="false">IF(INDEX(PRODUTOS!$I$4:$I$63,MATCH($A426,PRODUTOS!$B$4:$B$63,0))="B",INDEX(MODELOS!$I$4:$I$11,MATCH($D426,MODELOS!$A$4:$A$11,0)),INDEX(MODELOS!$E$4:$E$11,MATCH($D426,MODELOS!$A$4:$A$11,0)))</f>
        <v>300 × 300</v>
      </c>
      <c r="I426" s="11" t="str">
        <f aca="false">IF($D426="COMP","SIM",IF(INDEX(PRODUTOS!$J$4:$J$63,MATCH($A426,PRODUTOS!$B$4:$B$63,0))&lt;&gt;"","NÃO (usa o A+ do EAN "&amp;INDEX(PRODUTOS!$J$4:$J$63,MATCH($A426,PRODUTOS!$B$4:$B$63,0))&amp;")",IF(AND(INDEX(PRODUTOS!$I$4:$I$63,MATCH($A426,PRODUTOS!$B$4:$B$63,0))="B",$D426="AP07"),"NÃO (modelo B)","SIM")))</f>
        <v>SIM</v>
      </c>
      <c r="J426" s="13" t="s">
        <v>318</v>
      </c>
      <c r="K426" s="13"/>
    </row>
    <row r="427" customFormat="false" ht="15" hidden="false" customHeight="false" outlineLevel="0" collapsed="false">
      <c r="A427" s="15" t="s">
        <v>267</v>
      </c>
      <c r="B427" s="11" t="str">
        <f aca="false">INDEX(PRODUTOS!$E$4:$E$63,MATCH($A427,PRODUTOS!$B$4:$B$63,0))</f>
        <v>Granulado Higiênico de Madeira Natural Dots para Pets - Pacote 20 kg</v>
      </c>
      <c r="C427" s="11" t="str">
        <f aca="false">INDEX(PRODUTOS!$H$4:$H$63,MATCH($A427,PRODUTOS!$B$4:$B$63,0))</f>
        <v>20 kg</v>
      </c>
      <c r="D427" s="11" t="s">
        <v>325</v>
      </c>
      <c r="E427" s="16" t="str">
        <f aca="false">$A427&amp;"."&amp;$D427&amp;".jpg"</f>
        <v>7908591300239.COMP.jpg</v>
      </c>
      <c r="F427" s="11" t="str">
        <f aca="false">IF(INDEX(PRODUTOS!$I$4:$I$63,MATCH($A427,PRODUTOS!$B$4:$B$63,0))="B",INDEX(MODELOS!$F$4:$F$11,MATCH($D427,MODELOS!$A$4:$A$11,0)),INDEX(MODELOS!$B$4:$B$11,MATCH($D427,MODELOS!$A$4:$A$11,0)))</f>
        <v>Módulo 5 · Tabela comparativa</v>
      </c>
      <c r="G427" s="11" t="str">
        <f aca="false">IF(INDEX(PRODUTOS!$F$4:$F$63,MATCH($A427,PRODUTOS!$B$4:$B$63,0))="Ração",IF(INDEX(PRODUTOS!$I$4:$I$63,MATCH($A427,PRODUTOS!$B$4:$B$63,0))="B",INDEX(MODELOS!$G$4:$G$11,MATCH($D427,MODELOS!$A$4:$A$11,0)),INDEX(MODELOS!$C$4:$C$11,MATCH($D427,MODELOS!$A$4:$A$11,0))),IF(INDEX(PRODUTOS!$I$4:$I$63,MATCH($A427,PRODUTOS!$B$4:$B$63,0))="B",INDEX(MODELOS!$H$4:$H$11,MATCH($D427,MODELOS!$A$4:$A$11,0)),INDEX(MODELOS!$D$4:$D$11,MATCH($D427,MODELOS!$A$4:$A$11,0))))</f>
        <v>Produto na vertical, sem fundo colorido</v>
      </c>
      <c r="H427" s="11" t="str">
        <f aca="false">IF(INDEX(PRODUTOS!$I$4:$I$63,MATCH($A427,PRODUTOS!$B$4:$B$63,0))="B",INDEX(MODELOS!$I$4:$I$11,MATCH($D427,MODELOS!$A$4:$A$11,0)),INDEX(MODELOS!$E$4:$E$11,MATCH($D427,MODELOS!$A$4:$A$11,0)))</f>
        <v>150 × 300</v>
      </c>
      <c r="I427" s="11" t="str">
        <f aca="false">IF($D427="COMP","SIM",IF(INDEX(PRODUTOS!$J$4:$J$63,MATCH($A427,PRODUTOS!$B$4:$B$63,0))&lt;&gt;"","NÃO (usa o A+ do EAN "&amp;INDEX(PRODUTOS!$J$4:$J$63,MATCH($A427,PRODUTOS!$B$4:$B$63,0))&amp;")",IF(AND(INDEX(PRODUTOS!$I$4:$I$63,MATCH($A427,PRODUTOS!$B$4:$B$63,0))="B",$D427="AP07"),"NÃO (modelo B)","SIM")))</f>
        <v>SIM</v>
      </c>
      <c r="J427" s="13" t="s">
        <v>318</v>
      </c>
      <c r="K427" s="13"/>
    </row>
    <row r="428" customFormat="false" ht="15" hidden="false" customHeight="false" outlineLevel="0" collapsed="false">
      <c r="A428" s="15" t="s">
        <v>273</v>
      </c>
      <c r="B428" s="11" t="str">
        <f aca="false">INDEX(PRODUTOS!$E$4:$E$63,MATCH($A428,PRODUTOS!$B$4:$B$63,0))</f>
        <v>Granulado Higiênico de Madeira Natural Dots para Pets - Pacote 10 kg</v>
      </c>
      <c r="C428" s="11" t="str">
        <f aca="false">INDEX(PRODUTOS!$H$4:$H$63,MATCH($A428,PRODUTOS!$B$4:$B$63,0))</f>
        <v>10 kg</v>
      </c>
      <c r="D428" s="11" t="s">
        <v>317</v>
      </c>
      <c r="E428" s="16" t="str">
        <f aca="false">$A428&amp;"."&amp;$D428&amp;".jpg"</f>
        <v>7908591300482.AP01.jpg</v>
      </c>
      <c r="F428" s="11" t="str">
        <f aca="false">IF(INDEX(PRODUTOS!$I$4:$I$63,MATCH($A428,PRODUTOS!$B$4:$B$63,0))="B",INDEX(MODELOS!$F$4:$F$11,MATCH($D428,MODELOS!$A$4:$A$11,0)),INDEX(MODELOS!$B$4:$B$11,MATCH($D428,MODELOS!$A$4:$A$11,0)))</f>
        <v>Módulo 1 · Banner</v>
      </c>
      <c r="G428" s="11" t="str">
        <f aca="false">IF(INDEX(PRODUTOS!$F$4:$F$63,MATCH($A428,PRODUTOS!$B$4:$B$63,0))="Ração",IF(INDEX(PRODUTOS!$I$4:$I$63,MATCH($A428,PRODUTOS!$B$4:$B$63,0))="B",INDEX(MODELOS!$G$4:$G$11,MATCH($D428,MODELOS!$A$4:$A$11,0)),INDEX(MODELOS!$C$4:$C$11,MATCH($D428,MODELOS!$A$4:$A$11,0))),IF(INDEX(PRODUTOS!$I$4:$I$63,MATCH($A428,PRODUTOS!$B$4:$B$63,0))="B",INDEX(MODELOS!$H$4:$H$11,MATCH($D428,MODELOS!$A$4:$A$11,0)),INDEX(MODELOS!$D$4:$D$11,MATCH($D428,MODELOS!$A$4:$A$11,0))))</f>
        <v>Produto + pet, com o nome da linha</v>
      </c>
      <c r="H428" s="11" t="str">
        <f aca="false">IF(INDEX(PRODUTOS!$I$4:$I$63,MATCH($A428,PRODUTOS!$B$4:$B$63,0))="B",INDEX(MODELOS!$I$4:$I$11,MATCH($D428,MODELOS!$A$4:$A$11,0)),INDEX(MODELOS!$E$4:$E$11,MATCH($D428,MODELOS!$A$4:$A$11,0)))</f>
        <v>970 × 600</v>
      </c>
      <c r="I428" s="11" t="str">
        <f aca="false">IF($D428="COMP","SIM",IF(INDEX(PRODUTOS!$J$4:$J$63,MATCH($A428,PRODUTOS!$B$4:$B$63,0))&lt;&gt;"","NÃO (usa o A+ do EAN "&amp;INDEX(PRODUTOS!$J$4:$J$63,MATCH($A428,PRODUTOS!$B$4:$B$63,0))&amp;")",IF(AND(INDEX(PRODUTOS!$I$4:$I$63,MATCH($A428,PRODUTOS!$B$4:$B$63,0))="B",$D428="AP07"),"NÃO (modelo B)","SIM")))</f>
        <v>NÃO (usa o A+ do EAN 7908591300239)</v>
      </c>
      <c r="J428" s="13" t="s">
        <v>318</v>
      </c>
      <c r="K428" s="13"/>
    </row>
    <row r="429" customFormat="false" ht="15" hidden="false" customHeight="false" outlineLevel="0" collapsed="false">
      <c r="A429" s="15" t="s">
        <v>273</v>
      </c>
      <c r="B429" s="11" t="str">
        <f aca="false">INDEX(PRODUTOS!$E$4:$E$63,MATCH($A429,PRODUTOS!$B$4:$B$63,0))</f>
        <v>Granulado Higiênico de Madeira Natural Dots para Pets - Pacote 10 kg</v>
      </c>
      <c r="C429" s="11" t="str">
        <f aca="false">INDEX(PRODUTOS!$H$4:$H$63,MATCH($A429,PRODUTOS!$B$4:$B$63,0))</f>
        <v>10 kg</v>
      </c>
      <c r="D429" s="11" t="s">
        <v>319</v>
      </c>
      <c r="E429" s="16" t="str">
        <f aca="false">$A429&amp;"."&amp;$D429&amp;".jpg"</f>
        <v>7908591300482.AP02.jpg</v>
      </c>
      <c r="F429" s="11" t="str">
        <f aca="false">IF(INDEX(PRODUTOS!$I$4:$I$63,MATCH($A429,PRODUTOS!$B$4:$B$63,0))="B",INDEX(MODELOS!$F$4:$F$11,MATCH($D429,MODELOS!$A$4:$A$11,0)),INDEX(MODELOS!$B$4:$B$11,MATCH($D429,MODELOS!$A$4:$A$11,0)))</f>
        <v>Módulo 2 · Texto sobreposto</v>
      </c>
      <c r="G429" s="11" t="str">
        <f aca="false">IF(INDEX(PRODUTOS!$F$4:$F$63,MATCH($A429,PRODUTOS!$B$4:$B$63,0))="Ração",IF(INDEX(PRODUTOS!$I$4:$I$63,MATCH($A429,PRODUTOS!$B$4:$B$63,0))="B",INDEX(MODELOS!$G$4:$G$11,MATCH($D429,MODELOS!$A$4:$A$11,0)),INDEX(MODELOS!$C$4:$C$11,MATCH($D429,MODELOS!$A$4:$A$11,0))),IF(INDEX(PRODUTOS!$I$4:$I$63,MATCH($A429,PRODUTOS!$B$4:$B$63,0))="B",INDEX(MODELOS!$H$4:$H$11,MATCH($D429,MODELOS!$A$4:$A$11,0)),INDEX(MODELOS!$D$4:$D$11,MATCH($D429,MODELOS!$A$4:$A$11,0))))</f>
        <v>Principal diferencial; deixar o lado direito limpo</v>
      </c>
      <c r="H429" s="11" t="str">
        <f aca="false">IF(INDEX(PRODUTOS!$I$4:$I$63,MATCH($A429,PRODUTOS!$B$4:$B$63,0))="B",INDEX(MODELOS!$I$4:$I$11,MATCH($D429,MODELOS!$A$4:$A$11,0)),INDEX(MODELOS!$E$4:$E$11,MATCH($D429,MODELOS!$A$4:$A$11,0)))</f>
        <v>970 × 300</v>
      </c>
      <c r="I429" s="11" t="str">
        <f aca="false">IF($D429="COMP","SIM",IF(INDEX(PRODUTOS!$J$4:$J$63,MATCH($A429,PRODUTOS!$B$4:$B$63,0))&lt;&gt;"","NÃO (usa o A+ do EAN "&amp;INDEX(PRODUTOS!$J$4:$J$63,MATCH($A429,PRODUTOS!$B$4:$B$63,0))&amp;")",IF(AND(INDEX(PRODUTOS!$I$4:$I$63,MATCH($A429,PRODUTOS!$B$4:$B$63,0))="B",$D429="AP07"),"NÃO (modelo B)","SIM")))</f>
        <v>NÃO (usa o A+ do EAN 7908591300239)</v>
      </c>
      <c r="J429" s="13" t="s">
        <v>318</v>
      </c>
      <c r="K429" s="13"/>
    </row>
    <row r="430" customFormat="false" ht="15" hidden="false" customHeight="false" outlineLevel="0" collapsed="false">
      <c r="A430" s="15" t="s">
        <v>273</v>
      </c>
      <c r="B430" s="11" t="str">
        <f aca="false">INDEX(PRODUTOS!$E$4:$E$63,MATCH($A430,PRODUTOS!$B$4:$B$63,0))</f>
        <v>Granulado Higiênico de Madeira Natural Dots para Pets - Pacote 10 kg</v>
      </c>
      <c r="C430" s="11" t="str">
        <f aca="false">INDEX(PRODUTOS!$H$4:$H$63,MATCH($A430,PRODUTOS!$B$4:$B$63,0))</f>
        <v>10 kg</v>
      </c>
      <c r="D430" s="11" t="s">
        <v>320</v>
      </c>
      <c r="E430" s="16" t="str">
        <f aca="false">$A430&amp;"."&amp;$D430&amp;".jpg"</f>
        <v>7908591300482.AP03.jpg</v>
      </c>
      <c r="F430" s="11" t="str">
        <f aca="false">IF(INDEX(PRODUTOS!$I$4:$I$63,MATCH($A430,PRODUTOS!$B$4:$B$63,0))="B",INDEX(MODELOS!$F$4:$F$11,MATCH($D430,MODELOS!$A$4:$A$11,0)),INDEX(MODELOS!$B$4:$B$11,MATCH($D430,MODELOS!$A$4:$A$11,0)))</f>
        <v>Módulo 3 · Benefício 1 de 4</v>
      </c>
      <c r="G430" s="11" t="str">
        <f aca="false">IF(INDEX(PRODUTOS!$F$4:$F$63,MATCH($A430,PRODUTOS!$B$4:$B$63,0))="Ração",IF(INDEX(PRODUTOS!$I$4:$I$63,MATCH($A430,PRODUTOS!$B$4:$B$63,0))="B",INDEX(MODELOS!$G$4:$G$11,MATCH($D430,MODELOS!$A$4:$A$11,0)),INDEX(MODELOS!$C$4:$C$11,MATCH($D430,MODELOS!$A$4:$A$11,0))),IF(INDEX(PRODUTOS!$I$4:$I$63,MATCH($A430,PRODUTOS!$B$4:$B$63,0))="B",INDEX(MODELOS!$H$4:$H$11,MATCH($D430,MODELOS!$A$4:$A$11,0)),INDEX(MODELOS!$D$4:$D$11,MATCH($D430,MODELOS!$A$4:$A$11,0))))</f>
        <v>Foto/ilustração do benefício 1</v>
      </c>
      <c r="H430" s="11" t="str">
        <f aca="false">IF(INDEX(PRODUTOS!$I$4:$I$63,MATCH($A430,PRODUTOS!$B$4:$B$63,0))="B",INDEX(MODELOS!$I$4:$I$11,MATCH($D430,MODELOS!$A$4:$A$11,0)),INDEX(MODELOS!$E$4:$E$11,MATCH($D430,MODELOS!$A$4:$A$11,0)))</f>
        <v>220 × 200</v>
      </c>
      <c r="I430" s="11" t="str">
        <f aca="false">IF($D430="COMP","SIM",IF(INDEX(PRODUTOS!$J$4:$J$63,MATCH($A430,PRODUTOS!$B$4:$B$63,0))&lt;&gt;"","NÃO (usa o A+ do EAN "&amp;INDEX(PRODUTOS!$J$4:$J$63,MATCH($A430,PRODUTOS!$B$4:$B$63,0))&amp;")",IF(AND(INDEX(PRODUTOS!$I$4:$I$63,MATCH($A430,PRODUTOS!$B$4:$B$63,0))="B",$D430="AP07"),"NÃO (modelo B)","SIM")))</f>
        <v>NÃO (usa o A+ do EAN 7908591300239)</v>
      </c>
      <c r="J430" s="13" t="s">
        <v>318</v>
      </c>
      <c r="K430" s="13"/>
    </row>
    <row r="431" customFormat="false" ht="15" hidden="false" customHeight="false" outlineLevel="0" collapsed="false">
      <c r="A431" s="15" t="s">
        <v>273</v>
      </c>
      <c r="B431" s="11" t="str">
        <f aca="false">INDEX(PRODUTOS!$E$4:$E$63,MATCH($A431,PRODUTOS!$B$4:$B$63,0))</f>
        <v>Granulado Higiênico de Madeira Natural Dots para Pets - Pacote 10 kg</v>
      </c>
      <c r="C431" s="11" t="str">
        <f aca="false">INDEX(PRODUTOS!$H$4:$H$63,MATCH($A431,PRODUTOS!$B$4:$B$63,0))</f>
        <v>10 kg</v>
      </c>
      <c r="D431" s="11" t="s">
        <v>321</v>
      </c>
      <c r="E431" s="16" t="str">
        <f aca="false">$A431&amp;"."&amp;$D431&amp;".jpg"</f>
        <v>7908591300482.AP04.jpg</v>
      </c>
      <c r="F431" s="11" t="str">
        <f aca="false">IF(INDEX(PRODUTOS!$I$4:$I$63,MATCH($A431,PRODUTOS!$B$4:$B$63,0))="B",INDEX(MODELOS!$F$4:$F$11,MATCH($D431,MODELOS!$A$4:$A$11,0)),INDEX(MODELOS!$B$4:$B$11,MATCH($D431,MODELOS!$A$4:$A$11,0)))</f>
        <v>Módulo 3 · Benefício 2 de 4</v>
      </c>
      <c r="G431" s="11" t="str">
        <f aca="false">IF(INDEX(PRODUTOS!$F$4:$F$63,MATCH($A431,PRODUTOS!$B$4:$B$63,0))="Ração",IF(INDEX(PRODUTOS!$I$4:$I$63,MATCH($A431,PRODUTOS!$B$4:$B$63,0))="B",INDEX(MODELOS!$G$4:$G$11,MATCH($D431,MODELOS!$A$4:$A$11,0)),INDEX(MODELOS!$C$4:$C$11,MATCH($D431,MODELOS!$A$4:$A$11,0))),IF(INDEX(PRODUTOS!$I$4:$I$63,MATCH($A431,PRODUTOS!$B$4:$B$63,0))="B",INDEX(MODELOS!$H$4:$H$11,MATCH($D431,MODELOS!$A$4:$A$11,0)),INDEX(MODELOS!$D$4:$D$11,MATCH($D431,MODELOS!$A$4:$A$11,0))))</f>
        <v>Foto/ilustração do benefício 2</v>
      </c>
      <c r="H431" s="11" t="str">
        <f aca="false">IF(INDEX(PRODUTOS!$I$4:$I$63,MATCH($A431,PRODUTOS!$B$4:$B$63,0))="B",INDEX(MODELOS!$I$4:$I$11,MATCH($D431,MODELOS!$A$4:$A$11,0)),INDEX(MODELOS!$E$4:$E$11,MATCH($D431,MODELOS!$A$4:$A$11,0)))</f>
        <v>220 × 200</v>
      </c>
      <c r="I431" s="11" t="str">
        <f aca="false">IF($D431="COMP","SIM",IF(INDEX(PRODUTOS!$J$4:$J$63,MATCH($A431,PRODUTOS!$B$4:$B$63,0))&lt;&gt;"","NÃO (usa o A+ do EAN "&amp;INDEX(PRODUTOS!$J$4:$J$63,MATCH($A431,PRODUTOS!$B$4:$B$63,0))&amp;")",IF(AND(INDEX(PRODUTOS!$I$4:$I$63,MATCH($A431,PRODUTOS!$B$4:$B$63,0))="B",$D431="AP07"),"NÃO (modelo B)","SIM")))</f>
        <v>NÃO (usa o A+ do EAN 7908591300239)</v>
      </c>
      <c r="J431" s="13" t="s">
        <v>318</v>
      </c>
      <c r="K431" s="13"/>
    </row>
    <row r="432" customFormat="false" ht="15" hidden="false" customHeight="false" outlineLevel="0" collapsed="false">
      <c r="A432" s="15" t="s">
        <v>273</v>
      </c>
      <c r="B432" s="11" t="str">
        <f aca="false">INDEX(PRODUTOS!$E$4:$E$63,MATCH($A432,PRODUTOS!$B$4:$B$63,0))</f>
        <v>Granulado Higiênico de Madeira Natural Dots para Pets - Pacote 10 kg</v>
      </c>
      <c r="C432" s="11" t="str">
        <f aca="false">INDEX(PRODUTOS!$H$4:$H$63,MATCH($A432,PRODUTOS!$B$4:$B$63,0))</f>
        <v>10 kg</v>
      </c>
      <c r="D432" s="11" t="s">
        <v>322</v>
      </c>
      <c r="E432" s="16" t="str">
        <f aca="false">$A432&amp;"."&amp;$D432&amp;".jpg"</f>
        <v>7908591300482.AP05.jpg</v>
      </c>
      <c r="F432" s="11" t="str">
        <f aca="false">IF(INDEX(PRODUTOS!$I$4:$I$63,MATCH($A432,PRODUTOS!$B$4:$B$63,0))="B",INDEX(MODELOS!$F$4:$F$11,MATCH($D432,MODELOS!$A$4:$A$11,0)),INDEX(MODELOS!$B$4:$B$11,MATCH($D432,MODELOS!$A$4:$A$11,0)))</f>
        <v>Módulo 3 · Benefício 3 de 4</v>
      </c>
      <c r="G432" s="11" t="str">
        <f aca="false">IF(INDEX(PRODUTOS!$F$4:$F$63,MATCH($A432,PRODUTOS!$B$4:$B$63,0))="Ração",IF(INDEX(PRODUTOS!$I$4:$I$63,MATCH($A432,PRODUTOS!$B$4:$B$63,0))="B",INDEX(MODELOS!$G$4:$G$11,MATCH($D432,MODELOS!$A$4:$A$11,0)),INDEX(MODELOS!$C$4:$C$11,MATCH($D432,MODELOS!$A$4:$A$11,0))),IF(INDEX(PRODUTOS!$I$4:$I$63,MATCH($A432,PRODUTOS!$B$4:$B$63,0))="B",INDEX(MODELOS!$H$4:$H$11,MATCH($D432,MODELOS!$A$4:$A$11,0)),INDEX(MODELOS!$D$4:$D$11,MATCH($D432,MODELOS!$A$4:$A$11,0))))</f>
        <v>Foto/ilustração do benefício 3</v>
      </c>
      <c r="H432" s="11" t="str">
        <f aca="false">IF(INDEX(PRODUTOS!$I$4:$I$63,MATCH($A432,PRODUTOS!$B$4:$B$63,0))="B",INDEX(MODELOS!$I$4:$I$11,MATCH($D432,MODELOS!$A$4:$A$11,0)),INDEX(MODELOS!$E$4:$E$11,MATCH($D432,MODELOS!$A$4:$A$11,0)))</f>
        <v>220 × 200</v>
      </c>
      <c r="I432" s="11" t="str">
        <f aca="false">IF($D432="COMP","SIM",IF(INDEX(PRODUTOS!$J$4:$J$63,MATCH($A432,PRODUTOS!$B$4:$B$63,0))&lt;&gt;"","NÃO (usa o A+ do EAN "&amp;INDEX(PRODUTOS!$J$4:$J$63,MATCH($A432,PRODUTOS!$B$4:$B$63,0))&amp;")",IF(AND(INDEX(PRODUTOS!$I$4:$I$63,MATCH($A432,PRODUTOS!$B$4:$B$63,0))="B",$D432="AP07"),"NÃO (modelo B)","SIM")))</f>
        <v>NÃO (usa o A+ do EAN 7908591300239)</v>
      </c>
      <c r="J432" s="13" t="s">
        <v>318</v>
      </c>
      <c r="K432" s="13"/>
    </row>
    <row r="433" customFormat="false" ht="15" hidden="false" customHeight="false" outlineLevel="0" collapsed="false">
      <c r="A433" s="15" t="s">
        <v>273</v>
      </c>
      <c r="B433" s="11" t="str">
        <f aca="false">INDEX(PRODUTOS!$E$4:$E$63,MATCH($A433,PRODUTOS!$B$4:$B$63,0))</f>
        <v>Granulado Higiênico de Madeira Natural Dots para Pets - Pacote 10 kg</v>
      </c>
      <c r="C433" s="11" t="str">
        <f aca="false">INDEX(PRODUTOS!$H$4:$H$63,MATCH($A433,PRODUTOS!$B$4:$B$63,0))</f>
        <v>10 kg</v>
      </c>
      <c r="D433" s="11" t="s">
        <v>323</v>
      </c>
      <c r="E433" s="16" t="str">
        <f aca="false">$A433&amp;"."&amp;$D433&amp;".jpg"</f>
        <v>7908591300482.AP06.jpg</v>
      </c>
      <c r="F433" s="11" t="str">
        <f aca="false">IF(INDEX(PRODUTOS!$I$4:$I$63,MATCH($A433,PRODUTOS!$B$4:$B$63,0))="B",INDEX(MODELOS!$F$4:$F$11,MATCH($D433,MODELOS!$A$4:$A$11,0)),INDEX(MODELOS!$B$4:$B$11,MATCH($D433,MODELOS!$A$4:$A$11,0)))</f>
        <v>Módulo 3 · Benefício 4 de 4</v>
      </c>
      <c r="G433" s="11" t="str">
        <f aca="false">IF(INDEX(PRODUTOS!$F$4:$F$63,MATCH($A433,PRODUTOS!$B$4:$B$63,0))="Ração",IF(INDEX(PRODUTOS!$I$4:$I$63,MATCH($A433,PRODUTOS!$B$4:$B$63,0))="B",INDEX(MODELOS!$G$4:$G$11,MATCH($D433,MODELOS!$A$4:$A$11,0)),INDEX(MODELOS!$C$4:$C$11,MATCH($D433,MODELOS!$A$4:$A$11,0))),IF(INDEX(PRODUTOS!$I$4:$I$63,MATCH($A433,PRODUTOS!$B$4:$B$63,0))="B",INDEX(MODELOS!$H$4:$H$11,MATCH($D433,MODELOS!$A$4:$A$11,0)),INDEX(MODELOS!$D$4:$D$11,MATCH($D433,MODELOS!$A$4:$A$11,0))))</f>
        <v>Foto/ilustração do benefício 4</v>
      </c>
      <c r="H433" s="11" t="str">
        <f aca="false">IF(INDEX(PRODUTOS!$I$4:$I$63,MATCH($A433,PRODUTOS!$B$4:$B$63,0))="B",INDEX(MODELOS!$I$4:$I$11,MATCH($D433,MODELOS!$A$4:$A$11,0)),INDEX(MODELOS!$E$4:$E$11,MATCH($D433,MODELOS!$A$4:$A$11,0)))</f>
        <v>220 × 200</v>
      </c>
      <c r="I433" s="11" t="str">
        <f aca="false">IF($D433="COMP","SIM",IF(INDEX(PRODUTOS!$J$4:$J$63,MATCH($A433,PRODUTOS!$B$4:$B$63,0))&lt;&gt;"","NÃO (usa o A+ do EAN "&amp;INDEX(PRODUTOS!$J$4:$J$63,MATCH($A433,PRODUTOS!$B$4:$B$63,0))&amp;")",IF(AND(INDEX(PRODUTOS!$I$4:$I$63,MATCH($A433,PRODUTOS!$B$4:$B$63,0))="B",$D433="AP07"),"NÃO (modelo B)","SIM")))</f>
        <v>NÃO (usa o A+ do EAN 7908591300239)</v>
      </c>
      <c r="J433" s="13" t="s">
        <v>318</v>
      </c>
      <c r="K433" s="13"/>
    </row>
    <row r="434" customFormat="false" ht="15" hidden="false" customHeight="false" outlineLevel="0" collapsed="false">
      <c r="A434" s="15" t="s">
        <v>273</v>
      </c>
      <c r="B434" s="11" t="str">
        <f aca="false">INDEX(PRODUTOS!$E$4:$E$63,MATCH($A434,PRODUTOS!$B$4:$B$63,0))</f>
        <v>Granulado Higiênico de Madeira Natural Dots para Pets - Pacote 10 kg</v>
      </c>
      <c r="C434" s="11" t="str">
        <f aca="false">INDEX(PRODUTOS!$H$4:$H$63,MATCH($A434,PRODUTOS!$B$4:$B$63,0))</f>
        <v>10 kg</v>
      </c>
      <c r="D434" s="11" t="s">
        <v>324</v>
      </c>
      <c r="E434" s="16" t="str">
        <f aca="false">$A434&amp;"."&amp;$D434&amp;".jpg"</f>
        <v>7908591300482.AP07.jpg</v>
      </c>
      <c r="F434" s="11" t="str">
        <f aca="false">IF(INDEX(PRODUTOS!$I$4:$I$63,MATCH($A434,PRODUTOS!$B$4:$B$63,0))="B",INDEX(MODELOS!$F$4:$F$11,MATCH($D434,MODELOS!$A$4:$A$11,0)),INDEX(MODELOS!$B$4:$B$11,MATCH($D434,MODELOS!$A$4:$A$11,0)))</f>
        <v>Módulo 4 · Especificações</v>
      </c>
      <c r="G434" s="11" t="str">
        <f aca="false">IF(INDEX(PRODUTOS!$F$4:$F$63,MATCH($A434,PRODUTOS!$B$4:$B$63,0))="Ração",IF(INDEX(PRODUTOS!$I$4:$I$63,MATCH($A434,PRODUTOS!$B$4:$B$63,0))="B",INDEX(MODELOS!$G$4:$G$11,MATCH($D434,MODELOS!$A$4:$A$11,0)),INDEX(MODELOS!$C$4:$C$11,MATCH($D434,MODELOS!$A$4:$A$11,0))),IF(INDEX(PRODUTOS!$I$4:$I$63,MATCH($A434,PRODUTOS!$B$4:$B$63,0))="B",INDEX(MODELOS!$H$4:$H$11,MATCH($D434,MODELOS!$A$4:$A$11,0)),INDEX(MODELOS!$D$4:$D$11,MATCH($D434,MODELOS!$A$4:$A$11,0))))</f>
        <v>Produto em destaque</v>
      </c>
      <c r="H434" s="11" t="str">
        <f aca="false">IF(INDEX(PRODUTOS!$I$4:$I$63,MATCH($A434,PRODUTOS!$B$4:$B$63,0))="B",INDEX(MODELOS!$I$4:$I$11,MATCH($D434,MODELOS!$A$4:$A$11,0)),INDEX(MODELOS!$E$4:$E$11,MATCH($D434,MODELOS!$A$4:$A$11,0)))</f>
        <v>300 × 300</v>
      </c>
      <c r="I434" s="11" t="str">
        <f aca="false">IF($D434="COMP","SIM",IF(INDEX(PRODUTOS!$J$4:$J$63,MATCH($A434,PRODUTOS!$B$4:$B$63,0))&lt;&gt;"","NÃO (usa o A+ do EAN "&amp;INDEX(PRODUTOS!$J$4:$J$63,MATCH($A434,PRODUTOS!$B$4:$B$63,0))&amp;")",IF(AND(INDEX(PRODUTOS!$I$4:$I$63,MATCH($A434,PRODUTOS!$B$4:$B$63,0))="B",$D434="AP07"),"NÃO (modelo B)","SIM")))</f>
        <v>NÃO (usa o A+ do EAN 7908591300239)</v>
      </c>
      <c r="J434" s="13" t="s">
        <v>318</v>
      </c>
      <c r="K434" s="13"/>
    </row>
    <row r="435" customFormat="false" ht="15" hidden="false" customHeight="false" outlineLevel="0" collapsed="false">
      <c r="A435" s="15" t="s">
        <v>273</v>
      </c>
      <c r="B435" s="11" t="str">
        <f aca="false">INDEX(PRODUTOS!$E$4:$E$63,MATCH($A435,PRODUTOS!$B$4:$B$63,0))</f>
        <v>Granulado Higiênico de Madeira Natural Dots para Pets - Pacote 10 kg</v>
      </c>
      <c r="C435" s="11" t="str">
        <f aca="false">INDEX(PRODUTOS!$H$4:$H$63,MATCH($A435,PRODUTOS!$B$4:$B$63,0))</f>
        <v>10 kg</v>
      </c>
      <c r="D435" s="11" t="s">
        <v>325</v>
      </c>
      <c r="E435" s="16" t="str">
        <f aca="false">$A435&amp;"."&amp;$D435&amp;".jpg"</f>
        <v>7908591300482.COMP.jpg</v>
      </c>
      <c r="F435" s="11" t="str">
        <f aca="false">IF(INDEX(PRODUTOS!$I$4:$I$63,MATCH($A435,PRODUTOS!$B$4:$B$63,0))="B",INDEX(MODELOS!$F$4:$F$11,MATCH($D435,MODELOS!$A$4:$A$11,0)),INDEX(MODELOS!$B$4:$B$11,MATCH($D435,MODELOS!$A$4:$A$11,0)))</f>
        <v>Módulo 5 · Tabela comparativa</v>
      </c>
      <c r="G435" s="11" t="str">
        <f aca="false">IF(INDEX(PRODUTOS!$F$4:$F$63,MATCH($A435,PRODUTOS!$B$4:$B$63,0))="Ração",IF(INDEX(PRODUTOS!$I$4:$I$63,MATCH($A435,PRODUTOS!$B$4:$B$63,0))="B",INDEX(MODELOS!$G$4:$G$11,MATCH($D435,MODELOS!$A$4:$A$11,0)),INDEX(MODELOS!$C$4:$C$11,MATCH($D435,MODELOS!$A$4:$A$11,0))),IF(INDEX(PRODUTOS!$I$4:$I$63,MATCH($A435,PRODUTOS!$B$4:$B$63,0))="B",INDEX(MODELOS!$H$4:$H$11,MATCH($D435,MODELOS!$A$4:$A$11,0)),INDEX(MODELOS!$D$4:$D$11,MATCH($D435,MODELOS!$A$4:$A$11,0))))</f>
        <v>Produto na vertical, sem fundo colorido</v>
      </c>
      <c r="H435" s="11" t="str">
        <f aca="false">IF(INDEX(PRODUTOS!$I$4:$I$63,MATCH($A435,PRODUTOS!$B$4:$B$63,0))="B",INDEX(MODELOS!$I$4:$I$11,MATCH($D435,MODELOS!$A$4:$A$11,0)),INDEX(MODELOS!$E$4:$E$11,MATCH($D435,MODELOS!$A$4:$A$11,0)))</f>
        <v>150 × 300</v>
      </c>
      <c r="I435" s="11" t="str">
        <f aca="false">IF($D435="COMP","SIM",IF(INDEX(PRODUTOS!$J$4:$J$63,MATCH($A435,PRODUTOS!$B$4:$B$63,0))&lt;&gt;"","NÃO (usa o A+ do EAN "&amp;INDEX(PRODUTOS!$J$4:$J$63,MATCH($A435,PRODUTOS!$B$4:$B$63,0))&amp;")",IF(AND(INDEX(PRODUTOS!$I$4:$I$63,MATCH($A435,PRODUTOS!$B$4:$B$63,0))="B",$D435="AP07"),"NÃO (modelo B)","SIM")))</f>
        <v>SIM</v>
      </c>
      <c r="J435" s="13" t="s">
        <v>318</v>
      </c>
      <c r="K435" s="13"/>
    </row>
    <row r="436" customFormat="false" ht="15" hidden="false" customHeight="false" outlineLevel="0" collapsed="false">
      <c r="A436" s="15" t="s">
        <v>278</v>
      </c>
      <c r="B436" s="11" t="str">
        <f aca="false">INDEX(PRODUTOS!$E$4:$E$63,MATCH($A436,PRODUTOS!$B$4:$B$63,0))</f>
        <v>Granulado Higiênico de Madeira Natural Dots para Pets - Pacote 2 kg</v>
      </c>
      <c r="C436" s="11" t="str">
        <f aca="false">INDEX(PRODUTOS!$H$4:$H$63,MATCH($A436,PRODUTOS!$B$4:$B$63,0))</f>
        <v>2 kg</v>
      </c>
      <c r="D436" s="11" t="s">
        <v>317</v>
      </c>
      <c r="E436" s="16" t="str">
        <f aca="false">$A436&amp;"."&amp;$D436&amp;".jpg"</f>
        <v>7908591300024.AP01.jpg</v>
      </c>
      <c r="F436" s="11" t="str">
        <f aca="false">IF(INDEX(PRODUTOS!$I$4:$I$63,MATCH($A436,PRODUTOS!$B$4:$B$63,0))="B",INDEX(MODELOS!$F$4:$F$11,MATCH($D436,MODELOS!$A$4:$A$11,0)),INDEX(MODELOS!$B$4:$B$11,MATCH($D436,MODELOS!$A$4:$A$11,0)))</f>
        <v>Módulo 1 · Banner</v>
      </c>
      <c r="G436" s="11" t="str">
        <f aca="false">IF(INDEX(PRODUTOS!$F$4:$F$63,MATCH($A436,PRODUTOS!$B$4:$B$63,0))="Ração",IF(INDEX(PRODUTOS!$I$4:$I$63,MATCH($A436,PRODUTOS!$B$4:$B$63,0))="B",INDEX(MODELOS!$G$4:$G$11,MATCH($D436,MODELOS!$A$4:$A$11,0)),INDEX(MODELOS!$C$4:$C$11,MATCH($D436,MODELOS!$A$4:$A$11,0))),IF(INDEX(PRODUTOS!$I$4:$I$63,MATCH($A436,PRODUTOS!$B$4:$B$63,0))="B",INDEX(MODELOS!$H$4:$H$11,MATCH($D436,MODELOS!$A$4:$A$11,0)),INDEX(MODELOS!$D$4:$D$11,MATCH($D436,MODELOS!$A$4:$A$11,0))))</f>
        <v>Produto + pet, com o nome da linha</v>
      </c>
      <c r="H436" s="11" t="str">
        <f aca="false">IF(INDEX(PRODUTOS!$I$4:$I$63,MATCH($A436,PRODUTOS!$B$4:$B$63,0))="B",INDEX(MODELOS!$I$4:$I$11,MATCH($D436,MODELOS!$A$4:$A$11,0)),INDEX(MODELOS!$E$4:$E$11,MATCH($D436,MODELOS!$A$4:$A$11,0)))</f>
        <v>970 × 600</v>
      </c>
      <c r="I436" s="11" t="str">
        <f aca="false">IF($D436="COMP","SIM",IF(INDEX(PRODUTOS!$J$4:$J$63,MATCH($A436,PRODUTOS!$B$4:$B$63,0))&lt;&gt;"","NÃO (usa o A+ do EAN "&amp;INDEX(PRODUTOS!$J$4:$J$63,MATCH($A436,PRODUTOS!$B$4:$B$63,0))&amp;")",IF(AND(INDEX(PRODUTOS!$I$4:$I$63,MATCH($A436,PRODUTOS!$B$4:$B$63,0))="B",$D436="AP07"),"NÃO (modelo B)","SIM")))</f>
        <v>NÃO (usa o A+ do EAN 7908591300239)</v>
      </c>
      <c r="J436" s="13" t="s">
        <v>318</v>
      </c>
      <c r="K436" s="13"/>
    </row>
    <row r="437" customFormat="false" ht="15" hidden="false" customHeight="false" outlineLevel="0" collapsed="false">
      <c r="A437" s="15" t="s">
        <v>278</v>
      </c>
      <c r="B437" s="11" t="str">
        <f aca="false">INDEX(PRODUTOS!$E$4:$E$63,MATCH($A437,PRODUTOS!$B$4:$B$63,0))</f>
        <v>Granulado Higiênico de Madeira Natural Dots para Pets - Pacote 2 kg</v>
      </c>
      <c r="C437" s="11" t="str">
        <f aca="false">INDEX(PRODUTOS!$H$4:$H$63,MATCH($A437,PRODUTOS!$B$4:$B$63,0))</f>
        <v>2 kg</v>
      </c>
      <c r="D437" s="11" t="s">
        <v>319</v>
      </c>
      <c r="E437" s="16" t="str">
        <f aca="false">$A437&amp;"."&amp;$D437&amp;".jpg"</f>
        <v>7908591300024.AP02.jpg</v>
      </c>
      <c r="F437" s="11" t="str">
        <f aca="false">IF(INDEX(PRODUTOS!$I$4:$I$63,MATCH($A437,PRODUTOS!$B$4:$B$63,0))="B",INDEX(MODELOS!$F$4:$F$11,MATCH($D437,MODELOS!$A$4:$A$11,0)),INDEX(MODELOS!$B$4:$B$11,MATCH($D437,MODELOS!$A$4:$A$11,0)))</f>
        <v>Módulo 2 · Texto sobreposto</v>
      </c>
      <c r="G437" s="11" t="str">
        <f aca="false">IF(INDEX(PRODUTOS!$F$4:$F$63,MATCH($A437,PRODUTOS!$B$4:$B$63,0))="Ração",IF(INDEX(PRODUTOS!$I$4:$I$63,MATCH($A437,PRODUTOS!$B$4:$B$63,0))="B",INDEX(MODELOS!$G$4:$G$11,MATCH($D437,MODELOS!$A$4:$A$11,0)),INDEX(MODELOS!$C$4:$C$11,MATCH($D437,MODELOS!$A$4:$A$11,0))),IF(INDEX(PRODUTOS!$I$4:$I$63,MATCH($A437,PRODUTOS!$B$4:$B$63,0))="B",INDEX(MODELOS!$H$4:$H$11,MATCH($D437,MODELOS!$A$4:$A$11,0)),INDEX(MODELOS!$D$4:$D$11,MATCH($D437,MODELOS!$A$4:$A$11,0))))</f>
        <v>Principal diferencial; deixar o lado direito limpo</v>
      </c>
      <c r="H437" s="11" t="str">
        <f aca="false">IF(INDEX(PRODUTOS!$I$4:$I$63,MATCH($A437,PRODUTOS!$B$4:$B$63,0))="B",INDEX(MODELOS!$I$4:$I$11,MATCH($D437,MODELOS!$A$4:$A$11,0)),INDEX(MODELOS!$E$4:$E$11,MATCH($D437,MODELOS!$A$4:$A$11,0)))</f>
        <v>970 × 300</v>
      </c>
      <c r="I437" s="11" t="str">
        <f aca="false">IF($D437="COMP","SIM",IF(INDEX(PRODUTOS!$J$4:$J$63,MATCH($A437,PRODUTOS!$B$4:$B$63,0))&lt;&gt;"","NÃO (usa o A+ do EAN "&amp;INDEX(PRODUTOS!$J$4:$J$63,MATCH($A437,PRODUTOS!$B$4:$B$63,0))&amp;")",IF(AND(INDEX(PRODUTOS!$I$4:$I$63,MATCH($A437,PRODUTOS!$B$4:$B$63,0))="B",$D437="AP07"),"NÃO (modelo B)","SIM")))</f>
        <v>NÃO (usa o A+ do EAN 7908591300239)</v>
      </c>
      <c r="J437" s="13" t="s">
        <v>318</v>
      </c>
      <c r="K437" s="13"/>
    </row>
    <row r="438" customFormat="false" ht="15" hidden="false" customHeight="false" outlineLevel="0" collapsed="false">
      <c r="A438" s="15" t="s">
        <v>278</v>
      </c>
      <c r="B438" s="11" t="str">
        <f aca="false">INDEX(PRODUTOS!$E$4:$E$63,MATCH($A438,PRODUTOS!$B$4:$B$63,0))</f>
        <v>Granulado Higiênico de Madeira Natural Dots para Pets - Pacote 2 kg</v>
      </c>
      <c r="C438" s="11" t="str">
        <f aca="false">INDEX(PRODUTOS!$H$4:$H$63,MATCH($A438,PRODUTOS!$B$4:$B$63,0))</f>
        <v>2 kg</v>
      </c>
      <c r="D438" s="11" t="s">
        <v>320</v>
      </c>
      <c r="E438" s="16" t="str">
        <f aca="false">$A438&amp;"."&amp;$D438&amp;".jpg"</f>
        <v>7908591300024.AP03.jpg</v>
      </c>
      <c r="F438" s="11" t="str">
        <f aca="false">IF(INDEX(PRODUTOS!$I$4:$I$63,MATCH($A438,PRODUTOS!$B$4:$B$63,0))="B",INDEX(MODELOS!$F$4:$F$11,MATCH($D438,MODELOS!$A$4:$A$11,0)),INDEX(MODELOS!$B$4:$B$11,MATCH($D438,MODELOS!$A$4:$A$11,0)))</f>
        <v>Módulo 3 · Benefício 1 de 4</v>
      </c>
      <c r="G438" s="11" t="str">
        <f aca="false">IF(INDEX(PRODUTOS!$F$4:$F$63,MATCH($A438,PRODUTOS!$B$4:$B$63,0))="Ração",IF(INDEX(PRODUTOS!$I$4:$I$63,MATCH($A438,PRODUTOS!$B$4:$B$63,0))="B",INDEX(MODELOS!$G$4:$G$11,MATCH($D438,MODELOS!$A$4:$A$11,0)),INDEX(MODELOS!$C$4:$C$11,MATCH($D438,MODELOS!$A$4:$A$11,0))),IF(INDEX(PRODUTOS!$I$4:$I$63,MATCH($A438,PRODUTOS!$B$4:$B$63,0))="B",INDEX(MODELOS!$H$4:$H$11,MATCH($D438,MODELOS!$A$4:$A$11,0)),INDEX(MODELOS!$D$4:$D$11,MATCH($D438,MODELOS!$A$4:$A$11,0))))</f>
        <v>Foto/ilustração do benefício 1</v>
      </c>
      <c r="H438" s="11" t="str">
        <f aca="false">IF(INDEX(PRODUTOS!$I$4:$I$63,MATCH($A438,PRODUTOS!$B$4:$B$63,0))="B",INDEX(MODELOS!$I$4:$I$11,MATCH($D438,MODELOS!$A$4:$A$11,0)),INDEX(MODELOS!$E$4:$E$11,MATCH($D438,MODELOS!$A$4:$A$11,0)))</f>
        <v>220 × 200</v>
      </c>
      <c r="I438" s="11" t="str">
        <f aca="false">IF($D438="COMP","SIM",IF(INDEX(PRODUTOS!$J$4:$J$63,MATCH($A438,PRODUTOS!$B$4:$B$63,0))&lt;&gt;"","NÃO (usa o A+ do EAN "&amp;INDEX(PRODUTOS!$J$4:$J$63,MATCH($A438,PRODUTOS!$B$4:$B$63,0))&amp;")",IF(AND(INDEX(PRODUTOS!$I$4:$I$63,MATCH($A438,PRODUTOS!$B$4:$B$63,0))="B",$D438="AP07"),"NÃO (modelo B)","SIM")))</f>
        <v>NÃO (usa o A+ do EAN 7908591300239)</v>
      </c>
      <c r="J438" s="13" t="s">
        <v>318</v>
      </c>
      <c r="K438" s="13"/>
    </row>
    <row r="439" customFormat="false" ht="15" hidden="false" customHeight="false" outlineLevel="0" collapsed="false">
      <c r="A439" s="15" t="s">
        <v>278</v>
      </c>
      <c r="B439" s="11" t="str">
        <f aca="false">INDEX(PRODUTOS!$E$4:$E$63,MATCH($A439,PRODUTOS!$B$4:$B$63,0))</f>
        <v>Granulado Higiênico de Madeira Natural Dots para Pets - Pacote 2 kg</v>
      </c>
      <c r="C439" s="11" t="str">
        <f aca="false">INDEX(PRODUTOS!$H$4:$H$63,MATCH($A439,PRODUTOS!$B$4:$B$63,0))</f>
        <v>2 kg</v>
      </c>
      <c r="D439" s="11" t="s">
        <v>321</v>
      </c>
      <c r="E439" s="16" t="str">
        <f aca="false">$A439&amp;"."&amp;$D439&amp;".jpg"</f>
        <v>7908591300024.AP04.jpg</v>
      </c>
      <c r="F439" s="11" t="str">
        <f aca="false">IF(INDEX(PRODUTOS!$I$4:$I$63,MATCH($A439,PRODUTOS!$B$4:$B$63,0))="B",INDEX(MODELOS!$F$4:$F$11,MATCH($D439,MODELOS!$A$4:$A$11,0)),INDEX(MODELOS!$B$4:$B$11,MATCH($D439,MODELOS!$A$4:$A$11,0)))</f>
        <v>Módulo 3 · Benefício 2 de 4</v>
      </c>
      <c r="G439" s="11" t="str">
        <f aca="false">IF(INDEX(PRODUTOS!$F$4:$F$63,MATCH($A439,PRODUTOS!$B$4:$B$63,0))="Ração",IF(INDEX(PRODUTOS!$I$4:$I$63,MATCH($A439,PRODUTOS!$B$4:$B$63,0))="B",INDEX(MODELOS!$G$4:$G$11,MATCH($D439,MODELOS!$A$4:$A$11,0)),INDEX(MODELOS!$C$4:$C$11,MATCH($D439,MODELOS!$A$4:$A$11,0))),IF(INDEX(PRODUTOS!$I$4:$I$63,MATCH($A439,PRODUTOS!$B$4:$B$63,0))="B",INDEX(MODELOS!$H$4:$H$11,MATCH($D439,MODELOS!$A$4:$A$11,0)),INDEX(MODELOS!$D$4:$D$11,MATCH($D439,MODELOS!$A$4:$A$11,0))))</f>
        <v>Foto/ilustração do benefício 2</v>
      </c>
      <c r="H439" s="11" t="str">
        <f aca="false">IF(INDEX(PRODUTOS!$I$4:$I$63,MATCH($A439,PRODUTOS!$B$4:$B$63,0))="B",INDEX(MODELOS!$I$4:$I$11,MATCH($D439,MODELOS!$A$4:$A$11,0)),INDEX(MODELOS!$E$4:$E$11,MATCH($D439,MODELOS!$A$4:$A$11,0)))</f>
        <v>220 × 200</v>
      </c>
      <c r="I439" s="11" t="str">
        <f aca="false">IF($D439="COMP","SIM",IF(INDEX(PRODUTOS!$J$4:$J$63,MATCH($A439,PRODUTOS!$B$4:$B$63,0))&lt;&gt;"","NÃO (usa o A+ do EAN "&amp;INDEX(PRODUTOS!$J$4:$J$63,MATCH($A439,PRODUTOS!$B$4:$B$63,0))&amp;")",IF(AND(INDEX(PRODUTOS!$I$4:$I$63,MATCH($A439,PRODUTOS!$B$4:$B$63,0))="B",$D439="AP07"),"NÃO (modelo B)","SIM")))</f>
        <v>NÃO (usa o A+ do EAN 7908591300239)</v>
      </c>
      <c r="J439" s="13" t="s">
        <v>318</v>
      </c>
      <c r="K439" s="13"/>
    </row>
    <row r="440" customFormat="false" ht="15" hidden="false" customHeight="false" outlineLevel="0" collapsed="false">
      <c r="A440" s="15" t="s">
        <v>278</v>
      </c>
      <c r="B440" s="11" t="str">
        <f aca="false">INDEX(PRODUTOS!$E$4:$E$63,MATCH($A440,PRODUTOS!$B$4:$B$63,0))</f>
        <v>Granulado Higiênico de Madeira Natural Dots para Pets - Pacote 2 kg</v>
      </c>
      <c r="C440" s="11" t="str">
        <f aca="false">INDEX(PRODUTOS!$H$4:$H$63,MATCH($A440,PRODUTOS!$B$4:$B$63,0))</f>
        <v>2 kg</v>
      </c>
      <c r="D440" s="11" t="s">
        <v>322</v>
      </c>
      <c r="E440" s="16" t="str">
        <f aca="false">$A440&amp;"."&amp;$D440&amp;".jpg"</f>
        <v>7908591300024.AP05.jpg</v>
      </c>
      <c r="F440" s="11" t="str">
        <f aca="false">IF(INDEX(PRODUTOS!$I$4:$I$63,MATCH($A440,PRODUTOS!$B$4:$B$63,0))="B",INDEX(MODELOS!$F$4:$F$11,MATCH($D440,MODELOS!$A$4:$A$11,0)),INDEX(MODELOS!$B$4:$B$11,MATCH($D440,MODELOS!$A$4:$A$11,0)))</f>
        <v>Módulo 3 · Benefício 3 de 4</v>
      </c>
      <c r="G440" s="11" t="str">
        <f aca="false">IF(INDEX(PRODUTOS!$F$4:$F$63,MATCH($A440,PRODUTOS!$B$4:$B$63,0))="Ração",IF(INDEX(PRODUTOS!$I$4:$I$63,MATCH($A440,PRODUTOS!$B$4:$B$63,0))="B",INDEX(MODELOS!$G$4:$G$11,MATCH($D440,MODELOS!$A$4:$A$11,0)),INDEX(MODELOS!$C$4:$C$11,MATCH($D440,MODELOS!$A$4:$A$11,0))),IF(INDEX(PRODUTOS!$I$4:$I$63,MATCH($A440,PRODUTOS!$B$4:$B$63,0))="B",INDEX(MODELOS!$H$4:$H$11,MATCH($D440,MODELOS!$A$4:$A$11,0)),INDEX(MODELOS!$D$4:$D$11,MATCH($D440,MODELOS!$A$4:$A$11,0))))</f>
        <v>Foto/ilustração do benefício 3</v>
      </c>
      <c r="H440" s="11" t="str">
        <f aca="false">IF(INDEX(PRODUTOS!$I$4:$I$63,MATCH($A440,PRODUTOS!$B$4:$B$63,0))="B",INDEX(MODELOS!$I$4:$I$11,MATCH($D440,MODELOS!$A$4:$A$11,0)),INDEX(MODELOS!$E$4:$E$11,MATCH($D440,MODELOS!$A$4:$A$11,0)))</f>
        <v>220 × 200</v>
      </c>
      <c r="I440" s="11" t="str">
        <f aca="false">IF($D440="COMP","SIM",IF(INDEX(PRODUTOS!$J$4:$J$63,MATCH($A440,PRODUTOS!$B$4:$B$63,0))&lt;&gt;"","NÃO (usa o A+ do EAN "&amp;INDEX(PRODUTOS!$J$4:$J$63,MATCH($A440,PRODUTOS!$B$4:$B$63,0))&amp;")",IF(AND(INDEX(PRODUTOS!$I$4:$I$63,MATCH($A440,PRODUTOS!$B$4:$B$63,0))="B",$D440="AP07"),"NÃO (modelo B)","SIM")))</f>
        <v>NÃO (usa o A+ do EAN 7908591300239)</v>
      </c>
      <c r="J440" s="13" t="s">
        <v>318</v>
      </c>
      <c r="K440" s="13"/>
    </row>
    <row r="441" customFormat="false" ht="15" hidden="false" customHeight="false" outlineLevel="0" collapsed="false">
      <c r="A441" s="15" t="s">
        <v>278</v>
      </c>
      <c r="B441" s="11" t="str">
        <f aca="false">INDEX(PRODUTOS!$E$4:$E$63,MATCH($A441,PRODUTOS!$B$4:$B$63,0))</f>
        <v>Granulado Higiênico de Madeira Natural Dots para Pets - Pacote 2 kg</v>
      </c>
      <c r="C441" s="11" t="str">
        <f aca="false">INDEX(PRODUTOS!$H$4:$H$63,MATCH($A441,PRODUTOS!$B$4:$B$63,0))</f>
        <v>2 kg</v>
      </c>
      <c r="D441" s="11" t="s">
        <v>323</v>
      </c>
      <c r="E441" s="16" t="str">
        <f aca="false">$A441&amp;"."&amp;$D441&amp;".jpg"</f>
        <v>7908591300024.AP06.jpg</v>
      </c>
      <c r="F441" s="11" t="str">
        <f aca="false">IF(INDEX(PRODUTOS!$I$4:$I$63,MATCH($A441,PRODUTOS!$B$4:$B$63,0))="B",INDEX(MODELOS!$F$4:$F$11,MATCH($D441,MODELOS!$A$4:$A$11,0)),INDEX(MODELOS!$B$4:$B$11,MATCH($D441,MODELOS!$A$4:$A$11,0)))</f>
        <v>Módulo 3 · Benefício 4 de 4</v>
      </c>
      <c r="G441" s="11" t="str">
        <f aca="false">IF(INDEX(PRODUTOS!$F$4:$F$63,MATCH($A441,PRODUTOS!$B$4:$B$63,0))="Ração",IF(INDEX(PRODUTOS!$I$4:$I$63,MATCH($A441,PRODUTOS!$B$4:$B$63,0))="B",INDEX(MODELOS!$G$4:$G$11,MATCH($D441,MODELOS!$A$4:$A$11,0)),INDEX(MODELOS!$C$4:$C$11,MATCH($D441,MODELOS!$A$4:$A$11,0))),IF(INDEX(PRODUTOS!$I$4:$I$63,MATCH($A441,PRODUTOS!$B$4:$B$63,0))="B",INDEX(MODELOS!$H$4:$H$11,MATCH($D441,MODELOS!$A$4:$A$11,0)),INDEX(MODELOS!$D$4:$D$11,MATCH($D441,MODELOS!$A$4:$A$11,0))))</f>
        <v>Foto/ilustração do benefício 4</v>
      </c>
      <c r="H441" s="11" t="str">
        <f aca="false">IF(INDEX(PRODUTOS!$I$4:$I$63,MATCH($A441,PRODUTOS!$B$4:$B$63,0))="B",INDEX(MODELOS!$I$4:$I$11,MATCH($D441,MODELOS!$A$4:$A$11,0)),INDEX(MODELOS!$E$4:$E$11,MATCH($D441,MODELOS!$A$4:$A$11,0)))</f>
        <v>220 × 200</v>
      </c>
      <c r="I441" s="11" t="str">
        <f aca="false">IF($D441="COMP","SIM",IF(INDEX(PRODUTOS!$J$4:$J$63,MATCH($A441,PRODUTOS!$B$4:$B$63,0))&lt;&gt;"","NÃO (usa o A+ do EAN "&amp;INDEX(PRODUTOS!$J$4:$J$63,MATCH($A441,PRODUTOS!$B$4:$B$63,0))&amp;")",IF(AND(INDEX(PRODUTOS!$I$4:$I$63,MATCH($A441,PRODUTOS!$B$4:$B$63,0))="B",$D441="AP07"),"NÃO (modelo B)","SIM")))</f>
        <v>NÃO (usa o A+ do EAN 7908591300239)</v>
      </c>
      <c r="J441" s="13" t="s">
        <v>318</v>
      </c>
      <c r="K441" s="13"/>
    </row>
    <row r="442" customFormat="false" ht="15" hidden="false" customHeight="false" outlineLevel="0" collapsed="false">
      <c r="A442" s="15" t="s">
        <v>278</v>
      </c>
      <c r="B442" s="11" t="str">
        <f aca="false">INDEX(PRODUTOS!$E$4:$E$63,MATCH($A442,PRODUTOS!$B$4:$B$63,0))</f>
        <v>Granulado Higiênico de Madeira Natural Dots para Pets - Pacote 2 kg</v>
      </c>
      <c r="C442" s="11" t="str">
        <f aca="false">INDEX(PRODUTOS!$H$4:$H$63,MATCH($A442,PRODUTOS!$B$4:$B$63,0))</f>
        <v>2 kg</v>
      </c>
      <c r="D442" s="11" t="s">
        <v>324</v>
      </c>
      <c r="E442" s="16" t="str">
        <f aca="false">$A442&amp;"."&amp;$D442&amp;".jpg"</f>
        <v>7908591300024.AP07.jpg</v>
      </c>
      <c r="F442" s="11" t="str">
        <f aca="false">IF(INDEX(PRODUTOS!$I$4:$I$63,MATCH($A442,PRODUTOS!$B$4:$B$63,0))="B",INDEX(MODELOS!$F$4:$F$11,MATCH($D442,MODELOS!$A$4:$A$11,0)),INDEX(MODELOS!$B$4:$B$11,MATCH($D442,MODELOS!$A$4:$A$11,0)))</f>
        <v>Módulo 4 · Especificações</v>
      </c>
      <c r="G442" s="11" t="str">
        <f aca="false">IF(INDEX(PRODUTOS!$F$4:$F$63,MATCH($A442,PRODUTOS!$B$4:$B$63,0))="Ração",IF(INDEX(PRODUTOS!$I$4:$I$63,MATCH($A442,PRODUTOS!$B$4:$B$63,0))="B",INDEX(MODELOS!$G$4:$G$11,MATCH($D442,MODELOS!$A$4:$A$11,0)),INDEX(MODELOS!$C$4:$C$11,MATCH($D442,MODELOS!$A$4:$A$11,0))),IF(INDEX(PRODUTOS!$I$4:$I$63,MATCH($A442,PRODUTOS!$B$4:$B$63,0))="B",INDEX(MODELOS!$H$4:$H$11,MATCH($D442,MODELOS!$A$4:$A$11,0)),INDEX(MODELOS!$D$4:$D$11,MATCH($D442,MODELOS!$A$4:$A$11,0))))</f>
        <v>Produto em destaque</v>
      </c>
      <c r="H442" s="11" t="str">
        <f aca="false">IF(INDEX(PRODUTOS!$I$4:$I$63,MATCH($A442,PRODUTOS!$B$4:$B$63,0))="B",INDEX(MODELOS!$I$4:$I$11,MATCH($D442,MODELOS!$A$4:$A$11,0)),INDEX(MODELOS!$E$4:$E$11,MATCH($D442,MODELOS!$A$4:$A$11,0)))</f>
        <v>300 × 300</v>
      </c>
      <c r="I442" s="11" t="str">
        <f aca="false">IF($D442="COMP","SIM",IF(INDEX(PRODUTOS!$J$4:$J$63,MATCH($A442,PRODUTOS!$B$4:$B$63,0))&lt;&gt;"","NÃO (usa o A+ do EAN "&amp;INDEX(PRODUTOS!$J$4:$J$63,MATCH($A442,PRODUTOS!$B$4:$B$63,0))&amp;")",IF(AND(INDEX(PRODUTOS!$I$4:$I$63,MATCH($A442,PRODUTOS!$B$4:$B$63,0))="B",$D442="AP07"),"NÃO (modelo B)","SIM")))</f>
        <v>NÃO (usa o A+ do EAN 7908591300239)</v>
      </c>
      <c r="J442" s="13" t="s">
        <v>318</v>
      </c>
      <c r="K442" s="13"/>
    </row>
    <row r="443" customFormat="false" ht="15" hidden="false" customHeight="false" outlineLevel="0" collapsed="false">
      <c r="A443" s="15" t="s">
        <v>278</v>
      </c>
      <c r="B443" s="11" t="str">
        <f aca="false">INDEX(PRODUTOS!$E$4:$E$63,MATCH($A443,PRODUTOS!$B$4:$B$63,0))</f>
        <v>Granulado Higiênico de Madeira Natural Dots para Pets - Pacote 2 kg</v>
      </c>
      <c r="C443" s="11" t="str">
        <f aca="false">INDEX(PRODUTOS!$H$4:$H$63,MATCH($A443,PRODUTOS!$B$4:$B$63,0))</f>
        <v>2 kg</v>
      </c>
      <c r="D443" s="11" t="s">
        <v>325</v>
      </c>
      <c r="E443" s="16" t="str">
        <f aca="false">$A443&amp;"."&amp;$D443&amp;".jpg"</f>
        <v>7908591300024.COMP.jpg</v>
      </c>
      <c r="F443" s="11" t="str">
        <f aca="false">IF(INDEX(PRODUTOS!$I$4:$I$63,MATCH($A443,PRODUTOS!$B$4:$B$63,0))="B",INDEX(MODELOS!$F$4:$F$11,MATCH($D443,MODELOS!$A$4:$A$11,0)),INDEX(MODELOS!$B$4:$B$11,MATCH($D443,MODELOS!$A$4:$A$11,0)))</f>
        <v>Módulo 5 · Tabela comparativa</v>
      </c>
      <c r="G443" s="11" t="str">
        <f aca="false">IF(INDEX(PRODUTOS!$F$4:$F$63,MATCH($A443,PRODUTOS!$B$4:$B$63,0))="Ração",IF(INDEX(PRODUTOS!$I$4:$I$63,MATCH($A443,PRODUTOS!$B$4:$B$63,0))="B",INDEX(MODELOS!$G$4:$G$11,MATCH($D443,MODELOS!$A$4:$A$11,0)),INDEX(MODELOS!$C$4:$C$11,MATCH($D443,MODELOS!$A$4:$A$11,0))),IF(INDEX(PRODUTOS!$I$4:$I$63,MATCH($A443,PRODUTOS!$B$4:$B$63,0))="B",INDEX(MODELOS!$H$4:$H$11,MATCH($D443,MODELOS!$A$4:$A$11,0)),INDEX(MODELOS!$D$4:$D$11,MATCH($D443,MODELOS!$A$4:$A$11,0))))</f>
        <v>Produto na vertical, sem fundo colorido</v>
      </c>
      <c r="H443" s="11" t="str">
        <f aca="false">IF(INDEX(PRODUTOS!$I$4:$I$63,MATCH($A443,PRODUTOS!$B$4:$B$63,0))="B",INDEX(MODELOS!$I$4:$I$11,MATCH($D443,MODELOS!$A$4:$A$11,0)),INDEX(MODELOS!$E$4:$E$11,MATCH($D443,MODELOS!$A$4:$A$11,0)))</f>
        <v>150 × 300</v>
      </c>
      <c r="I443" s="11" t="str">
        <f aca="false">IF($D443="COMP","SIM",IF(INDEX(PRODUTOS!$J$4:$J$63,MATCH($A443,PRODUTOS!$B$4:$B$63,0))&lt;&gt;"","NÃO (usa o A+ do EAN "&amp;INDEX(PRODUTOS!$J$4:$J$63,MATCH($A443,PRODUTOS!$B$4:$B$63,0))&amp;")",IF(AND(INDEX(PRODUTOS!$I$4:$I$63,MATCH($A443,PRODUTOS!$B$4:$B$63,0))="B",$D443="AP07"),"NÃO (modelo B)","SIM")))</f>
        <v>SIM</v>
      </c>
      <c r="J443" s="13" t="s">
        <v>318</v>
      </c>
      <c r="K443" s="13"/>
    </row>
    <row r="444" customFormat="false" ht="15" hidden="false" customHeight="false" outlineLevel="0" collapsed="false">
      <c r="A444" s="15" t="s">
        <v>283</v>
      </c>
      <c r="B444" s="11" t="str">
        <f aca="false">INDEX(PRODUTOS!$E$4:$E$63,MATCH($A444,PRODUTOS!$B$4:$B$63,0))</f>
        <v>Granulado Sanitário Natural Dots de Bentonita Perfumada - Pacote 4 kg</v>
      </c>
      <c r="C444" s="11" t="str">
        <f aca="false">INDEX(PRODUTOS!$H$4:$H$63,MATCH($A444,PRODUTOS!$B$4:$B$63,0))</f>
        <v>4 kg</v>
      </c>
      <c r="D444" s="11" t="s">
        <v>317</v>
      </c>
      <c r="E444" s="16" t="str">
        <f aca="false">$A444&amp;"."&amp;$D444&amp;".jpg"</f>
        <v>7898968541924.AP01.jpg</v>
      </c>
      <c r="F444" s="11" t="str">
        <f aca="false">IF(INDEX(PRODUTOS!$I$4:$I$63,MATCH($A444,PRODUTOS!$B$4:$B$63,0))="B",INDEX(MODELOS!$F$4:$F$11,MATCH($D444,MODELOS!$A$4:$A$11,0)),INDEX(MODELOS!$B$4:$B$11,MATCH($D444,MODELOS!$A$4:$A$11,0)))</f>
        <v>Módulo 1 · Banner</v>
      </c>
      <c r="G444" s="11" t="str">
        <f aca="false">IF(INDEX(PRODUTOS!$F$4:$F$63,MATCH($A444,PRODUTOS!$B$4:$B$63,0))="Ração",IF(INDEX(PRODUTOS!$I$4:$I$63,MATCH($A444,PRODUTOS!$B$4:$B$63,0))="B",INDEX(MODELOS!$G$4:$G$11,MATCH($D444,MODELOS!$A$4:$A$11,0)),INDEX(MODELOS!$C$4:$C$11,MATCH($D444,MODELOS!$A$4:$A$11,0))),IF(INDEX(PRODUTOS!$I$4:$I$63,MATCH($A444,PRODUTOS!$B$4:$B$63,0))="B",INDEX(MODELOS!$H$4:$H$11,MATCH($D444,MODELOS!$A$4:$A$11,0)),INDEX(MODELOS!$D$4:$D$11,MATCH($D444,MODELOS!$A$4:$A$11,0))))</f>
        <v>Produto + pet, com o nome da linha</v>
      </c>
      <c r="H444" s="11" t="str">
        <f aca="false">IF(INDEX(PRODUTOS!$I$4:$I$63,MATCH($A444,PRODUTOS!$B$4:$B$63,0))="B",INDEX(MODELOS!$I$4:$I$11,MATCH($D444,MODELOS!$A$4:$A$11,0)),INDEX(MODELOS!$E$4:$E$11,MATCH($D444,MODELOS!$A$4:$A$11,0)))</f>
        <v>970 × 600</v>
      </c>
      <c r="I444" s="11" t="str">
        <f aca="false">IF($D444="COMP","SIM",IF(INDEX(PRODUTOS!$J$4:$J$63,MATCH($A444,PRODUTOS!$B$4:$B$63,0))&lt;&gt;"","NÃO (usa o A+ do EAN "&amp;INDEX(PRODUTOS!$J$4:$J$63,MATCH($A444,PRODUTOS!$B$4:$B$63,0))&amp;")",IF(AND(INDEX(PRODUTOS!$I$4:$I$63,MATCH($A444,PRODUTOS!$B$4:$B$63,0))="B",$D444="AP07"),"NÃO (modelo B)","SIM")))</f>
        <v>SIM</v>
      </c>
      <c r="J444" s="13" t="s">
        <v>318</v>
      </c>
      <c r="K444" s="13"/>
    </row>
    <row r="445" customFormat="false" ht="15" hidden="false" customHeight="false" outlineLevel="0" collapsed="false">
      <c r="A445" s="15" t="s">
        <v>283</v>
      </c>
      <c r="B445" s="11" t="str">
        <f aca="false">INDEX(PRODUTOS!$E$4:$E$63,MATCH($A445,PRODUTOS!$B$4:$B$63,0))</f>
        <v>Granulado Sanitário Natural Dots de Bentonita Perfumada - Pacote 4 kg</v>
      </c>
      <c r="C445" s="11" t="str">
        <f aca="false">INDEX(PRODUTOS!$H$4:$H$63,MATCH($A445,PRODUTOS!$B$4:$B$63,0))</f>
        <v>4 kg</v>
      </c>
      <c r="D445" s="11" t="s">
        <v>319</v>
      </c>
      <c r="E445" s="16" t="str">
        <f aca="false">$A445&amp;"."&amp;$D445&amp;".jpg"</f>
        <v>7898968541924.AP02.jpg</v>
      </c>
      <c r="F445" s="11" t="str">
        <f aca="false">IF(INDEX(PRODUTOS!$I$4:$I$63,MATCH($A445,PRODUTOS!$B$4:$B$63,0))="B",INDEX(MODELOS!$F$4:$F$11,MATCH($D445,MODELOS!$A$4:$A$11,0)),INDEX(MODELOS!$B$4:$B$11,MATCH($D445,MODELOS!$A$4:$A$11,0)))</f>
        <v>Módulo 2 · Texto sobreposto</v>
      </c>
      <c r="G445" s="11" t="str">
        <f aca="false">IF(INDEX(PRODUTOS!$F$4:$F$63,MATCH($A445,PRODUTOS!$B$4:$B$63,0))="Ração",IF(INDEX(PRODUTOS!$I$4:$I$63,MATCH($A445,PRODUTOS!$B$4:$B$63,0))="B",INDEX(MODELOS!$G$4:$G$11,MATCH($D445,MODELOS!$A$4:$A$11,0)),INDEX(MODELOS!$C$4:$C$11,MATCH($D445,MODELOS!$A$4:$A$11,0))),IF(INDEX(PRODUTOS!$I$4:$I$63,MATCH($A445,PRODUTOS!$B$4:$B$63,0))="B",INDEX(MODELOS!$H$4:$H$11,MATCH($D445,MODELOS!$A$4:$A$11,0)),INDEX(MODELOS!$D$4:$D$11,MATCH($D445,MODELOS!$A$4:$A$11,0))))</f>
        <v>Principal diferencial; deixar o lado direito limpo</v>
      </c>
      <c r="H445" s="11" t="str">
        <f aca="false">IF(INDEX(PRODUTOS!$I$4:$I$63,MATCH($A445,PRODUTOS!$B$4:$B$63,0))="B",INDEX(MODELOS!$I$4:$I$11,MATCH($D445,MODELOS!$A$4:$A$11,0)),INDEX(MODELOS!$E$4:$E$11,MATCH($D445,MODELOS!$A$4:$A$11,0)))</f>
        <v>970 × 300</v>
      </c>
      <c r="I445" s="11" t="str">
        <f aca="false">IF($D445="COMP","SIM",IF(INDEX(PRODUTOS!$J$4:$J$63,MATCH($A445,PRODUTOS!$B$4:$B$63,0))&lt;&gt;"","NÃO (usa o A+ do EAN "&amp;INDEX(PRODUTOS!$J$4:$J$63,MATCH($A445,PRODUTOS!$B$4:$B$63,0))&amp;")",IF(AND(INDEX(PRODUTOS!$I$4:$I$63,MATCH($A445,PRODUTOS!$B$4:$B$63,0))="B",$D445="AP07"),"NÃO (modelo B)","SIM")))</f>
        <v>SIM</v>
      </c>
      <c r="J445" s="13" t="s">
        <v>318</v>
      </c>
      <c r="K445" s="13"/>
    </row>
    <row r="446" customFormat="false" ht="15" hidden="false" customHeight="false" outlineLevel="0" collapsed="false">
      <c r="A446" s="15" t="s">
        <v>283</v>
      </c>
      <c r="B446" s="11" t="str">
        <f aca="false">INDEX(PRODUTOS!$E$4:$E$63,MATCH($A446,PRODUTOS!$B$4:$B$63,0))</f>
        <v>Granulado Sanitário Natural Dots de Bentonita Perfumada - Pacote 4 kg</v>
      </c>
      <c r="C446" s="11" t="str">
        <f aca="false">INDEX(PRODUTOS!$H$4:$H$63,MATCH($A446,PRODUTOS!$B$4:$B$63,0))</f>
        <v>4 kg</v>
      </c>
      <c r="D446" s="11" t="s">
        <v>320</v>
      </c>
      <c r="E446" s="16" t="str">
        <f aca="false">$A446&amp;"."&amp;$D446&amp;".jpg"</f>
        <v>7898968541924.AP03.jpg</v>
      </c>
      <c r="F446" s="11" t="str">
        <f aca="false">IF(INDEX(PRODUTOS!$I$4:$I$63,MATCH($A446,PRODUTOS!$B$4:$B$63,0))="B",INDEX(MODELOS!$F$4:$F$11,MATCH($D446,MODELOS!$A$4:$A$11,0)),INDEX(MODELOS!$B$4:$B$11,MATCH($D446,MODELOS!$A$4:$A$11,0)))</f>
        <v>Módulo 3 · Benefício 1 de 4</v>
      </c>
      <c r="G446" s="11" t="str">
        <f aca="false">IF(INDEX(PRODUTOS!$F$4:$F$63,MATCH($A446,PRODUTOS!$B$4:$B$63,0))="Ração",IF(INDEX(PRODUTOS!$I$4:$I$63,MATCH($A446,PRODUTOS!$B$4:$B$63,0))="B",INDEX(MODELOS!$G$4:$G$11,MATCH($D446,MODELOS!$A$4:$A$11,0)),INDEX(MODELOS!$C$4:$C$11,MATCH($D446,MODELOS!$A$4:$A$11,0))),IF(INDEX(PRODUTOS!$I$4:$I$63,MATCH($A446,PRODUTOS!$B$4:$B$63,0))="B",INDEX(MODELOS!$H$4:$H$11,MATCH($D446,MODELOS!$A$4:$A$11,0)),INDEX(MODELOS!$D$4:$D$11,MATCH($D446,MODELOS!$A$4:$A$11,0))))</f>
        <v>Foto/ilustração do benefício 1</v>
      </c>
      <c r="H446" s="11" t="str">
        <f aca="false">IF(INDEX(PRODUTOS!$I$4:$I$63,MATCH($A446,PRODUTOS!$B$4:$B$63,0))="B",INDEX(MODELOS!$I$4:$I$11,MATCH($D446,MODELOS!$A$4:$A$11,0)),INDEX(MODELOS!$E$4:$E$11,MATCH($D446,MODELOS!$A$4:$A$11,0)))</f>
        <v>220 × 200</v>
      </c>
      <c r="I446" s="11" t="str">
        <f aca="false">IF($D446="COMP","SIM",IF(INDEX(PRODUTOS!$J$4:$J$63,MATCH($A446,PRODUTOS!$B$4:$B$63,0))&lt;&gt;"","NÃO (usa o A+ do EAN "&amp;INDEX(PRODUTOS!$J$4:$J$63,MATCH($A446,PRODUTOS!$B$4:$B$63,0))&amp;")",IF(AND(INDEX(PRODUTOS!$I$4:$I$63,MATCH($A446,PRODUTOS!$B$4:$B$63,0))="B",$D446="AP07"),"NÃO (modelo B)","SIM")))</f>
        <v>SIM</v>
      </c>
      <c r="J446" s="13" t="s">
        <v>318</v>
      </c>
      <c r="K446" s="13"/>
    </row>
    <row r="447" customFormat="false" ht="15" hidden="false" customHeight="false" outlineLevel="0" collapsed="false">
      <c r="A447" s="15" t="s">
        <v>283</v>
      </c>
      <c r="B447" s="11" t="str">
        <f aca="false">INDEX(PRODUTOS!$E$4:$E$63,MATCH($A447,PRODUTOS!$B$4:$B$63,0))</f>
        <v>Granulado Sanitário Natural Dots de Bentonita Perfumada - Pacote 4 kg</v>
      </c>
      <c r="C447" s="11" t="str">
        <f aca="false">INDEX(PRODUTOS!$H$4:$H$63,MATCH($A447,PRODUTOS!$B$4:$B$63,0))</f>
        <v>4 kg</v>
      </c>
      <c r="D447" s="11" t="s">
        <v>321</v>
      </c>
      <c r="E447" s="16" t="str">
        <f aca="false">$A447&amp;"."&amp;$D447&amp;".jpg"</f>
        <v>7898968541924.AP04.jpg</v>
      </c>
      <c r="F447" s="11" t="str">
        <f aca="false">IF(INDEX(PRODUTOS!$I$4:$I$63,MATCH($A447,PRODUTOS!$B$4:$B$63,0))="B",INDEX(MODELOS!$F$4:$F$11,MATCH($D447,MODELOS!$A$4:$A$11,0)),INDEX(MODELOS!$B$4:$B$11,MATCH($D447,MODELOS!$A$4:$A$11,0)))</f>
        <v>Módulo 3 · Benefício 2 de 4</v>
      </c>
      <c r="G447" s="11" t="str">
        <f aca="false">IF(INDEX(PRODUTOS!$F$4:$F$63,MATCH($A447,PRODUTOS!$B$4:$B$63,0))="Ração",IF(INDEX(PRODUTOS!$I$4:$I$63,MATCH($A447,PRODUTOS!$B$4:$B$63,0))="B",INDEX(MODELOS!$G$4:$G$11,MATCH($D447,MODELOS!$A$4:$A$11,0)),INDEX(MODELOS!$C$4:$C$11,MATCH($D447,MODELOS!$A$4:$A$11,0))),IF(INDEX(PRODUTOS!$I$4:$I$63,MATCH($A447,PRODUTOS!$B$4:$B$63,0))="B",INDEX(MODELOS!$H$4:$H$11,MATCH($D447,MODELOS!$A$4:$A$11,0)),INDEX(MODELOS!$D$4:$D$11,MATCH($D447,MODELOS!$A$4:$A$11,0))))</f>
        <v>Foto/ilustração do benefício 2</v>
      </c>
      <c r="H447" s="11" t="str">
        <f aca="false">IF(INDEX(PRODUTOS!$I$4:$I$63,MATCH($A447,PRODUTOS!$B$4:$B$63,0))="B",INDEX(MODELOS!$I$4:$I$11,MATCH($D447,MODELOS!$A$4:$A$11,0)),INDEX(MODELOS!$E$4:$E$11,MATCH($D447,MODELOS!$A$4:$A$11,0)))</f>
        <v>220 × 200</v>
      </c>
      <c r="I447" s="11" t="str">
        <f aca="false">IF($D447="COMP","SIM",IF(INDEX(PRODUTOS!$J$4:$J$63,MATCH($A447,PRODUTOS!$B$4:$B$63,0))&lt;&gt;"","NÃO (usa o A+ do EAN "&amp;INDEX(PRODUTOS!$J$4:$J$63,MATCH($A447,PRODUTOS!$B$4:$B$63,0))&amp;")",IF(AND(INDEX(PRODUTOS!$I$4:$I$63,MATCH($A447,PRODUTOS!$B$4:$B$63,0))="B",$D447="AP07"),"NÃO (modelo B)","SIM")))</f>
        <v>SIM</v>
      </c>
      <c r="J447" s="13" t="s">
        <v>318</v>
      </c>
      <c r="K447" s="13"/>
    </row>
    <row r="448" customFormat="false" ht="15" hidden="false" customHeight="false" outlineLevel="0" collapsed="false">
      <c r="A448" s="15" t="s">
        <v>283</v>
      </c>
      <c r="B448" s="11" t="str">
        <f aca="false">INDEX(PRODUTOS!$E$4:$E$63,MATCH($A448,PRODUTOS!$B$4:$B$63,0))</f>
        <v>Granulado Sanitário Natural Dots de Bentonita Perfumada - Pacote 4 kg</v>
      </c>
      <c r="C448" s="11" t="str">
        <f aca="false">INDEX(PRODUTOS!$H$4:$H$63,MATCH($A448,PRODUTOS!$B$4:$B$63,0))</f>
        <v>4 kg</v>
      </c>
      <c r="D448" s="11" t="s">
        <v>322</v>
      </c>
      <c r="E448" s="16" t="str">
        <f aca="false">$A448&amp;"."&amp;$D448&amp;".jpg"</f>
        <v>7898968541924.AP05.jpg</v>
      </c>
      <c r="F448" s="11" t="str">
        <f aca="false">IF(INDEX(PRODUTOS!$I$4:$I$63,MATCH($A448,PRODUTOS!$B$4:$B$63,0))="B",INDEX(MODELOS!$F$4:$F$11,MATCH($D448,MODELOS!$A$4:$A$11,0)),INDEX(MODELOS!$B$4:$B$11,MATCH($D448,MODELOS!$A$4:$A$11,0)))</f>
        <v>Módulo 3 · Benefício 3 de 4</v>
      </c>
      <c r="G448" s="11" t="str">
        <f aca="false">IF(INDEX(PRODUTOS!$F$4:$F$63,MATCH($A448,PRODUTOS!$B$4:$B$63,0))="Ração",IF(INDEX(PRODUTOS!$I$4:$I$63,MATCH($A448,PRODUTOS!$B$4:$B$63,0))="B",INDEX(MODELOS!$G$4:$G$11,MATCH($D448,MODELOS!$A$4:$A$11,0)),INDEX(MODELOS!$C$4:$C$11,MATCH($D448,MODELOS!$A$4:$A$11,0))),IF(INDEX(PRODUTOS!$I$4:$I$63,MATCH($A448,PRODUTOS!$B$4:$B$63,0))="B",INDEX(MODELOS!$H$4:$H$11,MATCH($D448,MODELOS!$A$4:$A$11,0)),INDEX(MODELOS!$D$4:$D$11,MATCH($D448,MODELOS!$A$4:$A$11,0))))</f>
        <v>Foto/ilustração do benefício 3</v>
      </c>
      <c r="H448" s="11" t="str">
        <f aca="false">IF(INDEX(PRODUTOS!$I$4:$I$63,MATCH($A448,PRODUTOS!$B$4:$B$63,0))="B",INDEX(MODELOS!$I$4:$I$11,MATCH($D448,MODELOS!$A$4:$A$11,0)),INDEX(MODELOS!$E$4:$E$11,MATCH($D448,MODELOS!$A$4:$A$11,0)))</f>
        <v>220 × 200</v>
      </c>
      <c r="I448" s="11" t="str">
        <f aca="false">IF($D448="COMP","SIM",IF(INDEX(PRODUTOS!$J$4:$J$63,MATCH($A448,PRODUTOS!$B$4:$B$63,0))&lt;&gt;"","NÃO (usa o A+ do EAN "&amp;INDEX(PRODUTOS!$J$4:$J$63,MATCH($A448,PRODUTOS!$B$4:$B$63,0))&amp;")",IF(AND(INDEX(PRODUTOS!$I$4:$I$63,MATCH($A448,PRODUTOS!$B$4:$B$63,0))="B",$D448="AP07"),"NÃO (modelo B)","SIM")))</f>
        <v>SIM</v>
      </c>
      <c r="J448" s="13" t="s">
        <v>318</v>
      </c>
      <c r="K448" s="13"/>
    </row>
    <row r="449" customFormat="false" ht="15" hidden="false" customHeight="false" outlineLevel="0" collapsed="false">
      <c r="A449" s="15" t="s">
        <v>283</v>
      </c>
      <c r="B449" s="11" t="str">
        <f aca="false">INDEX(PRODUTOS!$E$4:$E$63,MATCH($A449,PRODUTOS!$B$4:$B$63,0))</f>
        <v>Granulado Sanitário Natural Dots de Bentonita Perfumada - Pacote 4 kg</v>
      </c>
      <c r="C449" s="11" t="str">
        <f aca="false">INDEX(PRODUTOS!$H$4:$H$63,MATCH($A449,PRODUTOS!$B$4:$B$63,0))</f>
        <v>4 kg</v>
      </c>
      <c r="D449" s="11" t="s">
        <v>323</v>
      </c>
      <c r="E449" s="16" t="str">
        <f aca="false">$A449&amp;"."&amp;$D449&amp;".jpg"</f>
        <v>7898968541924.AP06.jpg</v>
      </c>
      <c r="F449" s="11" t="str">
        <f aca="false">IF(INDEX(PRODUTOS!$I$4:$I$63,MATCH($A449,PRODUTOS!$B$4:$B$63,0))="B",INDEX(MODELOS!$F$4:$F$11,MATCH($D449,MODELOS!$A$4:$A$11,0)),INDEX(MODELOS!$B$4:$B$11,MATCH($D449,MODELOS!$A$4:$A$11,0)))</f>
        <v>Módulo 3 · Benefício 4 de 4</v>
      </c>
      <c r="G449" s="11" t="str">
        <f aca="false">IF(INDEX(PRODUTOS!$F$4:$F$63,MATCH($A449,PRODUTOS!$B$4:$B$63,0))="Ração",IF(INDEX(PRODUTOS!$I$4:$I$63,MATCH($A449,PRODUTOS!$B$4:$B$63,0))="B",INDEX(MODELOS!$G$4:$G$11,MATCH($D449,MODELOS!$A$4:$A$11,0)),INDEX(MODELOS!$C$4:$C$11,MATCH($D449,MODELOS!$A$4:$A$11,0))),IF(INDEX(PRODUTOS!$I$4:$I$63,MATCH($A449,PRODUTOS!$B$4:$B$63,0))="B",INDEX(MODELOS!$H$4:$H$11,MATCH($D449,MODELOS!$A$4:$A$11,0)),INDEX(MODELOS!$D$4:$D$11,MATCH($D449,MODELOS!$A$4:$A$11,0))))</f>
        <v>Foto/ilustração do benefício 4</v>
      </c>
      <c r="H449" s="11" t="str">
        <f aca="false">IF(INDEX(PRODUTOS!$I$4:$I$63,MATCH($A449,PRODUTOS!$B$4:$B$63,0))="B",INDEX(MODELOS!$I$4:$I$11,MATCH($D449,MODELOS!$A$4:$A$11,0)),INDEX(MODELOS!$E$4:$E$11,MATCH($D449,MODELOS!$A$4:$A$11,0)))</f>
        <v>220 × 200</v>
      </c>
      <c r="I449" s="11" t="str">
        <f aca="false">IF($D449="COMP","SIM",IF(INDEX(PRODUTOS!$J$4:$J$63,MATCH($A449,PRODUTOS!$B$4:$B$63,0))&lt;&gt;"","NÃO (usa o A+ do EAN "&amp;INDEX(PRODUTOS!$J$4:$J$63,MATCH($A449,PRODUTOS!$B$4:$B$63,0))&amp;")",IF(AND(INDEX(PRODUTOS!$I$4:$I$63,MATCH($A449,PRODUTOS!$B$4:$B$63,0))="B",$D449="AP07"),"NÃO (modelo B)","SIM")))</f>
        <v>SIM</v>
      </c>
      <c r="J449" s="13" t="s">
        <v>318</v>
      </c>
      <c r="K449" s="13"/>
    </row>
    <row r="450" customFormat="false" ht="15" hidden="false" customHeight="false" outlineLevel="0" collapsed="false">
      <c r="A450" s="15" t="s">
        <v>283</v>
      </c>
      <c r="B450" s="11" t="str">
        <f aca="false">INDEX(PRODUTOS!$E$4:$E$63,MATCH($A450,PRODUTOS!$B$4:$B$63,0))</f>
        <v>Granulado Sanitário Natural Dots de Bentonita Perfumada - Pacote 4 kg</v>
      </c>
      <c r="C450" s="11" t="str">
        <f aca="false">INDEX(PRODUTOS!$H$4:$H$63,MATCH($A450,PRODUTOS!$B$4:$B$63,0))</f>
        <v>4 kg</v>
      </c>
      <c r="D450" s="11" t="s">
        <v>324</v>
      </c>
      <c r="E450" s="16" t="str">
        <f aca="false">$A450&amp;"."&amp;$D450&amp;".jpg"</f>
        <v>7898968541924.AP07.jpg</v>
      </c>
      <c r="F450" s="11" t="str">
        <f aca="false">IF(INDEX(PRODUTOS!$I$4:$I$63,MATCH($A450,PRODUTOS!$B$4:$B$63,0))="B",INDEX(MODELOS!$F$4:$F$11,MATCH($D450,MODELOS!$A$4:$A$11,0)),INDEX(MODELOS!$B$4:$B$11,MATCH($D450,MODELOS!$A$4:$A$11,0)))</f>
        <v>Módulo 4 · Especificações</v>
      </c>
      <c r="G450" s="11" t="str">
        <f aca="false">IF(INDEX(PRODUTOS!$F$4:$F$63,MATCH($A450,PRODUTOS!$B$4:$B$63,0))="Ração",IF(INDEX(PRODUTOS!$I$4:$I$63,MATCH($A450,PRODUTOS!$B$4:$B$63,0))="B",INDEX(MODELOS!$G$4:$G$11,MATCH($D450,MODELOS!$A$4:$A$11,0)),INDEX(MODELOS!$C$4:$C$11,MATCH($D450,MODELOS!$A$4:$A$11,0))),IF(INDEX(PRODUTOS!$I$4:$I$63,MATCH($A450,PRODUTOS!$B$4:$B$63,0))="B",INDEX(MODELOS!$H$4:$H$11,MATCH($D450,MODELOS!$A$4:$A$11,0)),INDEX(MODELOS!$D$4:$D$11,MATCH($D450,MODELOS!$A$4:$A$11,0))))</f>
        <v>Produto em destaque</v>
      </c>
      <c r="H450" s="11" t="str">
        <f aca="false">IF(INDEX(PRODUTOS!$I$4:$I$63,MATCH($A450,PRODUTOS!$B$4:$B$63,0))="B",INDEX(MODELOS!$I$4:$I$11,MATCH($D450,MODELOS!$A$4:$A$11,0)),INDEX(MODELOS!$E$4:$E$11,MATCH($D450,MODELOS!$A$4:$A$11,0)))</f>
        <v>300 × 300</v>
      </c>
      <c r="I450" s="11" t="str">
        <f aca="false">IF($D450="COMP","SIM",IF(INDEX(PRODUTOS!$J$4:$J$63,MATCH($A450,PRODUTOS!$B$4:$B$63,0))&lt;&gt;"","NÃO (usa o A+ do EAN "&amp;INDEX(PRODUTOS!$J$4:$J$63,MATCH($A450,PRODUTOS!$B$4:$B$63,0))&amp;")",IF(AND(INDEX(PRODUTOS!$I$4:$I$63,MATCH($A450,PRODUTOS!$B$4:$B$63,0))="B",$D450="AP07"),"NÃO (modelo B)","SIM")))</f>
        <v>SIM</v>
      </c>
      <c r="J450" s="13" t="s">
        <v>318</v>
      </c>
      <c r="K450" s="13"/>
    </row>
    <row r="451" customFormat="false" ht="15" hidden="false" customHeight="false" outlineLevel="0" collapsed="false">
      <c r="A451" s="15" t="s">
        <v>283</v>
      </c>
      <c r="B451" s="11" t="str">
        <f aca="false">INDEX(PRODUTOS!$E$4:$E$63,MATCH($A451,PRODUTOS!$B$4:$B$63,0))</f>
        <v>Granulado Sanitário Natural Dots de Bentonita Perfumada - Pacote 4 kg</v>
      </c>
      <c r="C451" s="11" t="str">
        <f aca="false">INDEX(PRODUTOS!$H$4:$H$63,MATCH($A451,PRODUTOS!$B$4:$B$63,0))</f>
        <v>4 kg</v>
      </c>
      <c r="D451" s="11" t="s">
        <v>325</v>
      </c>
      <c r="E451" s="16" t="str">
        <f aca="false">$A451&amp;"."&amp;$D451&amp;".jpg"</f>
        <v>7898968541924.COMP.jpg</v>
      </c>
      <c r="F451" s="11" t="str">
        <f aca="false">IF(INDEX(PRODUTOS!$I$4:$I$63,MATCH($A451,PRODUTOS!$B$4:$B$63,0))="B",INDEX(MODELOS!$F$4:$F$11,MATCH($D451,MODELOS!$A$4:$A$11,0)),INDEX(MODELOS!$B$4:$B$11,MATCH($D451,MODELOS!$A$4:$A$11,0)))</f>
        <v>Módulo 5 · Tabela comparativa</v>
      </c>
      <c r="G451" s="11" t="str">
        <f aca="false">IF(INDEX(PRODUTOS!$F$4:$F$63,MATCH($A451,PRODUTOS!$B$4:$B$63,0))="Ração",IF(INDEX(PRODUTOS!$I$4:$I$63,MATCH($A451,PRODUTOS!$B$4:$B$63,0))="B",INDEX(MODELOS!$G$4:$G$11,MATCH($D451,MODELOS!$A$4:$A$11,0)),INDEX(MODELOS!$C$4:$C$11,MATCH($D451,MODELOS!$A$4:$A$11,0))),IF(INDEX(PRODUTOS!$I$4:$I$63,MATCH($A451,PRODUTOS!$B$4:$B$63,0))="B",INDEX(MODELOS!$H$4:$H$11,MATCH($D451,MODELOS!$A$4:$A$11,0)),INDEX(MODELOS!$D$4:$D$11,MATCH($D451,MODELOS!$A$4:$A$11,0))))</f>
        <v>Produto na vertical, sem fundo colorido</v>
      </c>
      <c r="H451" s="11" t="str">
        <f aca="false">IF(INDEX(PRODUTOS!$I$4:$I$63,MATCH($A451,PRODUTOS!$B$4:$B$63,0))="B",INDEX(MODELOS!$I$4:$I$11,MATCH($D451,MODELOS!$A$4:$A$11,0)),INDEX(MODELOS!$E$4:$E$11,MATCH($D451,MODELOS!$A$4:$A$11,0)))</f>
        <v>150 × 300</v>
      </c>
      <c r="I451" s="11" t="str">
        <f aca="false">IF($D451="COMP","SIM",IF(INDEX(PRODUTOS!$J$4:$J$63,MATCH($A451,PRODUTOS!$B$4:$B$63,0))&lt;&gt;"","NÃO (usa o A+ do EAN "&amp;INDEX(PRODUTOS!$J$4:$J$63,MATCH($A451,PRODUTOS!$B$4:$B$63,0))&amp;")",IF(AND(INDEX(PRODUTOS!$I$4:$I$63,MATCH($A451,PRODUTOS!$B$4:$B$63,0))="B",$D451="AP07"),"NÃO (modelo B)","SIM")))</f>
        <v>SIM</v>
      </c>
      <c r="J451" s="13" t="s">
        <v>318</v>
      </c>
      <c r="K451" s="13"/>
    </row>
    <row r="452" customFormat="false" ht="15" hidden="false" customHeight="false" outlineLevel="0" collapsed="false">
      <c r="A452" s="15" t="s">
        <v>288</v>
      </c>
      <c r="B452" s="11" t="str">
        <f aca="false">INDEX(PRODUTOS!$E$4:$E$63,MATCH($A452,PRODUTOS!$B$4:$B$63,0))</f>
        <v>Granulado Sanitário de Bentonita Natural Dots para Pets - Pacote 4 kg</v>
      </c>
      <c r="C452" s="11" t="str">
        <f aca="false">INDEX(PRODUTOS!$H$4:$H$63,MATCH($A452,PRODUTOS!$B$4:$B$63,0))</f>
        <v>4 kg</v>
      </c>
      <c r="D452" s="11" t="s">
        <v>317</v>
      </c>
      <c r="E452" s="16" t="str">
        <f aca="false">$A452&amp;"."&amp;$D452&amp;".jpg"</f>
        <v>7908591300185.AP01.jpg</v>
      </c>
      <c r="F452" s="11" t="str">
        <f aca="false">IF(INDEX(PRODUTOS!$I$4:$I$63,MATCH($A452,PRODUTOS!$B$4:$B$63,0))="B",INDEX(MODELOS!$F$4:$F$11,MATCH($D452,MODELOS!$A$4:$A$11,0)),INDEX(MODELOS!$B$4:$B$11,MATCH($D452,MODELOS!$A$4:$A$11,0)))</f>
        <v>Módulo 1 · Banner</v>
      </c>
      <c r="G452" s="11" t="str">
        <f aca="false">IF(INDEX(PRODUTOS!$F$4:$F$63,MATCH($A452,PRODUTOS!$B$4:$B$63,0))="Ração",IF(INDEX(PRODUTOS!$I$4:$I$63,MATCH($A452,PRODUTOS!$B$4:$B$63,0))="B",INDEX(MODELOS!$G$4:$G$11,MATCH($D452,MODELOS!$A$4:$A$11,0)),INDEX(MODELOS!$C$4:$C$11,MATCH($D452,MODELOS!$A$4:$A$11,0))),IF(INDEX(PRODUTOS!$I$4:$I$63,MATCH($A452,PRODUTOS!$B$4:$B$63,0))="B",INDEX(MODELOS!$H$4:$H$11,MATCH($D452,MODELOS!$A$4:$A$11,0)),INDEX(MODELOS!$D$4:$D$11,MATCH($D452,MODELOS!$A$4:$A$11,0))))</f>
        <v>Produto + pet, com o nome da linha</v>
      </c>
      <c r="H452" s="11" t="str">
        <f aca="false">IF(INDEX(PRODUTOS!$I$4:$I$63,MATCH($A452,PRODUTOS!$B$4:$B$63,0))="B",INDEX(MODELOS!$I$4:$I$11,MATCH($D452,MODELOS!$A$4:$A$11,0)),INDEX(MODELOS!$E$4:$E$11,MATCH($D452,MODELOS!$A$4:$A$11,0)))</f>
        <v>970 × 600</v>
      </c>
      <c r="I452" s="11" t="str">
        <f aca="false">IF($D452="COMP","SIM",IF(INDEX(PRODUTOS!$J$4:$J$63,MATCH($A452,PRODUTOS!$B$4:$B$63,0))&lt;&gt;"","NÃO (usa o A+ do EAN "&amp;INDEX(PRODUTOS!$J$4:$J$63,MATCH($A452,PRODUTOS!$B$4:$B$63,0))&amp;")",IF(AND(INDEX(PRODUTOS!$I$4:$I$63,MATCH($A452,PRODUTOS!$B$4:$B$63,0))="B",$D452="AP07"),"NÃO (modelo B)","SIM")))</f>
        <v>SIM</v>
      </c>
      <c r="J452" s="13" t="s">
        <v>318</v>
      </c>
      <c r="K452" s="13"/>
    </row>
    <row r="453" customFormat="false" ht="15" hidden="false" customHeight="false" outlineLevel="0" collapsed="false">
      <c r="A453" s="15" t="s">
        <v>288</v>
      </c>
      <c r="B453" s="11" t="str">
        <f aca="false">INDEX(PRODUTOS!$E$4:$E$63,MATCH($A453,PRODUTOS!$B$4:$B$63,0))</f>
        <v>Granulado Sanitário de Bentonita Natural Dots para Pets - Pacote 4 kg</v>
      </c>
      <c r="C453" s="11" t="str">
        <f aca="false">INDEX(PRODUTOS!$H$4:$H$63,MATCH($A453,PRODUTOS!$B$4:$B$63,0))</f>
        <v>4 kg</v>
      </c>
      <c r="D453" s="11" t="s">
        <v>319</v>
      </c>
      <c r="E453" s="16" t="str">
        <f aca="false">$A453&amp;"."&amp;$D453&amp;".jpg"</f>
        <v>7908591300185.AP02.jpg</v>
      </c>
      <c r="F453" s="11" t="str">
        <f aca="false">IF(INDEX(PRODUTOS!$I$4:$I$63,MATCH($A453,PRODUTOS!$B$4:$B$63,0))="B",INDEX(MODELOS!$F$4:$F$11,MATCH($D453,MODELOS!$A$4:$A$11,0)),INDEX(MODELOS!$B$4:$B$11,MATCH($D453,MODELOS!$A$4:$A$11,0)))</f>
        <v>Módulo 2 · Texto sobreposto</v>
      </c>
      <c r="G453" s="11" t="str">
        <f aca="false">IF(INDEX(PRODUTOS!$F$4:$F$63,MATCH($A453,PRODUTOS!$B$4:$B$63,0))="Ração",IF(INDEX(PRODUTOS!$I$4:$I$63,MATCH($A453,PRODUTOS!$B$4:$B$63,0))="B",INDEX(MODELOS!$G$4:$G$11,MATCH($D453,MODELOS!$A$4:$A$11,0)),INDEX(MODELOS!$C$4:$C$11,MATCH($D453,MODELOS!$A$4:$A$11,0))),IF(INDEX(PRODUTOS!$I$4:$I$63,MATCH($A453,PRODUTOS!$B$4:$B$63,0))="B",INDEX(MODELOS!$H$4:$H$11,MATCH($D453,MODELOS!$A$4:$A$11,0)),INDEX(MODELOS!$D$4:$D$11,MATCH($D453,MODELOS!$A$4:$A$11,0))))</f>
        <v>Principal diferencial; deixar o lado direito limpo</v>
      </c>
      <c r="H453" s="11" t="str">
        <f aca="false">IF(INDEX(PRODUTOS!$I$4:$I$63,MATCH($A453,PRODUTOS!$B$4:$B$63,0))="B",INDEX(MODELOS!$I$4:$I$11,MATCH($D453,MODELOS!$A$4:$A$11,0)),INDEX(MODELOS!$E$4:$E$11,MATCH($D453,MODELOS!$A$4:$A$11,0)))</f>
        <v>970 × 300</v>
      </c>
      <c r="I453" s="11" t="str">
        <f aca="false">IF($D453="COMP","SIM",IF(INDEX(PRODUTOS!$J$4:$J$63,MATCH($A453,PRODUTOS!$B$4:$B$63,0))&lt;&gt;"","NÃO (usa o A+ do EAN "&amp;INDEX(PRODUTOS!$J$4:$J$63,MATCH($A453,PRODUTOS!$B$4:$B$63,0))&amp;")",IF(AND(INDEX(PRODUTOS!$I$4:$I$63,MATCH($A453,PRODUTOS!$B$4:$B$63,0))="B",$D453="AP07"),"NÃO (modelo B)","SIM")))</f>
        <v>SIM</v>
      </c>
      <c r="J453" s="13" t="s">
        <v>318</v>
      </c>
      <c r="K453" s="13"/>
    </row>
    <row r="454" customFormat="false" ht="15" hidden="false" customHeight="false" outlineLevel="0" collapsed="false">
      <c r="A454" s="15" t="s">
        <v>288</v>
      </c>
      <c r="B454" s="11" t="str">
        <f aca="false">INDEX(PRODUTOS!$E$4:$E$63,MATCH($A454,PRODUTOS!$B$4:$B$63,0))</f>
        <v>Granulado Sanitário de Bentonita Natural Dots para Pets - Pacote 4 kg</v>
      </c>
      <c r="C454" s="11" t="str">
        <f aca="false">INDEX(PRODUTOS!$H$4:$H$63,MATCH($A454,PRODUTOS!$B$4:$B$63,0))</f>
        <v>4 kg</v>
      </c>
      <c r="D454" s="11" t="s">
        <v>320</v>
      </c>
      <c r="E454" s="16" t="str">
        <f aca="false">$A454&amp;"."&amp;$D454&amp;".jpg"</f>
        <v>7908591300185.AP03.jpg</v>
      </c>
      <c r="F454" s="11" t="str">
        <f aca="false">IF(INDEX(PRODUTOS!$I$4:$I$63,MATCH($A454,PRODUTOS!$B$4:$B$63,0))="B",INDEX(MODELOS!$F$4:$F$11,MATCH($D454,MODELOS!$A$4:$A$11,0)),INDEX(MODELOS!$B$4:$B$11,MATCH($D454,MODELOS!$A$4:$A$11,0)))</f>
        <v>Módulo 3 · Benefício 1 de 4</v>
      </c>
      <c r="G454" s="11" t="str">
        <f aca="false">IF(INDEX(PRODUTOS!$F$4:$F$63,MATCH($A454,PRODUTOS!$B$4:$B$63,0))="Ração",IF(INDEX(PRODUTOS!$I$4:$I$63,MATCH($A454,PRODUTOS!$B$4:$B$63,0))="B",INDEX(MODELOS!$G$4:$G$11,MATCH($D454,MODELOS!$A$4:$A$11,0)),INDEX(MODELOS!$C$4:$C$11,MATCH($D454,MODELOS!$A$4:$A$11,0))),IF(INDEX(PRODUTOS!$I$4:$I$63,MATCH($A454,PRODUTOS!$B$4:$B$63,0))="B",INDEX(MODELOS!$H$4:$H$11,MATCH($D454,MODELOS!$A$4:$A$11,0)),INDEX(MODELOS!$D$4:$D$11,MATCH($D454,MODELOS!$A$4:$A$11,0))))</f>
        <v>Foto/ilustração do benefício 1</v>
      </c>
      <c r="H454" s="11" t="str">
        <f aca="false">IF(INDEX(PRODUTOS!$I$4:$I$63,MATCH($A454,PRODUTOS!$B$4:$B$63,0))="B",INDEX(MODELOS!$I$4:$I$11,MATCH($D454,MODELOS!$A$4:$A$11,0)),INDEX(MODELOS!$E$4:$E$11,MATCH($D454,MODELOS!$A$4:$A$11,0)))</f>
        <v>220 × 200</v>
      </c>
      <c r="I454" s="11" t="str">
        <f aca="false">IF($D454="COMP","SIM",IF(INDEX(PRODUTOS!$J$4:$J$63,MATCH($A454,PRODUTOS!$B$4:$B$63,0))&lt;&gt;"","NÃO (usa o A+ do EAN "&amp;INDEX(PRODUTOS!$J$4:$J$63,MATCH($A454,PRODUTOS!$B$4:$B$63,0))&amp;")",IF(AND(INDEX(PRODUTOS!$I$4:$I$63,MATCH($A454,PRODUTOS!$B$4:$B$63,0))="B",$D454="AP07"),"NÃO (modelo B)","SIM")))</f>
        <v>SIM</v>
      </c>
      <c r="J454" s="13" t="s">
        <v>318</v>
      </c>
      <c r="K454" s="13"/>
    </row>
    <row r="455" customFormat="false" ht="15" hidden="false" customHeight="false" outlineLevel="0" collapsed="false">
      <c r="A455" s="15" t="s">
        <v>288</v>
      </c>
      <c r="B455" s="11" t="str">
        <f aca="false">INDEX(PRODUTOS!$E$4:$E$63,MATCH($A455,PRODUTOS!$B$4:$B$63,0))</f>
        <v>Granulado Sanitário de Bentonita Natural Dots para Pets - Pacote 4 kg</v>
      </c>
      <c r="C455" s="11" t="str">
        <f aca="false">INDEX(PRODUTOS!$H$4:$H$63,MATCH($A455,PRODUTOS!$B$4:$B$63,0))</f>
        <v>4 kg</v>
      </c>
      <c r="D455" s="11" t="s">
        <v>321</v>
      </c>
      <c r="E455" s="16" t="str">
        <f aca="false">$A455&amp;"."&amp;$D455&amp;".jpg"</f>
        <v>7908591300185.AP04.jpg</v>
      </c>
      <c r="F455" s="11" t="str">
        <f aca="false">IF(INDEX(PRODUTOS!$I$4:$I$63,MATCH($A455,PRODUTOS!$B$4:$B$63,0))="B",INDEX(MODELOS!$F$4:$F$11,MATCH($D455,MODELOS!$A$4:$A$11,0)),INDEX(MODELOS!$B$4:$B$11,MATCH($D455,MODELOS!$A$4:$A$11,0)))</f>
        <v>Módulo 3 · Benefício 2 de 4</v>
      </c>
      <c r="G455" s="11" t="str">
        <f aca="false">IF(INDEX(PRODUTOS!$F$4:$F$63,MATCH($A455,PRODUTOS!$B$4:$B$63,0))="Ração",IF(INDEX(PRODUTOS!$I$4:$I$63,MATCH($A455,PRODUTOS!$B$4:$B$63,0))="B",INDEX(MODELOS!$G$4:$G$11,MATCH($D455,MODELOS!$A$4:$A$11,0)),INDEX(MODELOS!$C$4:$C$11,MATCH($D455,MODELOS!$A$4:$A$11,0))),IF(INDEX(PRODUTOS!$I$4:$I$63,MATCH($A455,PRODUTOS!$B$4:$B$63,0))="B",INDEX(MODELOS!$H$4:$H$11,MATCH($D455,MODELOS!$A$4:$A$11,0)),INDEX(MODELOS!$D$4:$D$11,MATCH($D455,MODELOS!$A$4:$A$11,0))))</f>
        <v>Foto/ilustração do benefício 2</v>
      </c>
      <c r="H455" s="11" t="str">
        <f aca="false">IF(INDEX(PRODUTOS!$I$4:$I$63,MATCH($A455,PRODUTOS!$B$4:$B$63,0))="B",INDEX(MODELOS!$I$4:$I$11,MATCH($D455,MODELOS!$A$4:$A$11,0)),INDEX(MODELOS!$E$4:$E$11,MATCH($D455,MODELOS!$A$4:$A$11,0)))</f>
        <v>220 × 200</v>
      </c>
      <c r="I455" s="11" t="str">
        <f aca="false">IF($D455="COMP","SIM",IF(INDEX(PRODUTOS!$J$4:$J$63,MATCH($A455,PRODUTOS!$B$4:$B$63,0))&lt;&gt;"","NÃO (usa o A+ do EAN "&amp;INDEX(PRODUTOS!$J$4:$J$63,MATCH($A455,PRODUTOS!$B$4:$B$63,0))&amp;")",IF(AND(INDEX(PRODUTOS!$I$4:$I$63,MATCH($A455,PRODUTOS!$B$4:$B$63,0))="B",$D455="AP07"),"NÃO (modelo B)","SIM")))</f>
        <v>SIM</v>
      </c>
      <c r="J455" s="13" t="s">
        <v>318</v>
      </c>
      <c r="K455" s="13"/>
    </row>
    <row r="456" customFormat="false" ht="15" hidden="false" customHeight="false" outlineLevel="0" collapsed="false">
      <c r="A456" s="15" t="s">
        <v>288</v>
      </c>
      <c r="B456" s="11" t="str">
        <f aca="false">INDEX(PRODUTOS!$E$4:$E$63,MATCH($A456,PRODUTOS!$B$4:$B$63,0))</f>
        <v>Granulado Sanitário de Bentonita Natural Dots para Pets - Pacote 4 kg</v>
      </c>
      <c r="C456" s="11" t="str">
        <f aca="false">INDEX(PRODUTOS!$H$4:$H$63,MATCH($A456,PRODUTOS!$B$4:$B$63,0))</f>
        <v>4 kg</v>
      </c>
      <c r="D456" s="11" t="s">
        <v>322</v>
      </c>
      <c r="E456" s="16" t="str">
        <f aca="false">$A456&amp;"."&amp;$D456&amp;".jpg"</f>
        <v>7908591300185.AP05.jpg</v>
      </c>
      <c r="F456" s="11" t="str">
        <f aca="false">IF(INDEX(PRODUTOS!$I$4:$I$63,MATCH($A456,PRODUTOS!$B$4:$B$63,0))="B",INDEX(MODELOS!$F$4:$F$11,MATCH($D456,MODELOS!$A$4:$A$11,0)),INDEX(MODELOS!$B$4:$B$11,MATCH($D456,MODELOS!$A$4:$A$11,0)))</f>
        <v>Módulo 3 · Benefício 3 de 4</v>
      </c>
      <c r="G456" s="11" t="str">
        <f aca="false">IF(INDEX(PRODUTOS!$F$4:$F$63,MATCH($A456,PRODUTOS!$B$4:$B$63,0))="Ração",IF(INDEX(PRODUTOS!$I$4:$I$63,MATCH($A456,PRODUTOS!$B$4:$B$63,0))="B",INDEX(MODELOS!$G$4:$G$11,MATCH($D456,MODELOS!$A$4:$A$11,0)),INDEX(MODELOS!$C$4:$C$11,MATCH($D456,MODELOS!$A$4:$A$11,0))),IF(INDEX(PRODUTOS!$I$4:$I$63,MATCH($A456,PRODUTOS!$B$4:$B$63,0))="B",INDEX(MODELOS!$H$4:$H$11,MATCH($D456,MODELOS!$A$4:$A$11,0)),INDEX(MODELOS!$D$4:$D$11,MATCH($D456,MODELOS!$A$4:$A$11,0))))</f>
        <v>Foto/ilustração do benefício 3</v>
      </c>
      <c r="H456" s="11" t="str">
        <f aca="false">IF(INDEX(PRODUTOS!$I$4:$I$63,MATCH($A456,PRODUTOS!$B$4:$B$63,0))="B",INDEX(MODELOS!$I$4:$I$11,MATCH($D456,MODELOS!$A$4:$A$11,0)),INDEX(MODELOS!$E$4:$E$11,MATCH($D456,MODELOS!$A$4:$A$11,0)))</f>
        <v>220 × 200</v>
      </c>
      <c r="I456" s="11" t="str">
        <f aca="false">IF($D456="COMP","SIM",IF(INDEX(PRODUTOS!$J$4:$J$63,MATCH($A456,PRODUTOS!$B$4:$B$63,0))&lt;&gt;"","NÃO (usa o A+ do EAN "&amp;INDEX(PRODUTOS!$J$4:$J$63,MATCH($A456,PRODUTOS!$B$4:$B$63,0))&amp;")",IF(AND(INDEX(PRODUTOS!$I$4:$I$63,MATCH($A456,PRODUTOS!$B$4:$B$63,0))="B",$D456="AP07"),"NÃO (modelo B)","SIM")))</f>
        <v>SIM</v>
      </c>
      <c r="J456" s="13" t="s">
        <v>318</v>
      </c>
      <c r="K456" s="13"/>
    </row>
    <row r="457" customFormat="false" ht="15" hidden="false" customHeight="false" outlineLevel="0" collapsed="false">
      <c r="A457" s="15" t="s">
        <v>288</v>
      </c>
      <c r="B457" s="11" t="str">
        <f aca="false">INDEX(PRODUTOS!$E$4:$E$63,MATCH($A457,PRODUTOS!$B$4:$B$63,0))</f>
        <v>Granulado Sanitário de Bentonita Natural Dots para Pets - Pacote 4 kg</v>
      </c>
      <c r="C457" s="11" t="str">
        <f aca="false">INDEX(PRODUTOS!$H$4:$H$63,MATCH($A457,PRODUTOS!$B$4:$B$63,0))</f>
        <v>4 kg</v>
      </c>
      <c r="D457" s="11" t="s">
        <v>323</v>
      </c>
      <c r="E457" s="16" t="str">
        <f aca="false">$A457&amp;"."&amp;$D457&amp;".jpg"</f>
        <v>7908591300185.AP06.jpg</v>
      </c>
      <c r="F457" s="11" t="str">
        <f aca="false">IF(INDEX(PRODUTOS!$I$4:$I$63,MATCH($A457,PRODUTOS!$B$4:$B$63,0))="B",INDEX(MODELOS!$F$4:$F$11,MATCH($D457,MODELOS!$A$4:$A$11,0)),INDEX(MODELOS!$B$4:$B$11,MATCH($D457,MODELOS!$A$4:$A$11,0)))</f>
        <v>Módulo 3 · Benefício 4 de 4</v>
      </c>
      <c r="G457" s="11" t="str">
        <f aca="false">IF(INDEX(PRODUTOS!$F$4:$F$63,MATCH($A457,PRODUTOS!$B$4:$B$63,0))="Ração",IF(INDEX(PRODUTOS!$I$4:$I$63,MATCH($A457,PRODUTOS!$B$4:$B$63,0))="B",INDEX(MODELOS!$G$4:$G$11,MATCH($D457,MODELOS!$A$4:$A$11,0)),INDEX(MODELOS!$C$4:$C$11,MATCH($D457,MODELOS!$A$4:$A$11,0))),IF(INDEX(PRODUTOS!$I$4:$I$63,MATCH($A457,PRODUTOS!$B$4:$B$63,0))="B",INDEX(MODELOS!$H$4:$H$11,MATCH($D457,MODELOS!$A$4:$A$11,0)),INDEX(MODELOS!$D$4:$D$11,MATCH($D457,MODELOS!$A$4:$A$11,0))))</f>
        <v>Foto/ilustração do benefício 4</v>
      </c>
      <c r="H457" s="11" t="str">
        <f aca="false">IF(INDEX(PRODUTOS!$I$4:$I$63,MATCH($A457,PRODUTOS!$B$4:$B$63,0))="B",INDEX(MODELOS!$I$4:$I$11,MATCH($D457,MODELOS!$A$4:$A$11,0)),INDEX(MODELOS!$E$4:$E$11,MATCH($D457,MODELOS!$A$4:$A$11,0)))</f>
        <v>220 × 200</v>
      </c>
      <c r="I457" s="11" t="str">
        <f aca="false">IF($D457="COMP","SIM",IF(INDEX(PRODUTOS!$J$4:$J$63,MATCH($A457,PRODUTOS!$B$4:$B$63,0))&lt;&gt;"","NÃO (usa o A+ do EAN "&amp;INDEX(PRODUTOS!$J$4:$J$63,MATCH($A457,PRODUTOS!$B$4:$B$63,0))&amp;")",IF(AND(INDEX(PRODUTOS!$I$4:$I$63,MATCH($A457,PRODUTOS!$B$4:$B$63,0))="B",$D457="AP07"),"NÃO (modelo B)","SIM")))</f>
        <v>SIM</v>
      </c>
      <c r="J457" s="13" t="s">
        <v>318</v>
      </c>
      <c r="K457" s="13"/>
    </row>
    <row r="458" customFormat="false" ht="15" hidden="false" customHeight="false" outlineLevel="0" collapsed="false">
      <c r="A458" s="15" t="s">
        <v>288</v>
      </c>
      <c r="B458" s="11" t="str">
        <f aca="false">INDEX(PRODUTOS!$E$4:$E$63,MATCH($A458,PRODUTOS!$B$4:$B$63,0))</f>
        <v>Granulado Sanitário de Bentonita Natural Dots para Pets - Pacote 4 kg</v>
      </c>
      <c r="C458" s="11" t="str">
        <f aca="false">INDEX(PRODUTOS!$H$4:$H$63,MATCH($A458,PRODUTOS!$B$4:$B$63,0))</f>
        <v>4 kg</v>
      </c>
      <c r="D458" s="11" t="s">
        <v>324</v>
      </c>
      <c r="E458" s="16" t="str">
        <f aca="false">$A458&amp;"."&amp;$D458&amp;".jpg"</f>
        <v>7908591300185.AP07.jpg</v>
      </c>
      <c r="F458" s="11" t="str">
        <f aca="false">IF(INDEX(PRODUTOS!$I$4:$I$63,MATCH($A458,PRODUTOS!$B$4:$B$63,0))="B",INDEX(MODELOS!$F$4:$F$11,MATCH($D458,MODELOS!$A$4:$A$11,0)),INDEX(MODELOS!$B$4:$B$11,MATCH($D458,MODELOS!$A$4:$A$11,0)))</f>
        <v>Módulo 4 · Especificações</v>
      </c>
      <c r="G458" s="11" t="str">
        <f aca="false">IF(INDEX(PRODUTOS!$F$4:$F$63,MATCH($A458,PRODUTOS!$B$4:$B$63,0))="Ração",IF(INDEX(PRODUTOS!$I$4:$I$63,MATCH($A458,PRODUTOS!$B$4:$B$63,0))="B",INDEX(MODELOS!$G$4:$G$11,MATCH($D458,MODELOS!$A$4:$A$11,0)),INDEX(MODELOS!$C$4:$C$11,MATCH($D458,MODELOS!$A$4:$A$11,0))),IF(INDEX(PRODUTOS!$I$4:$I$63,MATCH($A458,PRODUTOS!$B$4:$B$63,0))="B",INDEX(MODELOS!$H$4:$H$11,MATCH($D458,MODELOS!$A$4:$A$11,0)),INDEX(MODELOS!$D$4:$D$11,MATCH($D458,MODELOS!$A$4:$A$11,0))))</f>
        <v>Produto em destaque</v>
      </c>
      <c r="H458" s="11" t="str">
        <f aca="false">IF(INDEX(PRODUTOS!$I$4:$I$63,MATCH($A458,PRODUTOS!$B$4:$B$63,0))="B",INDEX(MODELOS!$I$4:$I$11,MATCH($D458,MODELOS!$A$4:$A$11,0)),INDEX(MODELOS!$E$4:$E$11,MATCH($D458,MODELOS!$A$4:$A$11,0)))</f>
        <v>300 × 300</v>
      </c>
      <c r="I458" s="11" t="str">
        <f aca="false">IF($D458="COMP","SIM",IF(INDEX(PRODUTOS!$J$4:$J$63,MATCH($A458,PRODUTOS!$B$4:$B$63,0))&lt;&gt;"","NÃO (usa o A+ do EAN "&amp;INDEX(PRODUTOS!$J$4:$J$63,MATCH($A458,PRODUTOS!$B$4:$B$63,0))&amp;")",IF(AND(INDEX(PRODUTOS!$I$4:$I$63,MATCH($A458,PRODUTOS!$B$4:$B$63,0))="B",$D458="AP07"),"NÃO (modelo B)","SIM")))</f>
        <v>SIM</v>
      </c>
      <c r="J458" s="13" t="s">
        <v>318</v>
      </c>
      <c r="K458" s="13"/>
    </row>
    <row r="459" customFormat="false" ht="15" hidden="false" customHeight="false" outlineLevel="0" collapsed="false">
      <c r="A459" s="15" t="s">
        <v>288</v>
      </c>
      <c r="B459" s="11" t="str">
        <f aca="false">INDEX(PRODUTOS!$E$4:$E$63,MATCH($A459,PRODUTOS!$B$4:$B$63,0))</f>
        <v>Granulado Sanitário de Bentonita Natural Dots para Pets - Pacote 4 kg</v>
      </c>
      <c r="C459" s="11" t="str">
        <f aca="false">INDEX(PRODUTOS!$H$4:$H$63,MATCH($A459,PRODUTOS!$B$4:$B$63,0))</f>
        <v>4 kg</v>
      </c>
      <c r="D459" s="11" t="s">
        <v>325</v>
      </c>
      <c r="E459" s="16" t="str">
        <f aca="false">$A459&amp;"."&amp;$D459&amp;".jpg"</f>
        <v>7908591300185.COMP.jpg</v>
      </c>
      <c r="F459" s="11" t="str">
        <f aca="false">IF(INDEX(PRODUTOS!$I$4:$I$63,MATCH($A459,PRODUTOS!$B$4:$B$63,0))="B",INDEX(MODELOS!$F$4:$F$11,MATCH($D459,MODELOS!$A$4:$A$11,0)),INDEX(MODELOS!$B$4:$B$11,MATCH($D459,MODELOS!$A$4:$A$11,0)))</f>
        <v>Módulo 5 · Tabela comparativa</v>
      </c>
      <c r="G459" s="11" t="str">
        <f aca="false">IF(INDEX(PRODUTOS!$F$4:$F$63,MATCH($A459,PRODUTOS!$B$4:$B$63,0))="Ração",IF(INDEX(PRODUTOS!$I$4:$I$63,MATCH($A459,PRODUTOS!$B$4:$B$63,0))="B",INDEX(MODELOS!$G$4:$G$11,MATCH($D459,MODELOS!$A$4:$A$11,0)),INDEX(MODELOS!$C$4:$C$11,MATCH($D459,MODELOS!$A$4:$A$11,0))),IF(INDEX(PRODUTOS!$I$4:$I$63,MATCH($A459,PRODUTOS!$B$4:$B$63,0))="B",INDEX(MODELOS!$H$4:$H$11,MATCH($D459,MODELOS!$A$4:$A$11,0)),INDEX(MODELOS!$D$4:$D$11,MATCH($D459,MODELOS!$A$4:$A$11,0))))</f>
        <v>Produto na vertical, sem fundo colorido</v>
      </c>
      <c r="H459" s="11" t="str">
        <f aca="false">IF(INDEX(PRODUTOS!$I$4:$I$63,MATCH($A459,PRODUTOS!$B$4:$B$63,0))="B",INDEX(MODELOS!$I$4:$I$11,MATCH($D459,MODELOS!$A$4:$A$11,0)),INDEX(MODELOS!$E$4:$E$11,MATCH($D459,MODELOS!$A$4:$A$11,0)))</f>
        <v>150 × 300</v>
      </c>
      <c r="I459" s="11" t="str">
        <f aca="false">IF($D459="COMP","SIM",IF(INDEX(PRODUTOS!$J$4:$J$63,MATCH($A459,PRODUTOS!$B$4:$B$63,0))&lt;&gt;"","NÃO (usa o A+ do EAN "&amp;INDEX(PRODUTOS!$J$4:$J$63,MATCH($A459,PRODUTOS!$B$4:$B$63,0))&amp;")",IF(AND(INDEX(PRODUTOS!$I$4:$I$63,MATCH($A459,PRODUTOS!$B$4:$B$63,0))="B",$D459="AP07"),"NÃO (modelo B)","SIM")))</f>
        <v>SIM</v>
      </c>
      <c r="J459" s="13" t="s">
        <v>318</v>
      </c>
      <c r="K459" s="13"/>
    </row>
    <row r="460" customFormat="false" ht="15" hidden="false" customHeight="false" outlineLevel="0" collapsed="false">
      <c r="A460" s="15" t="s">
        <v>292</v>
      </c>
      <c r="B460" s="11" t="str">
        <f aca="false">INDEX(PRODUTOS!$E$4:$E$63,MATCH($A460,PRODUTOS!$B$4:$B$63,0))</f>
        <v>Kit Porta Cata Caca Natural Dots com 4 Refis Biodegradáveis</v>
      </c>
      <c r="C460" s="11" t="str">
        <f aca="false">INDEX(PRODUTOS!$H$4:$H$63,MATCH($A460,PRODUTOS!$B$4:$B$63,0))</f>
        <v>4 un.</v>
      </c>
      <c r="D460" s="11" t="s">
        <v>317</v>
      </c>
      <c r="E460" s="16" t="str">
        <f aca="false">$A460&amp;"."&amp;$D460&amp;".jpg"</f>
        <v>7908591300840.AP01.jpg</v>
      </c>
      <c r="F460" s="11" t="str">
        <f aca="false">IF(INDEX(PRODUTOS!$I$4:$I$63,MATCH($A460,PRODUTOS!$B$4:$B$63,0))="B",INDEX(MODELOS!$F$4:$F$11,MATCH($D460,MODELOS!$A$4:$A$11,0)),INDEX(MODELOS!$B$4:$B$11,MATCH($D460,MODELOS!$A$4:$A$11,0)))</f>
        <v>Módulo 1 · Banner</v>
      </c>
      <c r="G460" s="11" t="str">
        <f aca="false">IF(INDEX(PRODUTOS!$F$4:$F$63,MATCH($A460,PRODUTOS!$B$4:$B$63,0))="Ração",IF(INDEX(PRODUTOS!$I$4:$I$63,MATCH($A460,PRODUTOS!$B$4:$B$63,0))="B",INDEX(MODELOS!$G$4:$G$11,MATCH($D460,MODELOS!$A$4:$A$11,0)),INDEX(MODELOS!$C$4:$C$11,MATCH($D460,MODELOS!$A$4:$A$11,0))),IF(INDEX(PRODUTOS!$I$4:$I$63,MATCH($A460,PRODUTOS!$B$4:$B$63,0))="B",INDEX(MODELOS!$H$4:$H$11,MATCH($D460,MODELOS!$A$4:$A$11,0)),INDEX(MODELOS!$D$4:$D$11,MATCH($D460,MODELOS!$A$4:$A$11,0))))</f>
        <v>Produto + pet, com o nome da linha</v>
      </c>
      <c r="H460" s="11" t="str">
        <f aca="false">IF(INDEX(PRODUTOS!$I$4:$I$63,MATCH($A460,PRODUTOS!$B$4:$B$63,0))="B",INDEX(MODELOS!$I$4:$I$11,MATCH($D460,MODELOS!$A$4:$A$11,0)),INDEX(MODELOS!$E$4:$E$11,MATCH($D460,MODELOS!$A$4:$A$11,0)))</f>
        <v>970 × 600</v>
      </c>
      <c r="I460" s="11" t="str">
        <f aca="false">IF($D460="COMP","SIM",IF(INDEX(PRODUTOS!$J$4:$J$63,MATCH($A460,PRODUTOS!$B$4:$B$63,0))&lt;&gt;"","NÃO (usa o A+ do EAN "&amp;INDEX(PRODUTOS!$J$4:$J$63,MATCH($A460,PRODUTOS!$B$4:$B$63,0))&amp;")",IF(AND(INDEX(PRODUTOS!$I$4:$I$63,MATCH($A460,PRODUTOS!$B$4:$B$63,0))="B",$D460="AP07"),"NÃO (modelo B)","SIM")))</f>
        <v>SIM</v>
      </c>
      <c r="J460" s="13" t="s">
        <v>318</v>
      </c>
      <c r="K460" s="13"/>
    </row>
    <row r="461" customFormat="false" ht="15" hidden="false" customHeight="false" outlineLevel="0" collapsed="false">
      <c r="A461" s="15" t="s">
        <v>292</v>
      </c>
      <c r="B461" s="11" t="str">
        <f aca="false">INDEX(PRODUTOS!$E$4:$E$63,MATCH($A461,PRODUTOS!$B$4:$B$63,0))</f>
        <v>Kit Porta Cata Caca Natural Dots com 4 Refis Biodegradáveis</v>
      </c>
      <c r="C461" s="11" t="str">
        <f aca="false">INDEX(PRODUTOS!$H$4:$H$63,MATCH($A461,PRODUTOS!$B$4:$B$63,0))</f>
        <v>4 un.</v>
      </c>
      <c r="D461" s="11" t="s">
        <v>319</v>
      </c>
      <c r="E461" s="16" t="str">
        <f aca="false">$A461&amp;"."&amp;$D461&amp;".jpg"</f>
        <v>7908591300840.AP02.jpg</v>
      </c>
      <c r="F461" s="11" t="str">
        <f aca="false">IF(INDEX(PRODUTOS!$I$4:$I$63,MATCH($A461,PRODUTOS!$B$4:$B$63,0))="B",INDEX(MODELOS!$F$4:$F$11,MATCH($D461,MODELOS!$A$4:$A$11,0)),INDEX(MODELOS!$B$4:$B$11,MATCH($D461,MODELOS!$A$4:$A$11,0)))</f>
        <v>Módulo 2 · Texto sobreposto</v>
      </c>
      <c r="G461" s="11" t="str">
        <f aca="false">IF(INDEX(PRODUTOS!$F$4:$F$63,MATCH($A461,PRODUTOS!$B$4:$B$63,0))="Ração",IF(INDEX(PRODUTOS!$I$4:$I$63,MATCH($A461,PRODUTOS!$B$4:$B$63,0))="B",INDEX(MODELOS!$G$4:$G$11,MATCH($D461,MODELOS!$A$4:$A$11,0)),INDEX(MODELOS!$C$4:$C$11,MATCH($D461,MODELOS!$A$4:$A$11,0))),IF(INDEX(PRODUTOS!$I$4:$I$63,MATCH($A461,PRODUTOS!$B$4:$B$63,0))="B",INDEX(MODELOS!$H$4:$H$11,MATCH($D461,MODELOS!$A$4:$A$11,0)),INDEX(MODELOS!$D$4:$D$11,MATCH($D461,MODELOS!$A$4:$A$11,0))))</f>
        <v>Principal diferencial; deixar o lado direito limpo</v>
      </c>
      <c r="H461" s="11" t="str">
        <f aca="false">IF(INDEX(PRODUTOS!$I$4:$I$63,MATCH($A461,PRODUTOS!$B$4:$B$63,0))="B",INDEX(MODELOS!$I$4:$I$11,MATCH($D461,MODELOS!$A$4:$A$11,0)),INDEX(MODELOS!$E$4:$E$11,MATCH($D461,MODELOS!$A$4:$A$11,0)))</f>
        <v>970 × 300</v>
      </c>
      <c r="I461" s="11" t="str">
        <f aca="false">IF($D461="COMP","SIM",IF(INDEX(PRODUTOS!$J$4:$J$63,MATCH($A461,PRODUTOS!$B$4:$B$63,0))&lt;&gt;"","NÃO (usa o A+ do EAN "&amp;INDEX(PRODUTOS!$J$4:$J$63,MATCH($A461,PRODUTOS!$B$4:$B$63,0))&amp;")",IF(AND(INDEX(PRODUTOS!$I$4:$I$63,MATCH($A461,PRODUTOS!$B$4:$B$63,0))="B",$D461="AP07"),"NÃO (modelo B)","SIM")))</f>
        <v>SIM</v>
      </c>
      <c r="J461" s="13" t="s">
        <v>318</v>
      </c>
      <c r="K461" s="13"/>
    </row>
    <row r="462" customFormat="false" ht="15" hidden="false" customHeight="false" outlineLevel="0" collapsed="false">
      <c r="A462" s="15" t="s">
        <v>292</v>
      </c>
      <c r="B462" s="11" t="str">
        <f aca="false">INDEX(PRODUTOS!$E$4:$E$63,MATCH($A462,PRODUTOS!$B$4:$B$63,0))</f>
        <v>Kit Porta Cata Caca Natural Dots com 4 Refis Biodegradáveis</v>
      </c>
      <c r="C462" s="11" t="str">
        <f aca="false">INDEX(PRODUTOS!$H$4:$H$63,MATCH($A462,PRODUTOS!$B$4:$B$63,0))</f>
        <v>4 un.</v>
      </c>
      <c r="D462" s="11" t="s">
        <v>320</v>
      </c>
      <c r="E462" s="16" t="str">
        <f aca="false">$A462&amp;"."&amp;$D462&amp;".jpg"</f>
        <v>7908591300840.AP03.jpg</v>
      </c>
      <c r="F462" s="11" t="str">
        <f aca="false">IF(INDEX(PRODUTOS!$I$4:$I$63,MATCH($A462,PRODUTOS!$B$4:$B$63,0))="B",INDEX(MODELOS!$F$4:$F$11,MATCH($D462,MODELOS!$A$4:$A$11,0)),INDEX(MODELOS!$B$4:$B$11,MATCH($D462,MODELOS!$A$4:$A$11,0)))</f>
        <v>Módulo 3 · Benefício 1 de 4</v>
      </c>
      <c r="G462" s="11" t="str">
        <f aca="false">IF(INDEX(PRODUTOS!$F$4:$F$63,MATCH($A462,PRODUTOS!$B$4:$B$63,0))="Ração",IF(INDEX(PRODUTOS!$I$4:$I$63,MATCH($A462,PRODUTOS!$B$4:$B$63,0))="B",INDEX(MODELOS!$G$4:$G$11,MATCH($D462,MODELOS!$A$4:$A$11,0)),INDEX(MODELOS!$C$4:$C$11,MATCH($D462,MODELOS!$A$4:$A$11,0))),IF(INDEX(PRODUTOS!$I$4:$I$63,MATCH($A462,PRODUTOS!$B$4:$B$63,0))="B",INDEX(MODELOS!$H$4:$H$11,MATCH($D462,MODELOS!$A$4:$A$11,0)),INDEX(MODELOS!$D$4:$D$11,MATCH($D462,MODELOS!$A$4:$A$11,0))))</f>
        <v>Foto/ilustração do benefício 1</v>
      </c>
      <c r="H462" s="11" t="str">
        <f aca="false">IF(INDEX(PRODUTOS!$I$4:$I$63,MATCH($A462,PRODUTOS!$B$4:$B$63,0))="B",INDEX(MODELOS!$I$4:$I$11,MATCH($D462,MODELOS!$A$4:$A$11,0)),INDEX(MODELOS!$E$4:$E$11,MATCH($D462,MODELOS!$A$4:$A$11,0)))</f>
        <v>220 × 200</v>
      </c>
      <c r="I462" s="11" t="str">
        <f aca="false">IF($D462="COMP","SIM",IF(INDEX(PRODUTOS!$J$4:$J$63,MATCH($A462,PRODUTOS!$B$4:$B$63,0))&lt;&gt;"","NÃO (usa o A+ do EAN "&amp;INDEX(PRODUTOS!$J$4:$J$63,MATCH($A462,PRODUTOS!$B$4:$B$63,0))&amp;")",IF(AND(INDEX(PRODUTOS!$I$4:$I$63,MATCH($A462,PRODUTOS!$B$4:$B$63,0))="B",$D462="AP07"),"NÃO (modelo B)","SIM")))</f>
        <v>SIM</v>
      </c>
      <c r="J462" s="13" t="s">
        <v>318</v>
      </c>
      <c r="K462" s="13"/>
    </row>
    <row r="463" customFormat="false" ht="15" hidden="false" customHeight="false" outlineLevel="0" collapsed="false">
      <c r="A463" s="15" t="s">
        <v>292</v>
      </c>
      <c r="B463" s="11" t="str">
        <f aca="false">INDEX(PRODUTOS!$E$4:$E$63,MATCH($A463,PRODUTOS!$B$4:$B$63,0))</f>
        <v>Kit Porta Cata Caca Natural Dots com 4 Refis Biodegradáveis</v>
      </c>
      <c r="C463" s="11" t="str">
        <f aca="false">INDEX(PRODUTOS!$H$4:$H$63,MATCH($A463,PRODUTOS!$B$4:$B$63,0))</f>
        <v>4 un.</v>
      </c>
      <c r="D463" s="11" t="s">
        <v>321</v>
      </c>
      <c r="E463" s="16" t="str">
        <f aca="false">$A463&amp;"."&amp;$D463&amp;".jpg"</f>
        <v>7908591300840.AP04.jpg</v>
      </c>
      <c r="F463" s="11" t="str">
        <f aca="false">IF(INDEX(PRODUTOS!$I$4:$I$63,MATCH($A463,PRODUTOS!$B$4:$B$63,0))="B",INDEX(MODELOS!$F$4:$F$11,MATCH($D463,MODELOS!$A$4:$A$11,0)),INDEX(MODELOS!$B$4:$B$11,MATCH($D463,MODELOS!$A$4:$A$11,0)))</f>
        <v>Módulo 3 · Benefício 2 de 4</v>
      </c>
      <c r="G463" s="11" t="str">
        <f aca="false">IF(INDEX(PRODUTOS!$F$4:$F$63,MATCH($A463,PRODUTOS!$B$4:$B$63,0))="Ração",IF(INDEX(PRODUTOS!$I$4:$I$63,MATCH($A463,PRODUTOS!$B$4:$B$63,0))="B",INDEX(MODELOS!$G$4:$G$11,MATCH($D463,MODELOS!$A$4:$A$11,0)),INDEX(MODELOS!$C$4:$C$11,MATCH($D463,MODELOS!$A$4:$A$11,0))),IF(INDEX(PRODUTOS!$I$4:$I$63,MATCH($A463,PRODUTOS!$B$4:$B$63,0))="B",INDEX(MODELOS!$H$4:$H$11,MATCH($D463,MODELOS!$A$4:$A$11,0)),INDEX(MODELOS!$D$4:$D$11,MATCH($D463,MODELOS!$A$4:$A$11,0))))</f>
        <v>Foto/ilustração do benefício 2</v>
      </c>
      <c r="H463" s="11" t="str">
        <f aca="false">IF(INDEX(PRODUTOS!$I$4:$I$63,MATCH($A463,PRODUTOS!$B$4:$B$63,0))="B",INDEX(MODELOS!$I$4:$I$11,MATCH($D463,MODELOS!$A$4:$A$11,0)),INDEX(MODELOS!$E$4:$E$11,MATCH($D463,MODELOS!$A$4:$A$11,0)))</f>
        <v>220 × 200</v>
      </c>
      <c r="I463" s="11" t="str">
        <f aca="false">IF($D463="COMP","SIM",IF(INDEX(PRODUTOS!$J$4:$J$63,MATCH($A463,PRODUTOS!$B$4:$B$63,0))&lt;&gt;"","NÃO (usa o A+ do EAN "&amp;INDEX(PRODUTOS!$J$4:$J$63,MATCH($A463,PRODUTOS!$B$4:$B$63,0))&amp;")",IF(AND(INDEX(PRODUTOS!$I$4:$I$63,MATCH($A463,PRODUTOS!$B$4:$B$63,0))="B",$D463="AP07"),"NÃO (modelo B)","SIM")))</f>
        <v>SIM</v>
      </c>
      <c r="J463" s="13" t="s">
        <v>318</v>
      </c>
      <c r="K463" s="13"/>
    </row>
    <row r="464" customFormat="false" ht="15" hidden="false" customHeight="false" outlineLevel="0" collapsed="false">
      <c r="A464" s="15" t="s">
        <v>292</v>
      </c>
      <c r="B464" s="11" t="str">
        <f aca="false">INDEX(PRODUTOS!$E$4:$E$63,MATCH($A464,PRODUTOS!$B$4:$B$63,0))</f>
        <v>Kit Porta Cata Caca Natural Dots com 4 Refis Biodegradáveis</v>
      </c>
      <c r="C464" s="11" t="str">
        <f aca="false">INDEX(PRODUTOS!$H$4:$H$63,MATCH($A464,PRODUTOS!$B$4:$B$63,0))</f>
        <v>4 un.</v>
      </c>
      <c r="D464" s="11" t="s">
        <v>322</v>
      </c>
      <c r="E464" s="16" t="str">
        <f aca="false">$A464&amp;"."&amp;$D464&amp;".jpg"</f>
        <v>7908591300840.AP05.jpg</v>
      </c>
      <c r="F464" s="11" t="str">
        <f aca="false">IF(INDEX(PRODUTOS!$I$4:$I$63,MATCH($A464,PRODUTOS!$B$4:$B$63,0))="B",INDEX(MODELOS!$F$4:$F$11,MATCH($D464,MODELOS!$A$4:$A$11,0)),INDEX(MODELOS!$B$4:$B$11,MATCH($D464,MODELOS!$A$4:$A$11,0)))</f>
        <v>Módulo 3 · Benefício 3 de 4</v>
      </c>
      <c r="G464" s="11" t="str">
        <f aca="false">IF(INDEX(PRODUTOS!$F$4:$F$63,MATCH($A464,PRODUTOS!$B$4:$B$63,0))="Ração",IF(INDEX(PRODUTOS!$I$4:$I$63,MATCH($A464,PRODUTOS!$B$4:$B$63,0))="B",INDEX(MODELOS!$G$4:$G$11,MATCH($D464,MODELOS!$A$4:$A$11,0)),INDEX(MODELOS!$C$4:$C$11,MATCH($D464,MODELOS!$A$4:$A$11,0))),IF(INDEX(PRODUTOS!$I$4:$I$63,MATCH($A464,PRODUTOS!$B$4:$B$63,0))="B",INDEX(MODELOS!$H$4:$H$11,MATCH($D464,MODELOS!$A$4:$A$11,0)),INDEX(MODELOS!$D$4:$D$11,MATCH($D464,MODELOS!$A$4:$A$11,0))))</f>
        <v>Foto/ilustração do benefício 3</v>
      </c>
      <c r="H464" s="11" t="str">
        <f aca="false">IF(INDEX(PRODUTOS!$I$4:$I$63,MATCH($A464,PRODUTOS!$B$4:$B$63,0))="B",INDEX(MODELOS!$I$4:$I$11,MATCH($D464,MODELOS!$A$4:$A$11,0)),INDEX(MODELOS!$E$4:$E$11,MATCH($D464,MODELOS!$A$4:$A$11,0)))</f>
        <v>220 × 200</v>
      </c>
      <c r="I464" s="11" t="str">
        <f aca="false">IF($D464="COMP","SIM",IF(INDEX(PRODUTOS!$J$4:$J$63,MATCH($A464,PRODUTOS!$B$4:$B$63,0))&lt;&gt;"","NÃO (usa o A+ do EAN "&amp;INDEX(PRODUTOS!$J$4:$J$63,MATCH($A464,PRODUTOS!$B$4:$B$63,0))&amp;")",IF(AND(INDEX(PRODUTOS!$I$4:$I$63,MATCH($A464,PRODUTOS!$B$4:$B$63,0))="B",$D464="AP07"),"NÃO (modelo B)","SIM")))</f>
        <v>SIM</v>
      </c>
      <c r="J464" s="13" t="s">
        <v>318</v>
      </c>
      <c r="K464" s="13"/>
    </row>
    <row r="465" customFormat="false" ht="15" hidden="false" customHeight="false" outlineLevel="0" collapsed="false">
      <c r="A465" s="15" t="s">
        <v>292</v>
      </c>
      <c r="B465" s="11" t="str">
        <f aca="false">INDEX(PRODUTOS!$E$4:$E$63,MATCH($A465,PRODUTOS!$B$4:$B$63,0))</f>
        <v>Kit Porta Cata Caca Natural Dots com 4 Refis Biodegradáveis</v>
      </c>
      <c r="C465" s="11" t="str">
        <f aca="false">INDEX(PRODUTOS!$H$4:$H$63,MATCH($A465,PRODUTOS!$B$4:$B$63,0))</f>
        <v>4 un.</v>
      </c>
      <c r="D465" s="11" t="s">
        <v>323</v>
      </c>
      <c r="E465" s="16" t="str">
        <f aca="false">$A465&amp;"."&amp;$D465&amp;".jpg"</f>
        <v>7908591300840.AP06.jpg</v>
      </c>
      <c r="F465" s="11" t="str">
        <f aca="false">IF(INDEX(PRODUTOS!$I$4:$I$63,MATCH($A465,PRODUTOS!$B$4:$B$63,0))="B",INDEX(MODELOS!$F$4:$F$11,MATCH($D465,MODELOS!$A$4:$A$11,0)),INDEX(MODELOS!$B$4:$B$11,MATCH($D465,MODELOS!$A$4:$A$11,0)))</f>
        <v>Módulo 3 · Benefício 4 de 4</v>
      </c>
      <c r="G465" s="11" t="str">
        <f aca="false">IF(INDEX(PRODUTOS!$F$4:$F$63,MATCH($A465,PRODUTOS!$B$4:$B$63,0))="Ração",IF(INDEX(PRODUTOS!$I$4:$I$63,MATCH($A465,PRODUTOS!$B$4:$B$63,0))="B",INDEX(MODELOS!$G$4:$G$11,MATCH($D465,MODELOS!$A$4:$A$11,0)),INDEX(MODELOS!$C$4:$C$11,MATCH($D465,MODELOS!$A$4:$A$11,0))),IF(INDEX(PRODUTOS!$I$4:$I$63,MATCH($A465,PRODUTOS!$B$4:$B$63,0))="B",INDEX(MODELOS!$H$4:$H$11,MATCH($D465,MODELOS!$A$4:$A$11,0)),INDEX(MODELOS!$D$4:$D$11,MATCH($D465,MODELOS!$A$4:$A$11,0))))</f>
        <v>Foto/ilustração do benefício 4</v>
      </c>
      <c r="H465" s="11" t="str">
        <f aca="false">IF(INDEX(PRODUTOS!$I$4:$I$63,MATCH($A465,PRODUTOS!$B$4:$B$63,0))="B",INDEX(MODELOS!$I$4:$I$11,MATCH($D465,MODELOS!$A$4:$A$11,0)),INDEX(MODELOS!$E$4:$E$11,MATCH($D465,MODELOS!$A$4:$A$11,0)))</f>
        <v>220 × 200</v>
      </c>
      <c r="I465" s="11" t="str">
        <f aca="false">IF($D465="COMP","SIM",IF(INDEX(PRODUTOS!$J$4:$J$63,MATCH($A465,PRODUTOS!$B$4:$B$63,0))&lt;&gt;"","NÃO (usa o A+ do EAN "&amp;INDEX(PRODUTOS!$J$4:$J$63,MATCH($A465,PRODUTOS!$B$4:$B$63,0))&amp;")",IF(AND(INDEX(PRODUTOS!$I$4:$I$63,MATCH($A465,PRODUTOS!$B$4:$B$63,0))="B",$D465="AP07"),"NÃO (modelo B)","SIM")))</f>
        <v>SIM</v>
      </c>
      <c r="J465" s="13" t="s">
        <v>318</v>
      </c>
      <c r="K465" s="13"/>
    </row>
    <row r="466" customFormat="false" ht="15" hidden="false" customHeight="false" outlineLevel="0" collapsed="false">
      <c r="A466" s="15" t="s">
        <v>292</v>
      </c>
      <c r="B466" s="11" t="str">
        <f aca="false">INDEX(PRODUTOS!$E$4:$E$63,MATCH($A466,PRODUTOS!$B$4:$B$63,0))</f>
        <v>Kit Porta Cata Caca Natural Dots com 4 Refis Biodegradáveis</v>
      </c>
      <c r="C466" s="11" t="str">
        <f aca="false">INDEX(PRODUTOS!$H$4:$H$63,MATCH($A466,PRODUTOS!$B$4:$B$63,0))</f>
        <v>4 un.</v>
      </c>
      <c r="D466" s="11" t="s">
        <v>324</v>
      </c>
      <c r="E466" s="16" t="str">
        <f aca="false">$A466&amp;"."&amp;$D466&amp;".jpg"</f>
        <v>7908591300840.AP07.jpg</v>
      </c>
      <c r="F466" s="11" t="str">
        <f aca="false">IF(INDEX(PRODUTOS!$I$4:$I$63,MATCH($A466,PRODUTOS!$B$4:$B$63,0))="B",INDEX(MODELOS!$F$4:$F$11,MATCH($D466,MODELOS!$A$4:$A$11,0)),INDEX(MODELOS!$B$4:$B$11,MATCH($D466,MODELOS!$A$4:$A$11,0)))</f>
        <v>Módulo 4 · Especificações</v>
      </c>
      <c r="G466" s="11" t="str">
        <f aca="false">IF(INDEX(PRODUTOS!$F$4:$F$63,MATCH($A466,PRODUTOS!$B$4:$B$63,0))="Ração",IF(INDEX(PRODUTOS!$I$4:$I$63,MATCH($A466,PRODUTOS!$B$4:$B$63,0))="B",INDEX(MODELOS!$G$4:$G$11,MATCH($D466,MODELOS!$A$4:$A$11,0)),INDEX(MODELOS!$C$4:$C$11,MATCH($D466,MODELOS!$A$4:$A$11,0))),IF(INDEX(PRODUTOS!$I$4:$I$63,MATCH($A466,PRODUTOS!$B$4:$B$63,0))="B",INDEX(MODELOS!$H$4:$H$11,MATCH($D466,MODELOS!$A$4:$A$11,0)),INDEX(MODELOS!$D$4:$D$11,MATCH($D466,MODELOS!$A$4:$A$11,0))))</f>
        <v>Produto em destaque</v>
      </c>
      <c r="H466" s="11" t="str">
        <f aca="false">IF(INDEX(PRODUTOS!$I$4:$I$63,MATCH($A466,PRODUTOS!$B$4:$B$63,0))="B",INDEX(MODELOS!$I$4:$I$11,MATCH($D466,MODELOS!$A$4:$A$11,0)),INDEX(MODELOS!$E$4:$E$11,MATCH($D466,MODELOS!$A$4:$A$11,0)))</f>
        <v>300 × 300</v>
      </c>
      <c r="I466" s="11" t="str">
        <f aca="false">IF($D466="COMP","SIM",IF(INDEX(PRODUTOS!$J$4:$J$63,MATCH($A466,PRODUTOS!$B$4:$B$63,0))&lt;&gt;"","NÃO (usa o A+ do EAN "&amp;INDEX(PRODUTOS!$J$4:$J$63,MATCH($A466,PRODUTOS!$B$4:$B$63,0))&amp;")",IF(AND(INDEX(PRODUTOS!$I$4:$I$63,MATCH($A466,PRODUTOS!$B$4:$B$63,0))="B",$D466="AP07"),"NÃO (modelo B)","SIM")))</f>
        <v>SIM</v>
      </c>
      <c r="J466" s="13" t="s">
        <v>318</v>
      </c>
      <c r="K466" s="13"/>
    </row>
    <row r="467" customFormat="false" ht="15" hidden="false" customHeight="false" outlineLevel="0" collapsed="false">
      <c r="A467" s="15" t="s">
        <v>292</v>
      </c>
      <c r="B467" s="11" t="str">
        <f aca="false">INDEX(PRODUTOS!$E$4:$E$63,MATCH($A467,PRODUTOS!$B$4:$B$63,0))</f>
        <v>Kit Porta Cata Caca Natural Dots com 4 Refis Biodegradáveis</v>
      </c>
      <c r="C467" s="11" t="str">
        <f aca="false">INDEX(PRODUTOS!$H$4:$H$63,MATCH($A467,PRODUTOS!$B$4:$B$63,0))</f>
        <v>4 un.</v>
      </c>
      <c r="D467" s="11" t="s">
        <v>325</v>
      </c>
      <c r="E467" s="16" t="str">
        <f aca="false">$A467&amp;"."&amp;$D467&amp;".jpg"</f>
        <v>7908591300840.COMP.jpg</v>
      </c>
      <c r="F467" s="11" t="str">
        <f aca="false">IF(INDEX(PRODUTOS!$I$4:$I$63,MATCH($A467,PRODUTOS!$B$4:$B$63,0))="B",INDEX(MODELOS!$F$4:$F$11,MATCH($D467,MODELOS!$A$4:$A$11,0)),INDEX(MODELOS!$B$4:$B$11,MATCH($D467,MODELOS!$A$4:$A$11,0)))</f>
        <v>Módulo 5 · Tabela comparativa</v>
      </c>
      <c r="G467" s="11" t="str">
        <f aca="false">IF(INDEX(PRODUTOS!$F$4:$F$63,MATCH($A467,PRODUTOS!$B$4:$B$63,0))="Ração",IF(INDEX(PRODUTOS!$I$4:$I$63,MATCH($A467,PRODUTOS!$B$4:$B$63,0))="B",INDEX(MODELOS!$G$4:$G$11,MATCH($D467,MODELOS!$A$4:$A$11,0)),INDEX(MODELOS!$C$4:$C$11,MATCH($D467,MODELOS!$A$4:$A$11,0))),IF(INDEX(PRODUTOS!$I$4:$I$63,MATCH($A467,PRODUTOS!$B$4:$B$63,0))="B",INDEX(MODELOS!$H$4:$H$11,MATCH($D467,MODELOS!$A$4:$A$11,0)),INDEX(MODELOS!$D$4:$D$11,MATCH($D467,MODELOS!$A$4:$A$11,0))))</f>
        <v>Produto na vertical, sem fundo colorido</v>
      </c>
      <c r="H467" s="11" t="str">
        <f aca="false">IF(INDEX(PRODUTOS!$I$4:$I$63,MATCH($A467,PRODUTOS!$B$4:$B$63,0))="B",INDEX(MODELOS!$I$4:$I$11,MATCH($D467,MODELOS!$A$4:$A$11,0)),INDEX(MODELOS!$E$4:$E$11,MATCH($D467,MODELOS!$A$4:$A$11,0)))</f>
        <v>150 × 300</v>
      </c>
      <c r="I467" s="11" t="str">
        <f aca="false">IF($D467="COMP","SIM",IF(INDEX(PRODUTOS!$J$4:$J$63,MATCH($A467,PRODUTOS!$B$4:$B$63,0))&lt;&gt;"","NÃO (usa o A+ do EAN "&amp;INDEX(PRODUTOS!$J$4:$J$63,MATCH($A467,PRODUTOS!$B$4:$B$63,0))&amp;")",IF(AND(INDEX(PRODUTOS!$I$4:$I$63,MATCH($A467,PRODUTOS!$B$4:$B$63,0))="B",$D467="AP07"),"NÃO (modelo B)","SIM")))</f>
        <v>SIM</v>
      </c>
      <c r="J467" s="13" t="s">
        <v>318</v>
      </c>
      <c r="K467" s="13"/>
    </row>
    <row r="468" customFormat="false" ht="15" hidden="false" customHeight="false" outlineLevel="0" collapsed="false">
      <c r="A468" s="15" t="s">
        <v>297</v>
      </c>
      <c r="B468" s="11" t="str">
        <f aca="false">INDEX(PRODUTOS!$E$4:$E$63,MATCH($A468,PRODUTOS!$B$4:$B$63,0))</f>
        <v>Refil Cata Caca Biodegradável Natural Dots com 3 Unidades</v>
      </c>
      <c r="C468" s="11" t="str">
        <f aca="false">INDEX(PRODUTOS!$H$4:$H$63,MATCH($A468,PRODUTOS!$B$4:$B$63,0))</f>
        <v>3 un.</v>
      </c>
      <c r="D468" s="11" t="s">
        <v>317</v>
      </c>
      <c r="E468" s="16" t="str">
        <f aca="false">$A468&amp;"."&amp;$D468&amp;".jpg"</f>
        <v>7908591300857.AP01.jpg</v>
      </c>
      <c r="F468" s="11" t="str">
        <f aca="false">IF(INDEX(PRODUTOS!$I$4:$I$63,MATCH($A468,PRODUTOS!$B$4:$B$63,0))="B",INDEX(MODELOS!$F$4:$F$11,MATCH($D468,MODELOS!$A$4:$A$11,0)),INDEX(MODELOS!$B$4:$B$11,MATCH($D468,MODELOS!$A$4:$A$11,0)))</f>
        <v>Módulo 1 · Banner</v>
      </c>
      <c r="G468" s="11" t="str">
        <f aca="false">IF(INDEX(PRODUTOS!$F$4:$F$63,MATCH($A468,PRODUTOS!$B$4:$B$63,0))="Ração",IF(INDEX(PRODUTOS!$I$4:$I$63,MATCH($A468,PRODUTOS!$B$4:$B$63,0))="B",INDEX(MODELOS!$G$4:$G$11,MATCH($D468,MODELOS!$A$4:$A$11,0)),INDEX(MODELOS!$C$4:$C$11,MATCH($D468,MODELOS!$A$4:$A$11,0))),IF(INDEX(PRODUTOS!$I$4:$I$63,MATCH($A468,PRODUTOS!$B$4:$B$63,0))="B",INDEX(MODELOS!$H$4:$H$11,MATCH($D468,MODELOS!$A$4:$A$11,0)),INDEX(MODELOS!$D$4:$D$11,MATCH($D468,MODELOS!$A$4:$A$11,0))))</f>
        <v>Produto + pet, com o nome da linha</v>
      </c>
      <c r="H468" s="11" t="str">
        <f aca="false">IF(INDEX(PRODUTOS!$I$4:$I$63,MATCH($A468,PRODUTOS!$B$4:$B$63,0))="B",INDEX(MODELOS!$I$4:$I$11,MATCH($D468,MODELOS!$A$4:$A$11,0)),INDEX(MODELOS!$E$4:$E$11,MATCH($D468,MODELOS!$A$4:$A$11,0)))</f>
        <v>970 × 600</v>
      </c>
      <c r="I468" s="11" t="str">
        <f aca="false">IF($D468="COMP","SIM",IF(INDEX(PRODUTOS!$J$4:$J$63,MATCH($A468,PRODUTOS!$B$4:$B$63,0))&lt;&gt;"","NÃO (usa o A+ do EAN "&amp;INDEX(PRODUTOS!$J$4:$J$63,MATCH($A468,PRODUTOS!$B$4:$B$63,0))&amp;")",IF(AND(INDEX(PRODUTOS!$I$4:$I$63,MATCH($A468,PRODUTOS!$B$4:$B$63,0))="B",$D468="AP07"),"NÃO (modelo B)","SIM")))</f>
        <v>SIM</v>
      </c>
      <c r="J468" s="13" t="s">
        <v>318</v>
      </c>
      <c r="K468" s="13"/>
    </row>
    <row r="469" customFormat="false" ht="15" hidden="false" customHeight="false" outlineLevel="0" collapsed="false">
      <c r="A469" s="15" t="s">
        <v>297</v>
      </c>
      <c r="B469" s="11" t="str">
        <f aca="false">INDEX(PRODUTOS!$E$4:$E$63,MATCH($A469,PRODUTOS!$B$4:$B$63,0))</f>
        <v>Refil Cata Caca Biodegradável Natural Dots com 3 Unidades</v>
      </c>
      <c r="C469" s="11" t="str">
        <f aca="false">INDEX(PRODUTOS!$H$4:$H$63,MATCH($A469,PRODUTOS!$B$4:$B$63,0))</f>
        <v>3 un.</v>
      </c>
      <c r="D469" s="11" t="s">
        <v>319</v>
      </c>
      <c r="E469" s="16" t="str">
        <f aca="false">$A469&amp;"."&amp;$D469&amp;".jpg"</f>
        <v>7908591300857.AP02.jpg</v>
      </c>
      <c r="F469" s="11" t="str">
        <f aca="false">IF(INDEX(PRODUTOS!$I$4:$I$63,MATCH($A469,PRODUTOS!$B$4:$B$63,0))="B",INDEX(MODELOS!$F$4:$F$11,MATCH($D469,MODELOS!$A$4:$A$11,0)),INDEX(MODELOS!$B$4:$B$11,MATCH($D469,MODELOS!$A$4:$A$11,0)))</f>
        <v>Módulo 2 · Texto sobreposto</v>
      </c>
      <c r="G469" s="11" t="str">
        <f aca="false">IF(INDEX(PRODUTOS!$F$4:$F$63,MATCH($A469,PRODUTOS!$B$4:$B$63,0))="Ração",IF(INDEX(PRODUTOS!$I$4:$I$63,MATCH($A469,PRODUTOS!$B$4:$B$63,0))="B",INDEX(MODELOS!$G$4:$G$11,MATCH($D469,MODELOS!$A$4:$A$11,0)),INDEX(MODELOS!$C$4:$C$11,MATCH($D469,MODELOS!$A$4:$A$11,0))),IF(INDEX(PRODUTOS!$I$4:$I$63,MATCH($A469,PRODUTOS!$B$4:$B$63,0))="B",INDEX(MODELOS!$H$4:$H$11,MATCH($D469,MODELOS!$A$4:$A$11,0)),INDEX(MODELOS!$D$4:$D$11,MATCH($D469,MODELOS!$A$4:$A$11,0))))</f>
        <v>Principal diferencial; deixar o lado direito limpo</v>
      </c>
      <c r="H469" s="11" t="str">
        <f aca="false">IF(INDEX(PRODUTOS!$I$4:$I$63,MATCH($A469,PRODUTOS!$B$4:$B$63,0))="B",INDEX(MODELOS!$I$4:$I$11,MATCH($D469,MODELOS!$A$4:$A$11,0)),INDEX(MODELOS!$E$4:$E$11,MATCH($D469,MODELOS!$A$4:$A$11,0)))</f>
        <v>970 × 300</v>
      </c>
      <c r="I469" s="11" t="str">
        <f aca="false">IF($D469="COMP","SIM",IF(INDEX(PRODUTOS!$J$4:$J$63,MATCH($A469,PRODUTOS!$B$4:$B$63,0))&lt;&gt;"","NÃO (usa o A+ do EAN "&amp;INDEX(PRODUTOS!$J$4:$J$63,MATCH($A469,PRODUTOS!$B$4:$B$63,0))&amp;")",IF(AND(INDEX(PRODUTOS!$I$4:$I$63,MATCH($A469,PRODUTOS!$B$4:$B$63,0))="B",$D469="AP07"),"NÃO (modelo B)","SIM")))</f>
        <v>SIM</v>
      </c>
      <c r="J469" s="13" t="s">
        <v>318</v>
      </c>
      <c r="K469" s="13"/>
    </row>
    <row r="470" customFormat="false" ht="15" hidden="false" customHeight="false" outlineLevel="0" collapsed="false">
      <c r="A470" s="15" t="s">
        <v>297</v>
      </c>
      <c r="B470" s="11" t="str">
        <f aca="false">INDEX(PRODUTOS!$E$4:$E$63,MATCH($A470,PRODUTOS!$B$4:$B$63,0))</f>
        <v>Refil Cata Caca Biodegradável Natural Dots com 3 Unidades</v>
      </c>
      <c r="C470" s="11" t="str">
        <f aca="false">INDEX(PRODUTOS!$H$4:$H$63,MATCH($A470,PRODUTOS!$B$4:$B$63,0))</f>
        <v>3 un.</v>
      </c>
      <c r="D470" s="11" t="s">
        <v>320</v>
      </c>
      <c r="E470" s="16" t="str">
        <f aca="false">$A470&amp;"."&amp;$D470&amp;".jpg"</f>
        <v>7908591300857.AP03.jpg</v>
      </c>
      <c r="F470" s="11" t="str">
        <f aca="false">IF(INDEX(PRODUTOS!$I$4:$I$63,MATCH($A470,PRODUTOS!$B$4:$B$63,0))="B",INDEX(MODELOS!$F$4:$F$11,MATCH($D470,MODELOS!$A$4:$A$11,0)),INDEX(MODELOS!$B$4:$B$11,MATCH($D470,MODELOS!$A$4:$A$11,0)))</f>
        <v>Módulo 3 · Benefício 1 de 4</v>
      </c>
      <c r="G470" s="11" t="str">
        <f aca="false">IF(INDEX(PRODUTOS!$F$4:$F$63,MATCH($A470,PRODUTOS!$B$4:$B$63,0))="Ração",IF(INDEX(PRODUTOS!$I$4:$I$63,MATCH($A470,PRODUTOS!$B$4:$B$63,0))="B",INDEX(MODELOS!$G$4:$G$11,MATCH($D470,MODELOS!$A$4:$A$11,0)),INDEX(MODELOS!$C$4:$C$11,MATCH($D470,MODELOS!$A$4:$A$11,0))),IF(INDEX(PRODUTOS!$I$4:$I$63,MATCH($A470,PRODUTOS!$B$4:$B$63,0))="B",INDEX(MODELOS!$H$4:$H$11,MATCH($D470,MODELOS!$A$4:$A$11,0)),INDEX(MODELOS!$D$4:$D$11,MATCH($D470,MODELOS!$A$4:$A$11,0))))</f>
        <v>Foto/ilustração do benefício 1</v>
      </c>
      <c r="H470" s="11" t="str">
        <f aca="false">IF(INDEX(PRODUTOS!$I$4:$I$63,MATCH($A470,PRODUTOS!$B$4:$B$63,0))="B",INDEX(MODELOS!$I$4:$I$11,MATCH($D470,MODELOS!$A$4:$A$11,0)),INDEX(MODELOS!$E$4:$E$11,MATCH($D470,MODELOS!$A$4:$A$11,0)))</f>
        <v>220 × 200</v>
      </c>
      <c r="I470" s="11" t="str">
        <f aca="false">IF($D470="COMP","SIM",IF(INDEX(PRODUTOS!$J$4:$J$63,MATCH($A470,PRODUTOS!$B$4:$B$63,0))&lt;&gt;"","NÃO (usa o A+ do EAN "&amp;INDEX(PRODUTOS!$J$4:$J$63,MATCH($A470,PRODUTOS!$B$4:$B$63,0))&amp;")",IF(AND(INDEX(PRODUTOS!$I$4:$I$63,MATCH($A470,PRODUTOS!$B$4:$B$63,0))="B",$D470="AP07"),"NÃO (modelo B)","SIM")))</f>
        <v>SIM</v>
      </c>
      <c r="J470" s="13" t="s">
        <v>318</v>
      </c>
      <c r="K470" s="13"/>
    </row>
    <row r="471" customFormat="false" ht="15" hidden="false" customHeight="false" outlineLevel="0" collapsed="false">
      <c r="A471" s="15" t="s">
        <v>297</v>
      </c>
      <c r="B471" s="11" t="str">
        <f aca="false">INDEX(PRODUTOS!$E$4:$E$63,MATCH($A471,PRODUTOS!$B$4:$B$63,0))</f>
        <v>Refil Cata Caca Biodegradável Natural Dots com 3 Unidades</v>
      </c>
      <c r="C471" s="11" t="str">
        <f aca="false">INDEX(PRODUTOS!$H$4:$H$63,MATCH($A471,PRODUTOS!$B$4:$B$63,0))</f>
        <v>3 un.</v>
      </c>
      <c r="D471" s="11" t="s">
        <v>321</v>
      </c>
      <c r="E471" s="16" t="str">
        <f aca="false">$A471&amp;"."&amp;$D471&amp;".jpg"</f>
        <v>7908591300857.AP04.jpg</v>
      </c>
      <c r="F471" s="11" t="str">
        <f aca="false">IF(INDEX(PRODUTOS!$I$4:$I$63,MATCH($A471,PRODUTOS!$B$4:$B$63,0))="B",INDEX(MODELOS!$F$4:$F$11,MATCH($D471,MODELOS!$A$4:$A$11,0)),INDEX(MODELOS!$B$4:$B$11,MATCH($D471,MODELOS!$A$4:$A$11,0)))</f>
        <v>Módulo 3 · Benefício 2 de 4</v>
      </c>
      <c r="G471" s="11" t="str">
        <f aca="false">IF(INDEX(PRODUTOS!$F$4:$F$63,MATCH($A471,PRODUTOS!$B$4:$B$63,0))="Ração",IF(INDEX(PRODUTOS!$I$4:$I$63,MATCH($A471,PRODUTOS!$B$4:$B$63,0))="B",INDEX(MODELOS!$G$4:$G$11,MATCH($D471,MODELOS!$A$4:$A$11,0)),INDEX(MODELOS!$C$4:$C$11,MATCH($D471,MODELOS!$A$4:$A$11,0))),IF(INDEX(PRODUTOS!$I$4:$I$63,MATCH($A471,PRODUTOS!$B$4:$B$63,0))="B",INDEX(MODELOS!$H$4:$H$11,MATCH($D471,MODELOS!$A$4:$A$11,0)),INDEX(MODELOS!$D$4:$D$11,MATCH($D471,MODELOS!$A$4:$A$11,0))))</f>
        <v>Foto/ilustração do benefício 2</v>
      </c>
      <c r="H471" s="11" t="str">
        <f aca="false">IF(INDEX(PRODUTOS!$I$4:$I$63,MATCH($A471,PRODUTOS!$B$4:$B$63,0))="B",INDEX(MODELOS!$I$4:$I$11,MATCH($D471,MODELOS!$A$4:$A$11,0)),INDEX(MODELOS!$E$4:$E$11,MATCH($D471,MODELOS!$A$4:$A$11,0)))</f>
        <v>220 × 200</v>
      </c>
      <c r="I471" s="11" t="str">
        <f aca="false">IF($D471="COMP","SIM",IF(INDEX(PRODUTOS!$J$4:$J$63,MATCH($A471,PRODUTOS!$B$4:$B$63,0))&lt;&gt;"","NÃO (usa o A+ do EAN "&amp;INDEX(PRODUTOS!$J$4:$J$63,MATCH($A471,PRODUTOS!$B$4:$B$63,0))&amp;")",IF(AND(INDEX(PRODUTOS!$I$4:$I$63,MATCH($A471,PRODUTOS!$B$4:$B$63,0))="B",$D471="AP07"),"NÃO (modelo B)","SIM")))</f>
        <v>SIM</v>
      </c>
      <c r="J471" s="13" t="s">
        <v>318</v>
      </c>
      <c r="K471" s="13"/>
    </row>
    <row r="472" customFormat="false" ht="15" hidden="false" customHeight="false" outlineLevel="0" collapsed="false">
      <c r="A472" s="15" t="s">
        <v>297</v>
      </c>
      <c r="B472" s="11" t="str">
        <f aca="false">INDEX(PRODUTOS!$E$4:$E$63,MATCH($A472,PRODUTOS!$B$4:$B$63,0))</f>
        <v>Refil Cata Caca Biodegradável Natural Dots com 3 Unidades</v>
      </c>
      <c r="C472" s="11" t="str">
        <f aca="false">INDEX(PRODUTOS!$H$4:$H$63,MATCH($A472,PRODUTOS!$B$4:$B$63,0))</f>
        <v>3 un.</v>
      </c>
      <c r="D472" s="11" t="s">
        <v>322</v>
      </c>
      <c r="E472" s="16" t="str">
        <f aca="false">$A472&amp;"."&amp;$D472&amp;".jpg"</f>
        <v>7908591300857.AP05.jpg</v>
      </c>
      <c r="F472" s="11" t="str">
        <f aca="false">IF(INDEX(PRODUTOS!$I$4:$I$63,MATCH($A472,PRODUTOS!$B$4:$B$63,0))="B",INDEX(MODELOS!$F$4:$F$11,MATCH($D472,MODELOS!$A$4:$A$11,0)),INDEX(MODELOS!$B$4:$B$11,MATCH($D472,MODELOS!$A$4:$A$11,0)))</f>
        <v>Módulo 3 · Benefício 3 de 4</v>
      </c>
      <c r="G472" s="11" t="str">
        <f aca="false">IF(INDEX(PRODUTOS!$F$4:$F$63,MATCH($A472,PRODUTOS!$B$4:$B$63,0))="Ração",IF(INDEX(PRODUTOS!$I$4:$I$63,MATCH($A472,PRODUTOS!$B$4:$B$63,0))="B",INDEX(MODELOS!$G$4:$G$11,MATCH($D472,MODELOS!$A$4:$A$11,0)),INDEX(MODELOS!$C$4:$C$11,MATCH($D472,MODELOS!$A$4:$A$11,0))),IF(INDEX(PRODUTOS!$I$4:$I$63,MATCH($A472,PRODUTOS!$B$4:$B$63,0))="B",INDEX(MODELOS!$H$4:$H$11,MATCH($D472,MODELOS!$A$4:$A$11,0)),INDEX(MODELOS!$D$4:$D$11,MATCH($D472,MODELOS!$A$4:$A$11,0))))</f>
        <v>Foto/ilustração do benefício 3</v>
      </c>
      <c r="H472" s="11" t="str">
        <f aca="false">IF(INDEX(PRODUTOS!$I$4:$I$63,MATCH($A472,PRODUTOS!$B$4:$B$63,0))="B",INDEX(MODELOS!$I$4:$I$11,MATCH($D472,MODELOS!$A$4:$A$11,0)),INDEX(MODELOS!$E$4:$E$11,MATCH($D472,MODELOS!$A$4:$A$11,0)))</f>
        <v>220 × 200</v>
      </c>
      <c r="I472" s="11" t="str">
        <f aca="false">IF($D472="COMP","SIM",IF(INDEX(PRODUTOS!$J$4:$J$63,MATCH($A472,PRODUTOS!$B$4:$B$63,0))&lt;&gt;"","NÃO (usa o A+ do EAN "&amp;INDEX(PRODUTOS!$J$4:$J$63,MATCH($A472,PRODUTOS!$B$4:$B$63,0))&amp;")",IF(AND(INDEX(PRODUTOS!$I$4:$I$63,MATCH($A472,PRODUTOS!$B$4:$B$63,0))="B",$D472="AP07"),"NÃO (modelo B)","SIM")))</f>
        <v>SIM</v>
      </c>
      <c r="J472" s="13" t="s">
        <v>318</v>
      </c>
      <c r="K472" s="13"/>
    </row>
    <row r="473" customFormat="false" ht="15" hidden="false" customHeight="false" outlineLevel="0" collapsed="false">
      <c r="A473" s="15" t="s">
        <v>297</v>
      </c>
      <c r="B473" s="11" t="str">
        <f aca="false">INDEX(PRODUTOS!$E$4:$E$63,MATCH($A473,PRODUTOS!$B$4:$B$63,0))</f>
        <v>Refil Cata Caca Biodegradável Natural Dots com 3 Unidades</v>
      </c>
      <c r="C473" s="11" t="str">
        <f aca="false">INDEX(PRODUTOS!$H$4:$H$63,MATCH($A473,PRODUTOS!$B$4:$B$63,0))</f>
        <v>3 un.</v>
      </c>
      <c r="D473" s="11" t="s">
        <v>323</v>
      </c>
      <c r="E473" s="16" t="str">
        <f aca="false">$A473&amp;"."&amp;$D473&amp;".jpg"</f>
        <v>7908591300857.AP06.jpg</v>
      </c>
      <c r="F473" s="11" t="str">
        <f aca="false">IF(INDEX(PRODUTOS!$I$4:$I$63,MATCH($A473,PRODUTOS!$B$4:$B$63,0))="B",INDEX(MODELOS!$F$4:$F$11,MATCH($D473,MODELOS!$A$4:$A$11,0)),INDEX(MODELOS!$B$4:$B$11,MATCH($D473,MODELOS!$A$4:$A$11,0)))</f>
        <v>Módulo 3 · Benefício 4 de 4</v>
      </c>
      <c r="G473" s="11" t="str">
        <f aca="false">IF(INDEX(PRODUTOS!$F$4:$F$63,MATCH($A473,PRODUTOS!$B$4:$B$63,0))="Ração",IF(INDEX(PRODUTOS!$I$4:$I$63,MATCH($A473,PRODUTOS!$B$4:$B$63,0))="B",INDEX(MODELOS!$G$4:$G$11,MATCH($D473,MODELOS!$A$4:$A$11,0)),INDEX(MODELOS!$C$4:$C$11,MATCH($D473,MODELOS!$A$4:$A$11,0))),IF(INDEX(PRODUTOS!$I$4:$I$63,MATCH($A473,PRODUTOS!$B$4:$B$63,0))="B",INDEX(MODELOS!$H$4:$H$11,MATCH($D473,MODELOS!$A$4:$A$11,0)),INDEX(MODELOS!$D$4:$D$11,MATCH($D473,MODELOS!$A$4:$A$11,0))))</f>
        <v>Foto/ilustração do benefício 4</v>
      </c>
      <c r="H473" s="11" t="str">
        <f aca="false">IF(INDEX(PRODUTOS!$I$4:$I$63,MATCH($A473,PRODUTOS!$B$4:$B$63,0))="B",INDEX(MODELOS!$I$4:$I$11,MATCH($D473,MODELOS!$A$4:$A$11,0)),INDEX(MODELOS!$E$4:$E$11,MATCH($D473,MODELOS!$A$4:$A$11,0)))</f>
        <v>220 × 200</v>
      </c>
      <c r="I473" s="11" t="str">
        <f aca="false">IF($D473="COMP","SIM",IF(INDEX(PRODUTOS!$J$4:$J$63,MATCH($A473,PRODUTOS!$B$4:$B$63,0))&lt;&gt;"","NÃO (usa o A+ do EAN "&amp;INDEX(PRODUTOS!$J$4:$J$63,MATCH($A473,PRODUTOS!$B$4:$B$63,0))&amp;")",IF(AND(INDEX(PRODUTOS!$I$4:$I$63,MATCH($A473,PRODUTOS!$B$4:$B$63,0))="B",$D473="AP07"),"NÃO (modelo B)","SIM")))</f>
        <v>SIM</v>
      </c>
      <c r="J473" s="13" t="s">
        <v>318</v>
      </c>
      <c r="K473" s="13"/>
    </row>
    <row r="474" customFormat="false" ht="15" hidden="false" customHeight="false" outlineLevel="0" collapsed="false">
      <c r="A474" s="15" t="s">
        <v>297</v>
      </c>
      <c r="B474" s="11" t="str">
        <f aca="false">INDEX(PRODUTOS!$E$4:$E$63,MATCH($A474,PRODUTOS!$B$4:$B$63,0))</f>
        <v>Refil Cata Caca Biodegradável Natural Dots com 3 Unidades</v>
      </c>
      <c r="C474" s="11" t="str">
        <f aca="false">INDEX(PRODUTOS!$H$4:$H$63,MATCH($A474,PRODUTOS!$B$4:$B$63,0))</f>
        <v>3 un.</v>
      </c>
      <c r="D474" s="11" t="s">
        <v>324</v>
      </c>
      <c r="E474" s="16" t="str">
        <f aca="false">$A474&amp;"."&amp;$D474&amp;".jpg"</f>
        <v>7908591300857.AP07.jpg</v>
      </c>
      <c r="F474" s="11" t="str">
        <f aca="false">IF(INDEX(PRODUTOS!$I$4:$I$63,MATCH($A474,PRODUTOS!$B$4:$B$63,0))="B",INDEX(MODELOS!$F$4:$F$11,MATCH($D474,MODELOS!$A$4:$A$11,0)),INDEX(MODELOS!$B$4:$B$11,MATCH($D474,MODELOS!$A$4:$A$11,0)))</f>
        <v>Módulo 4 · Especificações</v>
      </c>
      <c r="G474" s="11" t="str">
        <f aca="false">IF(INDEX(PRODUTOS!$F$4:$F$63,MATCH($A474,PRODUTOS!$B$4:$B$63,0))="Ração",IF(INDEX(PRODUTOS!$I$4:$I$63,MATCH($A474,PRODUTOS!$B$4:$B$63,0))="B",INDEX(MODELOS!$G$4:$G$11,MATCH($D474,MODELOS!$A$4:$A$11,0)),INDEX(MODELOS!$C$4:$C$11,MATCH($D474,MODELOS!$A$4:$A$11,0))),IF(INDEX(PRODUTOS!$I$4:$I$63,MATCH($A474,PRODUTOS!$B$4:$B$63,0))="B",INDEX(MODELOS!$H$4:$H$11,MATCH($D474,MODELOS!$A$4:$A$11,0)),INDEX(MODELOS!$D$4:$D$11,MATCH($D474,MODELOS!$A$4:$A$11,0))))</f>
        <v>Produto em destaque</v>
      </c>
      <c r="H474" s="11" t="str">
        <f aca="false">IF(INDEX(PRODUTOS!$I$4:$I$63,MATCH($A474,PRODUTOS!$B$4:$B$63,0))="B",INDEX(MODELOS!$I$4:$I$11,MATCH($D474,MODELOS!$A$4:$A$11,0)),INDEX(MODELOS!$E$4:$E$11,MATCH($D474,MODELOS!$A$4:$A$11,0)))</f>
        <v>300 × 300</v>
      </c>
      <c r="I474" s="11" t="str">
        <f aca="false">IF($D474="COMP","SIM",IF(INDEX(PRODUTOS!$J$4:$J$63,MATCH($A474,PRODUTOS!$B$4:$B$63,0))&lt;&gt;"","NÃO (usa o A+ do EAN "&amp;INDEX(PRODUTOS!$J$4:$J$63,MATCH($A474,PRODUTOS!$B$4:$B$63,0))&amp;")",IF(AND(INDEX(PRODUTOS!$I$4:$I$63,MATCH($A474,PRODUTOS!$B$4:$B$63,0))="B",$D474="AP07"),"NÃO (modelo B)","SIM")))</f>
        <v>SIM</v>
      </c>
      <c r="J474" s="13" t="s">
        <v>318</v>
      </c>
      <c r="K474" s="13"/>
    </row>
    <row r="475" customFormat="false" ht="15" hidden="false" customHeight="false" outlineLevel="0" collapsed="false">
      <c r="A475" s="15" t="s">
        <v>297</v>
      </c>
      <c r="B475" s="11" t="str">
        <f aca="false">INDEX(PRODUTOS!$E$4:$E$63,MATCH($A475,PRODUTOS!$B$4:$B$63,0))</f>
        <v>Refil Cata Caca Biodegradável Natural Dots com 3 Unidades</v>
      </c>
      <c r="C475" s="11" t="str">
        <f aca="false">INDEX(PRODUTOS!$H$4:$H$63,MATCH($A475,PRODUTOS!$B$4:$B$63,0))</f>
        <v>3 un.</v>
      </c>
      <c r="D475" s="11" t="s">
        <v>325</v>
      </c>
      <c r="E475" s="16" t="str">
        <f aca="false">$A475&amp;"."&amp;$D475&amp;".jpg"</f>
        <v>7908591300857.COMP.jpg</v>
      </c>
      <c r="F475" s="11" t="str">
        <f aca="false">IF(INDEX(PRODUTOS!$I$4:$I$63,MATCH($A475,PRODUTOS!$B$4:$B$63,0))="B",INDEX(MODELOS!$F$4:$F$11,MATCH($D475,MODELOS!$A$4:$A$11,0)),INDEX(MODELOS!$B$4:$B$11,MATCH($D475,MODELOS!$A$4:$A$11,0)))</f>
        <v>Módulo 5 · Tabela comparativa</v>
      </c>
      <c r="G475" s="11" t="str">
        <f aca="false">IF(INDEX(PRODUTOS!$F$4:$F$63,MATCH($A475,PRODUTOS!$B$4:$B$63,0))="Ração",IF(INDEX(PRODUTOS!$I$4:$I$63,MATCH($A475,PRODUTOS!$B$4:$B$63,0))="B",INDEX(MODELOS!$G$4:$G$11,MATCH($D475,MODELOS!$A$4:$A$11,0)),INDEX(MODELOS!$C$4:$C$11,MATCH($D475,MODELOS!$A$4:$A$11,0))),IF(INDEX(PRODUTOS!$I$4:$I$63,MATCH($A475,PRODUTOS!$B$4:$B$63,0))="B",INDEX(MODELOS!$H$4:$H$11,MATCH($D475,MODELOS!$A$4:$A$11,0)),INDEX(MODELOS!$D$4:$D$11,MATCH($D475,MODELOS!$A$4:$A$11,0))))</f>
        <v>Produto na vertical, sem fundo colorido</v>
      </c>
      <c r="H475" s="11" t="str">
        <f aca="false">IF(INDEX(PRODUTOS!$I$4:$I$63,MATCH($A475,PRODUTOS!$B$4:$B$63,0))="B",INDEX(MODELOS!$I$4:$I$11,MATCH($D475,MODELOS!$A$4:$A$11,0)),INDEX(MODELOS!$E$4:$E$11,MATCH($D475,MODELOS!$A$4:$A$11,0)))</f>
        <v>150 × 300</v>
      </c>
      <c r="I475" s="11" t="str">
        <f aca="false">IF($D475="COMP","SIM",IF(INDEX(PRODUTOS!$J$4:$J$63,MATCH($A475,PRODUTOS!$B$4:$B$63,0))&lt;&gt;"","NÃO (usa o A+ do EAN "&amp;INDEX(PRODUTOS!$J$4:$J$63,MATCH($A475,PRODUTOS!$B$4:$B$63,0))&amp;")",IF(AND(INDEX(PRODUTOS!$I$4:$I$63,MATCH($A475,PRODUTOS!$B$4:$B$63,0))="B",$D475="AP07"),"NÃO (modelo B)","SIM")))</f>
        <v>SIM</v>
      </c>
      <c r="J475" s="13" t="s">
        <v>318</v>
      </c>
      <c r="K475" s="13"/>
    </row>
    <row r="476" customFormat="false" ht="15" hidden="false" customHeight="false" outlineLevel="0" collapsed="false">
      <c r="A476" s="15" t="s">
        <v>302</v>
      </c>
      <c r="B476" s="11" t="str">
        <f aca="false">INDEX(PRODUTOS!$E$4:$E$63,MATCH($A476,PRODUTOS!$B$4:$B$63,0))</f>
        <v>Tapete Higiênico Natural Dots Super Premium 80 x 60 cm com 7 Unidades</v>
      </c>
      <c r="C476" s="11" t="str">
        <f aca="false">INDEX(PRODUTOS!$H$4:$H$63,MATCH($A476,PRODUTOS!$B$4:$B$63,0))</f>
        <v>7 un.</v>
      </c>
      <c r="D476" s="11" t="s">
        <v>317</v>
      </c>
      <c r="E476" s="16" t="str">
        <f aca="false">$A476&amp;"."&amp;$D476&amp;".jpg"</f>
        <v>7898968541979.AP01.jpg</v>
      </c>
      <c r="F476" s="11" t="str">
        <f aca="false">IF(INDEX(PRODUTOS!$I$4:$I$63,MATCH($A476,PRODUTOS!$B$4:$B$63,0))="B",INDEX(MODELOS!$F$4:$F$11,MATCH($D476,MODELOS!$A$4:$A$11,0)),INDEX(MODELOS!$B$4:$B$11,MATCH($D476,MODELOS!$A$4:$A$11,0)))</f>
        <v>Módulo 1 · Banner</v>
      </c>
      <c r="G476" s="11" t="str">
        <f aca="false">IF(INDEX(PRODUTOS!$F$4:$F$63,MATCH($A476,PRODUTOS!$B$4:$B$63,0))="Ração",IF(INDEX(PRODUTOS!$I$4:$I$63,MATCH($A476,PRODUTOS!$B$4:$B$63,0))="B",INDEX(MODELOS!$G$4:$G$11,MATCH($D476,MODELOS!$A$4:$A$11,0)),INDEX(MODELOS!$C$4:$C$11,MATCH($D476,MODELOS!$A$4:$A$11,0))),IF(INDEX(PRODUTOS!$I$4:$I$63,MATCH($A476,PRODUTOS!$B$4:$B$63,0))="B",INDEX(MODELOS!$H$4:$H$11,MATCH($D476,MODELOS!$A$4:$A$11,0)),INDEX(MODELOS!$D$4:$D$11,MATCH($D476,MODELOS!$A$4:$A$11,0))))</f>
        <v>Produto + pet, com o nome da linha</v>
      </c>
      <c r="H476" s="11" t="str">
        <f aca="false">IF(INDEX(PRODUTOS!$I$4:$I$63,MATCH($A476,PRODUTOS!$B$4:$B$63,0))="B",INDEX(MODELOS!$I$4:$I$11,MATCH($D476,MODELOS!$A$4:$A$11,0)),INDEX(MODELOS!$E$4:$E$11,MATCH($D476,MODELOS!$A$4:$A$11,0)))</f>
        <v>970 × 600</v>
      </c>
      <c r="I476" s="11" t="str">
        <f aca="false">IF($D476="COMP","SIM",IF(INDEX(PRODUTOS!$J$4:$J$63,MATCH($A476,PRODUTOS!$B$4:$B$63,0))&lt;&gt;"","NÃO (usa o A+ do EAN "&amp;INDEX(PRODUTOS!$J$4:$J$63,MATCH($A476,PRODUTOS!$B$4:$B$63,0))&amp;")",IF(AND(INDEX(PRODUTOS!$I$4:$I$63,MATCH($A476,PRODUTOS!$B$4:$B$63,0))="B",$D476="AP07"),"NÃO (modelo B)","SIM")))</f>
        <v>SIM</v>
      </c>
      <c r="J476" s="13" t="s">
        <v>318</v>
      </c>
      <c r="K476" s="13"/>
    </row>
    <row r="477" customFormat="false" ht="15" hidden="false" customHeight="false" outlineLevel="0" collapsed="false">
      <c r="A477" s="15" t="s">
        <v>302</v>
      </c>
      <c r="B477" s="11" t="str">
        <f aca="false">INDEX(PRODUTOS!$E$4:$E$63,MATCH($A477,PRODUTOS!$B$4:$B$63,0))</f>
        <v>Tapete Higiênico Natural Dots Super Premium 80 x 60 cm com 7 Unidades</v>
      </c>
      <c r="C477" s="11" t="str">
        <f aca="false">INDEX(PRODUTOS!$H$4:$H$63,MATCH($A477,PRODUTOS!$B$4:$B$63,0))</f>
        <v>7 un.</v>
      </c>
      <c r="D477" s="11" t="s">
        <v>319</v>
      </c>
      <c r="E477" s="16" t="str">
        <f aca="false">$A477&amp;"."&amp;$D477&amp;".jpg"</f>
        <v>7898968541979.AP02.jpg</v>
      </c>
      <c r="F477" s="11" t="str">
        <f aca="false">IF(INDEX(PRODUTOS!$I$4:$I$63,MATCH($A477,PRODUTOS!$B$4:$B$63,0))="B",INDEX(MODELOS!$F$4:$F$11,MATCH($D477,MODELOS!$A$4:$A$11,0)),INDEX(MODELOS!$B$4:$B$11,MATCH($D477,MODELOS!$A$4:$A$11,0)))</f>
        <v>Módulo 2 · Texto sobreposto</v>
      </c>
      <c r="G477" s="11" t="str">
        <f aca="false">IF(INDEX(PRODUTOS!$F$4:$F$63,MATCH($A477,PRODUTOS!$B$4:$B$63,0))="Ração",IF(INDEX(PRODUTOS!$I$4:$I$63,MATCH($A477,PRODUTOS!$B$4:$B$63,0))="B",INDEX(MODELOS!$G$4:$G$11,MATCH($D477,MODELOS!$A$4:$A$11,0)),INDEX(MODELOS!$C$4:$C$11,MATCH($D477,MODELOS!$A$4:$A$11,0))),IF(INDEX(PRODUTOS!$I$4:$I$63,MATCH($A477,PRODUTOS!$B$4:$B$63,0))="B",INDEX(MODELOS!$H$4:$H$11,MATCH($D477,MODELOS!$A$4:$A$11,0)),INDEX(MODELOS!$D$4:$D$11,MATCH($D477,MODELOS!$A$4:$A$11,0))))</f>
        <v>Principal diferencial; deixar o lado direito limpo</v>
      </c>
      <c r="H477" s="11" t="str">
        <f aca="false">IF(INDEX(PRODUTOS!$I$4:$I$63,MATCH($A477,PRODUTOS!$B$4:$B$63,0))="B",INDEX(MODELOS!$I$4:$I$11,MATCH($D477,MODELOS!$A$4:$A$11,0)),INDEX(MODELOS!$E$4:$E$11,MATCH($D477,MODELOS!$A$4:$A$11,0)))</f>
        <v>970 × 300</v>
      </c>
      <c r="I477" s="11" t="str">
        <f aca="false">IF($D477="COMP","SIM",IF(INDEX(PRODUTOS!$J$4:$J$63,MATCH($A477,PRODUTOS!$B$4:$B$63,0))&lt;&gt;"","NÃO (usa o A+ do EAN "&amp;INDEX(PRODUTOS!$J$4:$J$63,MATCH($A477,PRODUTOS!$B$4:$B$63,0))&amp;")",IF(AND(INDEX(PRODUTOS!$I$4:$I$63,MATCH($A477,PRODUTOS!$B$4:$B$63,0))="B",$D477="AP07"),"NÃO (modelo B)","SIM")))</f>
        <v>SIM</v>
      </c>
      <c r="J477" s="13" t="s">
        <v>318</v>
      </c>
      <c r="K477" s="13"/>
    </row>
    <row r="478" customFormat="false" ht="15" hidden="false" customHeight="false" outlineLevel="0" collapsed="false">
      <c r="A478" s="15" t="s">
        <v>302</v>
      </c>
      <c r="B478" s="11" t="str">
        <f aca="false">INDEX(PRODUTOS!$E$4:$E$63,MATCH($A478,PRODUTOS!$B$4:$B$63,0))</f>
        <v>Tapete Higiênico Natural Dots Super Premium 80 x 60 cm com 7 Unidades</v>
      </c>
      <c r="C478" s="11" t="str">
        <f aca="false">INDEX(PRODUTOS!$H$4:$H$63,MATCH($A478,PRODUTOS!$B$4:$B$63,0))</f>
        <v>7 un.</v>
      </c>
      <c r="D478" s="11" t="s">
        <v>320</v>
      </c>
      <c r="E478" s="16" t="str">
        <f aca="false">$A478&amp;"."&amp;$D478&amp;".jpg"</f>
        <v>7898968541979.AP03.jpg</v>
      </c>
      <c r="F478" s="11" t="str">
        <f aca="false">IF(INDEX(PRODUTOS!$I$4:$I$63,MATCH($A478,PRODUTOS!$B$4:$B$63,0))="B",INDEX(MODELOS!$F$4:$F$11,MATCH($D478,MODELOS!$A$4:$A$11,0)),INDEX(MODELOS!$B$4:$B$11,MATCH($D478,MODELOS!$A$4:$A$11,0)))</f>
        <v>Módulo 3 · Benefício 1 de 4</v>
      </c>
      <c r="G478" s="11" t="str">
        <f aca="false">IF(INDEX(PRODUTOS!$F$4:$F$63,MATCH($A478,PRODUTOS!$B$4:$B$63,0))="Ração",IF(INDEX(PRODUTOS!$I$4:$I$63,MATCH($A478,PRODUTOS!$B$4:$B$63,0))="B",INDEX(MODELOS!$G$4:$G$11,MATCH($D478,MODELOS!$A$4:$A$11,0)),INDEX(MODELOS!$C$4:$C$11,MATCH($D478,MODELOS!$A$4:$A$11,0))),IF(INDEX(PRODUTOS!$I$4:$I$63,MATCH($A478,PRODUTOS!$B$4:$B$63,0))="B",INDEX(MODELOS!$H$4:$H$11,MATCH($D478,MODELOS!$A$4:$A$11,0)),INDEX(MODELOS!$D$4:$D$11,MATCH($D478,MODELOS!$A$4:$A$11,0))))</f>
        <v>Foto/ilustração do benefício 1</v>
      </c>
      <c r="H478" s="11" t="str">
        <f aca="false">IF(INDEX(PRODUTOS!$I$4:$I$63,MATCH($A478,PRODUTOS!$B$4:$B$63,0))="B",INDEX(MODELOS!$I$4:$I$11,MATCH($D478,MODELOS!$A$4:$A$11,0)),INDEX(MODELOS!$E$4:$E$11,MATCH($D478,MODELOS!$A$4:$A$11,0)))</f>
        <v>220 × 200</v>
      </c>
      <c r="I478" s="11" t="str">
        <f aca="false">IF($D478="COMP","SIM",IF(INDEX(PRODUTOS!$J$4:$J$63,MATCH($A478,PRODUTOS!$B$4:$B$63,0))&lt;&gt;"","NÃO (usa o A+ do EAN "&amp;INDEX(PRODUTOS!$J$4:$J$63,MATCH($A478,PRODUTOS!$B$4:$B$63,0))&amp;")",IF(AND(INDEX(PRODUTOS!$I$4:$I$63,MATCH($A478,PRODUTOS!$B$4:$B$63,0))="B",$D478="AP07"),"NÃO (modelo B)","SIM")))</f>
        <v>SIM</v>
      </c>
      <c r="J478" s="13" t="s">
        <v>318</v>
      </c>
      <c r="K478" s="13"/>
    </row>
    <row r="479" customFormat="false" ht="15" hidden="false" customHeight="false" outlineLevel="0" collapsed="false">
      <c r="A479" s="15" t="s">
        <v>302</v>
      </c>
      <c r="B479" s="11" t="str">
        <f aca="false">INDEX(PRODUTOS!$E$4:$E$63,MATCH($A479,PRODUTOS!$B$4:$B$63,0))</f>
        <v>Tapete Higiênico Natural Dots Super Premium 80 x 60 cm com 7 Unidades</v>
      </c>
      <c r="C479" s="11" t="str">
        <f aca="false">INDEX(PRODUTOS!$H$4:$H$63,MATCH($A479,PRODUTOS!$B$4:$B$63,0))</f>
        <v>7 un.</v>
      </c>
      <c r="D479" s="11" t="s">
        <v>321</v>
      </c>
      <c r="E479" s="16" t="str">
        <f aca="false">$A479&amp;"."&amp;$D479&amp;".jpg"</f>
        <v>7898968541979.AP04.jpg</v>
      </c>
      <c r="F479" s="11" t="str">
        <f aca="false">IF(INDEX(PRODUTOS!$I$4:$I$63,MATCH($A479,PRODUTOS!$B$4:$B$63,0))="B",INDEX(MODELOS!$F$4:$F$11,MATCH($D479,MODELOS!$A$4:$A$11,0)),INDEX(MODELOS!$B$4:$B$11,MATCH($D479,MODELOS!$A$4:$A$11,0)))</f>
        <v>Módulo 3 · Benefício 2 de 4</v>
      </c>
      <c r="G479" s="11" t="str">
        <f aca="false">IF(INDEX(PRODUTOS!$F$4:$F$63,MATCH($A479,PRODUTOS!$B$4:$B$63,0))="Ração",IF(INDEX(PRODUTOS!$I$4:$I$63,MATCH($A479,PRODUTOS!$B$4:$B$63,0))="B",INDEX(MODELOS!$G$4:$G$11,MATCH($D479,MODELOS!$A$4:$A$11,0)),INDEX(MODELOS!$C$4:$C$11,MATCH($D479,MODELOS!$A$4:$A$11,0))),IF(INDEX(PRODUTOS!$I$4:$I$63,MATCH($A479,PRODUTOS!$B$4:$B$63,0))="B",INDEX(MODELOS!$H$4:$H$11,MATCH($D479,MODELOS!$A$4:$A$11,0)),INDEX(MODELOS!$D$4:$D$11,MATCH($D479,MODELOS!$A$4:$A$11,0))))</f>
        <v>Foto/ilustração do benefício 2</v>
      </c>
      <c r="H479" s="11" t="str">
        <f aca="false">IF(INDEX(PRODUTOS!$I$4:$I$63,MATCH($A479,PRODUTOS!$B$4:$B$63,0))="B",INDEX(MODELOS!$I$4:$I$11,MATCH($D479,MODELOS!$A$4:$A$11,0)),INDEX(MODELOS!$E$4:$E$11,MATCH($D479,MODELOS!$A$4:$A$11,0)))</f>
        <v>220 × 200</v>
      </c>
      <c r="I479" s="11" t="str">
        <f aca="false">IF($D479="COMP","SIM",IF(INDEX(PRODUTOS!$J$4:$J$63,MATCH($A479,PRODUTOS!$B$4:$B$63,0))&lt;&gt;"","NÃO (usa o A+ do EAN "&amp;INDEX(PRODUTOS!$J$4:$J$63,MATCH($A479,PRODUTOS!$B$4:$B$63,0))&amp;")",IF(AND(INDEX(PRODUTOS!$I$4:$I$63,MATCH($A479,PRODUTOS!$B$4:$B$63,0))="B",$D479="AP07"),"NÃO (modelo B)","SIM")))</f>
        <v>SIM</v>
      </c>
      <c r="J479" s="13" t="s">
        <v>318</v>
      </c>
      <c r="K479" s="13"/>
    </row>
    <row r="480" customFormat="false" ht="15" hidden="false" customHeight="false" outlineLevel="0" collapsed="false">
      <c r="A480" s="15" t="s">
        <v>302</v>
      </c>
      <c r="B480" s="11" t="str">
        <f aca="false">INDEX(PRODUTOS!$E$4:$E$63,MATCH($A480,PRODUTOS!$B$4:$B$63,0))</f>
        <v>Tapete Higiênico Natural Dots Super Premium 80 x 60 cm com 7 Unidades</v>
      </c>
      <c r="C480" s="11" t="str">
        <f aca="false">INDEX(PRODUTOS!$H$4:$H$63,MATCH($A480,PRODUTOS!$B$4:$B$63,0))</f>
        <v>7 un.</v>
      </c>
      <c r="D480" s="11" t="s">
        <v>322</v>
      </c>
      <c r="E480" s="16" t="str">
        <f aca="false">$A480&amp;"."&amp;$D480&amp;".jpg"</f>
        <v>7898968541979.AP05.jpg</v>
      </c>
      <c r="F480" s="11" t="str">
        <f aca="false">IF(INDEX(PRODUTOS!$I$4:$I$63,MATCH($A480,PRODUTOS!$B$4:$B$63,0))="B",INDEX(MODELOS!$F$4:$F$11,MATCH($D480,MODELOS!$A$4:$A$11,0)),INDEX(MODELOS!$B$4:$B$11,MATCH($D480,MODELOS!$A$4:$A$11,0)))</f>
        <v>Módulo 3 · Benefício 3 de 4</v>
      </c>
      <c r="G480" s="11" t="str">
        <f aca="false">IF(INDEX(PRODUTOS!$F$4:$F$63,MATCH($A480,PRODUTOS!$B$4:$B$63,0))="Ração",IF(INDEX(PRODUTOS!$I$4:$I$63,MATCH($A480,PRODUTOS!$B$4:$B$63,0))="B",INDEX(MODELOS!$G$4:$G$11,MATCH($D480,MODELOS!$A$4:$A$11,0)),INDEX(MODELOS!$C$4:$C$11,MATCH($D480,MODELOS!$A$4:$A$11,0))),IF(INDEX(PRODUTOS!$I$4:$I$63,MATCH($A480,PRODUTOS!$B$4:$B$63,0))="B",INDEX(MODELOS!$H$4:$H$11,MATCH($D480,MODELOS!$A$4:$A$11,0)),INDEX(MODELOS!$D$4:$D$11,MATCH($D480,MODELOS!$A$4:$A$11,0))))</f>
        <v>Foto/ilustração do benefício 3</v>
      </c>
      <c r="H480" s="11" t="str">
        <f aca="false">IF(INDEX(PRODUTOS!$I$4:$I$63,MATCH($A480,PRODUTOS!$B$4:$B$63,0))="B",INDEX(MODELOS!$I$4:$I$11,MATCH($D480,MODELOS!$A$4:$A$11,0)),INDEX(MODELOS!$E$4:$E$11,MATCH($D480,MODELOS!$A$4:$A$11,0)))</f>
        <v>220 × 200</v>
      </c>
      <c r="I480" s="11" t="str">
        <f aca="false">IF($D480="COMP","SIM",IF(INDEX(PRODUTOS!$J$4:$J$63,MATCH($A480,PRODUTOS!$B$4:$B$63,0))&lt;&gt;"","NÃO (usa o A+ do EAN "&amp;INDEX(PRODUTOS!$J$4:$J$63,MATCH($A480,PRODUTOS!$B$4:$B$63,0))&amp;")",IF(AND(INDEX(PRODUTOS!$I$4:$I$63,MATCH($A480,PRODUTOS!$B$4:$B$63,0))="B",$D480="AP07"),"NÃO (modelo B)","SIM")))</f>
        <v>SIM</v>
      </c>
      <c r="J480" s="13" t="s">
        <v>318</v>
      </c>
      <c r="K480" s="13"/>
    </row>
    <row r="481" customFormat="false" ht="15" hidden="false" customHeight="false" outlineLevel="0" collapsed="false">
      <c r="A481" s="15" t="s">
        <v>302</v>
      </c>
      <c r="B481" s="11" t="str">
        <f aca="false">INDEX(PRODUTOS!$E$4:$E$63,MATCH($A481,PRODUTOS!$B$4:$B$63,0))</f>
        <v>Tapete Higiênico Natural Dots Super Premium 80 x 60 cm com 7 Unidades</v>
      </c>
      <c r="C481" s="11" t="str">
        <f aca="false">INDEX(PRODUTOS!$H$4:$H$63,MATCH($A481,PRODUTOS!$B$4:$B$63,0))</f>
        <v>7 un.</v>
      </c>
      <c r="D481" s="11" t="s">
        <v>323</v>
      </c>
      <c r="E481" s="16" t="str">
        <f aca="false">$A481&amp;"."&amp;$D481&amp;".jpg"</f>
        <v>7898968541979.AP06.jpg</v>
      </c>
      <c r="F481" s="11" t="str">
        <f aca="false">IF(INDEX(PRODUTOS!$I$4:$I$63,MATCH($A481,PRODUTOS!$B$4:$B$63,0))="B",INDEX(MODELOS!$F$4:$F$11,MATCH($D481,MODELOS!$A$4:$A$11,0)),INDEX(MODELOS!$B$4:$B$11,MATCH($D481,MODELOS!$A$4:$A$11,0)))</f>
        <v>Módulo 3 · Benefício 4 de 4</v>
      </c>
      <c r="G481" s="11" t="str">
        <f aca="false">IF(INDEX(PRODUTOS!$F$4:$F$63,MATCH($A481,PRODUTOS!$B$4:$B$63,0))="Ração",IF(INDEX(PRODUTOS!$I$4:$I$63,MATCH($A481,PRODUTOS!$B$4:$B$63,0))="B",INDEX(MODELOS!$G$4:$G$11,MATCH($D481,MODELOS!$A$4:$A$11,0)),INDEX(MODELOS!$C$4:$C$11,MATCH($D481,MODELOS!$A$4:$A$11,0))),IF(INDEX(PRODUTOS!$I$4:$I$63,MATCH($A481,PRODUTOS!$B$4:$B$63,0))="B",INDEX(MODELOS!$H$4:$H$11,MATCH($D481,MODELOS!$A$4:$A$11,0)),INDEX(MODELOS!$D$4:$D$11,MATCH($D481,MODELOS!$A$4:$A$11,0))))</f>
        <v>Foto/ilustração do benefício 4</v>
      </c>
      <c r="H481" s="11" t="str">
        <f aca="false">IF(INDEX(PRODUTOS!$I$4:$I$63,MATCH($A481,PRODUTOS!$B$4:$B$63,0))="B",INDEX(MODELOS!$I$4:$I$11,MATCH($D481,MODELOS!$A$4:$A$11,0)),INDEX(MODELOS!$E$4:$E$11,MATCH($D481,MODELOS!$A$4:$A$11,0)))</f>
        <v>220 × 200</v>
      </c>
      <c r="I481" s="11" t="str">
        <f aca="false">IF($D481="COMP","SIM",IF(INDEX(PRODUTOS!$J$4:$J$63,MATCH($A481,PRODUTOS!$B$4:$B$63,0))&lt;&gt;"","NÃO (usa o A+ do EAN "&amp;INDEX(PRODUTOS!$J$4:$J$63,MATCH($A481,PRODUTOS!$B$4:$B$63,0))&amp;")",IF(AND(INDEX(PRODUTOS!$I$4:$I$63,MATCH($A481,PRODUTOS!$B$4:$B$63,0))="B",$D481="AP07"),"NÃO (modelo B)","SIM")))</f>
        <v>SIM</v>
      </c>
      <c r="J481" s="13" t="s">
        <v>318</v>
      </c>
      <c r="K481" s="13"/>
    </row>
    <row r="482" customFormat="false" ht="15" hidden="false" customHeight="false" outlineLevel="0" collapsed="false">
      <c r="A482" s="15" t="s">
        <v>302</v>
      </c>
      <c r="B482" s="11" t="str">
        <f aca="false">INDEX(PRODUTOS!$E$4:$E$63,MATCH($A482,PRODUTOS!$B$4:$B$63,0))</f>
        <v>Tapete Higiênico Natural Dots Super Premium 80 x 60 cm com 7 Unidades</v>
      </c>
      <c r="C482" s="11" t="str">
        <f aca="false">INDEX(PRODUTOS!$H$4:$H$63,MATCH($A482,PRODUTOS!$B$4:$B$63,0))</f>
        <v>7 un.</v>
      </c>
      <c r="D482" s="11" t="s">
        <v>324</v>
      </c>
      <c r="E482" s="16" t="str">
        <f aca="false">$A482&amp;"."&amp;$D482&amp;".jpg"</f>
        <v>7898968541979.AP07.jpg</v>
      </c>
      <c r="F482" s="11" t="str">
        <f aca="false">IF(INDEX(PRODUTOS!$I$4:$I$63,MATCH($A482,PRODUTOS!$B$4:$B$63,0))="B",INDEX(MODELOS!$F$4:$F$11,MATCH($D482,MODELOS!$A$4:$A$11,0)),INDEX(MODELOS!$B$4:$B$11,MATCH($D482,MODELOS!$A$4:$A$11,0)))</f>
        <v>Módulo 4 · Especificações</v>
      </c>
      <c r="G482" s="11" t="str">
        <f aca="false">IF(INDEX(PRODUTOS!$F$4:$F$63,MATCH($A482,PRODUTOS!$B$4:$B$63,0))="Ração",IF(INDEX(PRODUTOS!$I$4:$I$63,MATCH($A482,PRODUTOS!$B$4:$B$63,0))="B",INDEX(MODELOS!$G$4:$G$11,MATCH($D482,MODELOS!$A$4:$A$11,0)),INDEX(MODELOS!$C$4:$C$11,MATCH($D482,MODELOS!$A$4:$A$11,0))),IF(INDEX(PRODUTOS!$I$4:$I$63,MATCH($A482,PRODUTOS!$B$4:$B$63,0))="B",INDEX(MODELOS!$H$4:$H$11,MATCH($D482,MODELOS!$A$4:$A$11,0)),INDEX(MODELOS!$D$4:$D$11,MATCH($D482,MODELOS!$A$4:$A$11,0))))</f>
        <v>Produto em destaque</v>
      </c>
      <c r="H482" s="11" t="str">
        <f aca="false">IF(INDEX(PRODUTOS!$I$4:$I$63,MATCH($A482,PRODUTOS!$B$4:$B$63,0))="B",INDEX(MODELOS!$I$4:$I$11,MATCH($D482,MODELOS!$A$4:$A$11,0)),INDEX(MODELOS!$E$4:$E$11,MATCH($D482,MODELOS!$A$4:$A$11,0)))</f>
        <v>300 × 300</v>
      </c>
      <c r="I482" s="11" t="str">
        <f aca="false">IF($D482="COMP","SIM",IF(INDEX(PRODUTOS!$J$4:$J$63,MATCH($A482,PRODUTOS!$B$4:$B$63,0))&lt;&gt;"","NÃO (usa o A+ do EAN "&amp;INDEX(PRODUTOS!$J$4:$J$63,MATCH($A482,PRODUTOS!$B$4:$B$63,0))&amp;")",IF(AND(INDEX(PRODUTOS!$I$4:$I$63,MATCH($A482,PRODUTOS!$B$4:$B$63,0))="B",$D482="AP07"),"NÃO (modelo B)","SIM")))</f>
        <v>SIM</v>
      </c>
      <c r="J482" s="13" t="s">
        <v>318</v>
      </c>
      <c r="K482" s="13"/>
    </row>
    <row r="483" customFormat="false" ht="15" hidden="false" customHeight="false" outlineLevel="0" collapsed="false">
      <c r="A483" s="15" t="s">
        <v>302</v>
      </c>
      <c r="B483" s="11" t="str">
        <f aca="false">INDEX(PRODUTOS!$E$4:$E$63,MATCH($A483,PRODUTOS!$B$4:$B$63,0))</f>
        <v>Tapete Higiênico Natural Dots Super Premium 80 x 60 cm com 7 Unidades</v>
      </c>
      <c r="C483" s="11" t="str">
        <f aca="false">INDEX(PRODUTOS!$H$4:$H$63,MATCH($A483,PRODUTOS!$B$4:$B$63,0))</f>
        <v>7 un.</v>
      </c>
      <c r="D483" s="11" t="s">
        <v>325</v>
      </c>
      <c r="E483" s="16" t="str">
        <f aca="false">$A483&amp;"."&amp;$D483&amp;".jpg"</f>
        <v>7898968541979.COMP.jpg</v>
      </c>
      <c r="F483" s="11" t="str">
        <f aca="false">IF(INDEX(PRODUTOS!$I$4:$I$63,MATCH($A483,PRODUTOS!$B$4:$B$63,0))="B",INDEX(MODELOS!$F$4:$F$11,MATCH($D483,MODELOS!$A$4:$A$11,0)),INDEX(MODELOS!$B$4:$B$11,MATCH($D483,MODELOS!$A$4:$A$11,0)))</f>
        <v>Módulo 5 · Tabela comparativa</v>
      </c>
      <c r="G483" s="11" t="str">
        <f aca="false">IF(INDEX(PRODUTOS!$F$4:$F$63,MATCH($A483,PRODUTOS!$B$4:$B$63,0))="Ração",IF(INDEX(PRODUTOS!$I$4:$I$63,MATCH($A483,PRODUTOS!$B$4:$B$63,0))="B",INDEX(MODELOS!$G$4:$G$11,MATCH($D483,MODELOS!$A$4:$A$11,0)),INDEX(MODELOS!$C$4:$C$11,MATCH($D483,MODELOS!$A$4:$A$11,0))),IF(INDEX(PRODUTOS!$I$4:$I$63,MATCH($A483,PRODUTOS!$B$4:$B$63,0))="B",INDEX(MODELOS!$H$4:$H$11,MATCH($D483,MODELOS!$A$4:$A$11,0)),INDEX(MODELOS!$D$4:$D$11,MATCH($D483,MODELOS!$A$4:$A$11,0))))</f>
        <v>Produto na vertical, sem fundo colorido</v>
      </c>
      <c r="H483" s="11" t="str">
        <f aca="false">IF(INDEX(PRODUTOS!$I$4:$I$63,MATCH($A483,PRODUTOS!$B$4:$B$63,0))="B",INDEX(MODELOS!$I$4:$I$11,MATCH($D483,MODELOS!$A$4:$A$11,0)),INDEX(MODELOS!$E$4:$E$11,MATCH($D483,MODELOS!$A$4:$A$11,0)))</f>
        <v>150 × 300</v>
      </c>
      <c r="I483" s="11" t="str">
        <f aca="false">IF($D483="COMP","SIM",IF(INDEX(PRODUTOS!$J$4:$J$63,MATCH($A483,PRODUTOS!$B$4:$B$63,0))&lt;&gt;"","NÃO (usa o A+ do EAN "&amp;INDEX(PRODUTOS!$J$4:$J$63,MATCH($A483,PRODUTOS!$B$4:$B$63,0))&amp;")",IF(AND(INDEX(PRODUTOS!$I$4:$I$63,MATCH($A483,PRODUTOS!$B$4:$B$63,0))="B",$D483="AP07"),"NÃO (modelo B)","SIM")))</f>
        <v>SIM</v>
      </c>
      <c r="J483" s="13" t="s">
        <v>318</v>
      </c>
      <c r="K483" s="13"/>
    </row>
  </sheetData>
  <autoFilter ref="A3:K483"/>
  <conditionalFormatting sqref="A4:K483">
    <cfRule type="expression" priority="2" aboveAverage="0" equalAverage="0" bottom="0" percent="0" rank="0" text="" dxfId="10">
      <formula>LEFT($I4,3)="NÃO"</formula>
    </cfRule>
  </conditionalFormatting>
  <conditionalFormatting sqref="J4:J483">
    <cfRule type="expression" priority="3" aboveAverage="0" equalAverage="0" bottom="0" percent="0" rank="0" text="" dxfId="11">
      <formula>$J4="Na pasta"</formula>
    </cfRule>
  </conditionalFormatting>
  <dataValidations count="1">
    <dataValidation allowBlank="false" errorStyle="stop" operator="between" showDropDown="false" showErrorMessage="false" showInputMessage="false" sqref="J4:J483" type="list">
      <formula1>"Pendente,Na pasta"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4" min="3" style="0" width="44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8" min="7" style="0" width="40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8" t="s">
        <v>326</v>
      </c>
    </row>
    <row r="2" customFormat="false" ht="15" hidden="false" customHeight="false" outlineLevel="0" collapsed="false">
      <c r="A2" s="9" t="s">
        <v>327</v>
      </c>
    </row>
    <row r="3" customFormat="false" ht="31.5" hidden="false" customHeight="true" outlineLevel="0" collapsed="false">
      <c r="A3" s="10" t="s">
        <v>310</v>
      </c>
      <c r="B3" s="10" t="s">
        <v>328</v>
      </c>
      <c r="C3" s="10" t="s">
        <v>329</v>
      </c>
      <c r="D3" s="10" t="s">
        <v>330</v>
      </c>
      <c r="E3" s="10" t="s">
        <v>331</v>
      </c>
      <c r="F3" s="10" t="s">
        <v>332</v>
      </c>
      <c r="G3" s="10" t="s">
        <v>333</v>
      </c>
      <c r="H3" s="10" t="s">
        <v>334</v>
      </c>
      <c r="I3" s="10" t="s">
        <v>335</v>
      </c>
    </row>
    <row r="4" customFormat="false" ht="15" hidden="false" customHeight="false" outlineLevel="0" collapsed="false">
      <c r="A4" s="17" t="s">
        <v>317</v>
      </c>
      <c r="B4" s="17" t="s">
        <v>336</v>
      </c>
      <c r="C4" s="17" t="s">
        <v>337</v>
      </c>
      <c r="D4" s="17" t="s">
        <v>338</v>
      </c>
      <c r="E4" s="17" t="s">
        <v>339</v>
      </c>
      <c r="F4" s="17" t="s">
        <v>336</v>
      </c>
      <c r="G4" s="17" t="s">
        <v>340</v>
      </c>
      <c r="H4" s="17" t="s">
        <v>340</v>
      </c>
      <c r="I4" s="17" t="s">
        <v>339</v>
      </c>
    </row>
    <row r="5" customFormat="false" ht="15" hidden="false" customHeight="false" outlineLevel="0" collapsed="false">
      <c r="A5" s="17" t="s">
        <v>319</v>
      </c>
      <c r="B5" s="17" t="s">
        <v>341</v>
      </c>
      <c r="C5" s="17" t="s">
        <v>342</v>
      </c>
      <c r="D5" s="17" t="s">
        <v>342</v>
      </c>
      <c r="E5" s="17" t="s">
        <v>343</v>
      </c>
      <c r="F5" s="17" t="s">
        <v>344</v>
      </c>
      <c r="G5" s="17" t="s">
        <v>345</v>
      </c>
      <c r="H5" s="17" t="s">
        <v>346</v>
      </c>
      <c r="I5" s="17" t="s">
        <v>347</v>
      </c>
    </row>
    <row r="6" customFormat="false" ht="15" hidden="false" customHeight="false" outlineLevel="0" collapsed="false">
      <c r="A6" s="17" t="s">
        <v>320</v>
      </c>
      <c r="B6" s="17" t="s">
        <v>348</v>
      </c>
      <c r="C6" s="17" t="s">
        <v>349</v>
      </c>
      <c r="D6" s="17" t="s">
        <v>349</v>
      </c>
      <c r="E6" s="17" t="s">
        <v>350</v>
      </c>
      <c r="F6" s="17" t="s">
        <v>351</v>
      </c>
      <c r="G6" s="17" t="s">
        <v>352</v>
      </c>
      <c r="H6" s="17" t="s">
        <v>353</v>
      </c>
      <c r="I6" s="17" t="s">
        <v>347</v>
      </c>
    </row>
    <row r="7" customFormat="false" ht="15" hidden="false" customHeight="false" outlineLevel="0" collapsed="false">
      <c r="A7" s="17" t="s">
        <v>321</v>
      </c>
      <c r="B7" s="17" t="s">
        <v>354</v>
      </c>
      <c r="C7" s="17" t="s">
        <v>355</v>
      </c>
      <c r="D7" s="17" t="s">
        <v>355</v>
      </c>
      <c r="E7" s="17" t="s">
        <v>350</v>
      </c>
      <c r="F7" s="17" t="s">
        <v>356</v>
      </c>
      <c r="G7" s="17" t="s">
        <v>357</v>
      </c>
      <c r="H7" s="17" t="s">
        <v>358</v>
      </c>
      <c r="I7" s="17" t="s">
        <v>347</v>
      </c>
    </row>
    <row r="8" customFormat="false" ht="15" hidden="false" customHeight="false" outlineLevel="0" collapsed="false">
      <c r="A8" s="17" t="s">
        <v>322</v>
      </c>
      <c r="B8" s="17" t="s">
        <v>359</v>
      </c>
      <c r="C8" s="17" t="s">
        <v>360</v>
      </c>
      <c r="D8" s="17" t="s">
        <v>360</v>
      </c>
      <c r="E8" s="17" t="s">
        <v>350</v>
      </c>
      <c r="F8" s="17" t="s">
        <v>361</v>
      </c>
      <c r="G8" s="17" t="s">
        <v>362</v>
      </c>
      <c r="H8" s="17" t="s">
        <v>363</v>
      </c>
      <c r="I8" s="17" t="s">
        <v>347</v>
      </c>
    </row>
    <row r="9" customFormat="false" ht="15" hidden="false" customHeight="false" outlineLevel="0" collapsed="false">
      <c r="A9" s="17" t="s">
        <v>323</v>
      </c>
      <c r="B9" s="17" t="s">
        <v>364</v>
      </c>
      <c r="C9" s="17" t="s">
        <v>365</v>
      </c>
      <c r="D9" s="17" t="s">
        <v>365</v>
      </c>
      <c r="E9" s="17" t="s">
        <v>350</v>
      </c>
      <c r="F9" s="17" t="s">
        <v>366</v>
      </c>
      <c r="G9" s="17" t="s">
        <v>367</v>
      </c>
      <c r="H9" s="17" t="s">
        <v>367</v>
      </c>
      <c r="I9" s="17" t="s">
        <v>343</v>
      </c>
    </row>
    <row r="10" customFormat="false" ht="15" hidden="false" customHeight="false" outlineLevel="0" collapsed="false">
      <c r="A10" s="17" t="s">
        <v>324</v>
      </c>
      <c r="B10" s="17" t="s">
        <v>368</v>
      </c>
      <c r="C10" s="17" t="s">
        <v>369</v>
      </c>
      <c r="D10" s="17" t="s">
        <v>346</v>
      </c>
      <c r="E10" s="17" t="s">
        <v>347</v>
      </c>
      <c r="F10" s="17" t="s">
        <v>370</v>
      </c>
      <c r="G10" s="17" t="s">
        <v>371</v>
      </c>
      <c r="H10" s="17" t="s">
        <v>371</v>
      </c>
      <c r="I10" s="17" t="s">
        <v>371</v>
      </c>
    </row>
    <row r="11" customFormat="false" ht="15" hidden="false" customHeight="false" outlineLevel="0" collapsed="false">
      <c r="A11" s="17" t="s">
        <v>325</v>
      </c>
      <c r="B11" s="17" t="s">
        <v>372</v>
      </c>
      <c r="C11" s="17" t="s">
        <v>373</v>
      </c>
      <c r="D11" s="17" t="s">
        <v>374</v>
      </c>
      <c r="E11" s="17" t="s">
        <v>375</v>
      </c>
      <c r="F11" s="17" t="s">
        <v>372</v>
      </c>
      <c r="G11" s="17" t="s">
        <v>373</v>
      </c>
      <c r="H11" s="17" t="s">
        <v>374</v>
      </c>
      <c r="I11" s="17" t="s"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2026-10-10T18:09:46Z</dcterms:created>
  <dc:creator>openpyxl</dc:creator>
  <dc:description/>
  <dc:language>en-US</dc:language>
  <cp:lastModifiedBy/>
  <dcterms:modified xsi:type="dcterms:W3CDTF">2026-10-10T18:09:46Z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